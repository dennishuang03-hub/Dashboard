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9A8045-4C97-469B-A25B-174835629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DP DATA" sheetId="21" r:id="rId1"/>
    <sheet name="06.30, 07.30, &amp; 12.00" sheetId="7" r:id="rId2"/>
    <sheet name="R-2, TPTW, Persentase TTD" sheetId="5" r:id="rId3"/>
    <sheet name="Pickup &amp; Retur Non Ecom" sheetId="8" r:id="rId4"/>
    <sheet name="Fr&amp;Ag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'ALL DP DATA'!$C$8:$AW$1684</definedName>
    <definedName name="_xlnm._FilterDatabase" localSheetId="4" hidden="1">'Fr&amp;Ag'!$B$4:$F$1670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70" i="22" l="1"/>
  <c r="F1669" i="22"/>
  <c r="F1668" i="22"/>
  <c r="F1667" i="22"/>
  <c r="F1666" i="22"/>
  <c r="F1665" i="22"/>
  <c r="F1664" i="22"/>
  <c r="F1663" i="22"/>
  <c r="F1662" i="22"/>
  <c r="F1661" i="22"/>
  <c r="F1660" i="22"/>
  <c r="F1659" i="22"/>
  <c r="F1658" i="22"/>
  <c r="F1657" i="22"/>
  <c r="F1656" i="22"/>
  <c r="F1655" i="22"/>
  <c r="F1654" i="22"/>
  <c r="F1653" i="22"/>
  <c r="F1652" i="22"/>
  <c r="F1651" i="22"/>
  <c r="F1650" i="22"/>
  <c r="F1649" i="22"/>
  <c r="F1648" i="22"/>
  <c r="F1647" i="22"/>
  <c r="F1646" i="22"/>
  <c r="F1645" i="22"/>
  <c r="F1644" i="22"/>
  <c r="F1643" i="22"/>
  <c r="F1642" i="22"/>
  <c r="F1641" i="22"/>
  <c r="F1640" i="22"/>
  <c r="F1639" i="22"/>
  <c r="F1638" i="22"/>
  <c r="F1637" i="22"/>
  <c r="F1636" i="22"/>
  <c r="F1635" i="22"/>
  <c r="F1634" i="22"/>
  <c r="F1633" i="22"/>
  <c r="F1632" i="22"/>
  <c r="F1631" i="22"/>
  <c r="F1630" i="22"/>
  <c r="F1629" i="22"/>
  <c r="F1628" i="22"/>
  <c r="F1627" i="22"/>
  <c r="F1626" i="22"/>
  <c r="F1625" i="22"/>
  <c r="F1624" i="22"/>
  <c r="F1623" i="22"/>
  <c r="F1622" i="22"/>
  <c r="F1621" i="22"/>
  <c r="F1620" i="22"/>
  <c r="F1619" i="22"/>
  <c r="F1618" i="22"/>
  <c r="F1617" i="22"/>
  <c r="F1616" i="22"/>
  <c r="F1615" i="22"/>
  <c r="F1614" i="22"/>
  <c r="F1613" i="22"/>
  <c r="F1612" i="22"/>
  <c r="F1611" i="22"/>
  <c r="F1610" i="22"/>
  <c r="F1609" i="22"/>
  <c r="F1608" i="22"/>
  <c r="F1607" i="22"/>
  <c r="F1606" i="22"/>
  <c r="F1605" i="22"/>
  <c r="F1604" i="22"/>
  <c r="F1603" i="22"/>
  <c r="F1602" i="22"/>
  <c r="F1601" i="22"/>
  <c r="F1600" i="22"/>
  <c r="F1599" i="22"/>
  <c r="F1598" i="22"/>
  <c r="F1597" i="22"/>
  <c r="F1596" i="22"/>
  <c r="F1595" i="22"/>
  <c r="F1594" i="22"/>
  <c r="F1593" i="22"/>
  <c r="F1592" i="22"/>
  <c r="F1591" i="22"/>
  <c r="F1590" i="22"/>
  <c r="F1589" i="22"/>
  <c r="F1588" i="22"/>
  <c r="F1587" i="22"/>
  <c r="F1586" i="22"/>
  <c r="F1585" i="22"/>
  <c r="F1584" i="22"/>
  <c r="F1583" i="22"/>
  <c r="F1582" i="22"/>
  <c r="F1581" i="22"/>
  <c r="F1580" i="22"/>
  <c r="F1579" i="22"/>
  <c r="F1578" i="22"/>
  <c r="F1577" i="22"/>
  <c r="F1576" i="22"/>
  <c r="F1575" i="22"/>
  <c r="F1574" i="22"/>
  <c r="F1573" i="22"/>
  <c r="F1572" i="22"/>
  <c r="F1571" i="22"/>
  <c r="F1570" i="22"/>
  <c r="F1569" i="22"/>
  <c r="F1568" i="22"/>
  <c r="F1567" i="22"/>
  <c r="F1566" i="22"/>
  <c r="F1565" i="22"/>
  <c r="F1564" i="22"/>
  <c r="F1563" i="22"/>
  <c r="F1562" i="22"/>
  <c r="F1561" i="22"/>
  <c r="F1560" i="22"/>
  <c r="F1559" i="22"/>
  <c r="F1558" i="22"/>
  <c r="F1557" i="22"/>
  <c r="F1556" i="22"/>
  <c r="F1555" i="22"/>
  <c r="F1554" i="22"/>
  <c r="F1553" i="22"/>
  <c r="F1552" i="22"/>
  <c r="F1551" i="22"/>
  <c r="F1550" i="22"/>
  <c r="F1549" i="22"/>
  <c r="F1548" i="22"/>
  <c r="F1547" i="22"/>
  <c r="F1546" i="22"/>
  <c r="F1545" i="22"/>
  <c r="F1544" i="22"/>
  <c r="F1543" i="22"/>
  <c r="F1542" i="22"/>
  <c r="F1541" i="22"/>
  <c r="F1540" i="22"/>
  <c r="F1539" i="22"/>
  <c r="F1538" i="22"/>
  <c r="F1537" i="22"/>
  <c r="F1536" i="22"/>
  <c r="F1535" i="22"/>
  <c r="F1534" i="22"/>
  <c r="F1533" i="22"/>
  <c r="F1532" i="22"/>
  <c r="F1531" i="22"/>
  <c r="F1530" i="22"/>
  <c r="F1529" i="22"/>
  <c r="F1528" i="22"/>
  <c r="F1527" i="22"/>
  <c r="F1526" i="22"/>
  <c r="F1525" i="22"/>
  <c r="F1524" i="22"/>
  <c r="F1523" i="22"/>
  <c r="F1522" i="22"/>
  <c r="F1521" i="22"/>
  <c r="F1520" i="22"/>
  <c r="F1519" i="22"/>
  <c r="F1518" i="22"/>
  <c r="F1517" i="22"/>
  <c r="F1516" i="22"/>
  <c r="F1515" i="22"/>
  <c r="F1514" i="22"/>
  <c r="F1513" i="22"/>
  <c r="F1512" i="22"/>
  <c r="F1511" i="22"/>
  <c r="F1510" i="22"/>
  <c r="F1509" i="22"/>
  <c r="F1508" i="22"/>
  <c r="F1507" i="22"/>
  <c r="F1506" i="22"/>
  <c r="F1505" i="22"/>
  <c r="F1504" i="22"/>
  <c r="F1503" i="22"/>
  <c r="F1502" i="22"/>
  <c r="F1501" i="22"/>
  <c r="F1500" i="22"/>
  <c r="F1499" i="22"/>
  <c r="F1498" i="22"/>
  <c r="F1497" i="22"/>
  <c r="F1496" i="22"/>
  <c r="F1495" i="22"/>
  <c r="F1494" i="22"/>
  <c r="F1493" i="22"/>
  <c r="F1492" i="22"/>
  <c r="F1491" i="22"/>
  <c r="F1490" i="22"/>
  <c r="F1489" i="22"/>
  <c r="F1488" i="22"/>
  <c r="F1487" i="22"/>
  <c r="F1486" i="22"/>
  <c r="F1485" i="22"/>
  <c r="F1484" i="22"/>
  <c r="F1483" i="22"/>
  <c r="F1482" i="22"/>
  <c r="F1481" i="22"/>
  <c r="F1480" i="22"/>
  <c r="F1479" i="22"/>
  <c r="F1478" i="22"/>
  <c r="F1477" i="22"/>
  <c r="F1476" i="22"/>
  <c r="F1475" i="22"/>
  <c r="F1474" i="22"/>
  <c r="F1473" i="22"/>
  <c r="F1472" i="22"/>
  <c r="F1471" i="22"/>
  <c r="F1470" i="22"/>
  <c r="F1469" i="22"/>
  <c r="F1468" i="22"/>
  <c r="F1467" i="22"/>
  <c r="F1466" i="22"/>
  <c r="F1465" i="22"/>
  <c r="F1464" i="22"/>
  <c r="F1463" i="22"/>
  <c r="F1462" i="22"/>
  <c r="F1461" i="22"/>
  <c r="F1460" i="22"/>
  <c r="F1459" i="22"/>
  <c r="F1458" i="22"/>
  <c r="F1457" i="22"/>
  <c r="F1456" i="22"/>
  <c r="F1455" i="22"/>
  <c r="F1454" i="22"/>
  <c r="F1453" i="22"/>
  <c r="F1452" i="22"/>
  <c r="F1451" i="22"/>
  <c r="F1450" i="22"/>
  <c r="F1449" i="22"/>
  <c r="F1448" i="22"/>
  <c r="F1447" i="22"/>
  <c r="F1446" i="22"/>
  <c r="F1445" i="22"/>
  <c r="F1444" i="22"/>
  <c r="F1443" i="22"/>
  <c r="F1442" i="22"/>
  <c r="F1441" i="22"/>
  <c r="F1440" i="22"/>
  <c r="F1439" i="22"/>
  <c r="F1438" i="22"/>
  <c r="F1437" i="22"/>
  <c r="F1436" i="22"/>
  <c r="F1435" i="22"/>
  <c r="F1434" i="22"/>
  <c r="F1433" i="22"/>
  <c r="F1432" i="22"/>
  <c r="F1431" i="22"/>
  <c r="F1430" i="22"/>
  <c r="F1429" i="22"/>
  <c r="F1428" i="22"/>
  <c r="F1427" i="22"/>
  <c r="F1426" i="22"/>
  <c r="F1425" i="22"/>
  <c r="F1424" i="22"/>
  <c r="F1423" i="22"/>
  <c r="F1422" i="22"/>
  <c r="F1421" i="22"/>
  <c r="F1420" i="22"/>
  <c r="F1419" i="22"/>
  <c r="F1418" i="22"/>
  <c r="F1417" i="22"/>
  <c r="F1416" i="22"/>
  <c r="F1415" i="22"/>
  <c r="F1414" i="22"/>
  <c r="F1413" i="22"/>
  <c r="F1412" i="22"/>
  <c r="F1411" i="22"/>
  <c r="F1410" i="22"/>
  <c r="F1409" i="22"/>
  <c r="F1408" i="22"/>
  <c r="F1407" i="22"/>
  <c r="F1406" i="22"/>
  <c r="F1405" i="22"/>
  <c r="F1404" i="22"/>
  <c r="F1403" i="22"/>
  <c r="F1402" i="22"/>
  <c r="F1401" i="22"/>
  <c r="F1400" i="22"/>
  <c r="F1399" i="22"/>
  <c r="F1398" i="22"/>
  <c r="F1397" i="22"/>
  <c r="F1396" i="22"/>
  <c r="F1395" i="22"/>
  <c r="F1394" i="22"/>
  <c r="F1393" i="22"/>
  <c r="F1392" i="22"/>
  <c r="F1391" i="22"/>
  <c r="F1390" i="22"/>
  <c r="F1389" i="22"/>
  <c r="F1388" i="22"/>
  <c r="F1387" i="22"/>
  <c r="F1386" i="22"/>
  <c r="F1385" i="22"/>
  <c r="F1384" i="22"/>
  <c r="F1383" i="22"/>
  <c r="F1382" i="22"/>
  <c r="F1381" i="22"/>
  <c r="F1380" i="22"/>
  <c r="F1379" i="22"/>
  <c r="F1378" i="22"/>
  <c r="F1377" i="22"/>
  <c r="F1376" i="22"/>
  <c r="F1375" i="22"/>
  <c r="F1374" i="22"/>
  <c r="F1373" i="22"/>
  <c r="F1372" i="22"/>
  <c r="F1371" i="22"/>
  <c r="F1370" i="22"/>
  <c r="F1369" i="22"/>
  <c r="F1368" i="22"/>
  <c r="F1367" i="22"/>
  <c r="F1366" i="22"/>
  <c r="F1365" i="22"/>
  <c r="F1364" i="22"/>
  <c r="F1363" i="22"/>
  <c r="F1362" i="22"/>
  <c r="F1361" i="22"/>
  <c r="F1360" i="22"/>
  <c r="F1359" i="22"/>
  <c r="F1358" i="22"/>
  <c r="F1357" i="22"/>
  <c r="F1356" i="22"/>
  <c r="F1355" i="22"/>
  <c r="F1354" i="22"/>
  <c r="F1353" i="22"/>
  <c r="F1352" i="22"/>
  <c r="F1351" i="22"/>
  <c r="F1350" i="22"/>
  <c r="F1349" i="22"/>
  <c r="F1348" i="22"/>
  <c r="F1347" i="22"/>
  <c r="F1346" i="22"/>
  <c r="F1345" i="22"/>
  <c r="F1344" i="22"/>
  <c r="F1343" i="22"/>
  <c r="F1342" i="22"/>
  <c r="F1341" i="22"/>
  <c r="F1340" i="22"/>
  <c r="F1339" i="22"/>
  <c r="F1338" i="22"/>
  <c r="F1337" i="22"/>
  <c r="F1336" i="22"/>
  <c r="F1335" i="22"/>
  <c r="F1334" i="22"/>
  <c r="F1333" i="22"/>
  <c r="F1332" i="22"/>
  <c r="F1331" i="22"/>
  <c r="F1330" i="22"/>
  <c r="F1329" i="22"/>
  <c r="F1328" i="22"/>
  <c r="F1327" i="22"/>
  <c r="F1326" i="22"/>
  <c r="F1325" i="22"/>
  <c r="F1324" i="22"/>
  <c r="F1323" i="22"/>
  <c r="F1322" i="22"/>
  <c r="F1321" i="22"/>
  <c r="F1320" i="22"/>
  <c r="F1319" i="22"/>
  <c r="F1318" i="22"/>
  <c r="F1317" i="22"/>
  <c r="F1316" i="22"/>
  <c r="F1315" i="22"/>
  <c r="F1314" i="22"/>
  <c r="F1313" i="22"/>
  <c r="F1312" i="22"/>
  <c r="F1311" i="22"/>
  <c r="F1310" i="22"/>
  <c r="F1309" i="22"/>
  <c r="F1308" i="22"/>
  <c r="F1307" i="22"/>
  <c r="F1306" i="22"/>
  <c r="F1305" i="22"/>
  <c r="F1304" i="22"/>
  <c r="F1303" i="22"/>
  <c r="F1302" i="22"/>
  <c r="F1301" i="22"/>
  <c r="F1300" i="22"/>
  <c r="F1299" i="22"/>
  <c r="F1298" i="22"/>
  <c r="F1297" i="22"/>
  <c r="F1296" i="22"/>
  <c r="F1295" i="22"/>
  <c r="F1294" i="22"/>
  <c r="F1293" i="22"/>
  <c r="F1292" i="22"/>
  <c r="F1291" i="22"/>
  <c r="F1290" i="22"/>
  <c r="F1289" i="22"/>
  <c r="F1288" i="22"/>
  <c r="F1287" i="22"/>
  <c r="F1286" i="22"/>
  <c r="F1285" i="22"/>
  <c r="F1284" i="22"/>
  <c r="F1283" i="22"/>
  <c r="F1282" i="22"/>
  <c r="F1281" i="22"/>
  <c r="F1280" i="22"/>
  <c r="F1279" i="22"/>
  <c r="F1278" i="22"/>
  <c r="F1277" i="22"/>
  <c r="F1276" i="22"/>
  <c r="F1275" i="22"/>
  <c r="F1274" i="22"/>
  <c r="F1273" i="22"/>
  <c r="F1272" i="22"/>
  <c r="F1271" i="22"/>
  <c r="F1270" i="22"/>
  <c r="F1269" i="22"/>
  <c r="F1268" i="22"/>
  <c r="F1267" i="22"/>
  <c r="F1266" i="22"/>
  <c r="F1265" i="22"/>
  <c r="F1264" i="22"/>
  <c r="F1263" i="22"/>
  <c r="F1262" i="22"/>
  <c r="F1261" i="22"/>
  <c r="F1260" i="22"/>
  <c r="F1259" i="22"/>
  <c r="F1258" i="22"/>
  <c r="F1257" i="22"/>
  <c r="F1256" i="22"/>
  <c r="F1255" i="22"/>
  <c r="F1254" i="22"/>
  <c r="F1253" i="22"/>
  <c r="F1252" i="22"/>
  <c r="F1251" i="22"/>
  <c r="F1250" i="22"/>
  <c r="F1249" i="22"/>
  <c r="F1248" i="22"/>
  <c r="F1247" i="22"/>
  <c r="F1246" i="22"/>
  <c r="F1245" i="22"/>
  <c r="F1244" i="22"/>
  <c r="F1243" i="22"/>
  <c r="F1242" i="22"/>
  <c r="F1241" i="22"/>
  <c r="F1240" i="22"/>
  <c r="F1239" i="22"/>
  <c r="F1238" i="22"/>
  <c r="F1237" i="22"/>
  <c r="F1236" i="22"/>
  <c r="F1235" i="22"/>
  <c r="F1234" i="22"/>
  <c r="F1233" i="22"/>
  <c r="F1232" i="22"/>
  <c r="F1231" i="22"/>
  <c r="F1230" i="22"/>
  <c r="F1229" i="22"/>
  <c r="F1228" i="22"/>
  <c r="F1227" i="22"/>
  <c r="F1226" i="22"/>
  <c r="F1225" i="22"/>
  <c r="F1224" i="22"/>
  <c r="F1223" i="22"/>
  <c r="F1222" i="22"/>
  <c r="F1221" i="22"/>
  <c r="F1220" i="22"/>
  <c r="F1219" i="22"/>
  <c r="F1218" i="22"/>
  <c r="F1217" i="22"/>
  <c r="F1216" i="22"/>
  <c r="F1215" i="22"/>
  <c r="F1214" i="22"/>
  <c r="F1213" i="22"/>
  <c r="F1212" i="22"/>
  <c r="F1211" i="22"/>
  <c r="F1210" i="22"/>
  <c r="F1209" i="22"/>
  <c r="F1208" i="22"/>
  <c r="F1207" i="22"/>
  <c r="F1206" i="22"/>
  <c r="F1205" i="22"/>
  <c r="F1204" i="22"/>
  <c r="F1203" i="22"/>
  <c r="F1202" i="22"/>
  <c r="F1201" i="22"/>
  <c r="F1200" i="22"/>
  <c r="F1199" i="22"/>
  <c r="F1198" i="22"/>
  <c r="F1197" i="22"/>
  <c r="F1196" i="22"/>
  <c r="F1195" i="22"/>
  <c r="F1194" i="22"/>
  <c r="F1193" i="22"/>
  <c r="F1192" i="22"/>
  <c r="F1191" i="22"/>
  <c r="F1190" i="22"/>
  <c r="F1189" i="22"/>
  <c r="F1188" i="22"/>
  <c r="F1187" i="22"/>
  <c r="F1186" i="22"/>
  <c r="F1185" i="22"/>
  <c r="F1184" i="22"/>
  <c r="F1183" i="22"/>
  <c r="F1182" i="22"/>
  <c r="F1181" i="22"/>
  <c r="F1180" i="22"/>
  <c r="F1179" i="22"/>
  <c r="F1178" i="22"/>
  <c r="F1177" i="22"/>
  <c r="F1176" i="22"/>
  <c r="F1175" i="22"/>
  <c r="F1174" i="22"/>
  <c r="F1173" i="22"/>
  <c r="F1172" i="22"/>
  <c r="F1171" i="22"/>
  <c r="F1170" i="22"/>
  <c r="F1169" i="22"/>
  <c r="F1168" i="22"/>
  <c r="F1167" i="22"/>
  <c r="F1166" i="22"/>
  <c r="F1165" i="22"/>
  <c r="F1164" i="22"/>
  <c r="F1163" i="22"/>
  <c r="F1162" i="22"/>
  <c r="F1161" i="22"/>
  <c r="F1160" i="22"/>
  <c r="F1159" i="22"/>
  <c r="F1158" i="22"/>
  <c r="F1157" i="22"/>
  <c r="F1156" i="22"/>
  <c r="F1155" i="22"/>
  <c r="F1154" i="22"/>
  <c r="F1153" i="22"/>
  <c r="F1152" i="22"/>
  <c r="F1151" i="22"/>
  <c r="F1150" i="22"/>
  <c r="F1149" i="22"/>
  <c r="F1148" i="22"/>
  <c r="F1147" i="22"/>
  <c r="F1146" i="22"/>
  <c r="F1145" i="22"/>
  <c r="F1144" i="22"/>
  <c r="F1143" i="22"/>
  <c r="F1142" i="22"/>
  <c r="F1141" i="22"/>
  <c r="F1140" i="22"/>
  <c r="F1139" i="22"/>
  <c r="F1138" i="22"/>
  <c r="F1137" i="22"/>
  <c r="F1136" i="22"/>
  <c r="F1135" i="22"/>
  <c r="F1134" i="22"/>
  <c r="F1133" i="22"/>
  <c r="F1132" i="22"/>
  <c r="F1131" i="22"/>
  <c r="F1130" i="22"/>
  <c r="F1129" i="22"/>
  <c r="F1128" i="22"/>
  <c r="F1127" i="22"/>
  <c r="F1126" i="22"/>
  <c r="F1125" i="22"/>
  <c r="F1124" i="22"/>
  <c r="F1123" i="22"/>
  <c r="F1122" i="22"/>
  <c r="F1121" i="22"/>
  <c r="F1120" i="22"/>
  <c r="F1119" i="22"/>
  <c r="F1118" i="22"/>
  <c r="F1117" i="22"/>
  <c r="F1116" i="22"/>
  <c r="F1115" i="22"/>
  <c r="F1114" i="22"/>
  <c r="F1113" i="22"/>
  <c r="F1112" i="22"/>
  <c r="F1111" i="22"/>
  <c r="F1110" i="22"/>
  <c r="F1109" i="22"/>
  <c r="F1108" i="22"/>
  <c r="F1107" i="22"/>
  <c r="F1106" i="22"/>
  <c r="F1105" i="22"/>
  <c r="F1104" i="22"/>
  <c r="F1103" i="22"/>
  <c r="F1102" i="22"/>
  <c r="F1101" i="22"/>
  <c r="F1100" i="22"/>
  <c r="F1099" i="22"/>
  <c r="F1098" i="22"/>
  <c r="F1097" i="22"/>
  <c r="F1096" i="22"/>
  <c r="F1095" i="22"/>
  <c r="F1094" i="22"/>
  <c r="F1093" i="22"/>
  <c r="F1092" i="22"/>
  <c r="F1091" i="22"/>
  <c r="F1090" i="22"/>
  <c r="F1089" i="22"/>
  <c r="F1088" i="22"/>
  <c r="F1087" i="22"/>
  <c r="F1086" i="22"/>
  <c r="F1085" i="22"/>
  <c r="F1084" i="22"/>
  <c r="F1083" i="22"/>
  <c r="F1082" i="22"/>
  <c r="F1081" i="22"/>
  <c r="F1080" i="22"/>
  <c r="F1079" i="22"/>
  <c r="F1078" i="22"/>
  <c r="F1077" i="22"/>
  <c r="F1076" i="22"/>
  <c r="F1075" i="22"/>
  <c r="F1074" i="22"/>
  <c r="F1073" i="22"/>
  <c r="F1072" i="22"/>
  <c r="F1071" i="22"/>
  <c r="F1070" i="22"/>
  <c r="F1069" i="22"/>
  <c r="F1068" i="22"/>
  <c r="F1067" i="22"/>
  <c r="F1066" i="22"/>
  <c r="F1065" i="22"/>
  <c r="F1064" i="22"/>
  <c r="F1063" i="22"/>
  <c r="F1062" i="22"/>
  <c r="F1061" i="22"/>
  <c r="F1060" i="22"/>
  <c r="F1059" i="22"/>
  <c r="F1058" i="22"/>
  <c r="F1057" i="22"/>
  <c r="F1056" i="22"/>
  <c r="F1055" i="22"/>
  <c r="F1054" i="22"/>
  <c r="F1053" i="22"/>
  <c r="F1052" i="22"/>
  <c r="F1051" i="22"/>
  <c r="F1050" i="22"/>
  <c r="F1049" i="22"/>
  <c r="F1048" i="22"/>
  <c r="F1047" i="22"/>
  <c r="F1046" i="22"/>
  <c r="F1045" i="22"/>
  <c r="F1044" i="22"/>
  <c r="F1043" i="22"/>
  <c r="F1042" i="22"/>
  <c r="F1041" i="22"/>
  <c r="F1040" i="22"/>
  <c r="F1039" i="22"/>
  <c r="F1038" i="22"/>
  <c r="F1037" i="22"/>
  <c r="F1036" i="22"/>
  <c r="F1035" i="22"/>
  <c r="F1034" i="22"/>
  <c r="F1033" i="22"/>
  <c r="F1032" i="22"/>
  <c r="F1031" i="22"/>
  <c r="F1030" i="22"/>
  <c r="F1029" i="22"/>
  <c r="F1028" i="22"/>
  <c r="F1027" i="22"/>
  <c r="F1026" i="22"/>
  <c r="F1025" i="22"/>
  <c r="F1024" i="22"/>
  <c r="F1023" i="22"/>
  <c r="F1022" i="22"/>
  <c r="F1021" i="22"/>
  <c r="F1020" i="22"/>
  <c r="F1019" i="22"/>
  <c r="F1018" i="22"/>
  <c r="F1017" i="22"/>
  <c r="F1016" i="22"/>
  <c r="F1015" i="22"/>
  <c r="F1014" i="22"/>
  <c r="F1013" i="22"/>
  <c r="F1012" i="22"/>
  <c r="F1011" i="22"/>
  <c r="F1010" i="22"/>
  <c r="F1009" i="22"/>
  <c r="F1008" i="22"/>
  <c r="F1007" i="22"/>
  <c r="F1006" i="22"/>
  <c r="F1005" i="22"/>
  <c r="F1004" i="22"/>
  <c r="F1003" i="22"/>
  <c r="F1002" i="22"/>
  <c r="F1001" i="22"/>
  <c r="F1000" i="22"/>
  <c r="F999" i="22"/>
  <c r="F998" i="22"/>
  <c r="F997" i="22"/>
  <c r="F996" i="22"/>
  <c r="F995" i="22"/>
  <c r="F994" i="22"/>
  <c r="F993" i="22"/>
  <c r="F992" i="22"/>
  <c r="F991" i="22"/>
  <c r="F990" i="22"/>
  <c r="F989" i="22"/>
  <c r="F988" i="22"/>
  <c r="F987" i="22"/>
  <c r="F986" i="22"/>
  <c r="F985" i="22"/>
  <c r="F984" i="22"/>
  <c r="F983" i="22"/>
  <c r="F982" i="22"/>
  <c r="F981" i="22"/>
  <c r="F980" i="22"/>
  <c r="F979" i="22"/>
  <c r="F978" i="22"/>
  <c r="F977" i="22"/>
  <c r="F976" i="22"/>
  <c r="F975" i="22"/>
  <c r="F974" i="22"/>
  <c r="F973" i="22"/>
  <c r="F972" i="22"/>
  <c r="F971" i="22"/>
  <c r="F970" i="22"/>
  <c r="F969" i="22"/>
  <c r="F968" i="22"/>
  <c r="F967" i="22"/>
  <c r="F966" i="22"/>
  <c r="F965" i="22"/>
  <c r="F964" i="22"/>
  <c r="F963" i="22"/>
  <c r="F962" i="22"/>
  <c r="F961" i="22"/>
  <c r="F960" i="22"/>
  <c r="F959" i="22"/>
  <c r="F958" i="22"/>
  <c r="F957" i="22"/>
  <c r="F956" i="22"/>
  <c r="F955" i="22"/>
  <c r="F954" i="22"/>
  <c r="F953" i="22"/>
  <c r="F952" i="22"/>
  <c r="F951" i="22"/>
  <c r="F950" i="22"/>
  <c r="F949" i="22"/>
  <c r="F948" i="22"/>
  <c r="F947" i="22"/>
  <c r="F946" i="22"/>
  <c r="F945" i="22"/>
  <c r="F944" i="22"/>
  <c r="F943" i="22"/>
  <c r="F942" i="22"/>
  <c r="F941" i="22"/>
  <c r="F940" i="22"/>
  <c r="F939" i="22"/>
  <c r="F938" i="22"/>
  <c r="F937" i="22"/>
  <c r="F936" i="22"/>
  <c r="F935" i="22"/>
  <c r="F934" i="22"/>
  <c r="F933" i="22"/>
  <c r="F932" i="22"/>
  <c r="F931" i="22"/>
  <c r="F930" i="22"/>
  <c r="F929" i="22"/>
  <c r="F928" i="22"/>
  <c r="F927" i="22"/>
  <c r="F926" i="22"/>
  <c r="F925" i="22"/>
  <c r="F924" i="22"/>
  <c r="F923" i="22"/>
  <c r="F922" i="22"/>
  <c r="F921" i="22"/>
  <c r="F920" i="22"/>
  <c r="F919" i="22"/>
  <c r="F918" i="22"/>
  <c r="F917" i="22"/>
  <c r="F916" i="22"/>
  <c r="F915" i="22"/>
  <c r="F914" i="22"/>
  <c r="F913" i="22"/>
  <c r="F912" i="22"/>
  <c r="F911" i="22"/>
  <c r="F910" i="22"/>
  <c r="F909" i="22"/>
  <c r="F908" i="22"/>
  <c r="F907" i="22"/>
  <c r="F906" i="22"/>
  <c r="F905" i="22"/>
  <c r="F904" i="22"/>
  <c r="F903" i="22"/>
  <c r="F902" i="22"/>
  <c r="F901" i="22"/>
  <c r="F900" i="22"/>
  <c r="F899" i="22"/>
  <c r="F898" i="22"/>
  <c r="F897" i="22"/>
  <c r="F896" i="22"/>
  <c r="F895" i="22"/>
  <c r="F894" i="22"/>
  <c r="F893" i="22"/>
  <c r="F892" i="22"/>
  <c r="F891" i="22"/>
  <c r="F890" i="22"/>
  <c r="F889" i="22"/>
  <c r="F888" i="22"/>
  <c r="F887" i="22"/>
  <c r="F886" i="22"/>
  <c r="F885" i="22"/>
  <c r="F884" i="22"/>
  <c r="F883" i="22"/>
  <c r="F882" i="22"/>
  <c r="F881" i="22"/>
  <c r="F880" i="22"/>
  <c r="F879" i="22"/>
  <c r="F878" i="22"/>
  <c r="F877" i="22"/>
  <c r="F876" i="22"/>
  <c r="F875" i="22"/>
  <c r="F874" i="22"/>
  <c r="F873" i="22"/>
  <c r="F872" i="22"/>
  <c r="F871" i="22"/>
  <c r="F870" i="22"/>
  <c r="F869" i="22"/>
  <c r="F868" i="22"/>
  <c r="F867" i="22"/>
  <c r="F866" i="22"/>
  <c r="F865" i="22"/>
  <c r="F864" i="22"/>
  <c r="F863" i="22"/>
  <c r="F862" i="22"/>
  <c r="F861" i="22"/>
  <c r="F860" i="22"/>
  <c r="F859" i="22"/>
  <c r="F858" i="22"/>
  <c r="F857" i="22"/>
  <c r="F856" i="22"/>
  <c r="F855" i="22"/>
  <c r="F854" i="22"/>
  <c r="F853" i="22"/>
  <c r="F852" i="22"/>
  <c r="F851" i="22"/>
  <c r="F850" i="22"/>
  <c r="F849" i="22"/>
  <c r="F848" i="22"/>
  <c r="F847" i="22"/>
  <c r="F846" i="22"/>
  <c r="F845" i="22"/>
  <c r="F844" i="22"/>
  <c r="F843" i="22"/>
  <c r="F842" i="22"/>
  <c r="F841" i="22"/>
  <c r="F840" i="22"/>
  <c r="F839" i="22"/>
  <c r="F838" i="22"/>
  <c r="F837" i="22"/>
  <c r="F836" i="22"/>
  <c r="F835" i="22"/>
  <c r="F834" i="22"/>
  <c r="F833" i="22"/>
  <c r="F832" i="22"/>
  <c r="F831" i="22"/>
  <c r="F830" i="22"/>
  <c r="F829" i="22"/>
  <c r="F828" i="22"/>
  <c r="F827" i="22"/>
  <c r="F826" i="22"/>
  <c r="F825" i="22"/>
  <c r="F824" i="22"/>
  <c r="F823" i="22"/>
  <c r="F822" i="22"/>
  <c r="F821" i="22"/>
  <c r="F820" i="22"/>
  <c r="F819" i="22"/>
  <c r="F818" i="22"/>
  <c r="F817" i="22"/>
  <c r="F816" i="22"/>
  <c r="F815" i="22"/>
  <c r="F814" i="22"/>
  <c r="F813" i="22"/>
  <c r="F812" i="22"/>
  <c r="F811" i="22"/>
  <c r="F810" i="22"/>
  <c r="F809" i="22"/>
  <c r="F808" i="22"/>
  <c r="F807" i="22"/>
  <c r="F806" i="22"/>
  <c r="F805" i="22"/>
  <c r="F804" i="22"/>
  <c r="F803" i="22"/>
  <c r="F802" i="22"/>
  <c r="F801" i="22"/>
  <c r="F800" i="22"/>
  <c r="F799" i="22"/>
  <c r="F798" i="22"/>
  <c r="F797" i="22"/>
  <c r="F796" i="22"/>
  <c r="F795" i="22"/>
  <c r="F794" i="22"/>
  <c r="F793" i="22"/>
  <c r="F792" i="22"/>
  <c r="F791" i="22"/>
  <c r="F790" i="22"/>
  <c r="F789" i="22"/>
  <c r="F788" i="22"/>
  <c r="F787" i="22"/>
  <c r="F786" i="22"/>
  <c r="F785" i="22"/>
  <c r="F784" i="22"/>
  <c r="F783" i="22"/>
  <c r="F782" i="22"/>
  <c r="F781" i="22"/>
  <c r="F780" i="22"/>
  <c r="F779" i="22"/>
  <c r="F778" i="22"/>
  <c r="F777" i="22"/>
  <c r="F776" i="22"/>
  <c r="F775" i="22"/>
  <c r="F774" i="22"/>
  <c r="F773" i="22"/>
  <c r="F772" i="22"/>
  <c r="F771" i="22"/>
  <c r="F770" i="22"/>
  <c r="F769" i="22"/>
  <c r="F768" i="22"/>
  <c r="F767" i="22"/>
  <c r="F766" i="22"/>
  <c r="F765" i="22"/>
  <c r="F764" i="22"/>
  <c r="F763" i="22"/>
  <c r="F762" i="22"/>
  <c r="F761" i="22"/>
  <c r="F760" i="22"/>
  <c r="F759" i="22"/>
  <c r="F758" i="22"/>
  <c r="F757" i="22"/>
  <c r="F756" i="22"/>
  <c r="F755" i="22"/>
  <c r="F754" i="22"/>
  <c r="F753" i="22"/>
  <c r="F752" i="22"/>
  <c r="F751" i="22"/>
  <c r="F750" i="22"/>
  <c r="F749" i="22"/>
  <c r="F748" i="22"/>
  <c r="F747" i="22"/>
  <c r="F746" i="22"/>
  <c r="F745" i="22"/>
  <c r="F744" i="22"/>
  <c r="F743" i="22"/>
  <c r="F742" i="22"/>
  <c r="F741" i="22"/>
  <c r="F740" i="22"/>
  <c r="F739" i="22"/>
  <c r="F738" i="22"/>
  <c r="F737" i="22"/>
  <c r="F736" i="22"/>
  <c r="F735" i="22"/>
  <c r="F734" i="22"/>
  <c r="F733" i="22"/>
  <c r="F732" i="22"/>
  <c r="F731" i="22"/>
  <c r="F730" i="22"/>
  <c r="F729" i="22"/>
  <c r="F728" i="22"/>
  <c r="F727" i="22"/>
  <c r="F726" i="22"/>
  <c r="F725" i="22"/>
  <c r="F724" i="22"/>
  <c r="F723" i="22"/>
  <c r="F722" i="22"/>
  <c r="F721" i="22"/>
  <c r="F720" i="22"/>
  <c r="F719" i="22"/>
  <c r="F718" i="22"/>
  <c r="F717" i="22"/>
  <c r="F716" i="22"/>
  <c r="F715" i="22"/>
  <c r="F714" i="22"/>
  <c r="F713" i="22"/>
  <c r="F712" i="22"/>
  <c r="F711" i="22"/>
  <c r="F710" i="22"/>
  <c r="F709" i="22"/>
  <c r="F708" i="22"/>
  <c r="F707" i="22"/>
  <c r="F706" i="22"/>
  <c r="F705" i="22"/>
  <c r="F704" i="22"/>
  <c r="F703" i="22"/>
  <c r="F702" i="22"/>
  <c r="F701" i="22"/>
  <c r="F700" i="22"/>
  <c r="F699" i="22"/>
  <c r="F698" i="22"/>
  <c r="F697" i="22"/>
  <c r="F696" i="22"/>
  <c r="F695" i="22"/>
  <c r="F694" i="22"/>
  <c r="F693" i="22"/>
  <c r="F692" i="22"/>
  <c r="F691" i="22"/>
  <c r="F690" i="22"/>
  <c r="F689" i="22"/>
  <c r="F688" i="22"/>
  <c r="F687" i="22"/>
  <c r="F686" i="22"/>
  <c r="F685" i="22"/>
  <c r="F684" i="22"/>
  <c r="F683" i="22"/>
  <c r="F682" i="22"/>
  <c r="F681" i="22"/>
  <c r="F680" i="22"/>
  <c r="F679" i="22"/>
  <c r="F678" i="22"/>
  <c r="F677" i="22"/>
  <c r="F676" i="22"/>
  <c r="F675" i="22"/>
  <c r="F674" i="22"/>
  <c r="F673" i="22"/>
  <c r="F672" i="22"/>
  <c r="F671" i="22"/>
  <c r="F670" i="22"/>
  <c r="F669" i="22"/>
  <c r="F668" i="22"/>
  <c r="F667" i="22"/>
  <c r="F666" i="22"/>
  <c r="F665" i="22"/>
  <c r="F664" i="22"/>
  <c r="F663" i="22"/>
  <c r="F662" i="22"/>
  <c r="F661" i="22"/>
  <c r="F660" i="22"/>
  <c r="F659" i="22"/>
  <c r="F658" i="22"/>
  <c r="F657" i="22"/>
  <c r="F656" i="22"/>
  <c r="F655" i="22"/>
  <c r="F654" i="22"/>
  <c r="F653" i="22"/>
  <c r="F652" i="22"/>
  <c r="F651" i="22"/>
  <c r="F650" i="22"/>
  <c r="F649" i="22"/>
  <c r="F648" i="22"/>
  <c r="F647" i="22"/>
  <c r="F646" i="22"/>
  <c r="F645" i="22"/>
  <c r="F644" i="22"/>
  <c r="F643" i="22"/>
  <c r="F642" i="22"/>
  <c r="F641" i="22"/>
  <c r="F640" i="22"/>
  <c r="F639" i="22"/>
  <c r="F638" i="22"/>
  <c r="F637" i="22"/>
  <c r="F636" i="22"/>
  <c r="F635" i="22"/>
  <c r="F634" i="22"/>
  <c r="F633" i="22"/>
  <c r="F632" i="22"/>
  <c r="F631" i="22"/>
  <c r="F630" i="22"/>
  <c r="F629" i="22"/>
  <c r="F628" i="22"/>
  <c r="F627" i="22"/>
  <c r="F626" i="22"/>
  <c r="F625" i="22"/>
  <c r="F624" i="22"/>
  <c r="F623" i="22"/>
  <c r="F622" i="22"/>
  <c r="F621" i="22"/>
  <c r="F620" i="22"/>
  <c r="F619" i="22"/>
  <c r="F618" i="22"/>
  <c r="F617" i="22"/>
  <c r="F616" i="22"/>
  <c r="F615" i="22"/>
  <c r="F614" i="22"/>
  <c r="F613" i="22"/>
  <c r="F612" i="22"/>
  <c r="F611" i="22"/>
  <c r="F610" i="22"/>
  <c r="F609" i="22"/>
  <c r="F608" i="22"/>
  <c r="F607" i="22"/>
  <c r="F606" i="22"/>
  <c r="F605" i="22"/>
  <c r="F604" i="22"/>
  <c r="F603" i="22"/>
  <c r="F602" i="22"/>
  <c r="F601" i="22"/>
  <c r="F600" i="22"/>
  <c r="F599" i="22"/>
  <c r="F598" i="22"/>
  <c r="F597" i="22"/>
  <c r="F596" i="22"/>
  <c r="F595" i="22"/>
  <c r="F594" i="22"/>
  <c r="F593" i="22"/>
  <c r="F592" i="22"/>
  <c r="F591" i="22"/>
  <c r="F590" i="22"/>
  <c r="F589" i="22"/>
  <c r="F588" i="22"/>
  <c r="F587" i="22"/>
  <c r="F586" i="22"/>
  <c r="F585" i="22"/>
  <c r="F584" i="22"/>
  <c r="F583" i="22"/>
  <c r="F582" i="22"/>
  <c r="F581" i="22"/>
  <c r="F580" i="22"/>
  <c r="F579" i="22"/>
  <c r="F578" i="22"/>
  <c r="F577" i="22"/>
  <c r="F576" i="22"/>
  <c r="F575" i="22"/>
  <c r="F574" i="22"/>
  <c r="F573" i="22"/>
  <c r="F572" i="22"/>
  <c r="F571" i="22"/>
  <c r="F570" i="22"/>
  <c r="F569" i="22"/>
  <c r="F568" i="22"/>
  <c r="F567" i="22"/>
  <c r="F566" i="22"/>
  <c r="F565" i="22"/>
  <c r="F564" i="22"/>
  <c r="F563" i="22"/>
  <c r="F562" i="22"/>
  <c r="F561" i="22"/>
  <c r="F560" i="22"/>
  <c r="F559" i="22"/>
  <c r="F558" i="22"/>
  <c r="F557" i="22"/>
  <c r="F556" i="22"/>
  <c r="F555" i="22"/>
  <c r="F554" i="22"/>
  <c r="F553" i="22"/>
  <c r="F552" i="22"/>
  <c r="F551" i="22"/>
  <c r="F550" i="22"/>
  <c r="F549" i="22"/>
  <c r="F548" i="22"/>
  <c r="F547" i="22"/>
  <c r="F546" i="22"/>
  <c r="F545" i="22"/>
  <c r="F544" i="22"/>
  <c r="F543" i="22"/>
  <c r="F542" i="22"/>
  <c r="F541" i="22"/>
  <c r="F540" i="22"/>
  <c r="F539" i="22"/>
  <c r="F538" i="22"/>
  <c r="F537" i="22"/>
  <c r="F536" i="22"/>
  <c r="F535" i="22"/>
  <c r="F534" i="22"/>
  <c r="F533" i="22"/>
  <c r="F532" i="22"/>
  <c r="F531" i="22"/>
  <c r="F530" i="22"/>
  <c r="F529" i="22"/>
  <c r="F528" i="22"/>
  <c r="F527" i="22"/>
  <c r="F526" i="22"/>
  <c r="F525" i="22"/>
  <c r="F524" i="22"/>
  <c r="F523" i="22"/>
  <c r="F522" i="22"/>
  <c r="F521" i="22"/>
  <c r="F520" i="22"/>
  <c r="F519" i="22"/>
  <c r="F518" i="22"/>
  <c r="F517" i="22"/>
  <c r="F516" i="22"/>
  <c r="F515" i="22"/>
  <c r="F514" i="22"/>
  <c r="F513" i="22"/>
  <c r="F512" i="22"/>
  <c r="F511" i="22"/>
  <c r="F510" i="22"/>
  <c r="F509" i="22"/>
  <c r="F508" i="22"/>
  <c r="F507" i="22"/>
  <c r="F506" i="22"/>
  <c r="F505" i="22"/>
  <c r="F504" i="22"/>
  <c r="F503" i="22"/>
  <c r="F502" i="22"/>
  <c r="F501" i="22"/>
  <c r="F500" i="22"/>
  <c r="F499" i="22"/>
  <c r="F498" i="22"/>
  <c r="F497" i="22"/>
  <c r="F496" i="22"/>
  <c r="F495" i="22"/>
  <c r="F494" i="22"/>
  <c r="F493" i="22"/>
  <c r="F492" i="22"/>
  <c r="F491" i="22"/>
  <c r="F490" i="22"/>
  <c r="F489" i="22"/>
  <c r="F488" i="22"/>
  <c r="F487" i="22"/>
  <c r="F486" i="22"/>
  <c r="F485" i="22"/>
  <c r="F484" i="22"/>
  <c r="F483" i="22"/>
  <c r="F482" i="22"/>
  <c r="F481" i="22"/>
  <c r="F480" i="22"/>
  <c r="F479" i="22"/>
  <c r="F478" i="22"/>
  <c r="F477" i="22"/>
  <c r="F476" i="22"/>
  <c r="F475" i="22"/>
  <c r="F474" i="22"/>
  <c r="F473" i="22"/>
  <c r="F472" i="22"/>
  <c r="F471" i="22"/>
  <c r="F470" i="22"/>
  <c r="F469" i="22"/>
  <c r="F468" i="22"/>
  <c r="F467" i="22"/>
  <c r="F466" i="22"/>
  <c r="F465" i="22"/>
  <c r="F464" i="22"/>
  <c r="F463" i="22"/>
  <c r="F462" i="22"/>
  <c r="F461" i="22"/>
  <c r="F460" i="22"/>
  <c r="F459" i="22"/>
  <c r="F458" i="22"/>
  <c r="F457" i="22"/>
  <c r="F456" i="22"/>
  <c r="F455" i="22"/>
  <c r="F454" i="22"/>
  <c r="F453" i="22"/>
  <c r="F452" i="22"/>
  <c r="F451" i="22"/>
  <c r="F450" i="22"/>
  <c r="F449" i="22"/>
  <c r="F448" i="22"/>
  <c r="F447" i="22"/>
  <c r="F446" i="22"/>
  <c r="F445" i="22"/>
  <c r="F444" i="22"/>
  <c r="F443" i="22"/>
  <c r="F442" i="22"/>
  <c r="F441" i="22"/>
  <c r="F440" i="22"/>
  <c r="F439" i="22"/>
  <c r="F438" i="22"/>
  <c r="F437" i="22"/>
  <c r="F436" i="22"/>
  <c r="F435" i="22"/>
  <c r="F434" i="22"/>
  <c r="F433" i="22"/>
  <c r="F432" i="22"/>
  <c r="F431" i="22"/>
  <c r="F430" i="22"/>
  <c r="F429" i="22"/>
  <c r="F428" i="22"/>
  <c r="F427" i="22"/>
  <c r="F426" i="22"/>
  <c r="F425" i="22"/>
  <c r="F424" i="22"/>
  <c r="F423" i="22"/>
  <c r="F422" i="22"/>
  <c r="F421" i="22"/>
  <c r="F420" i="22"/>
  <c r="F419" i="22"/>
  <c r="F418" i="22"/>
  <c r="F417" i="22"/>
  <c r="F416" i="22"/>
  <c r="F415" i="22"/>
  <c r="F414" i="22"/>
  <c r="F413" i="22"/>
  <c r="F412" i="22"/>
  <c r="F411" i="22"/>
  <c r="F410" i="22"/>
  <c r="F409" i="22"/>
  <c r="F408" i="22"/>
  <c r="F407" i="22"/>
  <c r="F406" i="22"/>
  <c r="F405" i="22"/>
  <c r="F404" i="22"/>
  <c r="F403" i="22"/>
  <c r="F402" i="22"/>
  <c r="F401" i="22"/>
  <c r="F400" i="22"/>
  <c r="F399" i="22"/>
  <c r="F398" i="22"/>
  <c r="F397" i="22"/>
  <c r="F396" i="22"/>
  <c r="F395" i="22"/>
  <c r="F394" i="22"/>
  <c r="F393" i="22"/>
  <c r="F392" i="22"/>
  <c r="F391" i="22"/>
  <c r="F390" i="22"/>
  <c r="F389" i="22"/>
  <c r="F388" i="22"/>
  <c r="F387" i="22"/>
  <c r="F386" i="22"/>
  <c r="F385" i="22"/>
  <c r="F384" i="22"/>
  <c r="F383" i="22"/>
  <c r="F382" i="22"/>
  <c r="F381" i="22"/>
  <c r="F380" i="22"/>
  <c r="F379" i="22"/>
  <c r="F378" i="22"/>
  <c r="F377" i="22"/>
  <c r="F376" i="22"/>
  <c r="F375" i="22"/>
  <c r="F374" i="22"/>
  <c r="F373" i="22"/>
  <c r="F372" i="22"/>
  <c r="F371" i="22"/>
  <c r="F370" i="22"/>
  <c r="F369" i="22"/>
  <c r="F368" i="22"/>
  <c r="F367" i="22"/>
  <c r="F366" i="22"/>
  <c r="F365" i="22"/>
  <c r="F364" i="22"/>
  <c r="F363" i="22"/>
  <c r="F362" i="22"/>
  <c r="F361" i="22"/>
  <c r="F360" i="22"/>
  <c r="F359" i="22"/>
  <c r="F358" i="22"/>
  <c r="F357" i="22"/>
  <c r="F356" i="22"/>
  <c r="F355" i="22"/>
  <c r="F354" i="22"/>
  <c r="F353" i="22"/>
  <c r="F352" i="22"/>
  <c r="F351" i="22"/>
  <c r="F350" i="22"/>
  <c r="F349" i="22"/>
  <c r="F348" i="22"/>
  <c r="F347" i="22"/>
  <c r="F346" i="22"/>
  <c r="F345" i="22"/>
  <c r="F344" i="22"/>
  <c r="F343" i="22"/>
  <c r="F342" i="22"/>
  <c r="F318" i="22"/>
  <c r="F317" i="22"/>
  <c r="F316" i="22"/>
  <c r="F315" i="22"/>
  <c r="F314" i="22"/>
  <c r="F313" i="22"/>
  <c r="F312" i="22"/>
  <c r="F311" i="22"/>
  <c r="F310" i="22"/>
  <c r="F309" i="22"/>
  <c r="F308" i="22"/>
  <c r="F307" i="22"/>
  <c r="F306" i="22"/>
  <c r="F305" i="22"/>
  <c r="F304" i="22"/>
  <c r="F303" i="22"/>
  <c r="F302" i="22"/>
  <c r="F301" i="22"/>
  <c r="F300" i="22"/>
  <c r="F299" i="22"/>
  <c r="F298" i="22"/>
  <c r="F297" i="22"/>
  <c r="F296" i="22"/>
  <c r="F295" i="22"/>
  <c r="F294" i="22"/>
  <c r="F293" i="22"/>
  <c r="F292" i="22"/>
  <c r="F291" i="22"/>
  <c r="F290" i="22"/>
  <c r="F289" i="22"/>
  <c r="F288" i="22"/>
  <c r="F287" i="22"/>
  <c r="F286" i="22"/>
  <c r="F285" i="22"/>
  <c r="F284" i="22"/>
  <c r="F283" i="22"/>
  <c r="F282" i="22"/>
  <c r="F281" i="22"/>
  <c r="F280" i="22"/>
  <c r="F279" i="22"/>
  <c r="F278" i="22"/>
  <c r="F277" i="22"/>
  <c r="F276" i="22"/>
  <c r="F275" i="22"/>
  <c r="F274" i="22"/>
  <c r="F273" i="22"/>
  <c r="F272" i="22"/>
  <c r="F271" i="22"/>
  <c r="F270" i="22"/>
  <c r="F269" i="22"/>
  <c r="F268" i="22"/>
  <c r="F267" i="22"/>
  <c r="F266" i="22"/>
  <c r="F265" i="22"/>
  <c r="F264" i="22"/>
  <c r="F263" i="22"/>
  <c r="F262" i="22"/>
  <c r="F261" i="22"/>
  <c r="F260" i="22"/>
  <c r="F259" i="22"/>
  <c r="F258" i="22"/>
  <c r="F257" i="22"/>
  <c r="F256" i="22"/>
  <c r="F255" i="22"/>
  <c r="F254" i="22"/>
  <c r="F253" i="22"/>
  <c r="F252" i="22"/>
  <c r="F251" i="22"/>
  <c r="F250" i="22"/>
  <c r="F249" i="22"/>
  <c r="F248" i="22"/>
  <c r="F247" i="22"/>
  <c r="F246" i="22"/>
  <c r="F245" i="22"/>
  <c r="F244" i="22"/>
  <c r="F243" i="22"/>
  <c r="F242" i="22"/>
  <c r="F241" i="22"/>
  <c r="F240" i="22"/>
  <c r="F239" i="22"/>
  <c r="F238" i="22"/>
  <c r="F237" i="22"/>
  <c r="F236" i="22"/>
  <c r="F235" i="22"/>
  <c r="F234" i="22"/>
  <c r="F233" i="22"/>
  <c r="F232" i="22"/>
  <c r="F231" i="22"/>
  <c r="F230" i="22"/>
  <c r="F229" i="22"/>
  <c r="F228" i="22"/>
  <c r="F227" i="22"/>
  <c r="F226" i="22"/>
  <c r="F225" i="22"/>
  <c r="F224" i="22"/>
  <c r="F223" i="22"/>
  <c r="F222" i="22"/>
  <c r="F221" i="22"/>
  <c r="F220" i="22"/>
  <c r="F219" i="22"/>
  <c r="F218" i="22"/>
  <c r="F217" i="22"/>
  <c r="F216" i="22"/>
  <c r="F215" i="22"/>
  <c r="F214" i="22"/>
  <c r="F213" i="22"/>
  <c r="F212" i="22"/>
  <c r="F211" i="22"/>
  <c r="F210" i="22"/>
  <c r="F209" i="22"/>
  <c r="F208" i="22"/>
  <c r="F207" i="22"/>
  <c r="F206" i="22"/>
  <c r="F205" i="22"/>
  <c r="F204" i="22"/>
  <c r="F203" i="22"/>
  <c r="F202" i="22"/>
  <c r="F201" i="22"/>
  <c r="F200" i="22"/>
  <c r="F199" i="22"/>
  <c r="F198" i="22"/>
  <c r="F197" i="22"/>
  <c r="F196" i="22"/>
  <c r="F195" i="22"/>
  <c r="F194" i="22"/>
  <c r="F193" i="22"/>
  <c r="F192" i="22"/>
  <c r="F191" i="22"/>
  <c r="F190" i="22"/>
  <c r="F189" i="22"/>
  <c r="F188" i="22"/>
  <c r="F187" i="22"/>
  <c r="F186" i="22"/>
  <c r="F185" i="22"/>
  <c r="F184" i="22"/>
  <c r="F183" i="22"/>
  <c r="F182" i="22"/>
  <c r="F181" i="22"/>
  <c r="F180" i="22"/>
  <c r="F179" i="22"/>
  <c r="F178" i="22"/>
  <c r="F177" i="22"/>
  <c r="F176" i="22"/>
  <c r="F175" i="22"/>
  <c r="F174" i="22"/>
  <c r="F173" i="22"/>
  <c r="F172" i="22"/>
  <c r="F171" i="22"/>
  <c r="F170" i="22"/>
  <c r="F169" i="22"/>
  <c r="F168" i="22"/>
  <c r="F167" i="22"/>
  <c r="F166" i="22"/>
  <c r="F165" i="22"/>
  <c r="F164" i="22"/>
  <c r="F163" i="22"/>
  <c r="F162" i="22"/>
  <c r="F161" i="22"/>
  <c r="F160" i="22"/>
  <c r="F159" i="22"/>
  <c r="F158" i="22"/>
  <c r="F157" i="22"/>
  <c r="F156" i="22"/>
  <c r="F155" i="22"/>
  <c r="F154" i="22"/>
  <c r="F153" i="22"/>
  <c r="F152" i="22"/>
  <c r="F151" i="22"/>
  <c r="F150" i="22"/>
  <c r="F149" i="22"/>
  <c r="F148" i="22"/>
  <c r="F147" i="22"/>
  <c r="F146" i="22"/>
  <c r="F145" i="22"/>
  <c r="F144" i="22"/>
  <c r="F143" i="22"/>
  <c r="F142" i="22"/>
  <c r="F141" i="22"/>
  <c r="F140" i="22"/>
  <c r="F139" i="22"/>
  <c r="F138" i="22"/>
  <c r="F137" i="22"/>
  <c r="F136" i="22"/>
  <c r="F135" i="22"/>
  <c r="F134" i="22"/>
  <c r="F133" i="22"/>
  <c r="F132" i="22"/>
  <c r="F131" i="22"/>
  <c r="F130" i="22"/>
  <c r="F129" i="22"/>
  <c r="F128" i="22"/>
  <c r="F127" i="22"/>
  <c r="F126" i="22"/>
  <c r="F125" i="22"/>
  <c r="F124" i="22"/>
  <c r="F123" i="22"/>
  <c r="F122" i="22"/>
  <c r="F121" i="22"/>
  <c r="F120" i="22"/>
  <c r="F119" i="22"/>
  <c r="F118" i="22"/>
  <c r="F117" i="22"/>
  <c r="F116" i="22"/>
  <c r="F115" i="22"/>
  <c r="F114" i="22"/>
  <c r="F113" i="22"/>
  <c r="F112" i="22"/>
  <c r="F111" i="22"/>
  <c r="F110" i="22"/>
  <c r="F109" i="22"/>
  <c r="F108" i="22"/>
  <c r="F107" i="22"/>
  <c r="F106" i="22"/>
  <c r="F105" i="22"/>
  <c r="F104" i="22"/>
  <c r="F103" i="22"/>
  <c r="F102" i="22"/>
  <c r="F101" i="22"/>
  <c r="F100" i="22"/>
  <c r="F99" i="22"/>
  <c r="F98" i="22"/>
  <c r="F97" i="22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M4" i="8"/>
  <c r="L4" i="8"/>
  <c r="K4" i="8"/>
  <c r="H4" i="8"/>
  <c r="G4" i="8"/>
  <c r="F4" i="8"/>
  <c r="R4" i="5"/>
  <c r="Q4" i="5"/>
  <c r="P4" i="5"/>
  <c r="M4" i="5"/>
  <c r="L4" i="5"/>
  <c r="K4" i="5"/>
  <c r="H4" i="5"/>
  <c r="G4" i="5"/>
  <c r="F4" i="5"/>
  <c r="R4" i="7"/>
  <c r="Q4" i="7"/>
  <c r="P4" i="7"/>
  <c r="M4" i="7"/>
  <c r="L4" i="7"/>
  <c r="K4" i="7"/>
  <c r="H4" i="7"/>
  <c r="G4" i="7"/>
  <c r="BG2" i="21"/>
  <c r="BF2" i="21"/>
  <c r="BH2" i="21" s="1"/>
  <c r="BB2" i="21"/>
  <c r="BA2" i="21"/>
  <c r="Z8" i="21" s="1"/>
  <c r="AE8" i="21" l="1"/>
  <c r="BA7" i="21"/>
  <c r="AJ8" i="21"/>
  <c r="AO8" i="21"/>
  <c r="P8" i="21"/>
  <c r="BA3" i="21"/>
  <c r="K8" i="21"/>
  <c r="AT8" i="21"/>
  <c r="U8" i="21"/>
  <c r="B1" i="21"/>
  <c r="W8" i="21" l="1"/>
  <c r="AV8" i="21"/>
  <c r="R8" i="21"/>
  <c r="AQ8" i="21"/>
  <c r="M8" i="21"/>
  <c r="AL8" i="21"/>
  <c r="AG8" i="21"/>
  <c r="BB3" i="21"/>
  <c r="AB8" i="21"/>
  <c r="V8" i="21"/>
  <c r="AU8" i="21"/>
  <c r="Q8" i="21"/>
  <c r="L8" i="21"/>
  <c r="AP8" i="21"/>
  <c r="AK8" i="21"/>
  <c r="AF8" i="21"/>
  <c r="AA8" i="21"/>
</calcChain>
</file>

<file path=xl/sharedStrings.xml><?xml version="1.0" encoding="utf-8"?>
<sst xmlns="http://schemas.openxmlformats.org/spreadsheetml/2006/main" count="25167" uniqueCount="1762">
  <si>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</si>
  <si>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</si>
  <si>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</si>
  <si>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</si>
  <si>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</si>
  <si>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</si>
  <si>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</si>
  <si>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</si>
  <si>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</si>
  <si>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</si>
  <si>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</si>
  <si>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</si>
  <si>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</si>
  <si>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</si>
  <si>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</si>
  <si>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</si>
  <si>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</si>
  <si>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</si>
  <si>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</si>
  <si>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</si>
  <si>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</si>
  <si>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</si>
  <si>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</si>
  <si>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</si>
  <si>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</si>
  <si>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</si>
  <si>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</si>
  <si>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</si>
  <si>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</si>
  <si>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</si>
  <si>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</si>
  <si>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</si>
  <si>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</si>
  <si>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</si>
  <si>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</si>
  <si>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</si>
  <si>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</si>
  <si>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</si>
  <si>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</si>
  <si>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</si>
  <si>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</si>
  <si>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</si>
  <si>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</si>
  <si>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</si>
  <si>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</si>
  <si>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</si>
  <si>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</si>
  <si>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</si>
  <si>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</si>
  <si>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</si>
  <si>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</si>
  <si>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</si>
  <si>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</si>
  <si>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</si>
  <si>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</si>
  <si>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</si>
  <si>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</si>
  <si>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</si>
  <si>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</si>
  <si>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</si>
  <si>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</si>
  <si>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</si>
  <si>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</si>
  <si>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</si>
  <si>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</si>
  <si>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</si>
  <si>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</si>
  <si>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</si>
  <si>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</si>
  <si>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</si>
  <si>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</si>
  <si>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</si>
  <si>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</si>
  <si>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</si>
  <si>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</si>
  <si>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</si>
  <si>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</si>
  <si>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</si>
  <si>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</si>
  <si>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</si>
  <si>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</si>
  <si>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</si>
  <si>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</si>
  <si>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</si>
  <si>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</si>
  <si>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</si>
  <si>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</si>
  <si>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</si>
  <si>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</si>
  <si>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</si>
  <si>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</si>
  <si>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</si>
  <si>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</si>
  <si>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</si>
  <si>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</si>
  <si>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</si>
  <si>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</si>
  <si>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</si>
  <si>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</si>
  <si>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</si>
  <si>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</si>
  <si>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</si>
  <si>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</si>
  <si>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</si>
  <si>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</si>
  <si>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</si>
  <si>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</si>
  <si>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</si>
  <si>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</si>
  <si>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</si>
  <si>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</si>
  <si>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</si>
  <si>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</si>
  <si>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</si>
  <si>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</si>
  <si>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</si>
  <si>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</si>
  <si>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</si>
  <si>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</si>
  <si>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</si>
  <si>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</si>
  <si>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</si>
  <si>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</si>
  <si>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</si>
  <si>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</si>
  <si>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</si>
  <si>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</si>
  <si>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</si>
  <si>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</si>
  <si>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</si>
  <si>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</si>
  <si>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</si>
  <si>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</si>
  <si>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</si>
  <si>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</si>
  <si>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</si>
  <si>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</si>
  <si>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</si>
  <si>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</si>
  <si>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</si>
  <si>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</si>
  <si>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</si>
  <si>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</si>
  <si>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</si>
  <si>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</si>
  <si>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</si>
  <si>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</si>
  <si>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</si>
  <si>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</si>
  <si>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</si>
  <si>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</si>
  <si>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</si>
  <si>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</si>
  <si>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</si>
  <si>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</si>
  <si>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</si>
  <si>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</si>
  <si>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</si>
  <si>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</si>
  <si>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</si>
  <si>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</si>
  <si>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</si>
  <si>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</si>
  <si>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</si>
  <si>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</si>
  <si>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</si>
  <si>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</si>
  <si>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</si>
  <si>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</si>
  <si>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</si>
  <si>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</si>
  <si>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</si>
  <si>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</si>
  <si>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</si>
  <si>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</si>
  <si>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</si>
  <si>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</si>
  <si>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</si>
  <si>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</si>
  <si>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</si>
  <si>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</si>
  <si>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</si>
  <si>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</si>
  <si>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</si>
  <si>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</si>
  <si>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</si>
  <si>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</si>
  <si>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</si>
  <si>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</si>
  <si>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</si>
  <si>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</si>
  <si>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</si>
  <si>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</si>
  <si>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</si>
  <si>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</si>
  <si>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</si>
  <si>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</si>
  <si>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</si>
  <si>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</si>
  <si>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</si>
  <si>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</si>
  <si>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</si>
  <si>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</si>
  <si>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</si>
  <si>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</si>
  <si>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</si>
  <si>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</si>
  <si>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</si>
  <si>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</si>
  <si>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</si>
  <si>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</si>
  <si>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</si>
  <si>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</si>
  <si>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</si>
  <si>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</si>
  <si>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</si>
  <si>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</si>
  <si>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</si>
  <si>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</si>
  <si>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</si>
  <si>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</si>
  <si>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</si>
  <si>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</si>
  <si>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</si>
  <si>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</si>
  <si>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</si>
  <si>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</si>
  <si>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</si>
  <si>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</si>
  <si>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</si>
  <si>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</si>
  <si>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</si>
  <si>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</si>
  <si>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</si>
  <si>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</si>
  <si>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</si>
  <si>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</si>
  <si>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</si>
  <si>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</si>
  <si>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</si>
  <si>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</si>
  <si>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</si>
  <si>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</si>
  <si>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</si>
  <si>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</si>
  <si>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</si>
  <si>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</si>
  <si>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</si>
  <si>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</si>
  <si>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</si>
  <si>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</si>
  <si>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</si>
  <si>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</si>
  <si>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</si>
  <si>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</si>
  <si>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</si>
  <si>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</si>
  <si>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</si>
  <si>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</si>
  <si>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</si>
  <si>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</si>
  <si>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</si>
  <si>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</si>
  <si>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</si>
  <si>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</si>
  <si>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</si>
  <si>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</si>
  <si>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</si>
  <si>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</si>
  <si>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</si>
  <si>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</si>
  <si>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</si>
  <si>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</si>
  <si>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</si>
  <si>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</si>
  <si>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</si>
  <si>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</si>
  <si>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</si>
  <si>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</si>
  <si>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</si>
  <si>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</si>
  <si>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</si>
  <si>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</si>
  <si>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</si>
  <si>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</si>
  <si>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</si>
  <si>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</si>
  <si>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</si>
  <si>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</si>
  <si>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</si>
  <si>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</si>
  <si>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</si>
  <si>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</si>
  <si>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</si>
  <si>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</si>
  <si>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</si>
  <si>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</si>
  <si>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</si>
  <si>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</si>
  <si>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</si>
  <si>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</si>
  <si>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</si>
  <si>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</si>
  <si>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</si>
  <si>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</si>
  <si>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</si>
  <si>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</si>
  <si>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</si>
  <si>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</si>
  <si>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</si>
  <si>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</si>
  <si>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</si>
  <si>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</si>
  <si>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</si>
  <si>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</si>
  <si>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</si>
  <si>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</si>
  <si>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</si>
  <si>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</si>
  <si>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</si>
  <si>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</si>
  <si>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</si>
  <si>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</si>
  <si>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</si>
  <si>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</si>
  <si>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</si>
  <si>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</si>
  <si>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</si>
  <si>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</si>
  <si>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</si>
  <si>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</si>
  <si>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</si>
  <si>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</si>
  <si>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</si>
  <si>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</si>
  <si>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</si>
  <si>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</si>
  <si>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</si>
  <si>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</si>
  <si>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</si>
  <si>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</si>
  <si>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</si>
  <si>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</si>
  <si>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</si>
  <si>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</si>
  <si>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</si>
  <si>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</si>
  <si>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</si>
  <si>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</si>
  <si>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</si>
  <si>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</si>
  <si>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</si>
  <si>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</si>
  <si>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</si>
  <si>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</si>
  <si>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</si>
  <si>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</si>
  <si>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</si>
  <si>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</si>
  <si>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</si>
  <si>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</si>
  <si>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</si>
  <si>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</si>
  <si>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</si>
  <si>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</si>
  <si>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</si>
  <si>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</si>
  <si>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</si>
  <si>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</si>
  <si>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</si>
  <si>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</si>
  <si>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</si>
  <si>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</si>
  <si>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</si>
  <si>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</si>
  <si>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</si>
  <si>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</si>
  <si>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</si>
  <si>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</si>
  <si>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</si>
  <si>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</si>
  <si>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</si>
  <si>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</si>
  <si>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</si>
  <si>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</si>
  <si>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</si>
  <si>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</si>
  <si>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</si>
  <si>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</si>
  <si>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</si>
  <si>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</si>
  <si>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</si>
  <si>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</si>
  <si>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</si>
  <si>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</si>
  <si>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</si>
  <si>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</si>
  <si>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</si>
  <si>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</si>
  <si>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</si>
  <si>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</si>
  <si>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</si>
  <si>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</si>
  <si>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</si>
  <si>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</si>
  <si>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</si>
  <si>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</si>
  <si>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</si>
  <si>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</si>
  <si>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</si>
  <si>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</si>
  <si>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</si>
  <si>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</si>
  <si>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</si>
  <si>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</si>
  <si>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</si>
  <si>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</si>
  <si>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</si>
  <si>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</si>
  <si>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</si>
  <si>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</si>
  <si>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</si>
  <si>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</si>
  <si>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</si>
  <si>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</si>
  <si>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</si>
  <si>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</si>
  <si>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</si>
  <si>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</si>
  <si>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</si>
  <si>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</si>
  <si>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</si>
  <si>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</si>
  <si>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</si>
  <si>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</si>
  <si>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</si>
  <si>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</si>
  <si>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</si>
  <si>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</si>
  <si>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</si>
  <si>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</si>
  <si>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</si>
  <si>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</si>
  <si>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</si>
  <si>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</si>
  <si>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</si>
  <si>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</si>
  <si>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</si>
  <si>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</si>
  <si>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</si>
  <si>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</si>
  <si>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</si>
  <si>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</si>
  <si>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</si>
  <si>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</si>
  <si>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</si>
  <si>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</si>
  <si>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</si>
  <si>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</si>
  <si>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</si>
  <si>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</si>
  <si>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</si>
  <si>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</si>
  <si>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</si>
  <si>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</si>
  <si>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</si>
  <si>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</si>
  <si>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</si>
  <si>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</si>
  <si>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</si>
  <si>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</si>
  <si>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</si>
  <si>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</si>
  <si>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</si>
  <si>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</si>
  <si>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</si>
  <si>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</si>
  <si>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</si>
  <si>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</si>
  <si>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</si>
  <si>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</si>
  <si>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</si>
  <si>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</si>
  <si>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</si>
  <si>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</si>
  <si>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</si>
  <si>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</si>
  <si>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</si>
  <si>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</si>
  <si>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</si>
  <si>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</si>
  <si>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</si>
  <si>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</si>
  <si>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</si>
  <si>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</si>
  <si>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</si>
  <si>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</si>
  <si>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</si>
  <si>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</si>
  <si>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</si>
  <si>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</si>
  <si>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</si>
  <si>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</si>
  <si>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</si>
  <si>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</si>
  <si>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</si>
  <si>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</si>
  <si>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</si>
  <si>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</si>
  <si>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</si>
  <si>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</si>
  <si>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</si>
  <si>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</si>
  <si>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</si>
  <si>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</si>
  <si>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</si>
  <si>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</si>
  <si>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</si>
  <si>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</si>
  <si>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</si>
  <si>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</si>
  <si>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</si>
  <si>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</si>
  <si>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</si>
  <si>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</si>
  <si>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</si>
  <si>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</si>
  <si>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</si>
  <si>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</si>
  <si>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</si>
  <si>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</si>
  <si>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</si>
  <si>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</si>
  <si>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</si>
  <si>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</si>
  <si>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</si>
  <si>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</si>
  <si>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</si>
  <si>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</si>
  <si>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</si>
  <si>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</si>
  <si>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</si>
  <si>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</si>
  <si>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</si>
  <si>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</si>
  <si>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</si>
  <si>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</si>
  <si>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</si>
  <si>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</si>
  <si>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</si>
  <si>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</si>
  <si>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</si>
  <si>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</si>
  <si>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</si>
  <si>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</si>
  <si>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</si>
  <si>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</si>
  <si>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</si>
  <si>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</si>
  <si>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</si>
  <si>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</si>
  <si>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</si>
  <si>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</si>
  <si>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</si>
  <si>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</si>
  <si>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</si>
  <si>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</si>
  <si>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</si>
  <si>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</si>
  <si>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</si>
  <si>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</si>
  <si>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</si>
  <si>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</si>
  <si>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</si>
  <si>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</si>
  <si>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</si>
  <si>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</si>
  <si>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</si>
  <si>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</si>
  <si>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</si>
  <si>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</si>
  <si>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</si>
  <si>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</si>
  <si>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</si>
  <si>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</si>
  <si>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</si>
  <si>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</si>
  <si>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</si>
  <si>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</si>
  <si>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</si>
  <si>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</si>
  <si>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</si>
  <si>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</si>
  <si>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</si>
  <si>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</si>
  <si>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</si>
  <si>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</si>
  <si>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</si>
  <si>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</si>
  <si>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</si>
  <si>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</si>
  <si>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</si>
  <si>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</si>
  <si>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</si>
  <si>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</si>
  <si>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</si>
  <si>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</si>
  <si>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</si>
  <si>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</si>
  <si>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</si>
  <si>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</si>
  <si>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</si>
  <si>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</si>
  <si>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</si>
  <si>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</si>
  <si>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</si>
  <si>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</si>
  <si>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</si>
  <si>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</si>
  <si>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</si>
  <si>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</si>
  <si>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</si>
  <si>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</si>
  <si>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</si>
  <si>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</si>
  <si>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</si>
  <si>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</si>
  <si>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</si>
  <si>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</si>
  <si>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</si>
  <si>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</si>
  <si>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</si>
  <si>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</si>
  <si>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</si>
  <si>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</si>
  <si>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</si>
  <si>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</si>
  <si>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</si>
  <si>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</si>
  <si>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</si>
  <si>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</si>
  <si>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</si>
  <si>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</si>
  <si>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</si>
  <si>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</si>
  <si>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</si>
  <si>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</si>
  <si>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</si>
  <si>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</si>
  <si>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</si>
  <si>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</si>
  <si>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</si>
  <si>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</si>
  <si>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</si>
  <si>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</si>
  <si>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</si>
  <si>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</si>
  <si>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</si>
  <si>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</si>
  <si>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</si>
  <si>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</si>
  <si>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</si>
  <si>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</si>
  <si>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</si>
  <si>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</si>
  <si>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</si>
  <si>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</si>
  <si>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</si>
  <si>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</si>
  <si>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</si>
  <si>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</si>
  <si>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</si>
  <si>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</si>
  <si>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</si>
  <si>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</si>
  <si>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</si>
  <si>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</si>
  <si>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</si>
  <si>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</si>
  <si>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</si>
  <si>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</si>
  <si>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</si>
  <si>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</si>
  <si>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</si>
  <si>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</si>
  <si>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</si>
  <si>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</si>
  <si>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</si>
  <si>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</si>
  <si>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</si>
  <si>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</si>
  <si>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</si>
  <si>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</si>
  <si>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</si>
  <si>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</si>
  <si>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</si>
  <si>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</si>
  <si>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</si>
  <si>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</si>
  <si>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</si>
  <si>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</si>
  <si>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</si>
  <si>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</si>
  <si>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</si>
  <si>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</si>
  <si>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</si>
  <si>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</si>
  <si>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</si>
  <si>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</si>
  <si>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</si>
  <si>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</si>
  <si>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</si>
  <si>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</si>
  <si>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</si>
  <si>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</si>
  <si>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</si>
  <si>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</si>
  <si>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</si>
  <si>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</si>
  <si>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</si>
  <si>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</si>
  <si>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</si>
  <si>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</si>
  <si>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</si>
  <si>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</si>
  <si>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</si>
  <si>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</si>
  <si>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</si>
  <si>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</si>
  <si>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</si>
  <si>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</si>
  <si>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</si>
  <si>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</si>
  <si>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</si>
  <si>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</si>
  <si>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</si>
  <si>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</si>
  <si>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</si>
  <si>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</si>
  <si>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</si>
  <si>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</si>
  <si>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</si>
  <si>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</si>
  <si>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</si>
  <si>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</si>
  <si>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</si>
  <si>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</si>
  <si>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</si>
  <si>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</si>
  <si>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</si>
  <si>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</si>
  <si>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</si>
  <si>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</si>
  <si>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</si>
  <si>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</si>
  <si>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</si>
  <si>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</si>
  <si>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</si>
  <si>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</si>
  <si>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</si>
  <si>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</si>
  <si>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</si>
  <si>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</si>
  <si>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</si>
  <si>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</si>
  <si>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</si>
  <si>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</si>
  <si>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</si>
  <si>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</si>
  <si>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</si>
  <si>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</si>
  <si>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</si>
  <si>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</si>
  <si>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</si>
  <si>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</si>
  <si>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</si>
  <si>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</si>
  <si>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</si>
  <si>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</si>
  <si>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</si>
  <si>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</si>
  <si>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</si>
  <si>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</si>
  <si>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</si>
  <si>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</si>
  <si>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</si>
  <si>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</si>
  <si>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</si>
  <si>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</si>
  <si>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</si>
  <si>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</si>
  <si>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</si>
  <si>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</si>
  <si>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</si>
  <si>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</si>
  <si>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</si>
  <si>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</si>
  <si>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</si>
  <si>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</si>
  <si>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</si>
  <si>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</si>
  <si>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</si>
  <si>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</si>
  <si>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</si>
  <si>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</si>
  <si>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</si>
  <si>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</si>
  <si>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</si>
  <si>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</si>
  <si>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</si>
  <si>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</si>
  <si>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</si>
  <si>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</si>
  <si>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</si>
  <si>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</si>
  <si>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</si>
  <si>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</si>
  <si>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</si>
  <si>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</si>
  <si>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</si>
  <si>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</si>
  <si>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</si>
  <si>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</si>
  <si>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</si>
  <si>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</si>
  <si>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</si>
  <si>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</si>
  <si>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</si>
  <si>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</si>
  <si>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</si>
  <si>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</si>
  <si>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</si>
  <si>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</si>
  <si>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</si>
  <si>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</si>
  <si>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</si>
  <si>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</si>
  <si>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</si>
  <si>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</si>
  <si>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</si>
  <si>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</si>
  <si>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</si>
  <si>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</si>
  <si>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</si>
  <si>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</si>
  <si>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</si>
  <si>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</si>
  <si>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</si>
  <si>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</si>
  <si>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</si>
  <si>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</si>
  <si>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</si>
  <si>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</si>
  <si>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</si>
  <si>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</si>
  <si>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</si>
  <si>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</si>
  <si>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</si>
  <si>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</si>
  <si>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</si>
  <si>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</si>
  <si>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</si>
  <si>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</si>
  <si>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</si>
  <si>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</si>
  <si>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</si>
  <si>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</si>
  <si>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</si>
  <si>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</si>
  <si>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</si>
  <si>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</si>
  <si>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</si>
  <si>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</si>
  <si>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</si>
  <si>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</si>
  <si>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</si>
  <si>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</si>
  <si>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</si>
  <si>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</si>
  <si>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</si>
  <si>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</si>
  <si>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</si>
  <si>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</si>
  <si>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</si>
  <si>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</si>
  <si>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</si>
  <si>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</si>
  <si>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</si>
  <si>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</si>
  <si>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</si>
  <si>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</si>
  <si>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</si>
  <si>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</si>
  <si>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</si>
  <si>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</si>
  <si>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</si>
  <si>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</si>
  <si>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</si>
  <si>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</si>
  <si>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</si>
  <si>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</si>
  <si>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</si>
  <si>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</si>
  <si>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</si>
  <si>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</si>
  <si>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</si>
  <si>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</si>
  <si>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</si>
  <si>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</si>
  <si>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</si>
  <si>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</si>
  <si>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</si>
  <si>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</si>
  <si>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</si>
  <si>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</si>
  <si>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</si>
  <si>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</si>
  <si>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</si>
  <si>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</si>
  <si>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</si>
  <si>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</si>
  <si>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</si>
  <si>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</si>
  <si>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</si>
  <si>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</si>
  <si>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</si>
  <si>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</si>
  <si>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</si>
  <si>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</si>
  <si>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</si>
  <si>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</si>
  <si>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</si>
  <si>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</si>
  <si>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</si>
  <si>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</si>
  <si>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</si>
  <si>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</si>
  <si>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</si>
  <si>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</si>
  <si>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</si>
  <si>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</si>
  <si>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</si>
  <si>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</si>
  <si>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</si>
  <si>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</si>
  <si>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</si>
  <si>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</si>
  <si>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</si>
  <si>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</si>
  <si>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</si>
  <si>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</si>
  <si>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</si>
  <si>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</si>
  <si>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</si>
  <si>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</si>
  <si>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</si>
  <si>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</si>
  <si>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</si>
  <si>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</si>
  <si>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</si>
  <si>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</si>
  <si>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</si>
  <si>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</si>
  <si>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</si>
  <si>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</si>
  <si>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</si>
  <si>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</si>
  <si>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</si>
  <si>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</si>
  <si>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</si>
  <si>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</si>
  <si>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</si>
  <si>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</si>
  <si>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</si>
  <si>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</si>
  <si>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</si>
  <si>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</si>
  <si>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</si>
  <si>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</si>
  <si>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</si>
  <si>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</si>
  <si>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</si>
  <si>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</si>
  <si>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</si>
  <si>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</si>
  <si>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</si>
  <si>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</si>
  <si>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</si>
  <si>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</si>
  <si>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</si>
  <si>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</si>
  <si>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</si>
  <si>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</si>
  <si>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</si>
  <si>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</si>
  <si>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</si>
  <si>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</si>
  <si>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</si>
  <si>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</si>
  <si>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</si>
  <si>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</si>
  <si>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</si>
  <si>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</si>
  <si>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</si>
  <si>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</si>
  <si>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</si>
  <si>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</si>
  <si>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</si>
  <si>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</si>
  <si>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</si>
  <si>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</si>
  <si>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</si>
  <si>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</si>
  <si>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</si>
  <si>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</si>
  <si>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</si>
  <si>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</si>
  <si>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</si>
  <si>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</si>
  <si>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</si>
  <si>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</si>
  <si>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</si>
  <si>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</si>
  <si>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</si>
  <si>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</si>
  <si>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</si>
  <si>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</si>
  <si>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</si>
  <si>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</si>
  <si>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</si>
  <si>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</si>
  <si>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</si>
  <si>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</si>
  <si>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</si>
  <si>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</si>
  <si>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</si>
  <si>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</si>
  <si>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</si>
  <si>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</si>
  <si>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</si>
  <si>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</si>
  <si>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</si>
  <si>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</si>
  <si>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</si>
  <si>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</si>
  <si>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</si>
  <si>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</si>
  <si>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</si>
  <si>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</si>
  <si>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</si>
  <si>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</si>
  <si>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</si>
  <si>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</si>
  <si>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</si>
  <si>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</si>
  <si>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</si>
  <si>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</si>
  <si>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</si>
  <si>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</si>
  <si>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</si>
  <si>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</si>
  <si>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</si>
  <si>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</si>
  <si>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</si>
  <si>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</si>
  <si>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</si>
  <si>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</si>
  <si>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</si>
  <si>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</si>
  <si>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</si>
  <si>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</si>
  <si>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</si>
  <si>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</si>
  <si>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</si>
  <si>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</si>
  <si>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</si>
  <si>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</si>
  <si>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</si>
  <si>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</si>
  <si>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</si>
  <si>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</si>
  <si>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</si>
  <si>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</si>
  <si>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</si>
  <si>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</si>
  <si>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</si>
  <si>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</si>
  <si>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</si>
  <si>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</si>
  <si>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</si>
  <si>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</si>
  <si>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</si>
  <si>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</si>
  <si>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</si>
  <si>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</si>
  <si>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</si>
  <si>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</si>
  <si>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</si>
  <si>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</si>
  <si>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</si>
  <si>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</si>
  <si>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</si>
  <si>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</si>
  <si>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</si>
  <si>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</si>
  <si>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</si>
  <si>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</si>
  <si>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</si>
  <si>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</si>
  <si>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</si>
  <si>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</si>
  <si>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</si>
  <si>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</si>
  <si>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</si>
  <si>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</si>
  <si>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</si>
  <si>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</si>
  <si>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</si>
  <si>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</si>
  <si>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</si>
  <si>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</si>
  <si>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</si>
  <si>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</si>
  <si>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</si>
  <si>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</si>
  <si>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</si>
  <si>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</si>
  <si>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</si>
  <si>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</si>
  <si>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</si>
  <si>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</si>
  <si>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</si>
  <si>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</si>
  <si>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</si>
  <si>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</si>
  <si>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</si>
  <si>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</si>
  <si>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</si>
  <si>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</si>
  <si>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</si>
  <si>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</si>
  <si>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</si>
  <si>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</si>
  <si>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</si>
  <si>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</si>
  <si>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</si>
  <si>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</si>
  <si>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</si>
  <si>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</si>
  <si>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</si>
  <si>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</si>
  <si>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</si>
  <si>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</si>
  <si>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</si>
  <si>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</si>
  <si>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</si>
  <si>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</si>
  <si>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</si>
  <si>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</si>
  <si>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</si>
  <si>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</si>
  <si>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</si>
  <si>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</si>
  <si>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</si>
  <si>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</si>
  <si>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</si>
  <si>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</si>
  <si>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</si>
  <si>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</si>
  <si>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</si>
  <si>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</si>
  <si>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</si>
  <si>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</si>
  <si>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</si>
  <si>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</si>
  <si>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</si>
  <si>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</si>
  <si>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</si>
  <si>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</si>
  <si>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</si>
  <si>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</si>
  <si>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</si>
  <si>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</si>
  <si>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</si>
  <si>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</si>
  <si>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</si>
  <si>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</si>
  <si>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</si>
  <si>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</si>
  <si>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</si>
  <si>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</si>
  <si>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</si>
  <si>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</si>
  <si>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</si>
  <si>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</si>
  <si>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</si>
  <si>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</si>
  <si>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</si>
  <si>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</si>
  <si>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</si>
  <si>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</si>
  <si>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</si>
  <si>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</si>
  <si>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</si>
  <si>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</si>
  <si>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</si>
  <si>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</si>
  <si>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</si>
  <si>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</si>
  <si>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</si>
  <si>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</si>
  <si>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</si>
  <si>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</si>
  <si>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</si>
  <si>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</si>
  <si>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</si>
  <si>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</si>
  <si>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</si>
  <si>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</si>
  <si>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</si>
  <si>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</si>
  <si>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</si>
  <si>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</si>
  <si>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</si>
  <si>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</si>
  <si>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</si>
  <si>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</si>
  <si>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</si>
  <si>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</si>
  <si>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</si>
  <si>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</si>
  <si>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</si>
  <si>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</si>
  <si>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</si>
  <si>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</si>
  <si>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</si>
  <si>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</si>
  <si>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</si>
  <si>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</si>
  <si>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</si>
  <si>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</si>
  <si>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</si>
  <si>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</si>
  <si>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</si>
  <si>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</si>
  <si>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</si>
  <si>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</si>
  <si>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</si>
  <si>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</si>
  <si>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</si>
  <si>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</si>
  <si>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</si>
  <si>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</si>
  <si>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</si>
  <si>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</si>
  <si>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</si>
  <si>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</si>
  <si>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</si>
  <si>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</si>
  <si>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</si>
  <si>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</si>
  <si>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</si>
  <si>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</si>
  <si>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</si>
  <si>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</si>
  <si>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</si>
  <si>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</si>
  <si>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</si>
  <si>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</si>
  <si>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</si>
  <si>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</si>
  <si>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</si>
  <si>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</si>
  <si>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</si>
  <si>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</si>
  <si>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</si>
  <si>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</si>
  <si>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</si>
  <si>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</si>
  <si>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</si>
  <si>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</si>
  <si>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</si>
  <si>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</si>
  <si>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</si>
  <si>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</si>
  <si>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</si>
  <si>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</si>
  <si>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</si>
  <si>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</si>
  <si>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</si>
  <si>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</si>
  <si>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</si>
  <si>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</si>
  <si>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</si>
  <si>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</si>
  <si>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</si>
  <si>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</si>
  <si>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</si>
  <si>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</si>
  <si>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</si>
  <si>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</si>
  <si>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</si>
  <si>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</si>
  <si>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</si>
  <si>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</si>
  <si>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</si>
  <si>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</si>
  <si>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</si>
  <si>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</si>
  <si>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</si>
  <si>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</si>
  <si>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</si>
  <si>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</si>
  <si>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</si>
  <si>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</si>
  <si>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</si>
  <si>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</si>
  <si>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</si>
  <si>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</si>
  <si>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</si>
  <si>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</si>
  <si>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</si>
  <si>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</si>
  <si>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</si>
  <si>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</si>
  <si>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</si>
  <si>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</si>
  <si>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</si>
  <si>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</si>
  <si>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</si>
  <si>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</si>
  <si>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</si>
  <si>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</si>
  <si>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</si>
  <si>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</si>
  <si>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</si>
  <si>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</si>
  <si>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</si>
  <si>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</si>
  <si>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</si>
  <si>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</si>
  <si>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</si>
  <si>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</si>
  <si>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</si>
  <si>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</si>
  <si>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</si>
  <si>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</si>
  <si>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</si>
  <si>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</si>
  <si>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</si>
  <si>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</si>
  <si>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</si>
  <si>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</si>
  <si>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</si>
  <si>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</si>
  <si>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</si>
  <si>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</si>
  <si>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</si>
  <si>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</si>
  <si>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</si>
  <si>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</si>
  <si>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</si>
  <si>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</si>
  <si>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</si>
  <si>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</si>
  <si>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</si>
  <si>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</si>
  <si>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</si>
  <si>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</si>
  <si>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</si>
  <si>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</si>
  <si>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</si>
  <si>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</si>
  <si>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</si>
  <si>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</si>
  <si>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</si>
  <si>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</si>
  <si>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</si>
  <si>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</si>
  <si>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</si>
  <si>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</si>
  <si>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</si>
  <si>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</si>
  <si>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</si>
  <si>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</si>
  <si>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</si>
  <si>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</si>
  <si>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</si>
  <si>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</si>
  <si>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</si>
  <si>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</si>
  <si>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</si>
  <si>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</si>
  <si>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</si>
  <si>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</si>
  <si>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</si>
  <si>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</si>
  <si>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</si>
  <si>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</si>
  <si>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</si>
  <si>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</si>
  <si>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</si>
  <si>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</si>
  <si>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</si>
  <si>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</si>
  <si>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</si>
  <si>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</si>
  <si>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</si>
  <si>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</si>
  <si>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</si>
  <si>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</si>
  <si>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</si>
  <si>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</si>
  <si>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</si>
  <si>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</si>
  <si>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</si>
  <si>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</si>
  <si>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</si>
  <si>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</si>
  <si>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</si>
  <si>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</si>
  <si>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</si>
  <si>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</si>
  <si>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</si>
  <si>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</si>
  <si>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</si>
  <si>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</si>
  <si>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</si>
  <si>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</si>
  <si>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</si>
  <si>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</si>
  <si>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</si>
  <si>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</si>
  <si>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</si>
  <si>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</si>
  <si>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</si>
  <si>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</si>
  <si>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</si>
  <si>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</si>
  <si>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</si>
  <si>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</si>
  <si>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</si>
  <si>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</si>
  <si>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</si>
  <si>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</si>
  <si>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</si>
  <si>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</si>
  <si>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</si>
  <si>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</si>
  <si>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</si>
  <si>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</si>
  <si>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</si>
  <si>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</si>
  <si>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</si>
  <si>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</si>
  <si>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</si>
  <si>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</si>
  <si>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</si>
  <si>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</si>
  <si>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</si>
  <si>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</si>
  <si>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</si>
  <si>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</si>
  <si>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</si>
  <si>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</si>
  <si>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</si>
  <si>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</si>
  <si>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</si>
  <si>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</si>
  <si>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</si>
  <si>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</si>
  <si>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</si>
  <si>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</si>
  <si>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</si>
  <si>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</si>
  <si>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</si>
  <si>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</si>
  <si>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</si>
  <si>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</si>
  <si>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</si>
  <si>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</si>
  <si>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</si>
  <si>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</si>
  <si>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</si>
  <si>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</si>
  <si>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</si>
  <si>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</si>
  <si>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</si>
  <si>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</si>
  <si>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</si>
  <si>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</si>
  <si>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</si>
  <si>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</si>
  <si>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</si>
  <si>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</si>
  <si>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</si>
  <si>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</si>
  <si>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</si>
  <si>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</si>
  <si>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</si>
  <si>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</si>
  <si>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</si>
  <si>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</si>
  <si>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</si>
  <si>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</si>
  <si>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</si>
  <si>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</si>
  <si>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</si>
  <si>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</si>
  <si>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</si>
  <si>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</si>
  <si>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</si>
  <si>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</si>
  <si>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</si>
  <si>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</si>
  <si>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</si>
  <si>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</si>
  <si>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</si>
  <si>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</si>
  <si>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</si>
  <si>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</si>
  <si>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</si>
  <si>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</si>
  <si>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</si>
  <si>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</si>
  <si>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</si>
  <si>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</si>
  <si>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</si>
  <si>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</si>
  <si>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</si>
  <si>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</si>
  <si>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</si>
  <si>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</si>
  <si>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</si>
  <si>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</si>
  <si>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</si>
  <si>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</si>
  <si>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</si>
  <si>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</si>
  <si>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</si>
  <si>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</si>
  <si>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</si>
  <si>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</si>
  <si>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</si>
  <si>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</si>
  <si>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</si>
  <si>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</si>
  <si>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</si>
  <si>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</si>
  <si>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</si>
  <si>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</si>
  <si>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</si>
  <si>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</si>
  <si>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</si>
  <si>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</si>
  <si>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</si>
  <si>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</si>
  <si>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</si>
  <si>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</si>
  <si>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</si>
  <si>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</si>
  <si>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</si>
  <si>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</si>
  <si>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</si>
  <si>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</si>
  <si>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</si>
  <si>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</si>
  <si>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</si>
  <si>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</si>
  <si>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</si>
  <si>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</si>
  <si>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</si>
  <si>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</si>
  <si>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</si>
  <si>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</si>
  <si>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</si>
  <si>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</si>
  <si>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</si>
  <si>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</si>
  <si>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</si>
  <si>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</si>
  <si>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</si>
  <si>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</si>
  <si>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</si>
  <si>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</si>
  <si>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</si>
  <si>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</si>
  <si>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</si>
  <si>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</si>
  <si>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</si>
  <si>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</si>
  <si>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</si>
  <si>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</si>
  <si>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</si>
  <si>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</si>
  <si>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</si>
  <si>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</si>
  <si>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</si>
  <si>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</si>
  <si>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</si>
  <si>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</si>
  <si>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</si>
  <si>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</si>
  <si>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</si>
  <si>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</si>
  <si>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</si>
  <si>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</si>
  <si>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</si>
  <si>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</si>
  <si>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</si>
  <si>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</si>
  <si>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</si>
  <si>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</si>
  <si>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</si>
  <si>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</si>
  <si>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</si>
  <si>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</si>
  <si>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</si>
  <si>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</si>
  <si>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</si>
  <si>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</si>
  <si>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</si>
  <si>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</si>
  <si>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</si>
  <si>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</si>
  <si>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</si>
  <si>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</si>
  <si>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</si>
  <si>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</si>
  <si>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</si>
  <si>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</si>
  <si>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</si>
  <si>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</si>
  <si>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</si>
  <si>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</si>
  <si>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</si>
  <si>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</si>
  <si>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</si>
  <si>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</si>
  <si>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</si>
  <si>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</si>
  <si>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</si>
  <si>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</si>
  <si>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</si>
  <si>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</si>
  <si>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</si>
  <si>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</si>
  <si>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</si>
  <si>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</si>
  <si>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</si>
  <si>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</si>
  <si>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</si>
  <si>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</si>
  <si>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</si>
  <si>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</si>
  <si>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</si>
  <si>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</si>
  <si>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</si>
  <si>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</si>
  <si>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</si>
  <si>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</si>
  <si>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</si>
  <si>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</si>
  <si>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</si>
  <si>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</si>
  <si>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</si>
  <si>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</si>
  <si>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</si>
  <si>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</si>
  <si>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</si>
  <si>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</si>
  <si>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</si>
  <si>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</si>
  <si>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</si>
  <si>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</si>
  <si>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</si>
  <si>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</si>
  <si>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</si>
  <si>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</si>
  <si>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</si>
  <si>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</si>
  <si>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</si>
  <si>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</si>
  <si>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</si>
  <si>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</si>
  <si>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</si>
  <si>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</si>
  <si>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</si>
  <si>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</si>
  <si>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</si>
  <si>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</si>
  <si>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</si>
  <si>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</si>
  <si>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</si>
  <si>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</si>
  <si>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</si>
  <si>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</si>
  <si>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</si>
  <si>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</si>
  <si>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</si>
  <si>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</si>
  <si>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</si>
  <si>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</si>
  <si>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</si>
  <si>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</si>
  <si>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</si>
  <si>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</si>
  <si>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</si>
  <si>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</si>
  <si>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</si>
  <si>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-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</si>
  <si>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</si>
  <si>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</si>
  <si>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</si>
  <si>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</si>
  <si>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</si>
  <si>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</si>
  <si>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</si>
  <si>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</si>
  <si>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</si>
  <si>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</si>
  <si>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</si>
  <si>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</si>
  <si>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</si>
  <si>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</si>
  <si>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</si>
  <si>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</si>
  <si>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</si>
  <si>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</si>
  <si>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</si>
  <si>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</si>
  <si>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</si>
  <si>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</si>
  <si>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</si>
  <si>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</si>
  <si>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</si>
  <si>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</si>
  <si>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</si>
  <si>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</si>
  <si>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Franchise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</si>
  <si>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</si>
  <si>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</si>
  <si>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</si>
  <si>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</si>
  <si>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</si>
  <si>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</si>
  <si>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</si>
  <si>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</si>
  <si>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</si>
  <si>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</si>
  <si>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</si>
  <si>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</si>
  <si>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</si>
  <si>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</si>
  <si>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</si>
  <si>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</si>
  <si>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</si>
  <si>
    <t>Pickup Delivery</t>
  </si>
  <si>
    <t>Delivery</t>
  </si>
  <si>
    <t>Pickup</t>
  </si>
  <si>
    <t>Tutup</t>
  </si>
  <si>
    <t>服务类型 Jenis Layanan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</si>
</sst>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7" formatCode="dd/mm/yyyy;@"/>
    <numFmt numFmtId="168" formatCode="###,###,###,###,###,##0.00%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sz val="11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4.9989318521683403E-2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1454817346722"/>
      </left>
      <right style="thin">
        <color theme="0"/>
      </right>
      <top style="medium">
        <color theme="9" tint="0.3999145481734672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1454817346722"/>
      </top>
      <bottom style="thin">
        <color theme="0"/>
      </bottom>
      <diagonal/>
    </border>
    <border>
      <left style="medium">
        <color theme="9" tint="0.399914548173467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1454817346722"/>
      </left>
      <right style="thin">
        <color theme="0"/>
      </right>
      <top style="thin">
        <color theme="0"/>
      </top>
      <bottom/>
      <diagonal/>
    </border>
    <border>
      <left style="medium">
        <color theme="9" tint="0.39991454817346722"/>
      </left>
      <right style="medium">
        <color theme="9" tint="0.39991454817346722"/>
      </right>
      <top style="medium">
        <color theme="9" tint="0.39991454817346722"/>
      </top>
      <bottom/>
      <diagonal/>
    </border>
    <border>
      <left style="medium">
        <color theme="9" tint="0.39991454817346722"/>
      </left>
      <right style="medium">
        <color theme="9" tint="0.39991454817346722"/>
      </right>
      <top style="medium">
        <color theme="9" tint="0.39991454817346722"/>
      </top>
      <bottom style="medium">
        <color theme="9" tint="0.39991454817346722"/>
      </bottom>
      <diagonal/>
    </border>
    <border>
      <left style="medium">
        <color theme="9" tint="0.39991454817346722"/>
      </left>
      <right style="medium">
        <color theme="9" tint="0.39991454817346722"/>
      </right>
      <top/>
      <bottom/>
      <diagonal/>
    </border>
    <border>
      <left style="medium">
        <color theme="9" tint="0.39991454817346722"/>
      </left>
      <right style="medium">
        <color theme="9" tint="0.39991454817346722"/>
      </right>
      <top/>
      <bottom style="medium">
        <color theme="9" tint="0.39991454817346722"/>
      </bottom>
      <diagonal/>
    </border>
    <border>
      <left style="medium">
        <color theme="9" tint="0.39991454817346722"/>
      </left>
      <right/>
      <top/>
      <bottom style="medium">
        <color theme="9" tint="0.39991454817346722"/>
      </bottom>
      <diagonal/>
    </border>
    <border>
      <left/>
      <right/>
      <top style="medium">
        <color rgb="FFFF7C80"/>
      </top>
      <bottom style="medium">
        <color theme="9" tint="0.39991454817346722"/>
      </bottom>
      <diagonal/>
    </border>
    <border>
      <left/>
      <right/>
      <top/>
      <bottom style="medium">
        <color theme="9" tint="0.39991454817346722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1454817346722"/>
      </top>
      <bottom style="thin">
        <color theme="0"/>
      </bottom>
      <diagonal/>
    </border>
    <border>
      <left/>
      <right/>
      <top style="medium">
        <color theme="9" tint="0.39991454817346722"/>
      </top>
      <bottom style="thin">
        <color theme="0"/>
      </bottom>
      <diagonal/>
    </border>
    <border>
      <left/>
      <right style="medium">
        <color theme="9" tint="0.39991454817346722"/>
      </right>
      <top style="medium">
        <color theme="9" tint="0.39991454817346722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145481734672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1454817346722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1454817346722"/>
      </bottom>
      <diagonal/>
    </border>
    <border>
      <left style="thin">
        <color theme="0"/>
      </left>
      <right style="medium">
        <color theme="9" tint="0.39991454817346722"/>
      </right>
      <top/>
      <bottom style="medium">
        <color theme="9" tint="0.39991454817346722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1454817346722"/>
      </right>
      <top style="medium">
        <color theme="9" tint="0.39991454817346722"/>
      </top>
      <bottom style="thin">
        <color theme="0"/>
      </bottom>
      <diagonal/>
    </border>
    <border>
      <left style="thin">
        <color theme="0"/>
      </left>
      <right style="medium">
        <color theme="9" tint="0.39991454817346722"/>
      </right>
      <top style="thin">
        <color theme="0"/>
      </top>
      <bottom style="thin">
        <color theme="0"/>
      </bottom>
      <diagonal/>
    </border>
    <border>
      <left style="medium">
        <color theme="9" tint="0.39991454817346722"/>
      </left>
      <right style="thin">
        <color theme="0"/>
      </right>
      <top style="thin">
        <color theme="0"/>
      </top>
      <bottom style="medium">
        <color theme="9" tint="0.399914548173467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1454817346722"/>
      </bottom>
      <diagonal/>
    </border>
    <border>
      <left style="thin">
        <color theme="0"/>
      </left>
      <right style="medium">
        <color theme="9" tint="0.39991454817346722"/>
      </right>
      <top style="thin">
        <color theme="0"/>
      </top>
      <bottom style="medium">
        <color theme="9" tint="0.39991454817346722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1454817346722"/>
      </bottom>
      <diagonal/>
    </border>
    <border>
      <left style="thin">
        <color theme="0"/>
      </left>
      <right style="medium">
        <color theme="9" tint="0.39991454817346722"/>
      </right>
      <top style="medium">
        <color rgb="FFFF7C80"/>
      </top>
      <bottom style="medium">
        <color theme="9" tint="0.399914548173467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4" fillId="3" borderId="1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4" fillId="3" borderId="14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0" fontId="4" fillId="3" borderId="14" xfId="0" applyNumberFormat="1" applyFont="1" applyFill="1" applyBorder="1">
      <alignment vertical="center"/>
    </xf>
    <xf numFmtId="10" fontId="0" fillId="0" borderId="13" xfId="0" applyNumberFormat="1" applyBorder="1">
      <alignment vertical="center"/>
    </xf>
    <xf numFmtId="10" fontId="0" fillId="0" borderId="13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0" fontId="4" fillId="3" borderId="16" xfId="0" applyNumberFormat="1" applyFont="1" applyFill="1" applyBorder="1">
      <alignment vertical="center"/>
    </xf>
    <xf numFmtId="10" fontId="0" fillId="0" borderId="17" xfId="0" applyNumberFormat="1" applyBorder="1">
      <alignment vertical="center"/>
    </xf>
    <xf numFmtId="10" fontId="0" fillId="0" borderId="17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 wrapText="1"/>
    </xf>
    <xf numFmtId="167" fontId="2" fillId="2" borderId="9" xfId="0" applyNumberFormat="1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10" fontId="5" fillId="4" borderId="27" xfId="1" applyNumberFormat="1" applyFont="1" applyFill="1" applyBorder="1" applyAlignment="1">
      <alignment horizontal="center"/>
    </xf>
    <xf numFmtId="10" fontId="5" fillId="0" borderId="27" xfId="1" applyNumberFormat="1" applyFont="1" applyFill="1" applyBorder="1" applyAlignment="1">
      <alignment horizontal="center"/>
    </xf>
    <xf numFmtId="168" fontId="5" fillId="4" borderId="27" xfId="0" applyNumberFormat="1" applyFont="1" applyFill="1" applyBorder="1" applyAlignment="1">
      <alignment horizontal="center" vertical="center"/>
    </xf>
    <xf numFmtId="10" fontId="5" fillId="0" borderId="27" xfId="1" applyNumberFormat="1" applyFont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10" fontId="2" fillId="5" borderId="33" xfId="1" applyNumberFormat="1" applyFont="1" applyFill="1" applyBorder="1" applyAlignment="1">
      <alignment horizontal="center" vertical="center" wrapText="1"/>
    </xf>
    <xf numFmtId="10" fontId="6" fillId="5" borderId="33" xfId="1" applyNumberFormat="1" applyFont="1" applyFill="1" applyBorder="1" applyAlignment="1">
      <alignment horizontal="center" vertical="center" wrapText="1"/>
    </xf>
    <xf numFmtId="10" fontId="2" fillId="2" borderId="34" xfId="1" applyNumberFormat="1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14" fontId="2" fillId="2" borderId="43" xfId="0" applyNumberFormat="1" applyFont="1" applyFill="1" applyBorder="1" applyAlignment="1">
      <alignment horizontal="center" vertical="center" wrapText="1"/>
    </xf>
    <xf numFmtId="10" fontId="5" fillId="4" borderId="27" xfId="0" applyNumberFormat="1" applyFont="1" applyFill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68" fontId="5" fillId="0" borderId="27" xfId="0" applyNumberFormat="1" applyFont="1" applyBorder="1" applyAlignment="1">
      <alignment horizontal="center" vertical="center"/>
    </xf>
    <xf numFmtId="10" fontId="2" fillId="2" borderId="32" xfId="1" applyNumberFormat="1" applyFont="1" applyFill="1" applyBorder="1" applyAlignment="1">
      <alignment horizontal="center" vertical="center" wrapText="1"/>
    </xf>
    <xf numFmtId="10" fontId="2" fillId="2" borderId="44" xfId="1" applyNumberFormat="1" applyFont="1" applyFill="1" applyBorder="1" applyAlignment="1">
      <alignment horizontal="center" vertical="center" wrapText="1"/>
    </xf>
    <xf numFmtId="10" fontId="2" fillId="5" borderId="45" xfId="1" applyNumberFormat="1" applyFont="1" applyFill="1" applyBorder="1" applyAlignment="1">
      <alignment horizontal="center" vertical="center" wrapText="1"/>
    </xf>
    <xf numFmtId="10" fontId="2" fillId="5" borderId="46" xfId="1" applyNumberFormat="1" applyFont="1" applyFill="1" applyBorder="1" applyAlignment="1">
      <alignment horizontal="center" vertical="center" wrapText="1"/>
    </xf>
    <xf numFmtId="10" fontId="2" fillId="2" borderId="33" xfId="1" applyNumberFormat="1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167" fontId="2" fillId="2" borderId="50" xfId="0" applyNumberFormat="1" applyFont="1" applyFill="1" applyBorder="1" applyAlignment="1">
      <alignment horizontal="center" vertical="center" wrapText="1"/>
    </xf>
    <xf numFmtId="14" fontId="2" fillId="2" borderId="50" xfId="0" applyNumberFormat="1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10" fontId="5" fillId="4" borderId="27" xfId="1" applyNumberFormat="1" applyFont="1" applyFill="1" applyBorder="1" applyAlignment="1">
      <alignment horizontal="center" vertical="center"/>
    </xf>
    <xf numFmtId="10" fontId="8" fillId="0" borderId="27" xfId="0" applyNumberFormat="1" applyFont="1" applyBorder="1" applyAlignment="1">
      <alignment horizontal="center" vertical="center"/>
    </xf>
    <xf numFmtId="10" fontId="2" fillId="2" borderId="52" xfId="1" applyNumberFormat="1" applyFont="1" applyFill="1" applyBorder="1" applyAlignment="1">
      <alignment horizontal="center" vertical="center" wrapText="1"/>
    </xf>
    <xf numFmtId="10" fontId="2" fillId="5" borderId="53" xfId="1" applyNumberFormat="1" applyFont="1" applyFill="1" applyBorder="1" applyAlignment="1">
      <alignment horizontal="center" vertical="center" wrapText="1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9" fillId="0" borderId="0" xfId="0" applyFont="1" applyAlignment="1"/>
    <xf numFmtId="0" fontId="4" fillId="5" borderId="0" xfId="0" applyFont="1" applyFill="1" applyAlignment="1"/>
    <xf numFmtId="0" fontId="9" fillId="5" borderId="0" xfId="0" applyFont="1" applyFill="1" applyAlignment="1"/>
    <xf numFmtId="14" fontId="4" fillId="0" borderId="0" xfId="0" applyNumberFormat="1" applyFont="1" applyAlignment="1"/>
    <xf numFmtId="0" fontId="4" fillId="3" borderId="0" xfId="0" applyFont="1" applyFill="1" applyAlignment="1"/>
    <xf numFmtId="0" fontId="10" fillId="3" borderId="0" xfId="0" applyFont="1" applyFill="1" applyAlignment="1">
      <alignment horizontal="center" vertical="center" wrapText="1"/>
    </xf>
    <xf numFmtId="0" fontId="11" fillId="3" borderId="54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7" fontId="4" fillId="0" borderId="0" xfId="0" applyNumberFormat="1" applyFont="1" applyAlignment="1"/>
    <xf numFmtId="0" fontId="1" fillId="2" borderId="66" xfId="0" applyFont="1" applyFill="1" applyBorder="1" applyAlignment="1">
      <alignment horizontal="center" vertical="center" wrapText="1"/>
    </xf>
    <xf numFmtId="14" fontId="1" fillId="2" borderId="9" xfId="0" applyNumberFormat="1" applyFont="1" applyFill="1" applyBorder="1" applyAlignment="1">
      <alignment horizontal="center" vertical="center" wrapText="1"/>
    </xf>
    <xf numFmtId="167" fontId="1" fillId="2" borderId="9" xfId="0" applyNumberFormat="1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4" fillId="9" borderId="68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10" fontId="4" fillId="10" borderId="69" xfId="1" applyNumberFormat="1" applyFont="1" applyFill="1" applyBorder="1" applyAlignment="1">
      <alignment horizontal="center"/>
    </xf>
    <xf numFmtId="168" fontId="4" fillId="0" borderId="69" xfId="0" applyNumberFormat="1" applyFont="1" applyBorder="1" applyAlignment="1">
      <alignment horizontal="center" vertical="center"/>
    </xf>
    <xf numFmtId="168" fontId="4" fillId="0" borderId="70" xfId="0" applyNumberFormat="1" applyFont="1" applyBorder="1" applyAlignment="1">
      <alignment horizontal="center" vertical="center"/>
    </xf>
    <xf numFmtId="10" fontId="5" fillId="10" borderId="0" xfId="1" applyNumberFormat="1" applyFont="1" applyFill="1" applyBorder="1" applyAlignment="1">
      <alignment horizontal="center" vertical="center"/>
    </xf>
    <xf numFmtId="168" fontId="4" fillId="0" borderId="71" xfId="0" applyNumberFormat="1" applyFont="1" applyBorder="1" applyAlignment="1">
      <alignment horizontal="center" vertical="center"/>
    </xf>
    <xf numFmtId="10" fontId="4" fillId="0" borderId="69" xfId="1" applyNumberFormat="1" applyFont="1" applyFill="1" applyBorder="1" applyAlignment="1">
      <alignment horizontal="center"/>
    </xf>
    <xf numFmtId="10" fontId="4" fillId="0" borderId="70" xfId="1" applyNumberFormat="1" applyFont="1" applyFill="1" applyBorder="1" applyAlignment="1">
      <alignment horizontal="center"/>
    </xf>
    <xf numFmtId="168" fontId="5" fillId="10" borderId="0" xfId="0" applyNumberFormat="1" applyFont="1" applyFill="1" applyAlignment="1">
      <alignment horizontal="center" vertical="center"/>
    </xf>
    <xf numFmtId="10" fontId="4" fillId="0" borderId="71" xfId="1" applyNumberFormat="1" applyFont="1" applyBorder="1" applyAlignment="1">
      <alignment horizontal="center"/>
    </xf>
    <xf numFmtId="10" fontId="4" fillId="0" borderId="69" xfId="1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6" borderId="68" xfId="0" applyFont="1" applyFill="1" applyBorder="1">
      <alignment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0" fontId="4" fillId="6" borderId="69" xfId="1" applyNumberFormat="1" applyFont="1" applyFill="1" applyBorder="1" applyAlignment="1">
      <alignment horizontal="center"/>
    </xf>
    <xf numFmtId="168" fontId="4" fillId="6" borderId="69" xfId="0" applyNumberFormat="1" applyFont="1" applyFill="1" applyBorder="1" applyAlignment="1">
      <alignment horizontal="center" vertical="center"/>
    </xf>
    <xf numFmtId="168" fontId="4" fillId="6" borderId="70" xfId="0" applyNumberFormat="1" applyFont="1" applyFill="1" applyBorder="1" applyAlignment="1">
      <alignment horizontal="center" vertical="center"/>
    </xf>
    <xf numFmtId="168" fontId="4" fillId="6" borderId="71" xfId="0" applyNumberFormat="1" applyFont="1" applyFill="1" applyBorder="1" applyAlignment="1">
      <alignment horizontal="center" vertical="center"/>
    </xf>
    <xf numFmtId="10" fontId="5" fillId="6" borderId="0" xfId="1" applyNumberFormat="1" applyFont="1" applyFill="1" applyBorder="1" applyAlignment="1">
      <alignment horizontal="center" vertical="center"/>
    </xf>
    <xf numFmtId="168" fontId="4" fillId="6" borderId="72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12" fillId="0" borderId="0" xfId="0" applyFont="1" applyAlignment="1"/>
    <xf numFmtId="0" fontId="5" fillId="6" borderId="0" xfId="0" applyFont="1" applyFill="1" applyAlignment="1">
      <alignment horizontal="left" vertical="center"/>
    </xf>
    <xf numFmtId="0" fontId="5" fillId="6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168" fontId="4" fillId="10" borderId="69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10" fontId="4" fillId="6" borderId="71" xfId="1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10" fontId="9" fillId="6" borderId="71" xfId="1" applyNumberFormat="1" applyFont="1" applyFill="1" applyBorder="1" applyAlignment="1">
      <alignment horizontal="center"/>
    </xf>
    <xf numFmtId="168" fontId="9" fillId="6" borderId="69" xfId="0" applyNumberFormat="1" applyFont="1" applyFill="1" applyBorder="1" applyAlignment="1">
      <alignment horizontal="center" vertical="center"/>
    </xf>
    <xf numFmtId="10" fontId="9" fillId="6" borderId="69" xfId="1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0" fontId="4" fillId="6" borderId="0" xfId="1" applyNumberFormat="1" applyFont="1" applyFill="1" applyBorder="1" applyAlignment="1">
      <alignment horizontal="center"/>
    </xf>
    <xf numFmtId="168" fontId="4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9" borderId="73" xfId="0" applyFont="1" applyFill="1" applyBorder="1" applyAlignment="1">
      <alignment horizontal="left" vertical="center"/>
    </xf>
    <xf numFmtId="0" fontId="14" fillId="0" borderId="74" xfId="0" applyFont="1" applyBorder="1" applyAlignment="1">
      <alignment horizontal="left" vertical="center"/>
    </xf>
    <xf numFmtId="0" fontId="14" fillId="0" borderId="75" xfId="0" applyFont="1" applyBorder="1" applyAlignment="1">
      <alignment horizontal="left" vertical="center"/>
    </xf>
    <xf numFmtId="0" fontId="14" fillId="0" borderId="74" xfId="0" applyFont="1" applyBorder="1" applyAlignment="1">
      <alignment horizontal="left"/>
    </xf>
    <xf numFmtId="0" fontId="14" fillId="0" borderId="75" xfId="0" applyFont="1" applyBorder="1" applyAlignment="1">
      <alignment horizontal="left"/>
    </xf>
    <xf numFmtId="0" fontId="14" fillId="0" borderId="74" xfId="0" applyFont="1" applyBorder="1" applyAlignment="1"/>
    <xf numFmtId="0" fontId="14" fillId="0" borderId="75" xfId="0" applyFont="1" applyBorder="1" applyAlignment="1"/>
    <xf numFmtId="0" fontId="14" fillId="12" borderId="74" xfId="0" applyFont="1" applyFill="1" applyBorder="1" applyAlignment="1">
      <alignment horizontal="left"/>
    </xf>
    <xf numFmtId="0" fontId="14" fillId="12" borderId="75" xfId="0" applyFont="1" applyFill="1" applyBorder="1" applyAlignment="1">
      <alignment horizontal="left"/>
    </xf>
    <xf numFmtId="0" fontId="5" fillId="12" borderId="74" xfId="0" applyFont="1" applyFill="1" applyBorder="1">
      <alignment vertical="center"/>
    </xf>
    <xf numFmtId="0" fontId="5" fillId="12" borderId="75" xfId="0" applyFont="1" applyFill="1" applyBorder="1">
      <alignment vertical="center"/>
    </xf>
    <xf numFmtId="0" fontId="14" fillId="12" borderId="74" xfId="0" applyFont="1" applyFill="1" applyBorder="1" applyAlignment="1">
      <alignment horizontal="left" vertical="center"/>
    </xf>
    <xf numFmtId="0" fontId="14" fillId="12" borderId="75" xfId="0" applyFont="1" applyFill="1" applyBorder="1" applyAlignment="1">
      <alignment horizontal="left" vertical="center"/>
    </xf>
    <xf numFmtId="168" fontId="4" fillId="8" borderId="6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68" fontId="4" fillId="8" borderId="0" xfId="0" applyNumberFormat="1" applyFont="1" applyFill="1" applyAlignment="1">
      <alignment horizontal="center" vertical="center"/>
    </xf>
    <xf numFmtId="0" fontId="18" fillId="0" borderId="0" xfId="0" applyFont="1" applyAlignment="1"/>
    <xf numFmtId="0" fontId="18" fillId="0" borderId="0" xfId="2" applyFont="1"/>
    <xf numFmtId="0" fontId="8" fillId="0" borderId="0" xfId="0" applyFont="1" applyAlignment="1"/>
    <xf numFmtId="10" fontId="1" fillId="2" borderId="78" xfId="1" applyNumberFormat="1" applyFont="1" applyFill="1" applyBorder="1" applyAlignment="1">
      <alignment horizontal="center" vertical="center" wrapText="1"/>
    </xf>
    <xf numFmtId="10" fontId="1" fillId="13" borderId="78" xfId="1" applyNumberFormat="1" applyFont="1" applyFill="1" applyBorder="1" applyAlignment="1">
      <alignment horizontal="center" vertical="center" wrapText="1"/>
    </xf>
    <xf numFmtId="168" fontId="19" fillId="13" borderId="69" xfId="0" applyNumberFormat="1" applyFont="1" applyFill="1" applyBorder="1" applyAlignment="1">
      <alignment horizontal="center" vertical="center"/>
    </xf>
    <xf numFmtId="10" fontId="19" fillId="13" borderId="78" xfId="1" applyNumberFormat="1" applyFont="1" applyFill="1" applyBorder="1" applyAlignment="1">
      <alignment horizontal="center" vertical="center" wrapText="1"/>
    </xf>
    <xf numFmtId="10" fontId="6" fillId="13" borderId="0" xfId="1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0" fontId="1" fillId="3" borderId="0" xfId="1" applyNumberFormat="1" applyFont="1" applyFill="1" applyBorder="1" applyAlignment="1">
      <alignment horizontal="center" vertical="center" wrapText="1"/>
    </xf>
    <xf numFmtId="10" fontId="20" fillId="3" borderId="0" xfId="1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horizontal="center" vertical="center"/>
    </xf>
    <xf numFmtId="10" fontId="9" fillId="5" borderId="0" xfId="1" applyNumberFormat="1" applyFont="1" applyFill="1" applyBorder="1" applyAlignment="1">
      <alignment horizontal="center"/>
    </xf>
    <xf numFmtId="168" fontId="9" fillId="5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0" fillId="0" borderId="13" xfId="0" quotePrefix="1" applyBorder="1">
      <alignment vertical="center"/>
    </xf>
    <xf numFmtId="0" fontId="11" fillId="3" borderId="15" xfId="0" applyFont="1" applyFill="1" applyBorder="1" applyAlignment="1">
      <alignment horizontal="left" vertical="top" wrapText="1"/>
    </xf>
    <xf numFmtId="0" fontId="11" fillId="3" borderId="54" xfId="0" applyFont="1" applyFill="1" applyBorder="1" applyAlignment="1">
      <alignment horizontal="left" vertical="top" wrapText="1"/>
    </xf>
    <xf numFmtId="0" fontId="11" fillId="3" borderId="55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7" fillId="2" borderId="6" xfId="3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5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4" fillId="0" borderId="7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0" xfId="0" applyFont="1" applyBorder="1" applyAlignment="1">
      <alignment horizontal="left" vertical="top" wrapText="1"/>
    </xf>
    <xf numFmtId="0" fontId="4" fillId="0" borderId="81" xfId="0" applyFont="1" applyBorder="1" applyAlignment="1">
      <alignment horizontal="left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0" fontId="4" fillId="0" borderId="84" xfId="0" applyFont="1" applyBorder="1" applyAlignment="1">
      <alignment horizontal="left" vertical="top" wrapText="1"/>
    </xf>
    <xf numFmtId="0" fontId="4" fillId="0" borderId="85" xfId="0" applyFont="1" applyBorder="1" applyAlignment="1">
      <alignment horizontal="left" vertical="top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" fillId="2" borderId="22" xfId="3" applyFont="1" applyFill="1" applyBorder="1" applyAlignment="1">
      <alignment horizontal="center" vertical="center" wrapText="1"/>
    </xf>
    <xf numFmtId="0" fontId="7" fillId="2" borderId="23" xfId="3" applyFont="1" applyFill="1" applyBorder="1" applyAlignment="1">
      <alignment horizontal="center" vertical="center" wrapText="1"/>
    </xf>
    <xf numFmtId="0" fontId="7" fillId="2" borderId="41" xfId="3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0" xfId="0" applyNumberFormat="1" applyBorder="1">
      <alignment vertical="center"/>
    </xf>
    <xf numFmtId="0" fontId="3" fillId="0" borderId="79" xfId="0" applyFont="1" applyFill="1" applyBorder="1" applyAlignment="1">
      <alignment vertical="center" wrapText="1"/>
    </xf>
    <xf numFmtId="0" fontId="4" fillId="0" borderId="0" xfId="0" applyFont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6">
    <cellStyle name="Normal" xfId="0" builtinId="0"/>
    <cellStyle name="Normal 2" xfId="2" xr:uid="{00000000-0005-0000-0000-000031000000}"/>
    <cellStyle name="Normal 3" xfId="3" xr:uid="{00000000-0005-0000-0000-000032000000}"/>
    <cellStyle name="Normal 4" xfId="4" xr:uid="{00000000-0005-0000-0000-000033000000}"/>
    <cellStyle name="Percent" xfId="1" builtinId="5"/>
    <cellStyle name="Percent 2" xfId="5" xr:uid="{00000000-0005-0000-0000-000034000000}"/>
  </cellStyles>
  <dxfs count="245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4"/>
      <tableStyleElement type="headerRow" dxfId="243"/>
      <tableStyleElement type="totalRow" dxfId="242"/>
      <tableStyleElement type="firstColumn" dxfId="241"/>
      <tableStyleElement type="lastColumn" dxfId="240"/>
      <tableStyleElement type="firstRowStripe" dxfId="239"/>
      <tableStyleElement type="firstColumnStripe" dxfId="238"/>
    </tableStyle>
    <tableStyle name="PivotStylePreset2_Accent1" table="0" count="10" xr9:uid="{267968C8-6FFD-4C36-ACC1-9EA1FD1885CA}">
      <tableStyleElement type="headerRow" dxfId="237"/>
      <tableStyleElement type="totalRow" dxfId="236"/>
      <tableStyleElement type="firstRowStripe" dxfId="235"/>
      <tableStyleElement type="firstColumnStripe" dxfId="234"/>
      <tableStyleElement type="firstSubtotalRow" dxfId="233"/>
      <tableStyleElement type="secondSubtotalRow" dxfId="232"/>
      <tableStyleElement type="firstRowSubheading" dxfId="231"/>
      <tableStyleElement type="secondRowSubheading" dxfId="230"/>
      <tableStyleElement type="pageFieldLabels" dxfId="229"/>
      <tableStyleElement type="pageFieldValues" dxfId="2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nis.huang/Documents/Data%20Dashboard%20Dennis.xlsx" TargetMode="External"/><Relationship Id="rId1" Type="http://schemas.openxmlformats.org/officeDocument/2006/relationships/externalLinkPath" Target="/Users/dennis.huang/Documents/Data%20Dashboard%20Denn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nis.huang/Documents/AG40/Keluar%20Gudang%207.30%20&amp;%20TTD%2012.00/L2%20-%20AGENT40%20-%20%250730%20&amp;%20%25TTD12.00%20-%2022%20JUL%202026.xlsx" TargetMode="External"/><Relationship Id="rId1" Type="http://schemas.openxmlformats.org/officeDocument/2006/relationships/externalLinkPath" Target="/Users/dennis.huang/Documents/AG40/Keluar%20Gudang%207.30%20&amp;%20TTD%2012.00/L2%20-%20AGENT40%20-%20%250730%20&amp;%20%25TTD12.00%20-%2022%20JU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nis.huang/Downloads/INFORMASI%20DP_DROP%20POINT%20AKTIF.xlsx" TargetMode="External"/><Relationship Id="rId1" Type="http://schemas.openxmlformats.org/officeDocument/2006/relationships/externalLinkPath" Target="/Users/dennis.huang/Downloads/INFORMASI%20DP_DROP%20POINT%20AKTIF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nis.huang/Downloads/AG13%20-%20BEKASI%20-%20Update%20Data%20DP%2030%20Juli%202026.xlsx" TargetMode="External"/><Relationship Id="rId1" Type="http://schemas.openxmlformats.org/officeDocument/2006/relationships/externalLinkPath" Target="/Users/dennis.huang/Downloads/AG13%20-%20BEKASI%20-%20Update%20Data%20DP%2030%20Juli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nis.huang/Downloads/DATA%20DP%20AGENT%20BOGOR.xlsx" TargetMode="External"/><Relationship Id="rId1" Type="http://schemas.openxmlformats.org/officeDocument/2006/relationships/externalLinkPath" Target="/Users/dennis.huang/Downloads/DATA%20DP%20AGENT%20BOGO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nis.huang/Downloads/AG16%20-%20BANDUNG%20-%20Update%20Data%20DP%2030%20Juli%202026.xlsx" TargetMode="External"/><Relationship Id="rId1" Type="http://schemas.openxmlformats.org/officeDocument/2006/relationships/externalLinkPath" Target="/Users/dennis.huang/Downloads/AG16%20-%20BANDUNG%20-%20Update%20Data%20DP%2030%20Juli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nis.huang/Downloads/DB.xlsx" TargetMode="External"/><Relationship Id="rId1" Type="http://schemas.openxmlformats.org/officeDocument/2006/relationships/externalLinkPath" Target="/Users/dennis.huang/Downloads/DB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nis.huang/Downloads/DB%20DROPPOINT_AGUSTUS_2026%20(AGENT18).xlsx" TargetMode="External"/><Relationship Id="rId1" Type="http://schemas.openxmlformats.org/officeDocument/2006/relationships/externalLinkPath" Target="/Users/dennis.huang/Downloads/DB%20DROPPOINT_AGUSTUS_2026%20(AGENT18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nis.huang/Downloads/LIST%20RM%20SUB.xlsx" TargetMode="External"/><Relationship Id="rId1" Type="http://schemas.openxmlformats.org/officeDocument/2006/relationships/externalLinkPath" Target="/Users/dennis.huang/Downloads/LIST%20RM%20SUB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nis.huang/Downloads/List%20DP%20Aktif%20Bali.xlsx" TargetMode="External"/><Relationship Id="rId1" Type="http://schemas.openxmlformats.org/officeDocument/2006/relationships/externalLinkPath" Target="/Users/dennis.huang/Downloads/List%20DP%20Aktif%20Ba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OP POINT AKTIF"/>
    </sheetNames>
    <sheetDataSet>
      <sheetData sheetId="0">
        <row r="1">
          <cell r="B1" t="str">
            <v>NAMA DP</v>
          </cell>
          <cell r="F1" t="str">
            <v>NAMA SPV</v>
          </cell>
        </row>
        <row r="2">
          <cell r="B2" t="str">
            <v>SERANG_JAYA</v>
          </cell>
          <cell r="F2" t="str">
            <v>NIAMULLAH</v>
          </cell>
        </row>
        <row r="3">
          <cell r="B3" t="str">
            <v>KASEMEN_JAYA</v>
          </cell>
          <cell r="F3" t="str">
            <v>TEGUH ISWANTO</v>
          </cell>
        </row>
        <row r="4">
          <cell r="B4" t="str">
            <v>KALODRAN_CIRUAS</v>
          </cell>
          <cell r="F4" t="str">
            <v>RAMADANIALDI</v>
          </cell>
        </row>
        <row r="5">
          <cell r="B5" t="str">
            <v>CIPOCOK_JAYA</v>
          </cell>
          <cell r="F5" t="str">
            <v>DEDE JUNA</v>
          </cell>
        </row>
        <row r="6">
          <cell r="B6" t="str">
            <v>PEJATEN_MAS</v>
          </cell>
          <cell r="F6" t="str">
            <v>MOCH. JAJULI FAHMI</v>
          </cell>
        </row>
        <row r="7">
          <cell r="B7" t="str">
            <v>PELABUHAN_MERAK</v>
          </cell>
          <cell r="F7" t="str">
            <v>ARIS HERMAWAN</v>
          </cell>
        </row>
        <row r="8">
          <cell r="B8" t="str">
            <v>PERUMNAS_RAYA</v>
          </cell>
          <cell r="F8" t="str">
            <v>IBNU FADILLAH</v>
          </cell>
        </row>
        <row r="9">
          <cell r="B9" t="str">
            <v>PALKA_CIOMAS</v>
          </cell>
          <cell r="F9" t="str">
            <v>MOHAMAD JUNAEDI FIRMANSYAH</v>
          </cell>
        </row>
        <row r="10">
          <cell r="B10" t="str">
            <v>CITANGKIL</v>
          </cell>
          <cell r="F10" t="str">
            <v>MOCH. JAJULI FAHMI</v>
          </cell>
        </row>
        <row r="11">
          <cell r="B11" t="str">
            <v>DP_PANGGUNGRAWI</v>
          </cell>
          <cell r="F11" t="str">
            <v>HANDOKO</v>
          </cell>
        </row>
        <row r="12">
          <cell r="B12" t="str">
            <v>PONTANG_RAYA</v>
          </cell>
          <cell r="F12" t="str">
            <v>MOHAMAD KAHIS</v>
          </cell>
        </row>
        <row r="13">
          <cell r="B13" t="str">
            <v>CIL05B</v>
          </cell>
          <cell r="F13" t="str">
            <v>CATUR MAY ANDRIAN</v>
          </cell>
        </row>
        <row r="14">
          <cell r="B14" t="str">
            <v>PANTAI_ANYER</v>
          </cell>
          <cell r="F14" t="str">
            <v>NOVA ANDRIANTO</v>
          </cell>
        </row>
        <row r="15">
          <cell r="B15" t="str">
            <v>CIWANDAN</v>
          </cell>
          <cell r="F15" t="str">
            <v>NOVA ANDRIANTO</v>
          </cell>
        </row>
        <row r="16">
          <cell r="B16" t="str">
            <v>TAKTAKAN_JAYA</v>
          </cell>
          <cell r="F16" t="str">
            <v>MUHAMAD WILDAN</v>
          </cell>
        </row>
        <row r="17">
          <cell r="B17" t="str">
            <v>UNYUR_JAYA</v>
          </cell>
          <cell r="F17" t="str">
            <v>MUHAMMAD LUTFI</v>
          </cell>
        </row>
        <row r="18">
          <cell r="B18" t="str">
            <v>SURADITA_CISAUK</v>
          </cell>
          <cell r="F18" t="str">
            <v>DHIAS WIKRAMA ATMAJA</v>
          </cell>
        </row>
        <row r="19">
          <cell r="B19" t="str">
            <v>BAKTI_JAYA</v>
          </cell>
          <cell r="F19" t="str">
            <v>ANDI WIDIARTO</v>
          </cell>
        </row>
        <row r="20">
          <cell r="B20" t="str">
            <v>RODA_HIAS</v>
          </cell>
          <cell r="F20" t="str">
            <v>SARYONO</v>
          </cell>
        </row>
        <row r="21">
          <cell r="B21" t="str">
            <v>TERAS_KOTA</v>
          </cell>
          <cell r="F21" t="str">
            <v>ANGGATIO</v>
          </cell>
        </row>
        <row r="22">
          <cell r="B22" t="str">
            <v>PONDOK_PUCUNG</v>
          </cell>
          <cell r="F22" t="str">
            <v>MUHAMMAD RIFKI</v>
          </cell>
        </row>
        <row r="23">
          <cell r="B23" t="str">
            <v>PONDOKJAYA</v>
          </cell>
          <cell r="F23" t="str">
            <v>SUPYAN SAURI</v>
          </cell>
        </row>
        <row r="24">
          <cell r="B24" t="str">
            <v>KUNCIRAN_RAYA</v>
          </cell>
          <cell r="F24" t="str">
            <v>JAMALUDIN GUNAWAN</v>
          </cell>
        </row>
        <row r="25">
          <cell r="B25" t="str">
            <v>SENTRA_JATIUWUNG</v>
          </cell>
          <cell r="F25" t="str">
            <v>YUSTRIZA ENDISYA</v>
          </cell>
        </row>
        <row r="26">
          <cell r="B26" t="str">
            <v>TGR54B</v>
          </cell>
          <cell r="F26" t="str">
            <v>YUSTRIZA ENDISYA</v>
          </cell>
        </row>
        <row r="27">
          <cell r="B27" t="str">
            <v>CIMONE_RAYA</v>
          </cell>
          <cell r="F27" t="str">
            <v>ARIF SETIANTO</v>
          </cell>
        </row>
        <row r="28">
          <cell r="B28" t="str">
            <v>CIBODAS_RAYA</v>
          </cell>
          <cell r="F28" t="str">
            <v>ALFAN AZIZ</v>
          </cell>
        </row>
        <row r="29">
          <cell r="B29" t="str">
            <v>BUARAN_INDAH</v>
          </cell>
          <cell r="F29" t="str">
            <v>NUZUL</v>
          </cell>
        </row>
        <row r="30">
          <cell r="B30" t="str">
            <v>MODERN_PARK</v>
          </cell>
          <cell r="F30" t="str">
            <v>KOMARUDIN</v>
          </cell>
        </row>
        <row r="31">
          <cell r="B31" t="str">
            <v>KAVLING_KENANGA</v>
          </cell>
          <cell r="F31" t="str">
            <v>TEGAR PRAKOSO</v>
          </cell>
        </row>
        <row r="32">
          <cell r="B32" t="str">
            <v>TANGCITY_MALL</v>
          </cell>
          <cell r="F32" t="str">
            <v>KOMARUDIN</v>
          </cell>
        </row>
        <row r="33">
          <cell r="B33" t="str">
            <v>ARCADIA_BATUCEPER</v>
          </cell>
          <cell r="F33" t="str">
            <v>ARIEF SOFYAN</v>
          </cell>
        </row>
        <row r="34">
          <cell r="B34" t="str">
            <v>BAL01C</v>
          </cell>
          <cell r="F34" t="str">
            <v>YUSTRIZA ENDISYA</v>
          </cell>
        </row>
        <row r="35">
          <cell r="B35" t="str">
            <v>HUSEIN_SASTRANEGARA</v>
          </cell>
          <cell r="F35" t="str">
            <v>SYAHRUL RAMDANI</v>
          </cell>
        </row>
        <row r="36">
          <cell r="B36" t="str">
            <v>SALEMBARAN</v>
          </cell>
          <cell r="F36" t="str">
            <v>ANDRI ATMAJA</v>
          </cell>
        </row>
        <row r="37">
          <cell r="B37" t="str">
            <v>PINANG_CIPONDOH</v>
          </cell>
          <cell r="F37" t="str">
            <v>MUCHTAR NUR RAMDAN (AAM)</v>
          </cell>
        </row>
        <row r="38">
          <cell r="B38" t="str">
            <v>RKS08B</v>
          </cell>
          <cell r="F38" t="str">
            <v>MUHAMAD DEDENG</v>
          </cell>
        </row>
        <row r="39">
          <cell r="B39" t="str">
            <v>DC_LABUAN</v>
          </cell>
          <cell r="F39" t="str">
            <v>DEDI KUMAEDI</v>
          </cell>
        </row>
        <row r="40">
          <cell r="B40" t="str">
            <v>BAYAH</v>
          </cell>
          <cell r="F40" t="str">
            <v>AMDI MUBAROK</v>
          </cell>
        </row>
        <row r="41">
          <cell r="B41" t="str">
            <v>PANIMBANG</v>
          </cell>
          <cell r="F41" t="str">
            <v>MOCH MATIN</v>
          </cell>
        </row>
        <row r="42">
          <cell r="B42" t="str">
            <v>CIBALIUNG</v>
          </cell>
          <cell r="F42" t="str">
            <v>JUHANDI</v>
          </cell>
        </row>
        <row r="43">
          <cell r="B43" t="str">
            <v>CIKEUSIK</v>
          </cell>
          <cell r="F43" t="str">
            <v>AZAT SUDRAJAT</v>
          </cell>
        </row>
        <row r="44">
          <cell r="B44" t="str">
            <v>CILANGKAHAN</v>
          </cell>
          <cell r="F44" t="str">
            <v>ROHMAN</v>
          </cell>
        </row>
        <row r="45">
          <cell r="B45" t="str">
            <v>SUDIRMAN_LABUAN</v>
          </cell>
          <cell r="F45" t="str">
            <v>DEDI KUMAEDI</v>
          </cell>
        </row>
        <row r="46">
          <cell r="B46" t="str">
            <v>GAJRUG</v>
          </cell>
          <cell r="F46" t="str">
            <v>WAHYUDIN</v>
          </cell>
        </row>
        <row r="47">
          <cell r="B47" t="str">
            <v>LEUWIDAMAR</v>
          </cell>
          <cell r="F47" t="str">
            <v>WAHYUDIN</v>
          </cell>
        </row>
        <row r="48">
          <cell r="B48" t="str">
            <v>SUKANAGARA_JAYA</v>
          </cell>
          <cell r="F48" t="str">
            <v>IRIYANTO</v>
          </cell>
        </row>
        <row r="49">
          <cell r="B49" t="str">
            <v>MAJASARI_PANDEGLANG</v>
          </cell>
          <cell r="F49" t="str">
            <v>ADIT PURNADILATA</v>
          </cell>
        </row>
        <row r="50">
          <cell r="B50" t="str">
            <v>BANJAR_KENCANA</v>
          </cell>
          <cell r="F50" t="str">
            <v>ROBI FARLI</v>
          </cell>
        </row>
        <row r="51">
          <cell r="B51" t="str">
            <v>CIKULUR</v>
          </cell>
          <cell r="F51" t="str">
            <v>WAHYUDIN</v>
          </cell>
        </row>
        <row r="52">
          <cell r="B52" t="str">
            <v>CITRA_MAJA</v>
          </cell>
          <cell r="F52" t="str">
            <v>ROBI FARLI</v>
          </cell>
        </row>
        <row r="53">
          <cell r="B53" t="str">
            <v>CILELES_KENCANA</v>
          </cell>
          <cell r="F53" t="str">
            <v>ROBI FARLI</v>
          </cell>
        </row>
        <row r="54">
          <cell r="B54" t="str">
            <v>WARUNG_BANTEN</v>
          </cell>
          <cell r="F54" t="str">
            <v>AMDI MUBAROK</v>
          </cell>
        </row>
        <row r="55">
          <cell r="B55" t="str">
            <v>MUNJUL_FLAMBOYANT</v>
          </cell>
          <cell r="F55" t="str">
            <v>MOCH MATIN</v>
          </cell>
        </row>
        <row r="56">
          <cell r="B56" t="str">
            <v>CIGADUNG_INOVASI</v>
          </cell>
          <cell r="F56" t="str">
            <v>FAHRI PRATAMA</v>
          </cell>
        </row>
        <row r="57">
          <cell r="B57" t="str">
            <v>MANDALA_RANGKAS</v>
          </cell>
          <cell r="F57" t="str">
            <v>MUHAMAD DEDENG</v>
          </cell>
        </row>
        <row r="58">
          <cell r="B58" t="str">
            <v>CIMANUK</v>
          </cell>
          <cell r="F58" t="str">
            <v>ADIT PURNADILATA</v>
          </cell>
        </row>
        <row r="59">
          <cell r="B59" t="str">
            <v>WANASALAM</v>
          </cell>
          <cell r="F59" t="str">
            <v>ROHMAN</v>
          </cell>
        </row>
        <row r="60">
          <cell r="B60" t="str">
            <v>MENES</v>
          </cell>
          <cell r="F60" t="str">
            <v>DEDI KUMAEDI</v>
          </cell>
        </row>
        <row r="61">
          <cell r="B61" t="str">
            <v>INFINITY_BIZPARK</v>
          </cell>
          <cell r="F61" t="str">
            <v>HENDRA SAPUTRA</v>
          </cell>
        </row>
        <row r="62">
          <cell r="B62" t="str">
            <v>WANAKERTA_SINJAY</v>
          </cell>
          <cell r="F62" t="str">
            <v>AHMAD SUHENDI</v>
          </cell>
        </row>
        <row r="63">
          <cell r="B63" t="str">
            <v>PANGKALAN_TELUKNAGA</v>
          </cell>
          <cell r="F63" t="str">
            <v>MUHAMMAD USUP</v>
          </cell>
        </row>
        <row r="64">
          <cell r="B64" t="str">
            <v>DC_SEPATAN</v>
          </cell>
          <cell r="F64" t="str">
            <v>ZAKARIA MAHMUD</v>
          </cell>
        </row>
        <row r="65">
          <cell r="B65" t="str">
            <v>RAJEG</v>
          </cell>
          <cell r="F65" t="str">
            <v>ADE MUKLIS</v>
          </cell>
        </row>
        <row r="66">
          <cell r="B66" t="str">
            <v>KUKUN_SUKATANI</v>
          </cell>
          <cell r="F66" t="str">
            <v>MUHAMAD RAFLY</v>
          </cell>
        </row>
        <row r="67">
          <cell r="B67" t="str">
            <v>MAUK_2</v>
          </cell>
          <cell r="F67" t="str">
            <v>WIDODO</v>
          </cell>
        </row>
        <row r="68">
          <cell r="B68" t="str">
            <v>PAKUHAJI</v>
          </cell>
          <cell r="F68" t="str">
            <v>MUHAMAD HAMDAN</v>
          </cell>
        </row>
        <row r="69">
          <cell r="B69" t="str">
            <v>BAL15E</v>
          </cell>
          <cell r="F69" t="str">
            <v>MUHAMAD LUTFI SUHENDAR</v>
          </cell>
        </row>
        <row r="70">
          <cell r="B70" t="str">
            <v>BAL15D</v>
          </cell>
          <cell r="F70" t="str">
            <v>MELI ROMLI</v>
          </cell>
        </row>
        <row r="71">
          <cell r="B71" t="str">
            <v>SEPATAN</v>
          </cell>
          <cell r="F71" t="str">
            <v>RIKIYANSAH</v>
          </cell>
        </row>
        <row r="72">
          <cell r="B72" t="str">
            <v>TGR05D</v>
          </cell>
          <cell r="F72" t="str">
            <v>SUHENDRIK</v>
          </cell>
        </row>
        <row r="73">
          <cell r="B73" t="str">
            <v>PIK_2_RIVERSIDE</v>
          </cell>
          <cell r="F73" t="str">
            <v>MUHAMAD FICQIH</v>
          </cell>
        </row>
        <row r="74">
          <cell r="B74" t="str">
            <v>PERIUK</v>
          </cell>
          <cell r="F74" t="str">
            <v>RIKIYANSAH</v>
          </cell>
        </row>
        <row r="75">
          <cell r="B75" t="str">
            <v>KUTABUMI_RAYA</v>
          </cell>
          <cell r="F75" t="str">
            <v>AGUS MULYADI</v>
          </cell>
        </row>
        <row r="76">
          <cell r="B76" t="str">
            <v>CANGKUDU</v>
          </cell>
          <cell r="F76" t="str">
            <v>MOHAMAD TOPAN BERI FIRMAN</v>
          </cell>
        </row>
        <row r="77">
          <cell r="B77" t="str">
            <v>CISOKA</v>
          </cell>
          <cell r="F77" t="str">
            <v>DIRGAHAYU</v>
          </cell>
        </row>
        <row r="78">
          <cell r="B78" t="str">
            <v>CIKUPA_RAYA</v>
          </cell>
          <cell r="F78" t="str">
            <v>MUHAMMAD BAGUS PRATAMA</v>
          </cell>
        </row>
        <row r="79">
          <cell r="B79" t="str">
            <v>KATOMAS_RAYA</v>
          </cell>
          <cell r="F79" t="str">
            <v>SYAMSURI</v>
          </cell>
        </row>
        <row r="80">
          <cell r="B80" t="str">
            <v>KIBIN_RAYA</v>
          </cell>
          <cell r="F80" t="str">
            <v>FAUZUL HUSNAN</v>
          </cell>
        </row>
        <row r="81">
          <cell r="B81" t="str">
            <v>CIKANDE_RAYA</v>
          </cell>
          <cell r="F81" t="str">
            <v>NUR YOYO GUNARA</v>
          </cell>
        </row>
        <row r="82">
          <cell r="B82" t="str">
            <v>HARENDONG</v>
          </cell>
          <cell r="F82" t="str">
            <v>SANDI IRAWAN</v>
          </cell>
        </row>
        <row r="83">
          <cell r="B83" t="str">
            <v>JAMBE_RAYA</v>
          </cell>
          <cell r="F83" t="str">
            <v>AHMAD NURYAMAN</v>
          </cell>
        </row>
        <row r="84">
          <cell r="B84" t="str">
            <v>DP_PETIR</v>
          </cell>
          <cell r="F84" t="str">
            <v>AHMAD RONI SAFRONI</v>
          </cell>
        </row>
        <row r="85">
          <cell r="B85" t="str">
            <v>KRAGILAN</v>
          </cell>
          <cell r="F85" t="str">
            <v>DWI ADI SUTRISNO</v>
          </cell>
        </row>
        <row r="86">
          <cell r="B86" t="str">
            <v>DUKUH_RAYA</v>
          </cell>
          <cell r="F86" t="str">
            <v>SAEPI</v>
          </cell>
        </row>
        <row r="87">
          <cell r="B87" t="str">
            <v>TALAGA_PASGAD</v>
          </cell>
          <cell r="F87" t="str">
            <v>EKO PURNAWAN SUHERI</v>
          </cell>
        </row>
        <row r="88">
          <cell r="B88" t="str">
            <v>PANONGAN_RAYA</v>
          </cell>
          <cell r="F88" t="str">
            <v>AZIS BACHTIAR</v>
          </cell>
        </row>
        <row r="89">
          <cell r="B89" t="str">
            <v>TUNJUNG_TEJA</v>
          </cell>
          <cell r="F89" t="str">
            <v>AHMAD RONI SAFRONI</v>
          </cell>
        </row>
        <row r="90">
          <cell r="B90" t="str">
            <v>JAYANTI</v>
          </cell>
          <cell r="F90" t="str">
            <v>NURDIN</v>
          </cell>
        </row>
        <row r="91">
          <cell r="B91" t="str">
            <v>MATAGARA</v>
          </cell>
          <cell r="F91" t="str">
            <v>SYAMSURI</v>
          </cell>
        </row>
        <row r="92">
          <cell r="B92" t="str">
            <v>TANAH_TINGAL</v>
          </cell>
          <cell r="F92" t="str">
            <v>MULYADI</v>
          </cell>
        </row>
        <row r="93">
          <cell r="B93" t="str">
            <v>ALAM_SEGAR</v>
          </cell>
          <cell r="F93" t="str">
            <v>ISHAK DISTANSYAH</v>
          </cell>
        </row>
        <row r="94">
          <cell r="B94" t="str">
            <v>CIPUTAT_TIMUR</v>
          </cell>
          <cell r="F94" t="str">
            <v>SOFYAN DWI SAPUTRA</v>
          </cell>
        </row>
        <row r="95">
          <cell r="B95" t="str">
            <v>GAPLEK</v>
          </cell>
          <cell r="F95" t="str">
            <v>ADITYA</v>
          </cell>
        </row>
        <row r="96">
          <cell r="B96" t="str">
            <v>DIAN_MANSION</v>
          </cell>
          <cell r="F96" t="str">
            <v>ERIK</v>
          </cell>
        </row>
        <row r="97">
          <cell r="B97" t="str">
            <v>LARANGAN_2</v>
          </cell>
          <cell r="F97" t="str">
            <v>DONI ANGGARA</v>
          </cell>
        </row>
        <row r="98">
          <cell r="B98" t="str">
            <v>RADEN_SALEH</v>
          </cell>
          <cell r="F98" t="str">
            <v>IQBAL PURWANDI</v>
          </cell>
        </row>
        <row r="99">
          <cell r="B99" t="str">
            <v>SERUA_INDAH_CIPUTAT</v>
          </cell>
          <cell r="F99" t="str">
            <v>ALIZHAR</v>
          </cell>
        </row>
        <row r="100">
          <cell r="B100" t="str">
            <v>PONDOK_BETUNG</v>
          </cell>
          <cell r="F100" t="str">
            <v>HERI LISTIANTO</v>
          </cell>
        </row>
        <row r="101">
          <cell r="B101" t="str">
            <v>CURUG_RAYA</v>
          </cell>
          <cell r="F101" t="str">
            <v>DEDEN</v>
          </cell>
        </row>
        <row r="102">
          <cell r="B102" t="str">
            <v>GRAHA_SUTERA</v>
          </cell>
          <cell r="F102" t="str">
            <v>JIDAN ALFARIZQI</v>
          </cell>
        </row>
        <row r="103">
          <cell r="B103" t="str">
            <v>GADING_SERPONG</v>
          </cell>
          <cell r="F103" t="str">
            <v>LUKMANUL HAKIM</v>
          </cell>
        </row>
        <row r="104">
          <cell r="B104" t="str">
            <v>EDISON</v>
          </cell>
          <cell r="F104" t="str">
            <v>ADI IKUN</v>
          </cell>
        </row>
        <row r="105">
          <cell r="B105" t="str">
            <v>EAST_FORESTA</v>
          </cell>
          <cell r="F105" t="str">
            <v>LEGIYONO</v>
          </cell>
        </row>
        <row r="106">
          <cell r="B106" t="str">
            <v>PRIMA_JAYA</v>
          </cell>
          <cell r="F106" t="str">
            <v>JALALUDIN</v>
          </cell>
        </row>
        <row r="107">
          <cell r="B107" t="str">
            <v>KADU_JAYA</v>
          </cell>
          <cell r="F107" t="str">
            <v>SEPTIAN</v>
          </cell>
        </row>
        <row r="108">
          <cell r="B108" t="str">
            <v>TUGU_LEGOK</v>
          </cell>
          <cell r="F108" t="str">
            <v>MUHAMMAD PRASETYA</v>
          </cell>
        </row>
        <row r="109">
          <cell r="B109" t="str">
            <v>GADING_CARTENZ</v>
          </cell>
          <cell r="F109" t="str">
            <v>SANUSI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OP POINT BEKASI"/>
    </sheetNames>
    <sheetDataSet>
      <sheetData sheetId="0">
        <row r="1">
          <cell r="B1">
            <v>1</v>
          </cell>
          <cell r="E1">
            <v>4</v>
          </cell>
        </row>
        <row r="2">
          <cell r="B2" t="str">
            <v>Nama Drop_point</v>
          </cell>
          <cell r="E2" t="str">
            <v>SPV / PIC 1</v>
          </cell>
        </row>
        <row r="3">
          <cell r="B3" t="str">
            <v>BEKASI</v>
          </cell>
          <cell r="E3" t="str">
            <v>ERLANGGA ISMADYA PUTRA</v>
          </cell>
        </row>
        <row r="4">
          <cell r="B4" t="str">
            <v>DC_BEKASI_UTARA_01</v>
          </cell>
          <cell r="E4" t="str">
            <v>RICHSON FAHMI</v>
          </cell>
        </row>
        <row r="5">
          <cell r="B5" t="str">
            <v>KALIABANG_TENGAH_02</v>
          </cell>
          <cell r="E5" t="str">
            <v>TITO ASWIN KARIM</v>
          </cell>
        </row>
        <row r="6">
          <cell r="B6" t="str">
            <v>HARAPAN_BARU</v>
          </cell>
          <cell r="E6" t="str">
            <v>AHMAD RIQBAL</v>
          </cell>
        </row>
        <row r="7">
          <cell r="B7" t="str">
            <v>JATI_SAMPURNA</v>
          </cell>
          <cell r="E7" t="str">
            <v>NURROHIM</v>
          </cell>
        </row>
        <row r="8">
          <cell r="B8" t="str">
            <v>PONDOK_GEDE_01</v>
          </cell>
          <cell r="E8" t="str">
            <v>ACHMAD MAZIRI</v>
          </cell>
        </row>
        <row r="9">
          <cell r="B9" t="str">
            <v>JATIBENING_01</v>
          </cell>
          <cell r="E9" t="str">
            <v>SUTISNA</v>
          </cell>
        </row>
        <row r="10">
          <cell r="B10" t="str">
            <v>JATIBENING_02</v>
          </cell>
          <cell r="E10" t="str">
            <v>FAHMI AL JUFRY</v>
          </cell>
        </row>
        <row r="11">
          <cell r="B11" t="str">
            <v>BEKASI_BARAT_01</v>
          </cell>
          <cell r="E11" t="str">
            <v>YOGA WARDANA</v>
          </cell>
        </row>
        <row r="12">
          <cell r="B12" t="str">
            <v>BINTARA_JAYA_01</v>
          </cell>
          <cell r="E12" t="str">
            <v>ANGGA KUSUMA</v>
          </cell>
        </row>
        <row r="13">
          <cell r="B13" t="str">
            <v>BANTAR_GEBANG</v>
          </cell>
          <cell r="E13" t="str">
            <v>ALI IBRAHIM</v>
          </cell>
        </row>
        <row r="14">
          <cell r="B14" t="str">
            <v>MANGUNJAYA_01</v>
          </cell>
          <cell r="E14" t="str">
            <v>ACHMAD MAULANA PUTRA</v>
          </cell>
        </row>
        <row r="15">
          <cell r="B15" t="str">
            <v>TAMBUN_SELATAN_01</v>
          </cell>
          <cell r="E15" t="str">
            <v>ANNISAA NURULHUDA WAHIDIN</v>
          </cell>
        </row>
        <row r="16">
          <cell r="B16" t="str">
            <v>DC_CIBITUNG_01</v>
          </cell>
          <cell r="E16" t="str">
            <v>DIDIT JAMALUDIN</v>
          </cell>
        </row>
        <row r="17">
          <cell r="B17" t="str">
            <v>CIBUNTU_01</v>
          </cell>
          <cell r="E17" t="str">
            <v>RENDY DIRGANTARA</v>
          </cell>
        </row>
        <row r="18">
          <cell r="B18" t="str">
            <v>DP_MUKTIWARI_01</v>
          </cell>
          <cell r="E18" t="str">
            <v>FAUZI AKBAR</v>
          </cell>
        </row>
        <row r="19">
          <cell r="B19" t="str">
            <v>HARAPAN_INDAH</v>
          </cell>
          <cell r="E19" t="str">
            <v>FACHRUDIN</v>
          </cell>
        </row>
        <row r="20">
          <cell r="B20" t="str">
            <v>TAMBUN_UTARA</v>
          </cell>
          <cell r="E20" t="str">
            <v>FAJAR SAPUTRA NOVEBRYANTO</v>
          </cell>
        </row>
        <row r="21">
          <cell r="B21" t="str">
            <v>DP_BABELAN_KOTA_01</v>
          </cell>
          <cell r="E21" t="str">
            <v>KHOIRUL ANWAR</v>
          </cell>
        </row>
        <row r="22">
          <cell r="B22" t="str">
            <v>BABELAN</v>
          </cell>
          <cell r="E22" t="str">
            <v>DENI PERMANA</v>
          </cell>
        </row>
        <row r="23">
          <cell r="B23" t="str">
            <v>DC_TAMBUN</v>
          </cell>
          <cell r="E23" t="str">
            <v>AROFIQ WALHIDAYAT</v>
          </cell>
        </row>
        <row r="24">
          <cell r="B24" t="str">
            <v>DC_JATIASIH</v>
          </cell>
          <cell r="E24" t="str">
            <v>AAN SUPRATMAN</v>
          </cell>
        </row>
        <row r="25">
          <cell r="B25" t="str">
            <v>DC_MUSTIKA_JAYA</v>
          </cell>
          <cell r="E25" t="str">
            <v>JHENIS ATHA NANDA</v>
          </cell>
        </row>
        <row r="26">
          <cell r="B26" t="str">
            <v>DC_PONDOK_MELATI</v>
          </cell>
          <cell r="E26" t="str">
            <v>SELAMET DARSIYO</v>
          </cell>
        </row>
        <row r="27">
          <cell r="B27" t="str">
            <v>DC_BEKASI_TIMUR</v>
          </cell>
          <cell r="E27" t="str">
            <v>NANDA ARIS WANDI</v>
          </cell>
        </row>
        <row r="28">
          <cell r="B28" t="str">
            <v>DC_MEDAN_SATRIA</v>
          </cell>
          <cell r="E28" t="str">
            <v>IHWAN RAMADHAN</v>
          </cell>
        </row>
        <row r="29">
          <cell r="B29" t="str">
            <v>DC_BEKASI_SELATAN</v>
          </cell>
          <cell r="E29" t="str">
            <v>APRIYANTO</v>
          </cell>
        </row>
        <row r="30">
          <cell r="B30" t="str">
            <v>TAMBUN_UTARA_02</v>
          </cell>
          <cell r="E30" t="str">
            <v>ANDI RACHMANSYAH</v>
          </cell>
        </row>
        <row r="31">
          <cell r="B31" t="str">
            <v>TARUMAJAYA_02</v>
          </cell>
          <cell r="E31" t="str">
            <v>SARYONO</v>
          </cell>
        </row>
        <row r="32">
          <cell r="B32" t="str">
            <v>BABELAN_02</v>
          </cell>
          <cell r="E32" t="str">
            <v>ARI SABANDI</v>
          </cell>
        </row>
        <row r="33">
          <cell r="B33" t="str">
            <v>SETU_02</v>
          </cell>
          <cell r="E33" t="str">
            <v>FAHMI</v>
          </cell>
        </row>
        <row r="34">
          <cell r="B34" t="str">
            <v>RAWALUMBU_02</v>
          </cell>
          <cell r="E34" t="str">
            <v>NOVA ANDRIANTO</v>
          </cell>
        </row>
        <row r="35">
          <cell r="B35" t="str">
            <v>CIKARANG</v>
          </cell>
          <cell r="E35" t="str">
            <v>AGUNG HARTANTO</v>
          </cell>
        </row>
        <row r="36">
          <cell r="B36" t="str">
            <v>DELTA_MAS</v>
          </cell>
          <cell r="E36" t="str">
            <v>SAFRIN PRIGIYANTO</v>
          </cell>
        </row>
        <row r="37">
          <cell r="B37" t="str">
            <v>SUKATANI</v>
          </cell>
          <cell r="E37" t="str">
            <v>KHAIRUL WILDAN UMAM</v>
          </cell>
        </row>
        <row r="38">
          <cell r="B38" t="str">
            <v>KEDUNG_WARINGIN</v>
          </cell>
          <cell r="E38" t="str">
            <v>AEP BOIS</v>
          </cell>
        </row>
        <row r="39">
          <cell r="B39" t="str">
            <v>SERANG_BARU_01</v>
          </cell>
          <cell r="E39" t="str">
            <v>FIRDAUS</v>
          </cell>
        </row>
        <row r="40">
          <cell r="B40" t="str">
            <v>CIBARUSAH_JAYA</v>
          </cell>
          <cell r="E40" t="str">
            <v>ZAKI RACHMADI NASUTION</v>
          </cell>
        </row>
        <row r="41">
          <cell r="B41" t="str">
            <v>PASIR_GOMBONG</v>
          </cell>
          <cell r="E41" t="str">
            <v>MUKHAMAD NOFANA ABDULLAH</v>
          </cell>
        </row>
        <row r="42">
          <cell r="B42" t="str">
            <v>TELAGA_MURNI</v>
          </cell>
          <cell r="E42" t="str">
            <v>TIDAK ADA</v>
          </cell>
        </row>
        <row r="43">
          <cell r="B43" t="str">
            <v>KARANG_BAHAGIA</v>
          </cell>
          <cell r="E43" t="str">
            <v>KIKIH RIJKI APNUR CAHYA</v>
          </cell>
        </row>
        <row r="44">
          <cell r="B44" t="str">
            <v>DC_CIKARANG_SELATAN</v>
          </cell>
          <cell r="E44" t="str">
            <v>HARRI SWANDI NAINGGOLAN</v>
          </cell>
        </row>
        <row r="45">
          <cell r="B45" t="str">
            <v>DC_CIKARANG_BARAT</v>
          </cell>
          <cell r="E45" t="str">
            <v>IRFAN FAUZI</v>
          </cell>
        </row>
        <row r="46">
          <cell r="B46" t="str">
            <v>DC_CIKARANG_UTARA</v>
          </cell>
          <cell r="E46" t="str">
            <v>M DAFIT SUHERLI</v>
          </cell>
        </row>
        <row r="47">
          <cell r="B47" t="str">
            <v>DC_CIBARUSAH</v>
          </cell>
          <cell r="E47" t="str">
            <v>DENI SETIAWAN</v>
          </cell>
        </row>
        <row r="48">
          <cell r="B48" t="str">
            <v>DC_CIKARANG_PUSAT</v>
          </cell>
          <cell r="E48" t="str">
            <v>IRZAN EFRIANSYAH</v>
          </cell>
        </row>
        <row r="49">
          <cell r="B49" t="str">
            <v>JATI_WANGI</v>
          </cell>
          <cell r="E49" t="str">
            <v>FITRAH TEGAR RAMADHAN</v>
          </cell>
        </row>
        <row r="50">
          <cell r="B50" t="str">
            <v>CABANG_BUNGIN</v>
          </cell>
          <cell r="E50" t="str">
            <v>SARIFPUDIN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B1" t="str">
            <v>ID DP</v>
          </cell>
          <cell r="E1" t="str">
            <v>RM</v>
          </cell>
        </row>
        <row r="2">
          <cell r="B2" t="str">
            <v>CIB11A</v>
          </cell>
          <cell r="E2" t="str">
            <v>AHMAD TOFIK YULFIKAR</v>
          </cell>
        </row>
        <row r="3">
          <cell r="B3" t="str">
            <v>CIBATOK</v>
          </cell>
          <cell r="E3" t="str">
            <v>AHMAD TOFIK YULFIKAR</v>
          </cell>
        </row>
        <row r="4">
          <cell r="B4" t="str">
            <v>DC_CIGUDEG</v>
          </cell>
          <cell r="E4" t="str">
            <v>AHMAD TOFIK YULFIKAR</v>
          </cell>
        </row>
        <row r="5">
          <cell r="B5" t="str">
            <v>DC_DRAMAGA</v>
          </cell>
          <cell r="E5" t="str">
            <v>AHMAD TOFIK YULFIKAR</v>
          </cell>
        </row>
        <row r="6">
          <cell r="B6" t="str">
            <v>DC_JASINGA</v>
          </cell>
          <cell r="E6" t="str">
            <v>AHMAD TOFIK YULFIKAR</v>
          </cell>
        </row>
        <row r="7">
          <cell r="B7" t="str">
            <v>CIAMPEA</v>
          </cell>
          <cell r="E7" t="str">
            <v>AHMAD TOFIK YULFIKAR</v>
          </cell>
        </row>
        <row r="8">
          <cell r="B8" t="str">
            <v>DC_NANGGUNG</v>
          </cell>
          <cell r="E8" t="str">
            <v>AHMAD TOFIK YULFIKAR</v>
          </cell>
        </row>
        <row r="9">
          <cell r="B9" t="str">
            <v>DRAMAGA_2</v>
          </cell>
          <cell r="E9" t="str">
            <v>AHMAD TOFIK YULFIKAR</v>
          </cell>
        </row>
        <row r="10">
          <cell r="B10" t="str">
            <v>CIBATOK_RAYA</v>
          </cell>
          <cell r="E10" t="str">
            <v>AHMAD TOFIK YULFIKAR</v>
          </cell>
        </row>
        <row r="11">
          <cell r="B11" t="str">
            <v>CIAMPEA</v>
          </cell>
          <cell r="E11" t="str">
            <v>AHMAD TOFIK YULFIKAR</v>
          </cell>
        </row>
        <row r="12">
          <cell r="B12" t="str">
            <v>LEUWILIANG1</v>
          </cell>
          <cell r="E12" t="str">
            <v>AHMAD TOFIK YULFIKAR</v>
          </cell>
        </row>
        <row r="13">
          <cell r="B13" t="str">
            <v>CP_PAMIJAHAN</v>
          </cell>
          <cell r="E13" t="str">
            <v>AHMAD TOFIK YULFIKAR</v>
          </cell>
        </row>
        <row r="14">
          <cell r="B14" t="str">
            <v>DRAMAGA_CANTIK</v>
          </cell>
          <cell r="E14" t="str">
            <v>AHMAD TOFIK YULFIKAR</v>
          </cell>
        </row>
        <row r="15">
          <cell r="B15" t="str">
            <v>LEUWISADENG</v>
          </cell>
          <cell r="E15" t="str">
            <v>AHMAD TOFIK YULFIKAR</v>
          </cell>
        </row>
        <row r="16">
          <cell r="B16" t="str">
            <v>TENJOLAYA</v>
          </cell>
          <cell r="E16" t="str">
            <v>AHMAD TOFIK YULFIKAR</v>
          </cell>
        </row>
        <row r="17">
          <cell r="B17" t="str">
            <v>BGR06D</v>
          </cell>
          <cell r="E17" t="str">
            <v>FALDY FEDIANSYAH</v>
          </cell>
        </row>
        <row r="18">
          <cell r="B18" t="str">
            <v>DC_BOGOR_KOTA</v>
          </cell>
          <cell r="E18" t="str">
            <v>FALDY FEDIANSYAH</v>
          </cell>
        </row>
        <row r="19">
          <cell r="B19" t="str">
            <v>BOGOR_UTARA</v>
          </cell>
          <cell r="E19" t="str">
            <v>FALDY FEDIANSYAH</v>
          </cell>
        </row>
        <row r="20">
          <cell r="B20" t="str">
            <v>BOGOR</v>
          </cell>
          <cell r="E20" t="str">
            <v>FALDY FEDIANSYAH</v>
          </cell>
        </row>
        <row r="21">
          <cell r="B21" t="str">
            <v>CILEBUT_RAYA</v>
          </cell>
          <cell r="E21" t="str">
            <v>FALDY FEDIANSYAH</v>
          </cell>
        </row>
        <row r="22">
          <cell r="B22" t="str">
            <v>AIR_MANCUR</v>
          </cell>
          <cell r="E22" t="str">
            <v>FALDY FEDIANSYAH</v>
          </cell>
        </row>
        <row r="23">
          <cell r="B23" t="str">
            <v>GUNUNG_BATU</v>
          </cell>
          <cell r="E23" t="str">
            <v>FALDY FEDIANSYAH</v>
          </cell>
        </row>
        <row r="24">
          <cell r="B24" t="str">
            <v>SAWOJAJAR</v>
          </cell>
          <cell r="E24" t="str">
            <v>FALDY FEDIANSYAH</v>
          </cell>
        </row>
        <row r="25">
          <cell r="B25" t="str">
            <v>SEMPLAK_RAYA</v>
          </cell>
          <cell r="E25" t="str">
            <v>FALDY FEDIANSYAH</v>
          </cell>
        </row>
        <row r="26">
          <cell r="B26" t="str">
            <v>TAMAN_CIMANGGU</v>
          </cell>
          <cell r="E26" t="str">
            <v>FALDY FEDIANSYAH</v>
          </cell>
        </row>
        <row r="27">
          <cell r="B27" t="str">
            <v>CP_BCC</v>
          </cell>
          <cell r="E27" t="str">
            <v>FALDY FEDIANSYAH</v>
          </cell>
        </row>
        <row r="28">
          <cell r="B28" t="str">
            <v>MARGAJAYA</v>
          </cell>
          <cell r="E28" t="str">
            <v>FALDY FEDIANSYAH</v>
          </cell>
        </row>
        <row r="29">
          <cell r="B29" t="str">
            <v>SINDANG_BARANG</v>
          </cell>
          <cell r="E29" t="str">
            <v>FALDY FEDIANSYAH</v>
          </cell>
        </row>
        <row r="30">
          <cell r="B30" t="str">
            <v>YASMIN</v>
          </cell>
          <cell r="E30" t="str">
            <v>FALDY FEDIANSYAH</v>
          </cell>
        </row>
        <row r="31">
          <cell r="B31" t="str">
            <v>CIOMAS</v>
          </cell>
          <cell r="E31" t="str">
            <v>FALDY FEDIANSYAH</v>
          </cell>
        </row>
        <row r="32">
          <cell r="B32" t="str">
            <v>DC_CIOMAS</v>
          </cell>
          <cell r="E32" t="str">
            <v>FALDY FEDIANSYAH</v>
          </cell>
        </row>
        <row r="33">
          <cell r="B33" t="str">
            <v>TAJUR_4</v>
          </cell>
          <cell r="E33" t="str">
            <v>FALDY FEDIANSYAH</v>
          </cell>
        </row>
        <row r="34">
          <cell r="B34" t="str">
            <v>MUARASARI</v>
          </cell>
          <cell r="E34" t="str">
            <v>FALDY FEDIANSYAH</v>
          </cell>
        </row>
        <row r="35">
          <cell r="B35" t="str">
            <v>CILEUNGSI_2</v>
          </cell>
          <cell r="E35" t="str">
            <v>HERI SUSANTO</v>
          </cell>
        </row>
        <row r="36">
          <cell r="B36" t="str">
            <v>DC_CILEUNGSI</v>
          </cell>
          <cell r="E36" t="str">
            <v>HERI SUSANTO</v>
          </cell>
        </row>
        <row r="37">
          <cell r="B37" t="str">
            <v>DC_JONGGOL</v>
          </cell>
          <cell r="E37" t="str">
            <v>HERI SUSANTO</v>
          </cell>
        </row>
        <row r="38">
          <cell r="B38" t="str">
            <v>GUNUNG_PUTRI_4</v>
          </cell>
          <cell r="E38" t="str">
            <v>HERI SUSANTO</v>
          </cell>
        </row>
        <row r="39">
          <cell r="B39" t="str">
            <v>PASAR_GANDOANG</v>
          </cell>
          <cell r="E39" t="str">
            <v>HERI SUSANTO</v>
          </cell>
        </row>
        <row r="40">
          <cell r="B40" t="str">
            <v>CARIU_2</v>
          </cell>
          <cell r="E40" t="str">
            <v>HERI SUSANTO</v>
          </cell>
        </row>
        <row r="41">
          <cell r="B41" t="str">
            <v>GUNUNG_PUTRI</v>
          </cell>
          <cell r="E41" t="str">
            <v>HERI SUSANTO</v>
          </cell>
        </row>
        <row r="42">
          <cell r="B42" t="str">
            <v>BOJONG_KULUR</v>
          </cell>
          <cell r="E42" t="str">
            <v>HERI SUSANTO</v>
          </cell>
        </row>
        <row r="43">
          <cell r="B43" t="str">
            <v>CILEUNGSI</v>
          </cell>
          <cell r="E43" t="str">
            <v>HERI SUSANTO</v>
          </cell>
        </row>
        <row r="44">
          <cell r="B44" t="str">
            <v>JONGGOL</v>
          </cell>
          <cell r="E44" t="str">
            <v>HERI SUSANTO</v>
          </cell>
        </row>
        <row r="45">
          <cell r="B45" t="str">
            <v>GUNUNG_PUTRI_RAYA</v>
          </cell>
          <cell r="E45" t="str">
            <v>HERI SUSANTO</v>
          </cell>
        </row>
        <row r="46">
          <cell r="B46" t="str">
            <v>METLAND_TRANSYOGI</v>
          </cell>
          <cell r="E46" t="str">
            <v>HERI SUSANTO</v>
          </cell>
        </row>
        <row r="47">
          <cell r="B47" t="str">
            <v>CITEUREUP</v>
          </cell>
          <cell r="E47" t="str">
            <v>HERI SUSANTO</v>
          </cell>
        </row>
        <row r="48">
          <cell r="B48" t="str">
            <v>PAKANSARI_2</v>
          </cell>
          <cell r="E48" t="str">
            <v>HERI SUSANTO</v>
          </cell>
        </row>
        <row r="49">
          <cell r="B49" t="str">
            <v>DC_GUNUNG_SINDUR</v>
          </cell>
          <cell r="E49" t="str">
            <v>NOVIAN</v>
          </cell>
        </row>
        <row r="50">
          <cell r="B50" t="str">
            <v>DC_KEMANG</v>
          </cell>
          <cell r="E50" t="str">
            <v>NOVIAN</v>
          </cell>
        </row>
        <row r="51">
          <cell r="B51" t="str">
            <v>DC_PARUNG</v>
          </cell>
          <cell r="E51" t="str">
            <v>NOVIAN</v>
          </cell>
        </row>
        <row r="52">
          <cell r="B52" t="str">
            <v>KEMANG_2</v>
          </cell>
          <cell r="E52" t="str">
            <v>NOVIAN</v>
          </cell>
        </row>
        <row r="53">
          <cell r="B53" t="str">
            <v>PARUNG_PANJANG</v>
          </cell>
          <cell r="E53" t="str">
            <v>NOVIAN</v>
          </cell>
        </row>
        <row r="54">
          <cell r="B54" t="str">
            <v>SASAK_PANJANG</v>
          </cell>
          <cell r="E54" t="str">
            <v>NOVIAN</v>
          </cell>
        </row>
        <row r="55">
          <cell r="B55" t="str">
            <v>PARUNG</v>
          </cell>
          <cell r="E55" t="str">
            <v>NOVIAN</v>
          </cell>
        </row>
        <row r="56">
          <cell r="B56" t="str">
            <v>PARUNG_PANJANG</v>
          </cell>
          <cell r="E56" t="str">
            <v>NOVIAN</v>
          </cell>
        </row>
        <row r="57">
          <cell r="B57" t="str">
            <v>CISEENG</v>
          </cell>
          <cell r="E57" t="str">
            <v>NOVIAN</v>
          </cell>
        </row>
        <row r="58">
          <cell r="B58" t="str">
            <v>CP_PEMBANGUNAN</v>
          </cell>
          <cell r="E58" t="str">
            <v>NOVIAN</v>
          </cell>
        </row>
        <row r="59">
          <cell r="B59" t="str">
            <v>JAMPANG</v>
          </cell>
          <cell r="E59" t="str">
            <v>NOVIAN</v>
          </cell>
        </row>
        <row r="60">
          <cell r="B60" t="str">
            <v>KEMANG_TONJONG</v>
          </cell>
          <cell r="E60" t="str">
            <v>NOVIAN</v>
          </cell>
        </row>
        <row r="61">
          <cell r="B61" t="str">
            <v>SALABENDA</v>
          </cell>
          <cell r="E61" t="str">
            <v>NOVIAN</v>
          </cell>
        </row>
        <row r="62">
          <cell r="B62" t="str">
            <v>RUMPIN_1</v>
          </cell>
          <cell r="E62" t="str">
            <v>NOVIAN</v>
          </cell>
        </row>
        <row r="63">
          <cell r="B63" t="str">
            <v>KEDUNG_HALANG</v>
          </cell>
          <cell r="E63" t="str">
            <v>M PAREZA NOVIK</v>
          </cell>
        </row>
        <row r="64">
          <cell r="B64" t="str">
            <v>SUKARAJA_1</v>
          </cell>
          <cell r="E64" t="str">
            <v>M PAREZA NOVIK</v>
          </cell>
        </row>
        <row r="65">
          <cell r="B65" t="str">
            <v>DC_PAKANSARI</v>
          </cell>
          <cell r="E65" t="str">
            <v>M PAREZA NOVIK</v>
          </cell>
        </row>
        <row r="66">
          <cell r="B66" t="str">
            <v>GAPERI_BOJONG</v>
          </cell>
          <cell r="E66" t="str">
            <v>M PAREZA NOVIK</v>
          </cell>
        </row>
        <row r="67">
          <cell r="B67" t="str">
            <v>KARADENAN_RAYA</v>
          </cell>
          <cell r="E67" t="str">
            <v>M PAREZA NOVIK</v>
          </cell>
        </row>
        <row r="68">
          <cell r="B68" t="str">
            <v>CITAYAM_PABUARAN</v>
          </cell>
          <cell r="E68" t="str">
            <v>M PAREZA NOVIK</v>
          </cell>
        </row>
        <row r="69">
          <cell r="B69" t="str">
            <v>CIB01F</v>
          </cell>
          <cell r="E69" t="str">
            <v>M PAREZA NOVIK</v>
          </cell>
        </row>
        <row r="70">
          <cell r="B70" t="str">
            <v>RAGAJAYA</v>
          </cell>
          <cell r="E70" t="str">
            <v>M PAREZA NOVIK</v>
          </cell>
        </row>
        <row r="71">
          <cell r="B71" t="str">
            <v>PABUARAN_ASRI</v>
          </cell>
          <cell r="E71" t="str">
            <v>M PAREZA NOVIK</v>
          </cell>
        </row>
        <row r="72">
          <cell r="B72" t="str">
            <v>WON_CIMANDALA</v>
          </cell>
          <cell r="E72" t="str">
            <v>M PAREZA NOVIK</v>
          </cell>
        </row>
        <row r="73">
          <cell r="B73" t="str">
            <v>PAKANSARI_3</v>
          </cell>
          <cell r="E73" t="str">
            <v>M PAREZA NOVIK</v>
          </cell>
        </row>
        <row r="74">
          <cell r="B74" t="str">
            <v>BABAKAN_MANDANG</v>
          </cell>
          <cell r="E74" t="str">
            <v>M PAREZA NOVIK</v>
          </cell>
        </row>
        <row r="75">
          <cell r="B75" t="str">
            <v>CP_MAYOR_OKING</v>
          </cell>
          <cell r="E75" t="str">
            <v>M PAREZA NOVIK</v>
          </cell>
        </row>
        <row r="76">
          <cell r="B76" t="str">
            <v>PAKANSARI_4</v>
          </cell>
          <cell r="E76" t="str">
            <v>M PAREZA NOVIK</v>
          </cell>
        </row>
        <row r="77">
          <cell r="B77" t="str">
            <v>DC_CISARUA</v>
          </cell>
          <cell r="E77" t="str">
            <v>WIN KARYADI H P</v>
          </cell>
        </row>
        <row r="78">
          <cell r="B78" t="str">
            <v>DC_TAJUR</v>
          </cell>
          <cell r="E78" t="str">
            <v>WIN KARYADI H P</v>
          </cell>
        </row>
        <row r="79">
          <cell r="B79" t="str">
            <v>DC_CIAWI</v>
          </cell>
          <cell r="E79" t="str">
            <v>WIN KARYADI H P</v>
          </cell>
        </row>
        <row r="80">
          <cell r="B80" t="str">
            <v>DC_MEGAMENDUNG</v>
          </cell>
          <cell r="E80" t="str">
            <v>WIN KARYADI H P</v>
          </cell>
        </row>
        <row r="81">
          <cell r="B81" t="str">
            <v>CIGOMBONG</v>
          </cell>
          <cell r="E81" t="str">
            <v>WIN KARYADI H P</v>
          </cell>
        </row>
        <row r="82">
          <cell r="B82" t="str">
            <v>CP_CARINGIN_1</v>
          </cell>
          <cell r="E82" t="str">
            <v>WIN KARYADI H P</v>
          </cell>
        </row>
        <row r="83">
          <cell r="B83" t="str">
            <v>MAYOR_KH</v>
          </cell>
          <cell r="E83" t="str">
            <v>WIN KARYADI H P</v>
          </cell>
        </row>
        <row r="84">
          <cell r="B84" t="str">
            <v>PUNCAK_CISARUA</v>
          </cell>
          <cell r="E84" t="str">
            <v>WIN KARYADI H P</v>
          </cell>
        </row>
        <row r="85">
          <cell r="B85" t="str">
            <v>CIBEDUG</v>
          </cell>
          <cell r="E85" t="str">
            <v>WIN KARYADI H P</v>
          </cell>
        </row>
        <row r="86">
          <cell r="B86" t="str">
            <v>CIJERUK</v>
          </cell>
          <cell r="E86" t="str">
            <v>WIN KARYADI H P</v>
          </cell>
        </row>
        <row r="87">
          <cell r="B87" t="str">
            <v>BOGOR_SELATAN</v>
          </cell>
          <cell r="E87" t="str">
            <v>WIN KARYADI H P</v>
          </cell>
        </row>
        <row r="88">
          <cell r="B88" t="str">
            <v>CIAPUS_RAYA</v>
          </cell>
          <cell r="E88" t="str">
            <v>WIN KARYADI H P</v>
          </cell>
        </row>
        <row r="89">
          <cell r="B89" t="str">
            <v>PAHLAWAN_SUKSES</v>
          </cell>
          <cell r="E89" t="str">
            <v>WIN KARYADI H P</v>
          </cell>
        </row>
        <row r="90">
          <cell r="B90" t="str">
            <v>PAMOYANAN_BOGOR</v>
          </cell>
          <cell r="E90" t="str">
            <v>WIN KARYADI H P</v>
          </cell>
        </row>
        <row r="91">
          <cell r="B91" t="str">
            <v>CP_BNR</v>
          </cell>
          <cell r="E91" t="str">
            <v>WIN KARYADI H P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C1" t="str">
            <v>NAMA DP</v>
          </cell>
          <cell r="F1" t="str">
            <v>PIC BARU</v>
          </cell>
        </row>
        <row r="2">
          <cell r="C2" t="str">
            <v>KADIPATEN_2</v>
          </cell>
          <cell r="F2" t="str">
            <v>Adang Suhara</v>
          </cell>
        </row>
        <row r="3">
          <cell r="C3" t="str">
            <v>MJA13C</v>
          </cell>
          <cell r="F3" t="str">
            <v>Aries Yudie Ahmadi, S.Kesos</v>
          </cell>
        </row>
        <row r="4">
          <cell r="C4" t="str">
            <v>MJA20B</v>
          </cell>
          <cell r="F4" t="str">
            <v>Budi Mulyana</v>
          </cell>
        </row>
        <row r="5">
          <cell r="C5" t="str">
            <v>JATIWANGI_2</v>
          </cell>
          <cell r="F5" t="str">
            <v>Deni Fathurrohman</v>
          </cell>
        </row>
        <row r="6">
          <cell r="C6" t="str">
            <v>RAJAGALUH_2</v>
          </cell>
          <cell r="F6" t="str">
            <v>Didi Supriadi</v>
          </cell>
        </row>
        <row r="7">
          <cell r="C7" t="str">
            <v>MJA22A</v>
          </cell>
          <cell r="F7" t="str">
            <v>Dudin Joharudin</v>
          </cell>
        </row>
        <row r="8">
          <cell r="C8" t="str">
            <v>MJA19A</v>
          </cell>
          <cell r="F8" t="str">
            <v>Hikmat Maulana</v>
          </cell>
        </row>
        <row r="9">
          <cell r="C9" t="str">
            <v>MJA07B</v>
          </cell>
          <cell r="F9" t="str">
            <v>Iqbal Permana</v>
          </cell>
        </row>
        <row r="10">
          <cell r="C10" t="str">
            <v>TELAGA_2</v>
          </cell>
          <cell r="F10" t="str">
            <v>Nana suryana</v>
          </cell>
        </row>
        <row r="11">
          <cell r="C11" t="str">
            <v>MAJALENGKA_2</v>
          </cell>
          <cell r="F11" t="str">
            <v>Paryono</v>
          </cell>
        </row>
        <row r="12">
          <cell r="C12" t="str">
            <v>MJA02B</v>
          </cell>
          <cell r="F12" t="str">
            <v>Vichi Ramadhan</v>
          </cell>
        </row>
        <row r="13">
          <cell r="C13" t="str">
            <v>JATITUJUH_2</v>
          </cell>
          <cell r="F13" t="str">
            <v>Yandi Cahyadi, SE</v>
          </cell>
        </row>
        <row r="14">
          <cell r="C14" t="str">
            <v>MJA14A</v>
          </cell>
          <cell r="F14" t="str">
            <v>-</v>
          </cell>
        </row>
        <row r="15">
          <cell r="C15" t="str">
            <v>SARIJADI</v>
          </cell>
          <cell r="F15" t="str">
            <v>Bayu Triguna Putra</v>
          </cell>
        </row>
        <row r="16">
          <cell r="C16" t="str">
            <v>DC_CIMAHI_TENGAH</v>
          </cell>
          <cell r="F16" t="str">
            <v>Dadan Maulana</v>
          </cell>
        </row>
        <row r="17">
          <cell r="C17" t="str">
            <v>DC_DUNGUS_CARIANG</v>
          </cell>
          <cell r="F17" t="str">
            <v>Dandi Pardamean Nababan</v>
          </cell>
        </row>
        <row r="18">
          <cell r="C18" t="str">
            <v>DC_SARIWANGI</v>
          </cell>
          <cell r="F18" t="str">
            <v>Danis</v>
          </cell>
        </row>
        <row r="19">
          <cell r="C19" t="str">
            <v>DC_CIMAHI_UTARA</v>
          </cell>
          <cell r="F19" t="str">
            <v>Dicki Prayoga Irawan</v>
          </cell>
        </row>
        <row r="20">
          <cell r="C20" t="str">
            <v>DC_CIDADAP</v>
          </cell>
          <cell r="F20" t="str">
            <v>Eka Setiawan</v>
          </cell>
        </row>
        <row r="21">
          <cell r="C21" t="str">
            <v>DC_CIMAHI_SELATAN</v>
          </cell>
          <cell r="F21" t="str">
            <v>Luki Hardiyana</v>
          </cell>
        </row>
        <row r="22">
          <cell r="C22" t="str">
            <v>IDM11C</v>
          </cell>
          <cell r="F22" t="str">
            <v>Ade Ahmad Sail</v>
          </cell>
        </row>
        <row r="23">
          <cell r="C23" t="str">
            <v>IDM20D</v>
          </cell>
          <cell r="F23" t="str">
            <v>Dicki Setiawan</v>
          </cell>
        </row>
        <row r="24">
          <cell r="C24" t="str">
            <v>IDM07E</v>
          </cell>
          <cell r="F24" t="str">
            <v>Elvan Ihdinansyah Setiawan</v>
          </cell>
        </row>
        <row r="25">
          <cell r="C25" t="str">
            <v>IDM18</v>
          </cell>
          <cell r="F25" t="str">
            <v>Febri Maulana</v>
          </cell>
        </row>
        <row r="26">
          <cell r="C26" t="str">
            <v>IDM30B</v>
          </cell>
          <cell r="F26" t="str">
            <v>Heri Kuswanto, S.Pd.</v>
          </cell>
        </row>
        <row r="27">
          <cell r="C27" t="str">
            <v>IDM13C</v>
          </cell>
          <cell r="F27" t="str">
            <v>Iqbal Aulia Rachman</v>
          </cell>
        </row>
        <row r="28">
          <cell r="C28" t="str">
            <v>IDM28B</v>
          </cell>
          <cell r="F28" t="str">
            <v>Muhamad Adit Nurcita</v>
          </cell>
        </row>
        <row r="29">
          <cell r="C29" t="str">
            <v>IDM06D</v>
          </cell>
          <cell r="F29" t="str">
            <v>Nur Fajar Abiyanto</v>
          </cell>
        </row>
        <row r="30">
          <cell r="C30" t="str">
            <v>IDM19C</v>
          </cell>
          <cell r="F30" t="str">
            <v>Romi Ajromi</v>
          </cell>
        </row>
        <row r="31">
          <cell r="C31" t="str">
            <v>IDM15E</v>
          </cell>
          <cell r="F31" t="str">
            <v>Sigit Prastio</v>
          </cell>
        </row>
        <row r="32">
          <cell r="C32" t="str">
            <v>IDM10C</v>
          </cell>
          <cell r="F32" t="str">
            <v>Yogi Faturahman</v>
          </cell>
        </row>
        <row r="33">
          <cell r="C33" t="str">
            <v>IDM04E</v>
          </cell>
          <cell r="F33" t="str">
            <v>Zaini Miftah</v>
          </cell>
        </row>
        <row r="34">
          <cell r="C34" t="str">
            <v>BDO_SALES</v>
          </cell>
          <cell r="F34" t="str">
            <v>Dian Wunandar</v>
          </cell>
        </row>
        <row r="35">
          <cell r="C35" t="str">
            <v>GRT40A</v>
          </cell>
          <cell r="F35" t="str">
            <v>Adam Supriatna</v>
          </cell>
        </row>
        <row r="36">
          <cell r="C36" t="str">
            <v>GRT17B</v>
          </cell>
          <cell r="F36" t="str">
            <v>Adi Firmansyah</v>
          </cell>
        </row>
        <row r="37">
          <cell r="C37" t="str">
            <v>GRT27B</v>
          </cell>
          <cell r="F37" t="str">
            <v>Adi Firmansyah</v>
          </cell>
        </row>
        <row r="38">
          <cell r="C38" t="str">
            <v>GRT06C</v>
          </cell>
          <cell r="F38" t="str">
            <v>Andri Henriyana</v>
          </cell>
        </row>
        <row r="39">
          <cell r="C39" t="str">
            <v>GRT10B</v>
          </cell>
          <cell r="F39" t="str">
            <v>Dedi Martin</v>
          </cell>
        </row>
        <row r="40">
          <cell r="C40" t="str">
            <v>GRT24B</v>
          </cell>
          <cell r="F40" t="str">
            <v>Deni Jaelani</v>
          </cell>
        </row>
        <row r="41">
          <cell r="C41" t="str">
            <v>GRT11A</v>
          </cell>
          <cell r="F41" t="str">
            <v>Edwin Iskandar</v>
          </cell>
        </row>
        <row r="42">
          <cell r="C42" t="str">
            <v>GRT07C</v>
          </cell>
          <cell r="F42" t="str">
            <v>Hasan Bisri</v>
          </cell>
        </row>
        <row r="43">
          <cell r="C43" t="str">
            <v>GRT19A</v>
          </cell>
          <cell r="F43" t="str">
            <v>Ichsan Purnama</v>
          </cell>
        </row>
        <row r="44">
          <cell r="C44" t="str">
            <v>GRT42</v>
          </cell>
          <cell r="F44" t="str">
            <v>Kemal Nurjaman</v>
          </cell>
        </row>
        <row r="45">
          <cell r="C45" t="str">
            <v>GRT05C</v>
          </cell>
          <cell r="F45" t="str">
            <v>Lyusi Fathan Mubiena</v>
          </cell>
        </row>
        <row r="46">
          <cell r="C46" t="str">
            <v>GRT36A</v>
          </cell>
          <cell r="F46" t="str">
            <v>Maulana Hisbulloh</v>
          </cell>
        </row>
        <row r="47">
          <cell r="C47" t="str">
            <v>GRT22C</v>
          </cell>
          <cell r="F47" t="str">
            <v>Muhamad Ikhsan</v>
          </cell>
        </row>
        <row r="48">
          <cell r="C48" t="str">
            <v>GRT26C</v>
          </cell>
          <cell r="F48" t="str">
            <v>Neri Hidayat</v>
          </cell>
        </row>
        <row r="49">
          <cell r="C49" t="str">
            <v>GRT41A</v>
          </cell>
          <cell r="F49" t="str">
            <v>Regi Firmansyah</v>
          </cell>
        </row>
        <row r="50">
          <cell r="C50" t="str">
            <v>GRT16B</v>
          </cell>
          <cell r="F50" t="str">
            <v>Rifki Shafik Fadillah</v>
          </cell>
        </row>
        <row r="51">
          <cell r="C51" t="str">
            <v>GRT31B</v>
          </cell>
          <cell r="F51" t="str">
            <v>Rifki Shafik Fadillah</v>
          </cell>
        </row>
        <row r="52">
          <cell r="C52" t="str">
            <v>GRT03D</v>
          </cell>
          <cell r="F52" t="str">
            <v>Robi Ta'dim Nurdiansyah</v>
          </cell>
        </row>
        <row r="53">
          <cell r="C53" t="str">
            <v>GRT02A</v>
          </cell>
          <cell r="F53" t="str">
            <v>Rosi Riswanto</v>
          </cell>
        </row>
        <row r="54">
          <cell r="C54" t="str">
            <v>GRT37C</v>
          </cell>
          <cell r="F54" t="str">
            <v>Sayu Mulhasyim</v>
          </cell>
        </row>
        <row r="55">
          <cell r="C55" t="str">
            <v>GRT41C</v>
          </cell>
          <cell r="F55" t="str">
            <v>Syahrul Abu Bakar</v>
          </cell>
        </row>
        <row r="56">
          <cell r="C56" t="str">
            <v>GRT25B</v>
          </cell>
          <cell r="F56" t="str">
            <v>Undang Ramdani</v>
          </cell>
        </row>
        <row r="57">
          <cell r="C57" t="str">
            <v>GRT32A</v>
          </cell>
          <cell r="F57" t="str">
            <v>Undang Ramdani</v>
          </cell>
        </row>
        <row r="58">
          <cell r="C58" t="str">
            <v>GRT33C</v>
          </cell>
          <cell r="F58" t="str">
            <v>Usep kamaludin</v>
          </cell>
        </row>
        <row r="59">
          <cell r="C59" t="str">
            <v>SOG26A</v>
          </cell>
          <cell r="F59" t="str">
            <v>Ade Rahmat</v>
          </cell>
        </row>
        <row r="60">
          <cell r="C60" t="str">
            <v>BABAKAN_CIPARAY_2</v>
          </cell>
          <cell r="F60" t="str">
            <v>Anas Nazal Huda</v>
          </cell>
        </row>
        <row r="61">
          <cell r="C61" t="str">
            <v>KUTAWARINGIN_2</v>
          </cell>
          <cell r="F61" t="str">
            <v>Andi Herdiansyah</v>
          </cell>
        </row>
        <row r="62">
          <cell r="C62" t="str">
            <v>DC_HOLIS</v>
          </cell>
          <cell r="F62" t="str">
            <v>Andi Saeful Rahman</v>
          </cell>
        </row>
        <row r="63">
          <cell r="C63" t="str">
            <v>WARGALUYU</v>
          </cell>
          <cell r="F63" t="str">
            <v>Asep Romli</v>
          </cell>
        </row>
        <row r="64">
          <cell r="C64" t="str">
            <v>PENGALENGAN_CIPINANG</v>
          </cell>
          <cell r="F64" t="str">
            <v>Dani Alvin</v>
          </cell>
        </row>
        <row r="65">
          <cell r="C65" t="str">
            <v>CILUNCAT</v>
          </cell>
          <cell r="F65" t="str">
            <v>Denira Novalita</v>
          </cell>
        </row>
        <row r="66">
          <cell r="C66" t="str">
            <v>DC_BOJONGLOA_KALER</v>
          </cell>
          <cell r="F66" t="str">
            <v>Dionofan Kurnia Pratama</v>
          </cell>
        </row>
        <row r="67">
          <cell r="C67" t="str">
            <v>DC_MARGAHAYU_SELATAN</v>
          </cell>
          <cell r="F67" t="str">
            <v>Faisal Maisandi</v>
          </cell>
        </row>
        <row r="68">
          <cell r="C68" t="str">
            <v>DC_BANDUNG_SELATAN</v>
          </cell>
          <cell r="F68" t="str">
            <v>Ilham Achmad Muhadzir</v>
          </cell>
        </row>
        <row r="69">
          <cell r="C69" t="str">
            <v>WARNASARI</v>
          </cell>
          <cell r="F69" t="str">
            <v>Mario Aditya Firmansyah</v>
          </cell>
        </row>
        <row r="70">
          <cell r="C70" t="str">
            <v>DC_KATAPANG</v>
          </cell>
          <cell r="F70" t="str">
            <v>Muhammad Salim Riyadul Gupron</v>
          </cell>
        </row>
        <row r="71">
          <cell r="C71" t="str">
            <v>DC_CIBADUYUT_RAYA</v>
          </cell>
          <cell r="F71" t="str">
            <v>Novi Septriani</v>
          </cell>
        </row>
        <row r="72">
          <cell r="C72" t="str">
            <v>SOG25C</v>
          </cell>
          <cell r="F72" t="str">
            <v>Rizky Zidan Haris Muharomi</v>
          </cell>
        </row>
        <row r="73">
          <cell r="C73" t="str">
            <v>CIWIDEY</v>
          </cell>
          <cell r="F73" t="str">
            <v>Sendi Moh Rahayu</v>
          </cell>
        </row>
        <row r="74">
          <cell r="C74" t="str">
            <v>DC_MARGAASIH</v>
          </cell>
          <cell r="F74" t="str">
            <v>Soni</v>
          </cell>
        </row>
        <row r="75">
          <cell r="C75" t="str">
            <v>SOG31E</v>
          </cell>
          <cell r="F75" t="str">
            <v>Soni</v>
          </cell>
        </row>
        <row r="76">
          <cell r="C76" t="str">
            <v>CANGKUANG_3</v>
          </cell>
          <cell r="F76" t="str">
            <v>Syifa Agustian</v>
          </cell>
        </row>
        <row r="77">
          <cell r="C77" t="str">
            <v>DC_KARAWANG_BARAT</v>
          </cell>
          <cell r="F77" t="str">
            <v>Ansor Fauzi Fadillah</v>
          </cell>
        </row>
        <row r="78">
          <cell r="C78" t="str">
            <v>PANGKAL_PERJUANGAN</v>
          </cell>
          <cell r="F78" t="str">
            <v>Ansor Fauzi Fadillah</v>
          </cell>
        </row>
        <row r="79">
          <cell r="C79" t="str">
            <v>TEMPURAN</v>
          </cell>
          <cell r="F79" t="str">
            <v>Ari Budaeri Addawami</v>
          </cell>
        </row>
        <row r="80">
          <cell r="C80" t="str">
            <v>PULOJAYA</v>
          </cell>
          <cell r="F80" t="str">
            <v>Aril Ardiansyah</v>
          </cell>
        </row>
        <row r="81">
          <cell r="C81" t="str">
            <v>KARAWANG_WETAN</v>
          </cell>
          <cell r="F81" t="str">
            <v>Asep</v>
          </cell>
        </row>
        <row r="82">
          <cell r="C82" t="str">
            <v>CIBUAYA</v>
          </cell>
          <cell r="F82" t="str">
            <v>Dede Asikin</v>
          </cell>
        </row>
        <row r="83">
          <cell r="C83" t="str">
            <v>LOJI_2</v>
          </cell>
          <cell r="F83" t="str">
            <v>Fauzi Alimashyar</v>
          </cell>
        </row>
        <row r="84">
          <cell r="C84" t="str">
            <v>DC_KOSAMBI</v>
          </cell>
          <cell r="F84" t="str">
            <v>Indra Rukmana</v>
          </cell>
        </row>
        <row r="85">
          <cell r="C85" t="str">
            <v>CIAMPEL</v>
          </cell>
          <cell r="F85" t="str">
            <v>Indra Rukmana</v>
          </cell>
        </row>
        <row r="86">
          <cell r="C86" t="str">
            <v>NAGASARI_3</v>
          </cell>
          <cell r="F86" t="str">
            <v>Januar Egy Panjayu</v>
          </cell>
        </row>
        <row r="87">
          <cell r="C87" t="str">
            <v>TELUK_JAMBE_BARAT</v>
          </cell>
          <cell r="F87" t="str">
            <v>Khoeruman Sunjaya</v>
          </cell>
        </row>
        <row r="88">
          <cell r="C88" t="str">
            <v>DC_MAJA</v>
          </cell>
          <cell r="F88" t="str">
            <v>Muhammad Agung Maulidia</v>
          </cell>
        </row>
        <row r="89">
          <cell r="C89" t="str">
            <v>KRW20F</v>
          </cell>
          <cell r="F89" t="str">
            <v>Muhammad Bagus Rifa'i</v>
          </cell>
        </row>
        <row r="90">
          <cell r="C90" t="str">
            <v>DC_GALUH_MAS</v>
          </cell>
          <cell r="F90" t="str">
            <v>Muhammad Rusdiyanto Dinata</v>
          </cell>
        </row>
        <row r="91">
          <cell r="C91" t="str">
            <v>SUKAHARJA_KRW</v>
          </cell>
          <cell r="F91" t="str">
            <v>Nur Maulana Hasan</v>
          </cell>
        </row>
        <row r="92">
          <cell r="C92" t="str">
            <v>BATUJAYA</v>
          </cell>
          <cell r="F92" t="str">
            <v>Reza Zaqiyuddin</v>
          </cell>
        </row>
        <row r="93">
          <cell r="C93" t="str">
            <v>KRW17A</v>
          </cell>
          <cell r="F93" t="str">
            <v>Reza Zaqiyuddin</v>
          </cell>
        </row>
        <row r="94">
          <cell r="C94" t="str">
            <v>TELAGASARI</v>
          </cell>
          <cell r="F94" t="str">
            <v>Toni Anwar</v>
          </cell>
        </row>
        <row r="95">
          <cell r="C95" t="str">
            <v>DAUWAN_T</v>
          </cell>
          <cell r="F95" t="str">
            <v>Yandi Sutardi</v>
          </cell>
        </row>
        <row r="96">
          <cell r="C96" t="str">
            <v>CKM_CITY</v>
          </cell>
          <cell r="F96" t="str">
            <v>Zezen Zaenul Arip</v>
          </cell>
        </row>
        <row r="97">
          <cell r="C97" t="str">
            <v>DC_BATULAYANG</v>
          </cell>
          <cell r="F97" t="str">
            <v>Andriana Susanto</v>
          </cell>
        </row>
        <row r="98">
          <cell r="C98" t="str">
            <v>CIKAMUNING</v>
          </cell>
          <cell r="F98" t="str">
            <v>Danil Sutiarso</v>
          </cell>
        </row>
        <row r="99">
          <cell r="C99" t="str">
            <v>NGP05B</v>
          </cell>
          <cell r="F99" t="str">
            <v>Dindin Irawan</v>
          </cell>
        </row>
        <row r="100">
          <cell r="C100" t="str">
            <v>NGP09A</v>
          </cell>
          <cell r="F100" t="str">
            <v>Faiz Achmad Yasin</v>
          </cell>
        </row>
        <row r="101">
          <cell r="C101" t="str">
            <v>CIPONGKOR</v>
          </cell>
          <cell r="F101" t="str">
            <v>Faiz Achmad Yasin</v>
          </cell>
        </row>
        <row r="102">
          <cell r="C102" t="str">
            <v>SIRNAJAYA</v>
          </cell>
          <cell r="F102" t="str">
            <v>Hari Pardian</v>
          </cell>
        </row>
        <row r="103">
          <cell r="C103" t="str">
            <v>DC_LEMBANG</v>
          </cell>
          <cell r="F103" t="str">
            <v>Herdi Kurniawan</v>
          </cell>
        </row>
        <row r="104">
          <cell r="C104" t="str">
            <v>DC_PADALARANG</v>
          </cell>
          <cell r="F104" t="str">
            <v>Ipan Pathurrahman</v>
          </cell>
        </row>
        <row r="105">
          <cell r="C105" t="str">
            <v>CISARUA</v>
          </cell>
          <cell r="F105" t="str">
            <v>Jamjam ramdani</v>
          </cell>
        </row>
        <row r="106">
          <cell r="C106" t="str">
            <v>NGP02E</v>
          </cell>
          <cell r="F106" t="str">
            <v>Muhammad Abdul Rozi</v>
          </cell>
        </row>
        <row r="107">
          <cell r="C107" t="str">
            <v>NGP07A</v>
          </cell>
          <cell r="F107" t="str">
            <v>Muhammad Abdul Rozi</v>
          </cell>
        </row>
        <row r="108">
          <cell r="C108" t="str">
            <v>CIPATAT</v>
          </cell>
          <cell r="F108" t="str">
            <v>Ridwan Ginanjar</v>
          </cell>
        </row>
        <row r="109">
          <cell r="C109" t="str">
            <v>CITAPEN</v>
          </cell>
          <cell r="F109" t="str">
            <v>Sandi Mutakin</v>
          </cell>
        </row>
        <row r="110">
          <cell r="C110" t="str">
            <v>NGP16B</v>
          </cell>
          <cell r="F110" t="str">
            <v>Sandra Cahya Permana</v>
          </cell>
        </row>
        <row r="111">
          <cell r="C111" t="str">
            <v>DC_NGAMPRAH</v>
          </cell>
          <cell r="F111" t="str">
            <v>Tresha Oktariana</v>
          </cell>
        </row>
        <row r="112">
          <cell r="C112" t="str">
            <v>BANJAR_PATROMAN</v>
          </cell>
          <cell r="F112" t="str">
            <v>Akbar Rizki Mulyana</v>
          </cell>
        </row>
        <row r="113">
          <cell r="C113" t="str">
            <v>PGR01C</v>
          </cell>
          <cell r="F113" t="str">
            <v>Deni Purnama</v>
          </cell>
        </row>
        <row r="114">
          <cell r="C114" t="str">
            <v>LANGENSARI_3</v>
          </cell>
          <cell r="F114" t="str">
            <v>Dicky Aditia</v>
          </cell>
        </row>
        <row r="115">
          <cell r="C115" t="str">
            <v>PGR04B</v>
          </cell>
          <cell r="F115" t="str">
            <v>Fikri Nurhidayat</v>
          </cell>
        </row>
        <row r="116">
          <cell r="C116" t="str">
            <v>CIAMIS</v>
          </cell>
          <cell r="F116" t="str">
            <v>Irfan Abdur Rochim</v>
          </cell>
        </row>
        <row r="117">
          <cell r="C117" t="str">
            <v>CMI01B</v>
          </cell>
          <cell r="F117" t="str">
            <v>Irfan Abdur Rochim</v>
          </cell>
        </row>
        <row r="118">
          <cell r="C118" t="str">
            <v>PARUNGLESANG_3</v>
          </cell>
          <cell r="F118" t="str">
            <v>Iyan Diana</v>
          </cell>
        </row>
        <row r="119">
          <cell r="C119" t="str">
            <v>PANUMBANGAN</v>
          </cell>
          <cell r="F119" t="str">
            <v>Nunu Nugraha</v>
          </cell>
        </row>
        <row r="120">
          <cell r="C120" t="str">
            <v>SINDANGKASIH</v>
          </cell>
          <cell r="F120" t="str">
            <v>Nuralamsah</v>
          </cell>
        </row>
        <row r="121">
          <cell r="C121" t="str">
            <v>WINDURAJA</v>
          </cell>
          <cell r="F121" t="str">
            <v>Opie Gustriana</v>
          </cell>
        </row>
        <row r="122">
          <cell r="C122" t="str">
            <v>CMI13C</v>
          </cell>
          <cell r="F122" t="str">
            <v>Opie Gustriana</v>
          </cell>
        </row>
        <row r="123">
          <cell r="C123" t="str">
            <v>BJA04A</v>
          </cell>
          <cell r="F123" t="str">
            <v>Rachman Setyadi</v>
          </cell>
        </row>
        <row r="124">
          <cell r="C124" t="str">
            <v>RANCAH</v>
          </cell>
          <cell r="F124" t="str">
            <v>Redi Heriadi</v>
          </cell>
        </row>
        <row r="125">
          <cell r="C125" t="str">
            <v>PGR05B</v>
          </cell>
          <cell r="F125" t="str">
            <v>Rizki Kurniawan Akbar</v>
          </cell>
        </row>
        <row r="126">
          <cell r="C126" t="str">
            <v>PGR10B</v>
          </cell>
          <cell r="F126" t="str">
            <v>Rizki Kurniawan Akbar</v>
          </cell>
        </row>
        <row r="127">
          <cell r="C127" t="str">
            <v>CMI02A</v>
          </cell>
          <cell r="F127" t="str">
            <v>Septian Nuralamsyah</v>
          </cell>
        </row>
        <row r="128">
          <cell r="C128" t="str">
            <v>PGR08B</v>
          </cell>
          <cell r="F128" t="str">
            <v>Widodo Iqbal Baharudin</v>
          </cell>
        </row>
        <row r="129">
          <cell r="C129" t="str">
            <v>SUM12C</v>
          </cell>
          <cell r="F129" t="str">
            <v>Akhmad Wildan Heryanto</v>
          </cell>
        </row>
        <row r="130">
          <cell r="C130" t="str">
            <v>SUM17B</v>
          </cell>
          <cell r="F130" t="str">
            <v>Akhmad Wildan Heryanto</v>
          </cell>
        </row>
        <row r="131">
          <cell r="C131" t="str">
            <v>SUM26B</v>
          </cell>
          <cell r="F131" t="str">
            <v>Dwiyanto</v>
          </cell>
        </row>
        <row r="132">
          <cell r="C132" t="str">
            <v>SUM04D</v>
          </cell>
          <cell r="F132" t="str">
            <v>Endang Rudi Rohana</v>
          </cell>
        </row>
        <row r="133">
          <cell r="C133" t="str">
            <v>SUM06D</v>
          </cell>
          <cell r="F133" t="str">
            <v>Endang Rudi Rohana</v>
          </cell>
        </row>
        <row r="134">
          <cell r="C134" t="str">
            <v>SUM08D</v>
          </cell>
          <cell r="F134" t="str">
            <v>Indra Nuryanto</v>
          </cell>
        </row>
        <row r="135">
          <cell r="C135" t="str">
            <v>SUM11D</v>
          </cell>
          <cell r="F135" t="str">
            <v>Mochamad Taofik</v>
          </cell>
        </row>
        <row r="136">
          <cell r="C136" t="str">
            <v>SUM10E</v>
          </cell>
          <cell r="F136" t="str">
            <v>Muhammad Iqbal</v>
          </cell>
        </row>
        <row r="137">
          <cell r="C137" t="str">
            <v>SUM01B</v>
          </cell>
          <cell r="F137" t="str">
            <v>Muhammad Ramdhan</v>
          </cell>
        </row>
        <row r="138">
          <cell r="C138" t="str">
            <v>SUM02B</v>
          </cell>
          <cell r="F138" t="str">
            <v>Muhammad Ramdhan</v>
          </cell>
        </row>
        <row r="139">
          <cell r="C139" t="str">
            <v>SUM22</v>
          </cell>
          <cell r="F139" t="str">
            <v>Rudi Hermawan</v>
          </cell>
        </row>
        <row r="140">
          <cell r="C140" t="str">
            <v>SUM05C</v>
          </cell>
          <cell r="F140" t="str">
            <v>Shevina Shevriyana</v>
          </cell>
        </row>
        <row r="141">
          <cell r="C141" t="str">
            <v>SUKARAJA</v>
          </cell>
          <cell r="F141" t="str">
            <v>Abdul Azid</v>
          </cell>
        </row>
        <row r="142">
          <cell r="C142" t="str">
            <v>DC_CITAMIANG</v>
          </cell>
          <cell r="F142" t="str">
            <v>Agung Problema Huda</v>
          </cell>
        </row>
        <row r="143">
          <cell r="C143" t="str">
            <v>DC_PONDOKASO_LANDEUH</v>
          </cell>
          <cell r="F143" t="str">
            <v>Aris Sopiana</v>
          </cell>
        </row>
        <row r="144">
          <cell r="C144" t="str">
            <v>SMI17B</v>
          </cell>
          <cell r="F144" t="str">
            <v>Bambang Hermanto</v>
          </cell>
        </row>
        <row r="145">
          <cell r="C145" t="str">
            <v>CICANTAYAN</v>
          </cell>
          <cell r="F145" t="str">
            <v>Dani Mardani</v>
          </cell>
        </row>
        <row r="146">
          <cell r="C146" t="str">
            <v>SMI02A</v>
          </cell>
          <cell r="F146" t="str">
            <v>Decky Verdian</v>
          </cell>
        </row>
        <row r="147">
          <cell r="C147" t="str">
            <v>CIBADAK</v>
          </cell>
          <cell r="F147" t="str">
            <v>Dodi Rikiyandi</v>
          </cell>
        </row>
        <row r="148">
          <cell r="C148" t="str">
            <v>PER06C</v>
          </cell>
          <cell r="F148" t="str">
            <v>Fadhlan Zazmi Hilman</v>
          </cell>
        </row>
        <row r="149">
          <cell r="C149" t="str">
            <v>SMI15A</v>
          </cell>
          <cell r="F149" t="str">
            <v>Fadhlan Zazmi Hilman</v>
          </cell>
        </row>
        <row r="150">
          <cell r="C150" t="str">
            <v>SMI29B</v>
          </cell>
          <cell r="F150" t="str">
            <v>Fadillah Pratama Putra</v>
          </cell>
        </row>
        <row r="151">
          <cell r="C151" t="str">
            <v>DC_BOJONG_KEMBAR</v>
          </cell>
          <cell r="F151" t="str">
            <v>Herdiansyah</v>
          </cell>
        </row>
        <row r="152">
          <cell r="C152" t="str">
            <v>SMI09B</v>
          </cell>
          <cell r="F152" t="str">
            <v>Heriyanto</v>
          </cell>
        </row>
        <row r="153">
          <cell r="C153" t="str">
            <v>DC_CIKOLE</v>
          </cell>
          <cell r="F153" t="str">
            <v>Indra Gunawan</v>
          </cell>
        </row>
        <row r="154">
          <cell r="C154" t="str">
            <v>KALAPA_NUNGGAL</v>
          </cell>
          <cell r="F154" t="str">
            <v>Jamaludin</v>
          </cell>
        </row>
        <row r="155">
          <cell r="C155" t="str">
            <v>SMI21A</v>
          </cell>
          <cell r="F155" t="str">
            <v>Jamaludin</v>
          </cell>
        </row>
        <row r="156">
          <cell r="C156" t="str">
            <v>PER11</v>
          </cell>
          <cell r="F156" t="str">
            <v>Muhammad Mahfudin</v>
          </cell>
        </row>
        <row r="157">
          <cell r="C157" t="str">
            <v>PER10A</v>
          </cell>
          <cell r="F157" t="str">
            <v>Nondi Rismaya</v>
          </cell>
        </row>
        <row r="158">
          <cell r="C158" t="str">
            <v>SMI19A</v>
          </cell>
          <cell r="F158" t="str">
            <v>Rahmat Fauzi</v>
          </cell>
        </row>
        <row r="159">
          <cell r="C159" t="str">
            <v>PER05B</v>
          </cell>
          <cell r="F159" t="str">
            <v>Reja Suherlan</v>
          </cell>
        </row>
        <row r="160">
          <cell r="C160" t="str">
            <v>SMI16B</v>
          </cell>
          <cell r="F160" t="str">
            <v>Reja Suherlan</v>
          </cell>
        </row>
        <row r="161">
          <cell r="C161" t="str">
            <v>PER17A</v>
          </cell>
          <cell r="F161" t="str">
            <v>Rendi Muhamad</v>
          </cell>
        </row>
        <row r="162">
          <cell r="C162" t="str">
            <v>PER08A</v>
          </cell>
          <cell r="F162" t="str">
            <v>Restu Sanjaya</v>
          </cell>
        </row>
        <row r="163">
          <cell r="C163" t="str">
            <v>PER04D</v>
          </cell>
          <cell r="F163" t="str">
            <v>Saepul Bahri</v>
          </cell>
        </row>
        <row r="164">
          <cell r="C164" t="str">
            <v>PER15</v>
          </cell>
          <cell r="F164" t="str">
            <v>Saepul Iman</v>
          </cell>
        </row>
        <row r="165">
          <cell r="C165" t="str">
            <v>SMI27B</v>
          </cell>
          <cell r="F165" t="str">
            <v>Sandi Purnama</v>
          </cell>
        </row>
        <row r="166">
          <cell r="C166" t="str">
            <v>SMI22B</v>
          </cell>
          <cell r="F166" t="str">
            <v>Yandi Ramdani</v>
          </cell>
        </row>
        <row r="167">
          <cell r="C167" t="str">
            <v>DC_CISAAT</v>
          </cell>
          <cell r="F167" t="str">
            <v>Yogi Iskandar</v>
          </cell>
        </row>
        <row r="168">
          <cell r="C168" t="str">
            <v>SMI35A</v>
          </cell>
          <cell r="F168" t="str">
            <v>Yogi Iskandar</v>
          </cell>
        </row>
        <row r="169">
          <cell r="C169" t="str">
            <v>SMI20A</v>
          </cell>
          <cell r="F169" t="str">
            <v>Yunus Abdul Lyi Sadjidin</v>
          </cell>
        </row>
        <row r="170">
          <cell r="C170" t="str">
            <v>TANGGULUN_BARAT_2</v>
          </cell>
          <cell r="F170" t="str">
            <v>Ardi Rahman Suwandi</v>
          </cell>
        </row>
        <row r="171">
          <cell r="C171" t="str">
            <v>SBG16A</v>
          </cell>
          <cell r="F171" t="str">
            <v>Argam Maulana</v>
          </cell>
        </row>
        <row r="172">
          <cell r="C172" t="str">
            <v>GEMBOR_4</v>
          </cell>
          <cell r="F172" t="str">
            <v>Ari Apriadi</v>
          </cell>
        </row>
        <row r="173">
          <cell r="C173" t="str">
            <v>SUKAMANDIJAYA_2</v>
          </cell>
          <cell r="F173" t="str">
            <v>Ari Apriadi</v>
          </cell>
        </row>
        <row r="174">
          <cell r="C174" t="str">
            <v>PUSAKARATU_4</v>
          </cell>
          <cell r="F174" t="str">
            <v>Caswin Aprianto</v>
          </cell>
        </row>
        <row r="175">
          <cell r="C175" t="str">
            <v>KALIANGSANA_2</v>
          </cell>
          <cell r="F175" t="str">
            <v>Dede Rino Mailudin</v>
          </cell>
        </row>
        <row r="176">
          <cell r="C176" t="str">
            <v>SBG01B</v>
          </cell>
          <cell r="F176" t="str">
            <v>Deden Maulana</v>
          </cell>
        </row>
        <row r="177">
          <cell r="C177" t="str">
            <v>LENGKONGJAYA_2</v>
          </cell>
          <cell r="F177" t="str">
            <v>Deden Maulana</v>
          </cell>
        </row>
        <row r="178">
          <cell r="C178" t="str">
            <v>SBG21B</v>
          </cell>
          <cell r="F178" t="str">
            <v>Deni Herdian</v>
          </cell>
        </row>
        <row r="179">
          <cell r="C179" t="str">
            <v>SBG29A</v>
          </cell>
          <cell r="F179" t="str">
            <v>Fikri Hidayatuloh</v>
          </cell>
        </row>
        <row r="180">
          <cell r="C180" t="str">
            <v>SBG08C</v>
          </cell>
          <cell r="F180" t="str">
            <v>Ilyas Roya</v>
          </cell>
        </row>
        <row r="181">
          <cell r="C181" t="str">
            <v>CIBOGO_SBG</v>
          </cell>
          <cell r="F181" t="str">
            <v>Ilyas Roya</v>
          </cell>
        </row>
        <row r="182">
          <cell r="C182" t="str">
            <v>SOKLAT_4</v>
          </cell>
          <cell r="F182" t="str">
            <v>Ilyas Roya</v>
          </cell>
        </row>
        <row r="183">
          <cell r="C183" t="str">
            <v>PATOKBEUSI_2</v>
          </cell>
          <cell r="F183" t="str">
            <v>Muhamad Alimudin</v>
          </cell>
        </row>
        <row r="184">
          <cell r="C184" t="str">
            <v>CISALAK_4</v>
          </cell>
          <cell r="F184" t="str">
            <v>Regy Permana</v>
          </cell>
        </row>
        <row r="185">
          <cell r="C185" t="str">
            <v>SUKARESMI_3</v>
          </cell>
          <cell r="F185" t="str">
            <v>Regy Permana</v>
          </cell>
        </row>
        <row r="186">
          <cell r="C186" t="str">
            <v>SBG27A</v>
          </cell>
          <cell r="F186" t="str">
            <v>Rijal</v>
          </cell>
        </row>
        <row r="187">
          <cell r="C187" t="str">
            <v>CIEUNDEUR</v>
          </cell>
          <cell r="F187" t="str">
            <v>Agustian Sholeh</v>
          </cell>
        </row>
        <row r="188">
          <cell r="C188" t="str">
            <v>CJR22A</v>
          </cell>
          <cell r="F188" t="str">
            <v>Billy Jenawi</v>
          </cell>
        </row>
        <row r="189">
          <cell r="C189" t="str">
            <v>CJR16B</v>
          </cell>
          <cell r="F189" t="str">
            <v>Budi Sunandar</v>
          </cell>
        </row>
        <row r="190">
          <cell r="C190" t="str">
            <v>CIRANJANG</v>
          </cell>
          <cell r="F190" t="str">
            <v>Dadan Darusman</v>
          </cell>
        </row>
        <row r="191">
          <cell r="C191" t="str">
            <v>CJR26B</v>
          </cell>
          <cell r="F191" t="str">
            <v>Dede Kurnia</v>
          </cell>
        </row>
        <row r="192">
          <cell r="C192" t="str">
            <v>CJR09B</v>
          </cell>
          <cell r="F192" t="str">
            <v>Faisal Malik</v>
          </cell>
        </row>
        <row r="193">
          <cell r="C193" t="str">
            <v>CJR13B</v>
          </cell>
          <cell r="F193" t="str">
            <v>Gilang Maulana Yusuf</v>
          </cell>
        </row>
        <row r="194">
          <cell r="C194" t="str">
            <v>CILAKU</v>
          </cell>
          <cell r="F194" t="str">
            <v>Harry Satria Rachman</v>
          </cell>
        </row>
        <row r="195">
          <cell r="C195" t="str">
            <v>CJR06A</v>
          </cell>
          <cell r="F195" t="str">
            <v>Iman Sulaeman</v>
          </cell>
        </row>
        <row r="196">
          <cell r="C196" t="str">
            <v>CJR04A</v>
          </cell>
          <cell r="F196" t="str">
            <v>Jamaludin Syah</v>
          </cell>
        </row>
        <row r="197">
          <cell r="C197" t="str">
            <v>DC_SOLOKPANDAN</v>
          </cell>
          <cell r="F197" t="str">
            <v>Kamaludin</v>
          </cell>
        </row>
        <row r="198">
          <cell r="C198" t="str">
            <v>CJR17A</v>
          </cell>
          <cell r="F198" t="str">
            <v>Muhamad Hendar Ali</v>
          </cell>
        </row>
        <row r="199">
          <cell r="C199" t="str">
            <v>CJR14B</v>
          </cell>
          <cell r="F199" t="str">
            <v>Muhammad Nurani Kholis</v>
          </cell>
        </row>
        <row r="200">
          <cell r="C200" t="str">
            <v>SADAMAYA</v>
          </cell>
          <cell r="F200" t="str">
            <v>Rahmat Efendi</v>
          </cell>
        </row>
        <row r="201">
          <cell r="C201" t="str">
            <v>MUKA</v>
          </cell>
          <cell r="F201" t="str">
            <v>Ricky Nurdiansyah</v>
          </cell>
        </row>
        <row r="202">
          <cell r="C202" t="str">
            <v>CIPANAS</v>
          </cell>
          <cell r="F202" t="str">
            <v>Tanto Taufik</v>
          </cell>
        </row>
        <row r="203">
          <cell r="C203" t="str">
            <v>PACET_CJR_2</v>
          </cell>
          <cell r="F203" t="str">
            <v>Tanto Taufik</v>
          </cell>
        </row>
        <row r="204">
          <cell r="C204" t="str">
            <v>CJR18C</v>
          </cell>
          <cell r="F204" t="str">
            <v>Ujang Andi</v>
          </cell>
        </row>
        <row r="205">
          <cell r="C205" t="str">
            <v>CJR07B</v>
          </cell>
          <cell r="F205" t="str">
            <v>Zam zam Mugni fadil</v>
          </cell>
        </row>
        <row r="206">
          <cell r="C206" t="str">
            <v>PWK05B</v>
          </cell>
          <cell r="F206" t="str">
            <v>Andy Risqi Pratama S</v>
          </cell>
        </row>
        <row r="207">
          <cell r="C207" t="str">
            <v>JATISARI_BARU</v>
          </cell>
          <cell r="F207" t="str">
            <v>Darwanto</v>
          </cell>
        </row>
        <row r="208">
          <cell r="C208" t="str">
            <v>PWK01B</v>
          </cell>
          <cell r="F208" t="str">
            <v>Deni Sukmana</v>
          </cell>
        </row>
        <row r="209">
          <cell r="C209" t="str">
            <v>PASAR_PERMAI</v>
          </cell>
          <cell r="F209" t="str">
            <v>Hafiz Muhammad Siddiq</v>
          </cell>
        </row>
        <row r="210">
          <cell r="C210" t="str">
            <v>CILAMAYA</v>
          </cell>
          <cell r="F210" t="str">
            <v>Haliman Apriyadi</v>
          </cell>
        </row>
        <row r="211">
          <cell r="C211" t="str">
            <v>PWK08A</v>
          </cell>
          <cell r="F211" t="str">
            <v>Jejen Jaenudin</v>
          </cell>
        </row>
        <row r="212">
          <cell r="C212" t="str">
            <v>PWK03B</v>
          </cell>
          <cell r="F212" t="str">
            <v>M. Sanusi</v>
          </cell>
        </row>
        <row r="213">
          <cell r="C213" t="str">
            <v>PWK12A</v>
          </cell>
          <cell r="F213" t="str">
            <v>Muhamad Ali Assegap</v>
          </cell>
        </row>
        <row r="214">
          <cell r="C214" t="str">
            <v>PWK04B</v>
          </cell>
          <cell r="F214" t="str">
            <v>Muhamad Basir Gusfian</v>
          </cell>
        </row>
        <row r="215">
          <cell r="C215" t="str">
            <v>PWK15K</v>
          </cell>
          <cell r="F215" t="str">
            <v>Nanang Kosim</v>
          </cell>
        </row>
        <row r="216">
          <cell r="C216" t="str">
            <v>PWK10C</v>
          </cell>
          <cell r="F216" t="str">
            <v>Rahayu Akbar Permana</v>
          </cell>
        </row>
        <row r="217">
          <cell r="C217" t="str">
            <v>PWK06B</v>
          </cell>
          <cell r="F217" t="str">
            <v>Reza Cahya Jamaludin</v>
          </cell>
        </row>
        <row r="218">
          <cell r="C218" t="str">
            <v>PWK15L</v>
          </cell>
          <cell r="F218" t="str">
            <v>Rifki Satria Nasution</v>
          </cell>
        </row>
        <row r="219">
          <cell r="C219" t="str">
            <v>PWK02D</v>
          </cell>
          <cell r="F219" t="str">
            <v>Sarip Nurdin</v>
          </cell>
        </row>
        <row r="220">
          <cell r="C220" t="str">
            <v>DC_KOTABARU</v>
          </cell>
          <cell r="F220" t="str">
            <v>Suheri</v>
          </cell>
        </row>
        <row r="221">
          <cell r="C221" t="str">
            <v>KRW28B</v>
          </cell>
          <cell r="F221" t="str">
            <v>Yanuar Firmansyah</v>
          </cell>
        </row>
        <row r="222">
          <cell r="C222" t="str">
            <v>PWK07D</v>
          </cell>
          <cell r="F222" t="str">
            <v>Deden Ahmad Saepudin</v>
          </cell>
        </row>
        <row r="223">
          <cell r="C223" t="str">
            <v>PWK15M</v>
          </cell>
          <cell r="F223" t="str">
            <v>Raza Alfianzy</v>
          </cell>
        </row>
        <row r="224">
          <cell r="C224" t="str">
            <v>MANONJAYA</v>
          </cell>
          <cell r="F224" t="str">
            <v>Adi Viki, S.E</v>
          </cell>
        </row>
        <row r="225">
          <cell r="C225" t="str">
            <v>SIN03A</v>
          </cell>
          <cell r="F225" t="str">
            <v>Agung Maulana</v>
          </cell>
        </row>
        <row r="226">
          <cell r="C226" t="str">
            <v>SIN07A</v>
          </cell>
          <cell r="F226" t="str">
            <v>Agung Maulana</v>
          </cell>
        </row>
        <row r="227">
          <cell r="C227" t="str">
            <v>TARAJU_2</v>
          </cell>
          <cell r="F227" t="str">
            <v>Arief Firmansyah</v>
          </cell>
        </row>
        <row r="228">
          <cell r="C228" t="str">
            <v>TSK03E</v>
          </cell>
          <cell r="F228" t="str">
            <v>Ervan Budi Nugraha, S.Kom</v>
          </cell>
        </row>
        <row r="229">
          <cell r="C229" t="str">
            <v>KAWALU</v>
          </cell>
          <cell r="F229" t="str">
            <v>Ervan Budi Nugraha, S.Kom</v>
          </cell>
        </row>
        <row r="230">
          <cell r="C230" t="str">
            <v>DC_KAMASAN</v>
          </cell>
          <cell r="F230" t="str">
            <v>Fahrul Rizal</v>
          </cell>
        </row>
        <row r="231">
          <cell r="C231" t="str">
            <v>TAMANSARI</v>
          </cell>
          <cell r="F231" t="str">
            <v>Haggi Hermawan, S.Pd</v>
          </cell>
        </row>
        <row r="232">
          <cell r="C232" t="str">
            <v>CIKATOMAS</v>
          </cell>
          <cell r="F232" t="str">
            <v>Irfan Anwar Musyadad, S.Pd</v>
          </cell>
        </row>
        <row r="233">
          <cell r="C233" t="str">
            <v>SINGAPARNA</v>
          </cell>
          <cell r="F233" t="str">
            <v>Jenal Yusuf</v>
          </cell>
        </row>
        <row r="234">
          <cell r="C234" t="str">
            <v>SALAWU_2</v>
          </cell>
          <cell r="F234" t="str">
            <v>Jujun Juandi</v>
          </cell>
        </row>
        <row r="235">
          <cell r="C235" t="str">
            <v>TASIKMALAYA</v>
          </cell>
          <cell r="F235" t="str">
            <v>Mahrus Ali</v>
          </cell>
        </row>
        <row r="236">
          <cell r="C236" t="str">
            <v>INDIHIANG_2</v>
          </cell>
          <cell r="F236" t="str">
            <v>Mochamad Alvin Viery Pratama</v>
          </cell>
        </row>
        <row r="237">
          <cell r="C237" t="str">
            <v>SINDANGRERET</v>
          </cell>
          <cell r="F237" t="str">
            <v>Peri Rakasiwi, S.kom</v>
          </cell>
        </row>
        <row r="238">
          <cell r="C238" t="str">
            <v>CIPEDES_4</v>
          </cell>
          <cell r="F238" t="str">
            <v>Ricki Wahyudi</v>
          </cell>
        </row>
        <row r="239">
          <cell r="C239" t="str">
            <v>SIN31</v>
          </cell>
          <cell r="F239" t="str">
            <v>Ridwan Muhammad Abdul Baqi</v>
          </cell>
        </row>
        <row r="240">
          <cell r="C240" t="str">
            <v>SIN29B</v>
          </cell>
          <cell r="F240" t="str">
            <v>Rio Gilang Prakasa</v>
          </cell>
        </row>
        <row r="241">
          <cell r="C241" t="str">
            <v>SIN20</v>
          </cell>
          <cell r="F241" t="str">
            <v>Rizki Harmawan</v>
          </cell>
        </row>
        <row r="242">
          <cell r="C242" t="str">
            <v>CIBEUREUM_2</v>
          </cell>
          <cell r="F242" t="str">
            <v>Sansan Riswandi</v>
          </cell>
        </row>
        <row r="243">
          <cell r="C243" t="str">
            <v>SUKAMANTRI_CIAWI</v>
          </cell>
          <cell r="F243" t="str">
            <v>Soni Setiadi</v>
          </cell>
        </row>
        <row r="244">
          <cell r="C244" t="str">
            <v>DC_ARGASARI</v>
          </cell>
          <cell r="F244" t="str">
            <v>Soni Solehhudin</v>
          </cell>
        </row>
        <row r="245">
          <cell r="C245" t="str">
            <v>SIN26A</v>
          </cell>
          <cell r="F245" t="str">
            <v>Yopha Azizulindar</v>
          </cell>
        </row>
        <row r="246">
          <cell r="C246" t="str">
            <v>CIGANITRI</v>
          </cell>
          <cell r="F246" t="str">
            <v>Adam Muhammad Ramdan</v>
          </cell>
        </row>
        <row r="247">
          <cell r="C247" t="str">
            <v>RANCAMANYAR_3</v>
          </cell>
          <cell r="F247" t="str">
            <v>Adi Hapri Perdiansyah</v>
          </cell>
        </row>
        <row r="248">
          <cell r="C248" t="str">
            <v>DC_SAMOJA</v>
          </cell>
          <cell r="F248" t="str">
            <v>Ahmad Misik Akyas Al-Kaesy</v>
          </cell>
        </row>
        <row r="249">
          <cell r="C249" t="str">
            <v>BEC</v>
          </cell>
          <cell r="F249" t="str">
            <v>Ahmad Misik Akyas Al-Kaesy</v>
          </cell>
        </row>
        <row r="250">
          <cell r="C250" t="str">
            <v>DC_ANTAPANI_WETAN</v>
          </cell>
          <cell r="F250" t="str">
            <v>Cecep Ramadhan Heryana</v>
          </cell>
        </row>
        <row r="251">
          <cell r="C251" t="str">
            <v>SOG07A</v>
          </cell>
          <cell r="F251" t="str">
            <v>Cucun Iryanto</v>
          </cell>
        </row>
        <row r="252">
          <cell r="C252" t="str">
            <v>DC_BALEENDAH</v>
          </cell>
          <cell r="F252" t="str">
            <v>J. Hilmy Malik</v>
          </cell>
        </row>
        <row r="253">
          <cell r="C253" t="str">
            <v>DC_MAJALAYA</v>
          </cell>
          <cell r="F253" t="str">
            <v>Mochamad Wildan Fahddino</v>
          </cell>
        </row>
        <row r="254">
          <cell r="C254" t="str">
            <v>SOG05A</v>
          </cell>
          <cell r="F254" t="str">
            <v>Muhammad Dwi Fawzi Hakim</v>
          </cell>
        </row>
        <row r="255">
          <cell r="C255" t="str">
            <v>PACET</v>
          </cell>
          <cell r="F255" t="str">
            <v>Muhammad Dwi Fawzi Hakim</v>
          </cell>
        </row>
        <row r="256">
          <cell r="C256" t="str">
            <v>DC_BURANGRANG</v>
          </cell>
          <cell r="F256" t="str">
            <v>Muhammad Fariz Arief Rachman</v>
          </cell>
        </row>
        <row r="257">
          <cell r="C257" t="str">
            <v>DC_CIJAGRA</v>
          </cell>
          <cell r="F257" t="str">
            <v>Restu Fauzi</v>
          </cell>
        </row>
        <row r="258">
          <cell r="C258" t="str">
            <v>DC_BINONG</v>
          </cell>
          <cell r="F258" t="str">
            <v>Rian Anjaswara</v>
          </cell>
        </row>
        <row r="259">
          <cell r="C259" t="str">
            <v>PARAKAN_SAAT</v>
          </cell>
          <cell r="F259" t="str">
            <v>Rizki Gunawan</v>
          </cell>
        </row>
        <row r="260">
          <cell r="C260" t="str">
            <v>SERANGMEKAR_2</v>
          </cell>
          <cell r="F260" t="str">
            <v>Toni</v>
          </cell>
        </row>
        <row r="261">
          <cell r="C261" t="str">
            <v>CIRENDANG</v>
          </cell>
          <cell r="F261" t="str">
            <v>Adi Triandi</v>
          </cell>
        </row>
        <row r="262">
          <cell r="C262" t="str">
            <v>KOJENGKANG</v>
          </cell>
          <cell r="F262" t="str">
            <v>Cahya Purnama</v>
          </cell>
        </row>
        <row r="263">
          <cell r="C263" t="str">
            <v>KADUGEDE</v>
          </cell>
          <cell r="F263" t="str">
            <v>Fani Grahamulya Gandamiharja</v>
          </cell>
        </row>
        <row r="264">
          <cell r="C264" t="str">
            <v>KNG18</v>
          </cell>
          <cell r="F264" t="str">
            <v>Muhamad Iqbal Firdaus</v>
          </cell>
        </row>
        <row r="265">
          <cell r="C265" t="str">
            <v>KNG03A</v>
          </cell>
          <cell r="F265" t="str">
            <v>Muhamad Lukman Hakim</v>
          </cell>
        </row>
        <row r="266">
          <cell r="C266" t="str">
            <v>INDANGKERTA</v>
          </cell>
          <cell r="F266" t="str">
            <v>Rachman Mulyawan</v>
          </cell>
        </row>
        <row r="267">
          <cell r="C267" t="str">
            <v>KNG26</v>
          </cell>
          <cell r="F267" t="str">
            <v>Rizal Raetriansyah</v>
          </cell>
        </row>
        <row r="268">
          <cell r="C268" t="str">
            <v>DC_PANAWUAN</v>
          </cell>
          <cell r="F268" t="str">
            <v>Rizki Ahmad Fauzi</v>
          </cell>
        </row>
        <row r="269">
          <cell r="C269" t="str">
            <v>SOG12E</v>
          </cell>
          <cell r="F269" t="str">
            <v>Aly Irsyad Robani</v>
          </cell>
        </row>
        <row r="270">
          <cell r="C270" t="str">
            <v>DC_RANCASARI</v>
          </cell>
          <cell r="F270" t="str">
            <v>Anggiardy Prayudha</v>
          </cell>
        </row>
        <row r="271">
          <cell r="C271" t="str">
            <v>DC_CIBIRU</v>
          </cell>
          <cell r="F271" t="str">
            <v>Azka Nujjiya Fauzan</v>
          </cell>
        </row>
        <row r="272">
          <cell r="C272" t="str">
            <v>SOG02C</v>
          </cell>
          <cell r="F272" t="str">
            <v>Dadan Firmansyah</v>
          </cell>
        </row>
        <row r="273">
          <cell r="C273" t="str">
            <v>SOG13C</v>
          </cell>
          <cell r="F273" t="str">
            <v>Deni Mardiana Ruswandi</v>
          </cell>
        </row>
        <row r="274">
          <cell r="C274" t="str">
            <v>DC_MARGACINTA</v>
          </cell>
          <cell r="F274" t="str">
            <v>Kiptiah</v>
          </cell>
        </row>
        <row r="275">
          <cell r="C275" t="str">
            <v>DC_PANYAWANGAN</v>
          </cell>
          <cell r="F275" t="str">
            <v>Krisna Aditya Putra</v>
          </cell>
        </row>
        <row r="276">
          <cell r="C276" t="str">
            <v>SOG11E</v>
          </cell>
          <cell r="F276" t="str">
            <v>Muchamad Yasir Komaeni</v>
          </cell>
        </row>
        <row r="277">
          <cell r="C277" t="str">
            <v>DC_PEUNDEUY</v>
          </cell>
          <cell r="F277" t="str">
            <v>Muhammad Farlan Dzulfikar</v>
          </cell>
        </row>
        <row r="278">
          <cell r="C278" t="str">
            <v>DC_CINAMBO</v>
          </cell>
          <cell r="F278" t="str">
            <v>Nezar Hikmatiar</v>
          </cell>
        </row>
        <row r="279">
          <cell r="C279" t="str">
            <v>SMB11B</v>
          </cell>
          <cell r="F279" t="str">
            <v>Ade Setiawan</v>
          </cell>
        </row>
        <row r="280">
          <cell r="C280" t="str">
            <v>SMB08B</v>
          </cell>
          <cell r="F280" t="str">
            <v>Adi Riyana</v>
          </cell>
        </row>
        <row r="281">
          <cell r="C281" t="str">
            <v>SMB02B</v>
          </cell>
          <cell r="F281" t="str">
            <v>Dadan Ramdan</v>
          </cell>
        </row>
        <row r="282">
          <cell r="C282" t="str">
            <v>CRN03E</v>
          </cell>
          <cell r="F282" t="str">
            <v>Dany Kurniawan</v>
          </cell>
        </row>
        <row r="283">
          <cell r="C283" t="str">
            <v>SMB13C</v>
          </cell>
          <cell r="F283" t="str">
            <v>Kiki Nugraha</v>
          </cell>
        </row>
        <row r="284">
          <cell r="C284" t="str">
            <v>SMB10C</v>
          </cell>
          <cell r="F284" t="str">
            <v>Kuswanto Hendriyana</v>
          </cell>
        </row>
        <row r="285">
          <cell r="C285" t="str">
            <v>SMB05D</v>
          </cell>
          <cell r="F285" t="str">
            <v>Muhammad Akbar Cokro Pamungkas</v>
          </cell>
        </row>
        <row r="286">
          <cell r="C286" t="str">
            <v>SMB14C</v>
          </cell>
          <cell r="F286" t="str">
            <v>Muhammad Rafi Febryawan</v>
          </cell>
        </row>
        <row r="287">
          <cell r="C287" t="str">
            <v>SMB29B</v>
          </cell>
          <cell r="F287" t="str">
            <v>Muhandani Gifari Razoni</v>
          </cell>
        </row>
        <row r="288">
          <cell r="C288" t="str">
            <v>SMB37C</v>
          </cell>
          <cell r="F288" t="str">
            <v>Nasruloh Abdul Zalil</v>
          </cell>
        </row>
        <row r="289">
          <cell r="C289" t="str">
            <v>CRN02C</v>
          </cell>
          <cell r="F289" t="str">
            <v>Rama Dicky Montana</v>
          </cell>
        </row>
        <row r="290">
          <cell r="C290" t="str">
            <v>SMB40A</v>
          </cell>
          <cell r="F290" t="str">
            <v>Rama Dicky Montana</v>
          </cell>
        </row>
        <row r="291">
          <cell r="C291" t="str">
            <v>DC_CIREBON_BARAT</v>
          </cell>
          <cell r="F291" t="str">
            <v>Riduan</v>
          </cell>
        </row>
        <row r="292">
          <cell r="C292" t="str">
            <v>SMB03C</v>
          </cell>
          <cell r="F292" t="str">
            <v>Rizal Adilla</v>
          </cell>
        </row>
        <row r="293">
          <cell r="C293" t="str">
            <v>SMB28C</v>
          </cell>
          <cell r="F293" t="str">
            <v>Sugianto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base DP"/>
    </sheetNames>
    <sheetDataSet>
      <sheetData sheetId="0">
        <row r="2">
          <cell r="C2" t="str">
            <v>NAMA DP</v>
          </cell>
          <cell r="F2" t="str">
            <v>MANAGER KOTA</v>
          </cell>
        </row>
        <row r="3">
          <cell r="C3" t="str">
            <v>BANJARNEGARA</v>
          </cell>
          <cell r="F3" t="str">
            <v>AGUS</v>
          </cell>
        </row>
        <row r="4">
          <cell r="C4" t="str">
            <v>KLAMPOK</v>
          </cell>
          <cell r="F4" t="str">
            <v>AGUS</v>
          </cell>
        </row>
        <row r="5">
          <cell r="C5" t="str">
            <v>KARANG_KOBAR</v>
          </cell>
          <cell r="F5" t="str">
            <v>AGUS</v>
          </cell>
        </row>
        <row r="6">
          <cell r="C6" t="str">
            <v>BAWANG</v>
          </cell>
          <cell r="F6" t="str">
            <v>AGUS</v>
          </cell>
        </row>
        <row r="7">
          <cell r="C7" t="str">
            <v>WANADADI</v>
          </cell>
          <cell r="F7" t="str">
            <v>AGUS</v>
          </cell>
        </row>
        <row r="8">
          <cell r="C8" t="str">
            <v>SIGALUH</v>
          </cell>
          <cell r="F8" t="str">
            <v>AGUS</v>
          </cell>
        </row>
        <row r="9">
          <cell r="C9" t="str">
            <v>PUNGGELAN01</v>
          </cell>
          <cell r="F9" t="str">
            <v>AGUS</v>
          </cell>
        </row>
        <row r="10">
          <cell r="C10" t="str">
            <v>MANDIRAJA01</v>
          </cell>
          <cell r="F10" t="str">
            <v>AGUS</v>
          </cell>
        </row>
        <row r="11">
          <cell r="C11" t="str">
            <v>PEJAWARAN</v>
          </cell>
          <cell r="F11" t="str">
            <v>AGUS</v>
          </cell>
        </row>
        <row r="12">
          <cell r="C12" t="str">
            <v>KAJEN</v>
          </cell>
          <cell r="F12" t="str">
            <v>AI RIFIAN</v>
          </cell>
        </row>
        <row r="13">
          <cell r="C13" t="str">
            <v>BOJONG</v>
          </cell>
          <cell r="F13" t="str">
            <v>AI RIFIAN</v>
          </cell>
        </row>
        <row r="14">
          <cell r="C14" t="str">
            <v>KARANGSARI_KAJEN</v>
          </cell>
          <cell r="F14" t="str">
            <v>AI RIFIAN</v>
          </cell>
        </row>
        <row r="15">
          <cell r="C15" t="str">
            <v>DORO</v>
          </cell>
          <cell r="F15" t="str">
            <v>AI RIFIAN</v>
          </cell>
        </row>
        <row r="16">
          <cell r="C16" t="str">
            <v>PANINGGARAN</v>
          </cell>
          <cell r="F16" t="str">
            <v>AI RIFIAN</v>
          </cell>
        </row>
        <row r="17">
          <cell r="C17" t="str">
            <v>TIRTO01</v>
          </cell>
          <cell r="F17" t="str">
            <v>AI RIFIAN</v>
          </cell>
        </row>
        <row r="18">
          <cell r="C18" t="str">
            <v>KESESI01</v>
          </cell>
          <cell r="F18" t="str">
            <v>AI RIFIAN</v>
          </cell>
        </row>
        <row r="19">
          <cell r="C19" t="str">
            <v>WONOPRINGGO01</v>
          </cell>
          <cell r="F19" t="str">
            <v>AI RIFIAN</v>
          </cell>
        </row>
        <row r="20">
          <cell r="C20" t="str">
            <v>KEDUNGWUNI01</v>
          </cell>
          <cell r="F20" t="str">
            <v>AI RIFIAN</v>
          </cell>
        </row>
        <row r="21">
          <cell r="C21" t="str">
            <v>KARANGDADAP01</v>
          </cell>
          <cell r="F21" t="str">
            <v>AI RIFIAN</v>
          </cell>
        </row>
        <row r="22">
          <cell r="C22" t="str">
            <v>TEMANGGUNG</v>
          </cell>
          <cell r="F22" t="str">
            <v>BOWO</v>
          </cell>
        </row>
        <row r="23">
          <cell r="C23" t="str">
            <v>NGADIREJO</v>
          </cell>
          <cell r="F23" t="str">
            <v>BOWO</v>
          </cell>
        </row>
        <row r="24">
          <cell r="C24" t="str">
            <v>CANDIROTO</v>
          </cell>
          <cell r="F24" t="str">
            <v>BOWO</v>
          </cell>
        </row>
        <row r="25">
          <cell r="C25" t="str">
            <v>PARAKAN</v>
          </cell>
          <cell r="F25" t="str">
            <v>BOWO</v>
          </cell>
        </row>
        <row r="26">
          <cell r="C26" t="str">
            <v>KRANGGAN</v>
          </cell>
          <cell r="F26" t="str">
            <v>BOWO</v>
          </cell>
        </row>
        <row r="27">
          <cell r="C27" t="str">
            <v>KEDU</v>
          </cell>
          <cell r="F27" t="str">
            <v>BOWO</v>
          </cell>
        </row>
        <row r="28">
          <cell r="C28" t="str">
            <v>WADAS</v>
          </cell>
          <cell r="F28" t="str">
            <v>BOWO</v>
          </cell>
        </row>
        <row r="29">
          <cell r="C29" t="str">
            <v>PRINGSURAT_TIMUR</v>
          </cell>
          <cell r="F29" t="str">
            <v>BOWO</v>
          </cell>
        </row>
        <row r="30">
          <cell r="C30" t="str">
            <v>BLORA</v>
          </cell>
          <cell r="F30" t="str">
            <v>DADANG</v>
          </cell>
        </row>
        <row r="31">
          <cell r="C31" t="str">
            <v>NGAWEN</v>
          </cell>
          <cell r="F31" t="str">
            <v>DADANG</v>
          </cell>
        </row>
        <row r="32">
          <cell r="C32" t="str">
            <v>JEPON</v>
          </cell>
          <cell r="F32" t="str">
            <v>DADANG</v>
          </cell>
        </row>
        <row r="33">
          <cell r="C33" t="str">
            <v>KUNDURAN</v>
          </cell>
          <cell r="F33" t="str">
            <v>DADANG</v>
          </cell>
        </row>
        <row r="34">
          <cell r="C34" t="str">
            <v>CEPU</v>
          </cell>
          <cell r="F34" t="str">
            <v>DADANG</v>
          </cell>
        </row>
        <row r="35">
          <cell r="C35" t="str">
            <v>RANDUBLATUNG</v>
          </cell>
          <cell r="F35" t="str">
            <v>DADANG</v>
          </cell>
        </row>
        <row r="36">
          <cell r="C36" t="str">
            <v>KEDUNGTUBAN</v>
          </cell>
          <cell r="F36" t="str">
            <v>DADANG</v>
          </cell>
        </row>
        <row r="37">
          <cell r="C37" t="str">
            <v>TUNJUNGAN</v>
          </cell>
          <cell r="F37" t="str">
            <v>DADANG</v>
          </cell>
        </row>
        <row r="38">
          <cell r="C38" t="str">
            <v>JATI_BLORA</v>
          </cell>
          <cell r="F38" t="str">
            <v>DADANG</v>
          </cell>
        </row>
        <row r="39">
          <cell r="C39" t="str">
            <v>SAMBONG</v>
          </cell>
          <cell r="F39" t="str">
            <v>DADANG</v>
          </cell>
        </row>
        <row r="40">
          <cell r="C40" t="str">
            <v>SUMOWONO</v>
          </cell>
          <cell r="F40" t="str">
            <v>DANIEL</v>
          </cell>
        </row>
        <row r="41">
          <cell r="C41" t="str">
            <v>AMBARAWA</v>
          </cell>
          <cell r="F41" t="str">
            <v>DANIEL</v>
          </cell>
        </row>
        <row r="42">
          <cell r="C42" t="str">
            <v>UNGARAN</v>
          </cell>
          <cell r="F42" t="str">
            <v>DANIEL</v>
          </cell>
        </row>
        <row r="43">
          <cell r="C43" t="str">
            <v>BAWEN</v>
          </cell>
          <cell r="F43" t="str">
            <v>DANIEL</v>
          </cell>
        </row>
        <row r="44">
          <cell r="C44" t="str">
            <v>BERGAS</v>
          </cell>
          <cell r="F44" t="str">
            <v>DANIEL</v>
          </cell>
        </row>
        <row r="45">
          <cell r="C45" t="str">
            <v>BANYUBIRU</v>
          </cell>
          <cell r="F45" t="str">
            <v>DANIEL</v>
          </cell>
        </row>
        <row r="46">
          <cell r="C46" t="str">
            <v>CANDIREJO</v>
          </cell>
          <cell r="F46" t="str">
            <v>DANIEL</v>
          </cell>
        </row>
        <row r="47">
          <cell r="C47" t="str">
            <v>PRINGAPUS</v>
          </cell>
          <cell r="F47" t="str">
            <v>DANIEL</v>
          </cell>
        </row>
        <row r="48">
          <cell r="C48" t="str">
            <v>SALATIGA</v>
          </cell>
          <cell r="F48" t="str">
            <v>GERRY</v>
          </cell>
        </row>
        <row r="49">
          <cell r="C49" t="str">
            <v>SURUH</v>
          </cell>
          <cell r="F49" t="str">
            <v>GERRY</v>
          </cell>
        </row>
        <row r="50">
          <cell r="C50" t="str">
            <v>BRINGIN</v>
          </cell>
          <cell r="F50" t="str">
            <v>GERRY</v>
          </cell>
        </row>
        <row r="51">
          <cell r="C51" t="str">
            <v>TINGKIR</v>
          </cell>
          <cell r="F51" t="str">
            <v>GERRY</v>
          </cell>
        </row>
        <row r="52">
          <cell r="C52" t="str">
            <v>TENGARAN</v>
          </cell>
          <cell r="F52" t="str">
            <v>GERRY</v>
          </cell>
        </row>
        <row r="53">
          <cell r="C53" t="str">
            <v>AJIBARANG</v>
          </cell>
          <cell r="F53" t="str">
            <v>HERI</v>
          </cell>
        </row>
        <row r="54">
          <cell r="C54" t="str">
            <v>BANYUMAS</v>
          </cell>
          <cell r="F54" t="str">
            <v>HERI</v>
          </cell>
        </row>
        <row r="55">
          <cell r="C55" t="str">
            <v>PATIKRAJA</v>
          </cell>
          <cell r="F55" t="str">
            <v>HERI</v>
          </cell>
        </row>
        <row r="56">
          <cell r="C56" t="str">
            <v>SUMPIUH</v>
          </cell>
          <cell r="F56" t="str">
            <v>HERI</v>
          </cell>
        </row>
        <row r="57">
          <cell r="C57" t="str">
            <v>WANGON</v>
          </cell>
          <cell r="F57" t="str">
            <v>HERI</v>
          </cell>
        </row>
        <row r="58">
          <cell r="C58" t="str">
            <v>KEMBARAN</v>
          </cell>
          <cell r="F58" t="str">
            <v>HERI</v>
          </cell>
        </row>
        <row r="59">
          <cell r="C59" t="str">
            <v>KARANGLEWAS</v>
          </cell>
          <cell r="F59" t="str">
            <v>HERI</v>
          </cell>
        </row>
        <row r="60">
          <cell r="C60" t="str">
            <v>CILONGOK</v>
          </cell>
          <cell r="F60" t="str">
            <v>HERI</v>
          </cell>
        </row>
        <row r="61">
          <cell r="C61" t="str">
            <v>RAWALO</v>
          </cell>
          <cell r="F61" t="str">
            <v>HERI</v>
          </cell>
        </row>
        <row r="62">
          <cell r="C62" t="str">
            <v>SOMAGEDE</v>
          </cell>
          <cell r="F62" t="str">
            <v>HERI</v>
          </cell>
        </row>
        <row r="63">
          <cell r="C63" t="str">
            <v>PURWOKERTO_UTARA</v>
          </cell>
          <cell r="F63" t="str">
            <v>HERI</v>
          </cell>
        </row>
        <row r="64">
          <cell r="C64" t="str">
            <v>PEKUNCEN</v>
          </cell>
          <cell r="F64" t="str">
            <v>HERI</v>
          </cell>
        </row>
        <row r="65">
          <cell r="C65" t="str">
            <v>SUMBANG01</v>
          </cell>
          <cell r="F65" t="str">
            <v>HERI</v>
          </cell>
        </row>
        <row r="66">
          <cell r="C66" t="str">
            <v>KEMRANJEN01</v>
          </cell>
          <cell r="F66" t="str">
            <v>HERI</v>
          </cell>
        </row>
        <row r="67">
          <cell r="C67" t="str">
            <v>KARANGRAYUNG</v>
          </cell>
          <cell r="F67" t="str">
            <v>RISWANTO</v>
          </cell>
        </row>
        <row r="68">
          <cell r="C68" t="str">
            <v>PURWODADI</v>
          </cell>
          <cell r="F68" t="str">
            <v>RISWANTO</v>
          </cell>
        </row>
        <row r="69">
          <cell r="C69" t="str">
            <v>GODONG</v>
          </cell>
          <cell r="F69" t="str">
            <v>RISWANTO</v>
          </cell>
        </row>
        <row r="70">
          <cell r="C70" t="str">
            <v>WIROSARI</v>
          </cell>
          <cell r="F70" t="str">
            <v>RISWANTO</v>
          </cell>
        </row>
        <row r="71">
          <cell r="C71" t="str">
            <v>GUBUG</v>
          </cell>
          <cell r="F71" t="str">
            <v>RISWANTO</v>
          </cell>
        </row>
        <row r="72">
          <cell r="C72" t="str">
            <v>KRADENAN</v>
          </cell>
          <cell r="F72" t="str">
            <v>RISWANTO</v>
          </cell>
        </row>
        <row r="73">
          <cell r="C73" t="str">
            <v>GROBOGAN</v>
          </cell>
          <cell r="F73" t="str">
            <v>RISWANTO</v>
          </cell>
        </row>
        <row r="74">
          <cell r="C74" t="str">
            <v>TEGOWANU</v>
          </cell>
          <cell r="F74" t="str">
            <v>RISWANTO</v>
          </cell>
        </row>
        <row r="75">
          <cell r="C75" t="str">
            <v>PULOKULON</v>
          </cell>
          <cell r="F75" t="str">
            <v>RISWANTO</v>
          </cell>
        </row>
        <row r="76">
          <cell r="C76" t="str">
            <v>PENAWANGAN</v>
          </cell>
          <cell r="F76" t="str">
            <v>RISWANTO</v>
          </cell>
        </row>
        <row r="77">
          <cell r="C77" t="str">
            <v>TANGGUNGHARJO01</v>
          </cell>
          <cell r="F77" t="str">
            <v>RISWANTO</v>
          </cell>
        </row>
        <row r="78">
          <cell r="C78" t="str">
            <v>GEYER</v>
          </cell>
          <cell r="F78" t="str">
            <v>RISWANTO</v>
          </cell>
        </row>
        <row r="79">
          <cell r="C79" t="str">
            <v>GEMUH</v>
          </cell>
          <cell r="F79" t="str">
            <v>KHABIB</v>
          </cell>
        </row>
        <row r="80">
          <cell r="C80" t="str">
            <v>KENDAL</v>
          </cell>
          <cell r="F80" t="str">
            <v>KHABIB</v>
          </cell>
        </row>
        <row r="81">
          <cell r="C81" t="str">
            <v>WELERI</v>
          </cell>
          <cell r="F81" t="str">
            <v>KHABIB</v>
          </cell>
        </row>
        <row r="82">
          <cell r="C82" t="str">
            <v>BOJA</v>
          </cell>
          <cell r="F82" t="str">
            <v>KHABIB</v>
          </cell>
        </row>
        <row r="83">
          <cell r="C83" t="str">
            <v>SUKOREJO</v>
          </cell>
          <cell r="F83" t="str">
            <v>KHABIB</v>
          </cell>
        </row>
        <row r="84">
          <cell r="C84" t="str">
            <v>KALIWUNGU</v>
          </cell>
          <cell r="F84" t="str">
            <v>KHABIB</v>
          </cell>
        </row>
        <row r="85">
          <cell r="C85" t="str">
            <v>BRANGSONG</v>
          </cell>
          <cell r="F85" t="str">
            <v>KHABIB</v>
          </cell>
        </row>
        <row r="86">
          <cell r="C86" t="str">
            <v>TAMPINGAN</v>
          </cell>
          <cell r="F86" t="str">
            <v>KHABIB</v>
          </cell>
        </row>
        <row r="87">
          <cell r="C87" t="str">
            <v>PAGERUYUNG</v>
          </cell>
          <cell r="F87" t="str">
            <v>KHABIB</v>
          </cell>
        </row>
        <row r="88">
          <cell r="C88" t="str">
            <v>MEJOBO</v>
          </cell>
          <cell r="F88" t="str">
            <v>KHOLIK</v>
          </cell>
        </row>
        <row r="89">
          <cell r="C89" t="str">
            <v>KUDUS</v>
          </cell>
          <cell r="F89" t="str">
            <v>KHOLIK</v>
          </cell>
        </row>
        <row r="90">
          <cell r="C90" t="str">
            <v>JEKULO</v>
          </cell>
          <cell r="F90" t="str">
            <v>KHOLIK</v>
          </cell>
        </row>
        <row r="91">
          <cell r="C91" t="str">
            <v>JATI</v>
          </cell>
          <cell r="F91" t="str">
            <v>KHOLIK</v>
          </cell>
        </row>
        <row r="92">
          <cell r="C92" t="str">
            <v>DAWE</v>
          </cell>
          <cell r="F92" t="str">
            <v>KHOLIK</v>
          </cell>
        </row>
        <row r="93">
          <cell r="C93" t="str">
            <v>UNDAAN</v>
          </cell>
          <cell r="F93" t="str">
            <v>KHOLIK</v>
          </cell>
        </row>
        <row r="94">
          <cell r="C94" t="str">
            <v>KALIWUNGU_KUDUS</v>
          </cell>
          <cell r="F94" t="str">
            <v>KHOLIK</v>
          </cell>
        </row>
        <row r="95">
          <cell r="C95" t="str">
            <v>GEBOG</v>
          </cell>
          <cell r="F95" t="str">
            <v>KHOLIK</v>
          </cell>
        </row>
        <row r="96">
          <cell r="C96" t="str">
            <v>REJOSARI_KUDUS</v>
          </cell>
          <cell r="F96" t="str">
            <v>KHOLIK</v>
          </cell>
        </row>
        <row r="97">
          <cell r="C97" t="str">
            <v>KEDUNG</v>
          </cell>
          <cell r="F97" t="str">
            <v>KHOLIL</v>
          </cell>
        </row>
        <row r="98">
          <cell r="C98" t="str">
            <v>JEPARA</v>
          </cell>
          <cell r="F98" t="str">
            <v>KHOLIL</v>
          </cell>
        </row>
        <row r="99">
          <cell r="C99" t="str">
            <v>BANGSRI</v>
          </cell>
          <cell r="F99" t="str">
            <v>KHOLIL</v>
          </cell>
        </row>
        <row r="100">
          <cell r="C100" t="str">
            <v>PECANGAAN</v>
          </cell>
          <cell r="F100" t="str">
            <v>KHOLIL</v>
          </cell>
        </row>
        <row r="101">
          <cell r="C101" t="str">
            <v>WONOREJO</v>
          </cell>
          <cell r="F101" t="str">
            <v>KHOLIL</v>
          </cell>
        </row>
        <row r="102">
          <cell r="C102" t="str">
            <v>MAYONG</v>
          </cell>
          <cell r="F102" t="str">
            <v>KHOLIL</v>
          </cell>
        </row>
        <row r="103">
          <cell r="C103" t="str">
            <v>TAHUNAN</v>
          </cell>
          <cell r="F103" t="str">
            <v>KHOLIL</v>
          </cell>
        </row>
        <row r="104">
          <cell r="C104" t="str">
            <v>KELET</v>
          </cell>
          <cell r="F104" t="str">
            <v>KHOLIL</v>
          </cell>
        </row>
        <row r="105">
          <cell r="C105" t="str">
            <v>WELAHAN</v>
          </cell>
          <cell r="F105" t="str">
            <v>KHOLIL</v>
          </cell>
        </row>
        <row r="106">
          <cell r="C106" t="str">
            <v>KALINYAMATAN</v>
          </cell>
          <cell r="F106" t="str">
            <v>KHOLIL</v>
          </cell>
        </row>
        <row r="107">
          <cell r="C107" t="str">
            <v>SENENAN</v>
          </cell>
          <cell r="F107" t="str">
            <v>KHOLIL</v>
          </cell>
        </row>
        <row r="108">
          <cell r="C108" t="str">
            <v>NALUMSARI</v>
          </cell>
          <cell r="F108" t="str">
            <v>KHOLIL</v>
          </cell>
        </row>
        <row r="109">
          <cell r="C109" t="str">
            <v>TULIS</v>
          </cell>
          <cell r="F109" t="str">
            <v>SUPRIYADI</v>
          </cell>
        </row>
        <row r="110">
          <cell r="C110" t="str">
            <v>WARUNGASEM</v>
          </cell>
          <cell r="F110" t="str">
            <v>SUPRIYADI</v>
          </cell>
        </row>
        <row r="111">
          <cell r="C111" t="str">
            <v>REBAN</v>
          </cell>
          <cell r="F111" t="str">
            <v>SUPRIYADI</v>
          </cell>
        </row>
        <row r="112">
          <cell r="C112" t="str">
            <v>GRINGSING_LAMA</v>
          </cell>
          <cell r="F112" t="str">
            <v>SUPRIYADI</v>
          </cell>
        </row>
        <row r="113">
          <cell r="C113" t="str">
            <v>BATANG_UTARA</v>
          </cell>
          <cell r="F113" t="str">
            <v>SUPRIYADI</v>
          </cell>
        </row>
        <row r="114">
          <cell r="C114" t="str">
            <v>BATANG01</v>
          </cell>
          <cell r="F114" t="str">
            <v>SUPRIYADI</v>
          </cell>
        </row>
        <row r="115">
          <cell r="C115" t="str">
            <v>BANDAR01</v>
          </cell>
          <cell r="F115" t="str">
            <v>SUPRIYADI</v>
          </cell>
        </row>
        <row r="116">
          <cell r="C116" t="str">
            <v>LIMPUNG01</v>
          </cell>
          <cell r="F116" t="str">
            <v>SUPRIYADI</v>
          </cell>
        </row>
        <row r="117">
          <cell r="C117" t="str">
            <v>SUBAH01</v>
          </cell>
          <cell r="F117" t="str">
            <v>SUPRIYADI</v>
          </cell>
        </row>
        <row r="118">
          <cell r="C118" t="str">
            <v>TERSONO</v>
          </cell>
          <cell r="F118" t="str">
            <v>SUPRIYADI</v>
          </cell>
        </row>
        <row r="119">
          <cell r="C119" t="str">
            <v>BLADO01</v>
          </cell>
          <cell r="F119" t="str">
            <v>SUPRIYADI</v>
          </cell>
        </row>
        <row r="120">
          <cell r="C120" t="str">
            <v>PEKALONGAN</v>
          </cell>
          <cell r="F120" t="str">
            <v>OKI</v>
          </cell>
        </row>
        <row r="121">
          <cell r="C121" t="str">
            <v>WIRADESA</v>
          </cell>
          <cell r="F121" t="str">
            <v>OKI</v>
          </cell>
        </row>
        <row r="122">
          <cell r="C122" t="str">
            <v>BUARAN</v>
          </cell>
          <cell r="F122" t="str">
            <v>OKI</v>
          </cell>
        </row>
        <row r="123">
          <cell r="C123" t="str">
            <v>JATILONDO</v>
          </cell>
          <cell r="F123" t="str">
            <v>OKI</v>
          </cell>
        </row>
        <row r="124">
          <cell r="C124" t="str">
            <v>WONOKERTO</v>
          </cell>
          <cell r="F124" t="str">
            <v>OKI</v>
          </cell>
        </row>
        <row r="125">
          <cell r="C125" t="str">
            <v>KLEGO</v>
          </cell>
          <cell r="F125" t="str">
            <v>OKI</v>
          </cell>
        </row>
        <row r="126">
          <cell r="C126" t="str">
            <v>MEDONO</v>
          </cell>
          <cell r="F126" t="str">
            <v>OKI</v>
          </cell>
        </row>
        <row r="127">
          <cell r="C127" t="str">
            <v>KURIPAN</v>
          </cell>
          <cell r="F127" t="str">
            <v>OKI</v>
          </cell>
        </row>
        <row r="128">
          <cell r="C128" t="str">
            <v>PANJANG01</v>
          </cell>
          <cell r="F128" t="str">
            <v>OKI</v>
          </cell>
        </row>
        <row r="129">
          <cell r="C129" t="str">
            <v>GUNUNG_PATI</v>
          </cell>
          <cell r="F129" t="str">
            <v>RAGIL</v>
          </cell>
        </row>
        <row r="130">
          <cell r="C130" t="str">
            <v>TUGU</v>
          </cell>
          <cell r="F130" t="str">
            <v>RAGIL</v>
          </cell>
        </row>
        <row r="131">
          <cell r="C131" t="str">
            <v>MIJEN</v>
          </cell>
          <cell r="F131" t="str">
            <v>RAGIL</v>
          </cell>
        </row>
        <row r="132">
          <cell r="C132" t="str">
            <v>PLALANGAN</v>
          </cell>
          <cell r="F132" t="str">
            <v>RAGIL</v>
          </cell>
        </row>
        <row r="133">
          <cell r="C133" t="str">
            <v>BRINGIN_SEMARANG</v>
          </cell>
          <cell r="F133" t="str">
            <v>RAGIL</v>
          </cell>
        </row>
        <row r="134">
          <cell r="C134" t="str">
            <v>SILAYUR</v>
          </cell>
          <cell r="F134" t="str">
            <v>RAGIL</v>
          </cell>
        </row>
        <row r="135">
          <cell r="C135" t="str">
            <v>SEMARANG_TENGAH</v>
          </cell>
          <cell r="F135" t="str">
            <v>RAGIL</v>
          </cell>
        </row>
        <row r="136">
          <cell r="C136" t="str">
            <v>HASANUDIN</v>
          </cell>
          <cell r="F136" t="str">
            <v>RAGIL</v>
          </cell>
        </row>
        <row r="137">
          <cell r="C137" t="str">
            <v>ANJASMORO</v>
          </cell>
          <cell r="F137" t="str">
            <v>RAGIL</v>
          </cell>
        </row>
        <row r="138">
          <cell r="C138" t="str">
            <v>S_PARMAN</v>
          </cell>
          <cell r="F138" t="str">
            <v>RAGIL</v>
          </cell>
        </row>
        <row r="139">
          <cell r="C139" t="str">
            <v>SIMONGAN</v>
          </cell>
          <cell r="F139" t="str">
            <v>RAGIL</v>
          </cell>
        </row>
        <row r="140">
          <cell r="C140" t="str">
            <v>GRAHAPADMA_01</v>
          </cell>
          <cell r="F140" t="str">
            <v>RAGIL</v>
          </cell>
        </row>
        <row r="141">
          <cell r="C141" t="str">
            <v>PATI</v>
          </cell>
          <cell r="F141" t="str">
            <v>RENDRA</v>
          </cell>
        </row>
        <row r="142">
          <cell r="C142" t="str">
            <v>JUWANA</v>
          </cell>
          <cell r="F142" t="str">
            <v>RENDRA</v>
          </cell>
        </row>
        <row r="143">
          <cell r="C143" t="str">
            <v>TAMBAKROMO</v>
          </cell>
          <cell r="F143" t="str">
            <v>RENDRA</v>
          </cell>
        </row>
        <row r="144">
          <cell r="C144" t="str">
            <v>MARGOYOSO</v>
          </cell>
          <cell r="F144" t="str">
            <v>RENDRA</v>
          </cell>
        </row>
        <row r="145">
          <cell r="C145" t="str">
            <v>TAYU</v>
          </cell>
          <cell r="F145" t="str">
            <v>RENDRA</v>
          </cell>
        </row>
        <row r="146">
          <cell r="C146" t="str">
            <v>JAKENAN</v>
          </cell>
          <cell r="F146" t="str">
            <v>RENDRA</v>
          </cell>
        </row>
        <row r="147">
          <cell r="C147" t="str">
            <v>KAYEN</v>
          </cell>
          <cell r="F147" t="str">
            <v>RENDRA</v>
          </cell>
        </row>
        <row r="148">
          <cell r="C148" t="str">
            <v>WEDARIJAKSA</v>
          </cell>
          <cell r="F148" t="str">
            <v>RENDRA</v>
          </cell>
        </row>
        <row r="149">
          <cell r="C149" t="str">
            <v>BATANGAN</v>
          </cell>
          <cell r="F149" t="str">
            <v>RENDRA</v>
          </cell>
        </row>
        <row r="150">
          <cell r="C150" t="str">
            <v>TLOGOWUNGU_PTI</v>
          </cell>
          <cell r="F150" t="str">
            <v>RENDRA</v>
          </cell>
        </row>
        <row r="151">
          <cell r="C151" t="str">
            <v>WINONG</v>
          </cell>
          <cell r="F151" t="str">
            <v>RENDRA</v>
          </cell>
        </row>
        <row r="152">
          <cell r="C152" t="str">
            <v>DUKUHSETI</v>
          </cell>
          <cell r="F152" t="str">
            <v>RENDRA</v>
          </cell>
        </row>
        <row r="153">
          <cell r="C153" t="str">
            <v>PATI_KIDUL</v>
          </cell>
          <cell r="F153" t="str">
            <v>RENDRA</v>
          </cell>
        </row>
        <row r="154">
          <cell r="C154" t="str">
            <v>SUKOLILO</v>
          </cell>
          <cell r="F154" t="str">
            <v>RENDRA</v>
          </cell>
        </row>
        <row r="155">
          <cell r="C155" t="str">
            <v>TRANGKIL</v>
          </cell>
          <cell r="F155" t="str">
            <v>RENDRA</v>
          </cell>
        </row>
        <row r="156">
          <cell r="C156" t="str">
            <v>GABUS</v>
          </cell>
          <cell r="F156" t="str">
            <v>RENDRA</v>
          </cell>
        </row>
        <row r="157">
          <cell r="C157" t="str">
            <v>CLUWAK</v>
          </cell>
          <cell r="F157" t="str">
            <v>RENDRA</v>
          </cell>
        </row>
        <row r="158">
          <cell r="C158" t="str">
            <v>JUWANA_TIMUR</v>
          </cell>
          <cell r="F158" t="str">
            <v>RENDRA</v>
          </cell>
        </row>
        <row r="159">
          <cell r="C159" t="str">
            <v>REMBANG</v>
          </cell>
          <cell r="F159" t="str">
            <v>ARIF WIBOWO</v>
          </cell>
        </row>
        <row r="160">
          <cell r="C160" t="str">
            <v>LASEM</v>
          </cell>
          <cell r="F160" t="str">
            <v>ARIF WIBOWO</v>
          </cell>
        </row>
        <row r="161">
          <cell r="C161" t="str">
            <v>KRAGAN</v>
          </cell>
          <cell r="F161" t="str">
            <v>ARIF WIBOWO</v>
          </cell>
        </row>
        <row r="162">
          <cell r="C162" t="str">
            <v>PAMOTAN</v>
          </cell>
          <cell r="F162" t="str">
            <v>ARIF WIBOWO</v>
          </cell>
        </row>
        <row r="163">
          <cell r="C163" t="str">
            <v>SEDAN</v>
          </cell>
          <cell r="F163" t="str">
            <v>ARIF WIBOWO</v>
          </cell>
        </row>
        <row r="164">
          <cell r="C164" t="str">
            <v>BULU</v>
          </cell>
          <cell r="F164" t="str">
            <v>ARIF WIBOWO</v>
          </cell>
        </row>
        <row r="165">
          <cell r="C165" t="str">
            <v>SLUKE</v>
          </cell>
          <cell r="F165" t="str">
            <v>ARIF WIBOWO</v>
          </cell>
        </row>
        <row r="166">
          <cell r="C166" t="str">
            <v>SARANG</v>
          </cell>
          <cell r="F166" t="str">
            <v>ARIF WIBOWO</v>
          </cell>
        </row>
        <row r="167">
          <cell r="C167" t="str">
            <v>PANCUR</v>
          </cell>
          <cell r="F167" t="str">
            <v>ARIF WIBOWO</v>
          </cell>
        </row>
        <row r="168">
          <cell r="C168" t="str">
            <v>BANYUMANIK</v>
          </cell>
          <cell r="F168" t="str">
            <v>RONY</v>
          </cell>
        </row>
        <row r="169">
          <cell r="C169" t="str">
            <v>SEMARANG</v>
          </cell>
          <cell r="F169" t="str">
            <v>RONY</v>
          </cell>
        </row>
        <row r="170">
          <cell r="C170" t="str">
            <v>TENTARA_PELAJAR</v>
          </cell>
          <cell r="F170" t="str">
            <v>RONY</v>
          </cell>
        </row>
        <row r="171">
          <cell r="C171" t="str">
            <v>SENDANGMULYO</v>
          </cell>
          <cell r="F171" t="str">
            <v>RONY</v>
          </cell>
        </row>
        <row r="172">
          <cell r="C172" t="str">
            <v>KETILENG_RAYA</v>
          </cell>
          <cell r="F172" t="str">
            <v>RONY</v>
          </cell>
        </row>
        <row r="173">
          <cell r="C173" t="str">
            <v>SUPRIYADI_FNC</v>
          </cell>
          <cell r="F173" t="str">
            <v>RONY</v>
          </cell>
        </row>
        <row r="174">
          <cell r="C174" t="str">
            <v>TLOGOSARI_FNC</v>
          </cell>
          <cell r="F174" t="str">
            <v>RONY</v>
          </cell>
        </row>
        <row r="175">
          <cell r="C175" t="str">
            <v>WOLTER_FNC</v>
          </cell>
          <cell r="F175" t="str">
            <v>RONY</v>
          </cell>
        </row>
        <row r="176">
          <cell r="C176" t="str">
            <v>SIDODADI</v>
          </cell>
          <cell r="F176" t="str">
            <v>RONY</v>
          </cell>
        </row>
        <row r="177">
          <cell r="C177" t="str">
            <v>GENUK</v>
          </cell>
          <cell r="F177" t="str">
            <v>RONY</v>
          </cell>
        </row>
        <row r="178">
          <cell r="C178" t="str">
            <v>PURBALINGGA</v>
          </cell>
          <cell r="F178" t="str">
            <v>SULIS</v>
          </cell>
        </row>
        <row r="179">
          <cell r="C179" t="str">
            <v>BOBOTSARI</v>
          </cell>
          <cell r="F179" t="str">
            <v>SULIS</v>
          </cell>
        </row>
        <row r="180">
          <cell r="C180" t="str">
            <v>KALIGONDANG</v>
          </cell>
          <cell r="F180" t="str">
            <v>SULIS</v>
          </cell>
        </row>
        <row r="181">
          <cell r="C181" t="str">
            <v>BOJONGSARI</v>
          </cell>
          <cell r="F181" t="str">
            <v>SULIS</v>
          </cell>
        </row>
        <row r="182">
          <cell r="C182" t="str">
            <v>SUMAMPIR</v>
          </cell>
          <cell r="F182" t="str">
            <v>SULIS</v>
          </cell>
        </row>
        <row r="183">
          <cell r="C183" t="str">
            <v>PURBALINGGA_LOR</v>
          </cell>
          <cell r="F183" t="str">
            <v>SULIS</v>
          </cell>
        </row>
        <row r="184">
          <cell r="C184" t="str">
            <v>KEMANGKON01</v>
          </cell>
          <cell r="F184" t="str">
            <v>SULIS</v>
          </cell>
        </row>
        <row r="185">
          <cell r="C185" t="str">
            <v>KARANGREJA01</v>
          </cell>
          <cell r="F185" t="str">
            <v>SULIS</v>
          </cell>
        </row>
        <row r="186">
          <cell r="C186" t="str">
            <v>MOJOTENGAH</v>
          </cell>
          <cell r="F186" t="str">
            <v>RIZKY</v>
          </cell>
        </row>
        <row r="187">
          <cell r="C187" t="str">
            <v>KEJAJAR</v>
          </cell>
          <cell r="F187" t="str">
            <v>RIZKY</v>
          </cell>
        </row>
        <row r="188">
          <cell r="C188" t="str">
            <v>KALIWIRO</v>
          </cell>
          <cell r="F188" t="str">
            <v>RIZKY</v>
          </cell>
        </row>
        <row r="189">
          <cell r="C189" t="str">
            <v>MADUKORO_01</v>
          </cell>
          <cell r="F189" t="str">
            <v>RIZKY</v>
          </cell>
        </row>
        <row r="190">
          <cell r="C190" t="str">
            <v>SELOMERTO_01</v>
          </cell>
          <cell r="F190" t="str">
            <v>RIZKY</v>
          </cell>
        </row>
        <row r="191">
          <cell r="C191" t="str">
            <v>SAPURAN_01</v>
          </cell>
          <cell r="F191" t="str">
            <v>RIZKY</v>
          </cell>
        </row>
        <row r="192">
          <cell r="C192" t="str">
            <v>KALIKAJAR</v>
          </cell>
          <cell r="F192" t="str">
            <v>RIZKY</v>
          </cell>
        </row>
        <row r="193">
          <cell r="C193" t="str">
            <v>SLAWI</v>
          </cell>
          <cell r="F193" t="str">
            <v>WAWAN</v>
          </cell>
        </row>
        <row r="194">
          <cell r="C194" t="str">
            <v>SURADADI</v>
          </cell>
          <cell r="F194" t="str">
            <v>WAWAN</v>
          </cell>
        </row>
        <row r="195">
          <cell r="C195" t="str">
            <v>BUMIJAWA</v>
          </cell>
          <cell r="F195" t="str">
            <v>WAWAN</v>
          </cell>
        </row>
        <row r="196">
          <cell r="C196" t="str">
            <v>SLAWI_KULON</v>
          </cell>
          <cell r="F196" t="str">
            <v>WAWAN</v>
          </cell>
        </row>
        <row r="197">
          <cell r="C197" t="str">
            <v>MARGASARI</v>
          </cell>
          <cell r="F197" t="str">
            <v>WAWAN</v>
          </cell>
        </row>
        <row r="198">
          <cell r="C198" t="str">
            <v>KRAMAT_SLAWI</v>
          </cell>
          <cell r="F198" t="str">
            <v>WAWAN</v>
          </cell>
        </row>
        <row r="199">
          <cell r="C199" t="str">
            <v>BALAPULANG</v>
          </cell>
          <cell r="F199" t="str">
            <v>WAWAN</v>
          </cell>
        </row>
        <row r="200">
          <cell r="C200" t="str">
            <v>TALANG</v>
          </cell>
          <cell r="F200" t="str">
            <v>WAWAN</v>
          </cell>
        </row>
        <row r="201">
          <cell r="C201" t="str">
            <v>TARUB</v>
          </cell>
          <cell r="F201" t="str">
            <v>WAWAN</v>
          </cell>
        </row>
        <row r="202">
          <cell r="C202" t="str">
            <v>DUKUHWARU</v>
          </cell>
          <cell r="F202" t="str">
            <v>WAWAN</v>
          </cell>
        </row>
        <row r="203">
          <cell r="C203" t="str">
            <v>KEDUNGBANTENG</v>
          </cell>
          <cell r="F203" t="str">
            <v>WAWAN</v>
          </cell>
        </row>
        <row r="204">
          <cell r="C204" t="str">
            <v>BANDARSARI</v>
          </cell>
          <cell r="F204" t="str">
            <v>WAWAN</v>
          </cell>
        </row>
        <row r="205">
          <cell r="C205" t="str">
            <v>WONOSALAM</v>
          </cell>
          <cell r="F205" t="str">
            <v>YANUAR</v>
          </cell>
        </row>
        <row r="206">
          <cell r="C206" t="str">
            <v>DEMAK</v>
          </cell>
          <cell r="F206" t="str">
            <v>YANUAR</v>
          </cell>
        </row>
        <row r="207">
          <cell r="C207" t="str">
            <v>MRANGGEN</v>
          </cell>
          <cell r="F207" t="str">
            <v>YANUAR</v>
          </cell>
        </row>
        <row r="208">
          <cell r="C208" t="str">
            <v>GAJAH</v>
          </cell>
          <cell r="F208" t="str">
            <v>YANUAR</v>
          </cell>
        </row>
        <row r="209">
          <cell r="C209" t="str">
            <v>WEDUNG</v>
          </cell>
          <cell r="F209" t="str">
            <v>YANUAR</v>
          </cell>
        </row>
        <row r="210">
          <cell r="C210" t="str">
            <v>DEMPET</v>
          </cell>
          <cell r="F210" t="str">
            <v>YANUAR</v>
          </cell>
        </row>
        <row r="211">
          <cell r="C211" t="str">
            <v>SAYUNG</v>
          </cell>
          <cell r="F211" t="str">
            <v>YANUAR</v>
          </cell>
        </row>
        <row r="212">
          <cell r="C212" t="str">
            <v>BATURSARI</v>
          </cell>
          <cell r="F212" t="str">
            <v>YANUAR</v>
          </cell>
        </row>
        <row r="213">
          <cell r="C213" t="str">
            <v>GUNTUR</v>
          </cell>
          <cell r="F213" t="str">
            <v>YANUAR</v>
          </cell>
        </row>
        <row r="214">
          <cell r="C214" t="str">
            <v>BONANG</v>
          </cell>
          <cell r="F214" t="str">
            <v>YANUAR</v>
          </cell>
        </row>
        <row r="215">
          <cell r="C215" t="str">
            <v>KARANGANYAR</v>
          </cell>
          <cell r="F215" t="str">
            <v>YANUAR</v>
          </cell>
        </row>
        <row r="216">
          <cell r="C216" t="str">
            <v>BREBES</v>
          </cell>
          <cell r="F216" t="str">
            <v>YUDHA BRB</v>
          </cell>
        </row>
        <row r="217">
          <cell r="C217" t="str">
            <v>BUMIAYU</v>
          </cell>
          <cell r="F217" t="str">
            <v>YUDHA BRB</v>
          </cell>
        </row>
        <row r="218">
          <cell r="C218" t="str">
            <v>KETANGGUNGAN</v>
          </cell>
          <cell r="F218" t="str">
            <v>YUDHA BRB</v>
          </cell>
        </row>
        <row r="219">
          <cell r="C219" t="str">
            <v>LOSARI</v>
          </cell>
          <cell r="F219" t="str">
            <v>YUDHA BRB</v>
          </cell>
        </row>
        <row r="220">
          <cell r="C220" t="str">
            <v>JATIBARANG_KIDUL</v>
          </cell>
          <cell r="F220" t="str">
            <v>YUDHA BRB</v>
          </cell>
        </row>
        <row r="221">
          <cell r="C221" t="str">
            <v>BULAKAMBA</v>
          </cell>
          <cell r="F221" t="str">
            <v>YUDHA BRB</v>
          </cell>
        </row>
        <row r="222">
          <cell r="C222" t="str">
            <v>LARANGAN_BREBES</v>
          </cell>
          <cell r="F222" t="str">
            <v>YUDHA BRB</v>
          </cell>
        </row>
        <row r="223">
          <cell r="C223" t="str">
            <v>WANASARI_BREBES</v>
          </cell>
          <cell r="F223" t="str">
            <v>YUDHA BRB</v>
          </cell>
        </row>
        <row r="224">
          <cell r="C224" t="str">
            <v>BANJARHARJO</v>
          </cell>
          <cell r="F224" t="str">
            <v>YUDHA BRB</v>
          </cell>
        </row>
        <row r="225">
          <cell r="C225" t="str">
            <v>TONJONG</v>
          </cell>
          <cell r="F225" t="str">
            <v>YUDHA BRB</v>
          </cell>
        </row>
        <row r="226">
          <cell r="C226" t="str">
            <v>SALEM</v>
          </cell>
          <cell r="F226" t="str">
            <v>YUDHA BRB</v>
          </cell>
        </row>
        <row r="227">
          <cell r="C227" t="str">
            <v>BANTARKAWUNG</v>
          </cell>
          <cell r="F227" t="str">
            <v>YUDHA BRB</v>
          </cell>
        </row>
        <row r="228">
          <cell r="C228" t="str">
            <v>PAGUYANGAN</v>
          </cell>
          <cell r="F228" t="str">
            <v>YUDHA BRB</v>
          </cell>
        </row>
        <row r="229">
          <cell r="C229" t="str">
            <v>TANJUNG_BREBES</v>
          </cell>
          <cell r="F229" t="str">
            <v>YUDHA BRB</v>
          </cell>
        </row>
        <row r="230">
          <cell r="C230" t="str">
            <v>SIRAMPOG01</v>
          </cell>
          <cell r="F230" t="str">
            <v>YUDHA BRB</v>
          </cell>
        </row>
        <row r="231">
          <cell r="C231" t="str">
            <v>PEMALANG</v>
          </cell>
          <cell r="F231" t="str">
            <v>ZAENAL</v>
          </cell>
        </row>
        <row r="232">
          <cell r="C232" t="str">
            <v>RANDUDONGKAL</v>
          </cell>
          <cell r="F232" t="str">
            <v>ZAENAL</v>
          </cell>
        </row>
        <row r="233">
          <cell r="C233" t="str">
            <v>COMAL</v>
          </cell>
          <cell r="F233" t="str">
            <v>ZAENAL</v>
          </cell>
        </row>
        <row r="234">
          <cell r="C234" t="str">
            <v>AMBOKULON</v>
          </cell>
          <cell r="F234" t="str">
            <v>ZAENAL</v>
          </cell>
        </row>
        <row r="235">
          <cell r="C235" t="str">
            <v>KEBANGGAN</v>
          </cell>
          <cell r="F235" t="str">
            <v>ZAENAL</v>
          </cell>
        </row>
        <row r="236">
          <cell r="C236" t="str">
            <v>BANJARDAWA</v>
          </cell>
          <cell r="F236" t="str">
            <v>ZAENAL</v>
          </cell>
        </row>
        <row r="237">
          <cell r="C237" t="str">
            <v>PETARUKAN</v>
          </cell>
          <cell r="F237" t="str">
            <v>ZAENAL</v>
          </cell>
        </row>
        <row r="238">
          <cell r="C238" t="str">
            <v>BODEH</v>
          </cell>
          <cell r="F238" t="str">
            <v>ZAENAL</v>
          </cell>
        </row>
        <row r="239">
          <cell r="C239" t="str">
            <v>BELIK</v>
          </cell>
          <cell r="F239" t="str">
            <v>ZAENAL</v>
          </cell>
        </row>
        <row r="240">
          <cell r="C240" t="str">
            <v>WATUKUMPUL</v>
          </cell>
          <cell r="F240" t="str">
            <v>ZAENAL</v>
          </cell>
        </row>
        <row r="241">
          <cell r="C241" t="str">
            <v>BANTARBOLANG</v>
          </cell>
          <cell r="F241" t="str">
            <v>ZAENAL</v>
          </cell>
        </row>
        <row r="242">
          <cell r="C242" t="str">
            <v>MULYOHARJO01</v>
          </cell>
          <cell r="F242" t="str">
            <v>ZAENAL</v>
          </cell>
        </row>
        <row r="243">
          <cell r="C243" t="str">
            <v>TEGAL</v>
          </cell>
          <cell r="F243" t="str">
            <v>DIAZ</v>
          </cell>
        </row>
        <row r="244">
          <cell r="C244" t="str">
            <v>MARGADANA</v>
          </cell>
          <cell r="F244" t="str">
            <v>DIAZ</v>
          </cell>
        </row>
        <row r="245">
          <cell r="C245" t="str">
            <v>TEGAL_BARAT</v>
          </cell>
          <cell r="F245" t="str">
            <v>DIAZ</v>
          </cell>
        </row>
        <row r="246">
          <cell r="C246" t="str">
            <v>DUKUHTURI</v>
          </cell>
          <cell r="F246" t="str">
            <v>DIAZ</v>
          </cell>
        </row>
        <row r="247">
          <cell r="C247" t="str">
            <v>TCBJN021</v>
          </cell>
          <cell r="F247" t="str">
            <v>AGUS</v>
          </cell>
        </row>
        <row r="248">
          <cell r="C248" t="str">
            <v>TCBOL011</v>
          </cell>
          <cell r="F248" t="str">
            <v>DADANG</v>
          </cell>
        </row>
        <row r="249">
          <cell r="C249" t="str">
            <v>TCPDD061</v>
          </cell>
          <cell r="F249" t="str">
            <v>RISWANTO</v>
          </cell>
        </row>
        <row r="250">
          <cell r="C250" t="str">
            <v>TCJPR131</v>
          </cell>
          <cell r="F250" t="str">
            <v>KHOLIL</v>
          </cell>
        </row>
        <row r="251">
          <cell r="C251" t="str">
            <v>TCPKL011</v>
          </cell>
          <cell r="F251" t="str">
            <v>OKI,AI RIFIAN</v>
          </cell>
        </row>
        <row r="252">
          <cell r="C252" t="str">
            <v>TCPTI211</v>
          </cell>
          <cell r="F252" t="str">
            <v>RENDRA</v>
          </cell>
        </row>
        <row r="253">
          <cell r="C253" t="str">
            <v>TCRMB031</v>
          </cell>
          <cell r="F253" t="str">
            <v>ARIF WIBOWO</v>
          </cell>
        </row>
        <row r="254">
          <cell r="C254" t="str">
            <v>TCWNB061</v>
          </cell>
          <cell r="F254" t="str">
            <v>RIZKY</v>
          </cell>
        </row>
        <row r="255">
          <cell r="C255" t="str">
            <v>TCPML021</v>
          </cell>
          <cell r="F255" t="str">
            <v>ZAENAL</v>
          </cell>
        </row>
        <row r="256">
          <cell r="C256" t="str">
            <v>PURWOKERTO</v>
          </cell>
          <cell r="F256" t="str">
            <v>HERI</v>
          </cell>
        </row>
        <row r="257">
          <cell r="C257" t="str">
            <v>KEBASEN</v>
          </cell>
          <cell r="F257" t="str">
            <v>HERI</v>
          </cell>
        </row>
        <row r="258">
          <cell r="C258" t="str">
            <v>SRG_SALES</v>
          </cell>
          <cell r="F258" t="str">
            <v>IRWAN</v>
          </cell>
        </row>
        <row r="259">
          <cell r="C259" t="str">
            <v>PROTOMULYO</v>
          </cell>
          <cell r="F259" t="str">
            <v>KHABIB</v>
          </cell>
        </row>
        <row r="260">
          <cell r="C260" t="str">
            <v>NGALIYAN</v>
          </cell>
          <cell r="F260" t="str">
            <v>RAGIL</v>
          </cell>
        </row>
        <row r="261">
          <cell r="C261" t="str">
            <v>BSB_SEMARANG</v>
          </cell>
          <cell r="F261" t="str">
            <v>RAGIL</v>
          </cell>
        </row>
        <row r="262">
          <cell r="C262" t="str">
            <v>GAJAHMUNGKUR</v>
          </cell>
          <cell r="F262" t="str">
            <v>RAGIL</v>
          </cell>
        </row>
        <row r="263">
          <cell r="C263" t="str">
            <v>PANGGUNG_LOR</v>
          </cell>
          <cell r="F263" t="str">
            <v>RAGIL</v>
          </cell>
        </row>
        <row r="264">
          <cell r="C264" t="str">
            <v>PUDAKPAYUNG</v>
          </cell>
          <cell r="F264" t="str">
            <v>RONY</v>
          </cell>
        </row>
        <row r="265">
          <cell r="C265" t="str">
            <v>TEMBALANG</v>
          </cell>
          <cell r="F265" t="str">
            <v>RONY</v>
          </cell>
        </row>
        <row r="266">
          <cell r="C266" t="str">
            <v>BUGANGAN</v>
          </cell>
          <cell r="F266" t="str">
            <v>RONY</v>
          </cell>
        </row>
        <row r="267">
          <cell r="C267" t="str">
            <v>DEBONG</v>
          </cell>
          <cell r="F267" t="str">
            <v>DIAZ</v>
          </cell>
        </row>
        <row r="268">
          <cell r="C268" t="str">
            <v>PTI_GATEWAY</v>
          </cell>
          <cell r="F268" t="str">
            <v>SKY</v>
          </cell>
        </row>
        <row r="269">
          <cell r="C269" t="str">
            <v>PWO_GATEWAY</v>
          </cell>
          <cell r="F269" t="str">
            <v>SKY</v>
          </cell>
        </row>
        <row r="270">
          <cell r="C270" t="str">
            <v>SRG_GATEWAY</v>
          </cell>
          <cell r="F270" t="str">
            <v>SKY</v>
          </cell>
        </row>
        <row r="271">
          <cell r="C271" t="str">
            <v>TGL_GATEWAY</v>
          </cell>
          <cell r="F271" t="str">
            <v>SKY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  <cell r="I1" t="str">
            <v>RM; SPV</v>
          </cell>
        </row>
        <row r="2">
          <cell r="B2" t="str">
            <v>BANTUAN FILTER</v>
          </cell>
          <cell r="I2" t="str">
            <v>BANTUAN FILTER</v>
          </cell>
        </row>
        <row r="3">
          <cell r="B3" t="str">
            <v>BANTUL</v>
          </cell>
          <cell r="I3" t="str">
            <v>BIMO WALGITO</v>
          </cell>
        </row>
        <row r="4">
          <cell r="B4" t="str">
            <v>KASIHAN</v>
          </cell>
          <cell r="I4" t="str">
            <v>BIMO WALGITO</v>
          </cell>
        </row>
        <row r="5">
          <cell r="B5" t="str">
            <v>SEWON</v>
          </cell>
          <cell r="I5" t="str">
            <v>BIMO WALGITO</v>
          </cell>
        </row>
        <row r="6">
          <cell r="B6" t="str">
            <v>DIRO</v>
          </cell>
          <cell r="I6" t="str">
            <v>BIMO WALGITO</v>
          </cell>
        </row>
        <row r="7">
          <cell r="B7" t="str">
            <v>GOSE</v>
          </cell>
          <cell r="I7" t="str">
            <v>BIMO WALGITO</v>
          </cell>
        </row>
        <row r="8">
          <cell r="B8" t="str">
            <v>PERWITA</v>
          </cell>
          <cell r="I8" t="str">
            <v>BIMO WALGITO</v>
          </cell>
        </row>
        <row r="9">
          <cell r="B9" t="str">
            <v>TAMANAN</v>
          </cell>
          <cell r="I9" t="str">
            <v>BIMO WALGITO</v>
          </cell>
        </row>
        <row r="10">
          <cell r="B10" t="str">
            <v>WONOCATUR</v>
          </cell>
          <cell r="I10" t="str">
            <v>BIMO WALGITO</v>
          </cell>
        </row>
        <row r="11">
          <cell r="B11" t="str">
            <v>SITIMULYO</v>
          </cell>
          <cell r="I11" t="str">
            <v>BIMO WALGITO</v>
          </cell>
        </row>
        <row r="12">
          <cell r="B12" t="str">
            <v>BOYOLALI</v>
          </cell>
          <cell r="I12" t="str">
            <v>RIZKI NOFRIA WAHYUDI</v>
          </cell>
        </row>
        <row r="13">
          <cell r="B13" t="str">
            <v>TERAS</v>
          </cell>
          <cell r="I13" t="str">
            <v>RIZKI NOFRIA WAHYUDI</v>
          </cell>
        </row>
        <row r="14">
          <cell r="B14" t="str">
            <v>AMPEL</v>
          </cell>
          <cell r="I14" t="str">
            <v>RIZKI NOFRIA WAHYUDI</v>
          </cell>
        </row>
        <row r="15">
          <cell r="B15" t="str">
            <v>BYL03A</v>
          </cell>
          <cell r="I15" t="str">
            <v>RIZKI NOFRIA WAHYUDI</v>
          </cell>
        </row>
        <row r="16">
          <cell r="B16" t="str">
            <v>SIMO</v>
          </cell>
          <cell r="I16" t="str">
            <v>RIZKI NOFRIA WAHYUDI</v>
          </cell>
        </row>
        <row r="17">
          <cell r="B17" t="str">
            <v>BYL04A</v>
          </cell>
          <cell r="I17" t="str">
            <v>RIZKI NOFRIA WAHYUDI</v>
          </cell>
        </row>
        <row r="18">
          <cell r="B18" t="str">
            <v>NGEMPLAK</v>
          </cell>
          <cell r="I18" t="str">
            <v>RIZKI NOFRIA WAHYUDI</v>
          </cell>
        </row>
        <row r="19">
          <cell r="B19" t="str">
            <v>PULISEN</v>
          </cell>
          <cell r="I19" t="str">
            <v>RIZKI NOFRIA WAHYUDI</v>
          </cell>
        </row>
        <row r="20">
          <cell r="B20" t="str">
            <v>ANDONG</v>
          </cell>
          <cell r="I20" t="str">
            <v>RIZKI NOFRIA WAHYUDI</v>
          </cell>
        </row>
        <row r="21">
          <cell r="B21" t="str">
            <v>SAWIT</v>
          </cell>
          <cell r="I21" t="str">
            <v>RIZKI NOFRIA WAHYUDI</v>
          </cell>
        </row>
        <row r="22">
          <cell r="B22" t="str">
            <v>KARANGGEDE</v>
          </cell>
          <cell r="I22" t="str">
            <v>RIZKI NOFRIA WAHYUDI</v>
          </cell>
        </row>
        <row r="23">
          <cell r="B23" t="str">
            <v>BYL12</v>
          </cell>
          <cell r="I23" t="str">
            <v>RIZKI NOFRIA WAHYUDI</v>
          </cell>
        </row>
        <row r="24">
          <cell r="B24" t="str">
            <v>CILACAP</v>
          </cell>
          <cell r="I24" t="str">
            <v>DIMAS DANU SOHIBAN</v>
          </cell>
        </row>
        <row r="25">
          <cell r="B25" t="str">
            <v>MAJENANG</v>
          </cell>
          <cell r="I25" t="str">
            <v>IFAN SUTIONO</v>
          </cell>
        </row>
        <row r="26">
          <cell r="B26" t="str">
            <v>KROYA</v>
          </cell>
          <cell r="I26" t="str">
            <v>DIMAS DANU SOHIBAN</v>
          </cell>
        </row>
        <row r="27">
          <cell r="B27" t="str">
            <v>CLP03A</v>
          </cell>
          <cell r="I27" t="str">
            <v>DIMAS DANU SOHIBAN</v>
          </cell>
        </row>
        <row r="28">
          <cell r="B28" t="str">
            <v>SIDAREJA</v>
          </cell>
          <cell r="I28" t="str">
            <v>IFAN SUTIONO</v>
          </cell>
        </row>
        <row r="29">
          <cell r="B29" t="str">
            <v>ADIPALA</v>
          </cell>
          <cell r="I29" t="str">
            <v>DIMAS DANU SOHIBAN</v>
          </cell>
        </row>
        <row r="30">
          <cell r="B30" t="str">
            <v>KAWUNGANTEN</v>
          </cell>
          <cell r="I30" t="str">
            <v>IFAN SUTIONO</v>
          </cell>
        </row>
        <row r="31">
          <cell r="B31" t="str">
            <v>CIMANGGU</v>
          </cell>
          <cell r="I31" t="str">
            <v>IFAN SUTIONO</v>
          </cell>
        </row>
        <row r="32">
          <cell r="B32" t="str">
            <v>MERTASINGA</v>
          </cell>
          <cell r="I32" t="str">
            <v>DIMAS DANU SOHIBAN</v>
          </cell>
        </row>
        <row r="33">
          <cell r="B33" t="str">
            <v>SALIWANGI</v>
          </cell>
          <cell r="I33" t="str">
            <v>DIMAS DANU SOHIBAN</v>
          </cell>
        </row>
        <row r="34">
          <cell r="B34" t="str">
            <v>NUSAWUNGU</v>
          </cell>
          <cell r="I34" t="str">
            <v>DIMAS DANU SOHIBAN</v>
          </cell>
        </row>
        <row r="35">
          <cell r="B35" t="str">
            <v>CLP13A</v>
          </cell>
          <cell r="I35" t="str">
            <v>IFAN SUTIONO</v>
          </cell>
        </row>
        <row r="36">
          <cell r="B36" t="str">
            <v>WANAREJA</v>
          </cell>
          <cell r="I36" t="str">
            <v>IFAN SUTIONO</v>
          </cell>
        </row>
        <row r="37">
          <cell r="B37" t="str">
            <v>YOGYAKARTA</v>
          </cell>
          <cell r="I37" t="str">
            <v>SURYA DWI J</v>
          </cell>
        </row>
        <row r="38">
          <cell r="B38" t="str">
            <v>UMBULHARJO</v>
          </cell>
          <cell r="I38" t="str">
            <v>SURYA DWI J</v>
          </cell>
        </row>
        <row r="39">
          <cell r="B39" t="str">
            <v>KATAMSO</v>
          </cell>
          <cell r="I39" t="str">
            <v>SURYA DWI J</v>
          </cell>
        </row>
        <row r="40">
          <cell r="B40" t="str">
            <v>SURYOWIJAYAN</v>
          </cell>
          <cell r="I40" t="str">
            <v>SURYA DWI J</v>
          </cell>
        </row>
        <row r="41">
          <cell r="B41" t="str">
            <v>GEDONG_KUNING</v>
          </cell>
          <cell r="I41" t="str">
            <v>SURYA DWI J</v>
          </cell>
        </row>
        <row r="42">
          <cell r="B42" t="str">
            <v>GIWANGAN</v>
          </cell>
          <cell r="I42" t="str">
            <v>SURYA DWI J</v>
          </cell>
        </row>
        <row r="43">
          <cell r="B43" t="str">
            <v>COLOMADU</v>
          </cell>
          <cell r="I43" t="str">
            <v>OKI WILLYANTO</v>
          </cell>
        </row>
        <row r="44">
          <cell r="B44" t="str">
            <v>TASIKMADU</v>
          </cell>
          <cell r="I44" t="str">
            <v>FATAH MUSTOFA B</v>
          </cell>
        </row>
        <row r="45">
          <cell r="B45" t="str">
            <v>GONDANGREJO</v>
          </cell>
          <cell r="I45" t="str">
            <v>FATAH MUSTOFA B</v>
          </cell>
        </row>
        <row r="46">
          <cell r="B46" t="str">
            <v>KARANG_PANDAN</v>
          </cell>
          <cell r="I46" t="str">
            <v>FATAH MUSTOFA B</v>
          </cell>
        </row>
        <row r="47">
          <cell r="B47" t="str">
            <v>MATESI</v>
          </cell>
          <cell r="I47" t="str">
            <v>FATAH MUSTOFA B</v>
          </cell>
        </row>
        <row r="48">
          <cell r="B48" t="str">
            <v>BEJEN</v>
          </cell>
          <cell r="I48" t="str">
            <v>FATAH MUSTOFA B</v>
          </cell>
        </row>
        <row r="49">
          <cell r="B49" t="str">
            <v>NGRINGO</v>
          </cell>
          <cell r="I49" t="str">
            <v>FATAH MUSTOFA B</v>
          </cell>
        </row>
        <row r="50">
          <cell r="B50" t="str">
            <v>MOJOGEDANG</v>
          </cell>
          <cell r="I50" t="str">
            <v>FATAH MUSTOFA B</v>
          </cell>
        </row>
        <row r="51">
          <cell r="B51" t="str">
            <v>TUGU_BOTO</v>
          </cell>
          <cell r="I51" t="str">
            <v>OKI WILLYANTO</v>
          </cell>
        </row>
        <row r="52">
          <cell r="B52" t="str">
            <v>JUMAPOLO</v>
          </cell>
          <cell r="I52" t="str">
            <v>FATAH MUSTOFA B</v>
          </cell>
        </row>
        <row r="53">
          <cell r="B53" t="str">
            <v>KEBAKKRAMAT</v>
          </cell>
          <cell r="I53" t="str">
            <v>FATAH MUSTOFA B</v>
          </cell>
        </row>
        <row r="54">
          <cell r="B54" t="str">
            <v>GOMBONG</v>
          </cell>
          <cell r="I54" t="str">
            <v>LUTFI HARIYANTO</v>
          </cell>
        </row>
        <row r="55">
          <cell r="B55" t="str">
            <v>KBM02A</v>
          </cell>
          <cell r="I55" t="str">
            <v>LUTFI HARIYANTO</v>
          </cell>
        </row>
        <row r="56">
          <cell r="B56" t="str">
            <v>PREMBUN</v>
          </cell>
          <cell r="I56" t="str">
            <v>LUTFI HARIYANTO</v>
          </cell>
        </row>
        <row r="57">
          <cell r="B57" t="str">
            <v>KEBUMEN_KOTA</v>
          </cell>
          <cell r="I57" t="str">
            <v>LUTFI HARIYANTO</v>
          </cell>
        </row>
        <row r="58">
          <cell r="B58" t="str">
            <v>AYAH</v>
          </cell>
          <cell r="I58" t="str">
            <v>LUTFI HARIYANTO</v>
          </cell>
        </row>
        <row r="59">
          <cell r="B59" t="str">
            <v>PETANAHAN</v>
          </cell>
          <cell r="I59" t="str">
            <v>LUTFI HARIYANTO</v>
          </cell>
        </row>
        <row r="60">
          <cell r="B60" t="str">
            <v>KUTOWINANGUN</v>
          </cell>
          <cell r="I60" t="str">
            <v>LUTFI HARIYANTO</v>
          </cell>
        </row>
        <row r="61">
          <cell r="B61" t="str">
            <v>CANDI_KEBUMEN</v>
          </cell>
          <cell r="I61" t="str">
            <v>LUTFI HARIYANTO</v>
          </cell>
        </row>
        <row r="62">
          <cell r="B62" t="str">
            <v>KBM17</v>
          </cell>
          <cell r="I62" t="str">
            <v>LUTFI HARIYANTO</v>
          </cell>
        </row>
        <row r="63">
          <cell r="B63" t="str">
            <v>WATES</v>
          </cell>
          <cell r="I63" t="str">
            <v>RASTO ZANU MUBIARTO</v>
          </cell>
        </row>
        <row r="64">
          <cell r="B64" t="str">
            <v>SENTOLO</v>
          </cell>
          <cell r="I64" t="str">
            <v>RASTO ZANU MUBIARTO</v>
          </cell>
        </row>
        <row r="65">
          <cell r="B65" t="str">
            <v>KULONPROGO</v>
          </cell>
          <cell r="I65" t="str">
            <v>RASTO ZANU MUBIARTO</v>
          </cell>
        </row>
        <row r="66">
          <cell r="B66" t="str">
            <v>NANGGULAN</v>
          </cell>
          <cell r="I66" t="str">
            <v>RASTO ZANU MUBIARTO</v>
          </cell>
        </row>
        <row r="67">
          <cell r="B67" t="str">
            <v>KLATEN_SELATAN</v>
          </cell>
          <cell r="I67" t="str">
            <v>ADIMAS BAYU RADITYO</v>
          </cell>
        </row>
        <row r="68">
          <cell r="B68" t="str">
            <v>PRAMBANAN</v>
          </cell>
          <cell r="I68" t="str">
            <v>ADIMAS BAYU RADITYO</v>
          </cell>
        </row>
        <row r="69">
          <cell r="B69" t="str">
            <v>DELANGGU</v>
          </cell>
          <cell r="I69" t="str">
            <v>ADIMAS BAYU RADITYO</v>
          </cell>
        </row>
        <row r="70">
          <cell r="B70" t="str">
            <v>BELANG_WETAN</v>
          </cell>
          <cell r="I70" t="str">
            <v>ADIMAS BAYU RADITYO</v>
          </cell>
        </row>
        <row r="71">
          <cell r="B71" t="str">
            <v>PEDAN</v>
          </cell>
          <cell r="I71" t="str">
            <v>ADIMAS BAYU RADITYO</v>
          </cell>
        </row>
        <row r="72">
          <cell r="B72" t="str">
            <v>KLATEN_TENGAH</v>
          </cell>
          <cell r="I72" t="str">
            <v>ADIMAS BAYU RADITYO</v>
          </cell>
        </row>
        <row r="73">
          <cell r="B73" t="str">
            <v>KARANGDOWO</v>
          </cell>
          <cell r="I73" t="str">
            <v>ADIMAS BAYU RADITYO</v>
          </cell>
        </row>
        <row r="74">
          <cell r="B74" t="str">
            <v>DC_KLATEN</v>
          </cell>
          <cell r="I74" t="str">
            <v>ADIMAS BAYU RADITYO</v>
          </cell>
        </row>
        <row r="75">
          <cell r="B75" t="str">
            <v>MOJAYAN</v>
          </cell>
          <cell r="I75" t="str">
            <v>ADIMAS BAYU RADITYO</v>
          </cell>
        </row>
        <row r="76">
          <cell r="B76" t="str">
            <v>MAYUNGAN</v>
          </cell>
          <cell r="I76" t="str">
            <v>ADIMAS BAYU RADITYO</v>
          </cell>
        </row>
        <row r="77">
          <cell r="B77" t="str">
            <v>TULUNG</v>
          </cell>
          <cell r="I77" t="str">
            <v>ADIMAS BAYU RADITYO</v>
          </cell>
        </row>
        <row r="78">
          <cell r="B78" t="str">
            <v>KLT26</v>
          </cell>
          <cell r="I78" t="str">
            <v>ADIMAS BAYU RADITYO</v>
          </cell>
        </row>
        <row r="79">
          <cell r="B79" t="str">
            <v>MAGELANG</v>
          </cell>
          <cell r="I79" t="str">
            <v>MUHAMMAD DENI HENDRO SUSILO</v>
          </cell>
        </row>
        <row r="80">
          <cell r="B80" t="str">
            <v>KUPATAN</v>
          </cell>
          <cell r="I80" t="str">
            <v>MUHAMMAD DENI HENDRO SUSILO</v>
          </cell>
        </row>
        <row r="81">
          <cell r="B81" t="str">
            <v>MUNGKID</v>
          </cell>
          <cell r="I81" t="str">
            <v>MUHAMMAD DENI HENDRO SUSILO</v>
          </cell>
        </row>
        <row r="82">
          <cell r="B82" t="str">
            <v>GRABAG</v>
          </cell>
          <cell r="I82" t="str">
            <v>MUHAMMAD DENI HENDRO SUSILO</v>
          </cell>
        </row>
        <row r="83">
          <cell r="B83" t="str">
            <v>SALAM</v>
          </cell>
          <cell r="I83" t="str">
            <v>MUHAMMAD DENI HENDRO SUSILO</v>
          </cell>
        </row>
        <row r="84">
          <cell r="B84" t="str">
            <v>SECANG</v>
          </cell>
          <cell r="I84" t="str">
            <v>MUHAMMAD DENI HENDRO SUSILO</v>
          </cell>
        </row>
        <row r="85">
          <cell r="B85" t="str">
            <v>MERTOYUDAN</v>
          </cell>
          <cell r="I85" t="str">
            <v>MUHAMMAD DENI HENDRO SUSILO</v>
          </cell>
        </row>
        <row r="86">
          <cell r="B86" t="str">
            <v>BOROBUDUR</v>
          </cell>
          <cell r="I86" t="str">
            <v>MUHAMMAD DENI HENDRO SUSILO</v>
          </cell>
        </row>
        <row r="87">
          <cell r="B87" t="str">
            <v>KEDUNGDOWO</v>
          </cell>
          <cell r="I87" t="str">
            <v>MUHAMMAD DENI HENDRO SUSILO</v>
          </cell>
        </row>
        <row r="88">
          <cell r="B88" t="str">
            <v>TEGALREJO</v>
          </cell>
          <cell r="I88" t="str">
            <v>MUHAMMAD DENI HENDRO SUSILO</v>
          </cell>
        </row>
        <row r="89">
          <cell r="B89" t="str">
            <v>TEMPURAN_MUNGKID</v>
          </cell>
          <cell r="I89" t="str">
            <v>MUHAMMAD DENI HENDRO SUSILO</v>
          </cell>
        </row>
        <row r="90">
          <cell r="B90" t="str">
            <v>PURWOREJO</v>
          </cell>
          <cell r="I90" t="str">
            <v>PAIMUN</v>
          </cell>
        </row>
        <row r="91">
          <cell r="B91" t="str">
            <v>LOANO</v>
          </cell>
          <cell r="I91" t="str">
            <v>PAIMUN</v>
          </cell>
        </row>
        <row r="92">
          <cell r="B92" t="str">
            <v>BUTUH</v>
          </cell>
          <cell r="I92" t="str">
            <v>PAIMUN</v>
          </cell>
        </row>
        <row r="93">
          <cell r="B93" t="str">
            <v>BAGELEN</v>
          </cell>
          <cell r="I93" t="str">
            <v>PAIMUN</v>
          </cell>
        </row>
        <row r="94">
          <cell r="B94" t="str">
            <v>WIRUN</v>
          </cell>
          <cell r="I94" t="str">
            <v>PAIMUN</v>
          </cell>
        </row>
        <row r="95">
          <cell r="B95" t="str">
            <v>DC_BANYUURIP</v>
          </cell>
          <cell r="I95" t="str">
            <v>PAIMUN</v>
          </cell>
        </row>
        <row r="96">
          <cell r="B96" t="str">
            <v>SLEMAN</v>
          </cell>
          <cell r="I96" t="str">
            <v>FARIS JAGAD SANTOSA</v>
          </cell>
        </row>
        <row r="97">
          <cell r="B97" t="str">
            <v>GODEAN</v>
          </cell>
          <cell r="I97" t="str">
            <v>RASTO ZANU MUBIARTO</v>
          </cell>
        </row>
        <row r="98">
          <cell r="B98" t="str">
            <v>NGAGLIK</v>
          </cell>
          <cell r="I98" t="str">
            <v>FARIS JAGAD SANTOSA</v>
          </cell>
        </row>
        <row r="99">
          <cell r="B99" t="str">
            <v>SLM03A</v>
          </cell>
          <cell r="I99" t="str">
            <v>RASTO ZANU MUBIARTO</v>
          </cell>
        </row>
        <row r="100">
          <cell r="B100" t="str">
            <v>DENGGUNG</v>
          </cell>
          <cell r="I100" t="str">
            <v>RASTO ZANU MUBIARTO</v>
          </cell>
        </row>
        <row r="101">
          <cell r="B101" t="str">
            <v>MAGUWOHARJO</v>
          </cell>
          <cell r="I101" t="str">
            <v>FARIS JAGAD SANTOSA</v>
          </cell>
        </row>
        <row r="102">
          <cell r="B102" t="str">
            <v>CATUR_TUNGGAL</v>
          </cell>
          <cell r="I102" t="str">
            <v>FARIS JAGAD SANTOSA</v>
          </cell>
        </row>
        <row r="103">
          <cell r="B103" t="str">
            <v>SETURAN</v>
          </cell>
          <cell r="I103" t="str">
            <v>FARIS JAGAD SANTOSA</v>
          </cell>
        </row>
        <row r="104">
          <cell r="B104" t="str">
            <v>KALASAN</v>
          </cell>
          <cell r="I104" t="str">
            <v>FARIS JAGAD SANTOSA</v>
          </cell>
        </row>
        <row r="105">
          <cell r="B105" t="str">
            <v>SLM10A</v>
          </cell>
          <cell r="I105" t="str">
            <v>RASTO ZANU MUBIARTO</v>
          </cell>
        </row>
        <row r="106">
          <cell r="B106" t="str">
            <v>BERJO</v>
          </cell>
          <cell r="I106" t="str">
            <v>RASTO ZANU MUBIARTO</v>
          </cell>
        </row>
        <row r="107">
          <cell r="B107" t="str">
            <v>GEJAYAN</v>
          </cell>
          <cell r="I107" t="str">
            <v>FARIS JAGAD SANTOSA</v>
          </cell>
        </row>
        <row r="108">
          <cell r="B108" t="str">
            <v>PALAGAN</v>
          </cell>
          <cell r="I108" t="str">
            <v>FARIS JAGAD SANTOSA</v>
          </cell>
        </row>
        <row r="109">
          <cell r="B109" t="str">
            <v>SLM17A</v>
          </cell>
          <cell r="I109" t="str">
            <v>FARIS JAGAD SANTOSA</v>
          </cell>
        </row>
        <row r="110">
          <cell r="B110" t="str">
            <v>JOMBOR</v>
          </cell>
          <cell r="I110" t="str">
            <v>RASTO ZANU MUBIARTO</v>
          </cell>
        </row>
        <row r="111">
          <cell r="B111" t="str">
            <v>TRIDADI</v>
          </cell>
          <cell r="I111" t="str">
            <v>RASTO ZANU MUBIARTO</v>
          </cell>
        </row>
        <row r="112">
          <cell r="B112" t="str">
            <v>GAMPING</v>
          </cell>
          <cell r="I112" t="str">
            <v>RASTO ZANU MUBIARTO</v>
          </cell>
        </row>
        <row r="113">
          <cell r="B113" t="str">
            <v>KENTUNGAN</v>
          </cell>
          <cell r="I113" t="str">
            <v>FARIS JAGAD SANTOSA</v>
          </cell>
        </row>
        <row r="114">
          <cell r="B114" t="str">
            <v>SOLO</v>
          </cell>
          <cell r="I114" t="str">
            <v>OKI WILLYANTO</v>
          </cell>
        </row>
        <row r="115">
          <cell r="B115" t="str">
            <v>KARTASURA</v>
          </cell>
          <cell r="I115" t="str">
            <v>MUHAMMAD CHAIRIL ANAM</v>
          </cell>
        </row>
        <row r="116">
          <cell r="B116" t="str">
            <v>SERENGAN</v>
          </cell>
          <cell r="I116" t="str">
            <v>FAJAR MAFAZAKI</v>
          </cell>
        </row>
        <row r="117">
          <cell r="B117" t="str">
            <v>MOJOSONGO</v>
          </cell>
          <cell r="I117" t="str">
            <v>FAJAR MAFAZAKI</v>
          </cell>
        </row>
        <row r="118">
          <cell r="B118" t="str">
            <v>SUMBER_BANJARSARI</v>
          </cell>
          <cell r="I118" t="str">
            <v>OKI WILLYANTO</v>
          </cell>
        </row>
        <row r="119">
          <cell r="B119" t="str">
            <v>TIPES</v>
          </cell>
          <cell r="I119" t="str">
            <v>FAJAR MAFAZAKI</v>
          </cell>
        </row>
        <row r="120">
          <cell r="B120" t="str">
            <v>JAGALAN</v>
          </cell>
          <cell r="I120" t="str">
            <v>FAJAR MAFAZAKI</v>
          </cell>
        </row>
        <row r="121">
          <cell r="B121" t="str">
            <v>BETENG</v>
          </cell>
          <cell r="I121" t="str">
            <v>FAJAR MAFAZAKI</v>
          </cell>
        </row>
        <row r="122">
          <cell r="B122" t="str">
            <v>TIMURAN</v>
          </cell>
          <cell r="I122" t="str">
            <v>FAJAR MAFAZAKI</v>
          </cell>
        </row>
        <row r="123">
          <cell r="B123" t="str">
            <v>SEMANGGI</v>
          </cell>
          <cell r="I123" t="str">
            <v>FAJAR MAFAZAKI</v>
          </cell>
        </row>
        <row r="124">
          <cell r="B124" t="str">
            <v>DANUKUSUMAN</v>
          </cell>
          <cell r="I124" t="str">
            <v>FAJAR MAFAZAKI</v>
          </cell>
        </row>
        <row r="125">
          <cell r="B125" t="str">
            <v>BUMI_LAWEYAN</v>
          </cell>
          <cell r="I125" t="str">
            <v>OKI WILLYANTO</v>
          </cell>
        </row>
        <row r="126">
          <cell r="B126" t="str">
            <v>SEKIP_KADIPIRO</v>
          </cell>
          <cell r="I126" t="str">
            <v>OKI WILLYANTO</v>
          </cell>
        </row>
        <row r="127">
          <cell r="B127" t="str">
            <v>DC_SOLO_BARAT</v>
          </cell>
          <cell r="I127" t="str">
            <v>OKI WILLYANTO</v>
          </cell>
        </row>
        <row r="128">
          <cell r="B128" t="str">
            <v>IR_SUTAMI</v>
          </cell>
          <cell r="I128" t="str">
            <v>FAJAR MAFAZAKI</v>
          </cell>
        </row>
        <row r="129">
          <cell r="B129" t="str">
            <v>SAMPANGAN_SOLO</v>
          </cell>
          <cell r="I129" t="str">
            <v>FAJAR MAFAZAKI</v>
          </cell>
        </row>
        <row r="130">
          <cell r="B130" t="str">
            <v>SRAGEN</v>
          </cell>
          <cell r="I130" t="str">
            <v>FERY SAPUTRO</v>
          </cell>
        </row>
        <row r="131">
          <cell r="B131" t="str">
            <v>GEMOLONG</v>
          </cell>
          <cell r="I131" t="str">
            <v>FERY SAPUTRO</v>
          </cell>
        </row>
        <row r="132">
          <cell r="B132" t="str">
            <v>MASARAN</v>
          </cell>
          <cell r="I132" t="str">
            <v>FERY SAPUTRO</v>
          </cell>
        </row>
        <row r="133">
          <cell r="B133" t="str">
            <v>GONDANG</v>
          </cell>
          <cell r="I133" t="str">
            <v>FERY SAPUTRO</v>
          </cell>
        </row>
        <row r="134">
          <cell r="B134" t="str">
            <v>PILANGSARI</v>
          </cell>
          <cell r="I134" t="str">
            <v>FERY SAPUTRO</v>
          </cell>
        </row>
        <row r="135">
          <cell r="B135" t="str">
            <v>TANON</v>
          </cell>
          <cell r="I135" t="str">
            <v>FERY SAPUTRO</v>
          </cell>
        </row>
        <row r="136">
          <cell r="B136" t="str">
            <v>TUGU_GADING_MASARAN</v>
          </cell>
          <cell r="I136" t="str">
            <v>FERY SAPUTRO</v>
          </cell>
        </row>
        <row r="137">
          <cell r="B137" t="str">
            <v>KARANGMALANG</v>
          </cell>
          <cell r="I137" t="str">
            <v>FERY SAPUTRO</v>
          </cell>
        </row>
        <row r="138">
          <cell r="B138" t="str">
            <v>LANGENHARJO</v>
          </cell>
          <cell r="I138" t="str">
            <v>MUHAMMAD CHAIRIL ANAM</v>
          </cell>
        </row>
        <row r="139">
          <cell r="B139" t="str">
            <v>POLOKARTO</v>
          </cell>
          <cell r="I139" t="str">
            <v>MUHAMMAD CHAIRIL ANAM</v>
          </cell>
        </row>
        <row r="140">
          <cell r="B140" t="str">
            <v>BAKI</v>
          </cell>
          <cell r="I140" t="str">
            <v>MUHAMMAD CHAIRIL ANAM</v>
          </cell>
        </row>
        <row r="141">
          <cell r="B141" t="str">
            <v>TAWANGSARI</v>
          </cell>
          <cell r="I141" t="str">
            <v>MUHAMMAD CHAIRIL ANAM</v>
          </cell>
        </row>
        <row r="142">
          <cell r="B142" t="str">
            <v>PUCANGAN</v>
          </cell>
          <cell r="I142" t="str">
            <v>MUHAMMAD CHAIRIL ANAM</v>
          </cell>
        </row>
        <row r="143">
          <cell r="B143" t="str">
            <v>SLAMET_RIYADI_BARAT</v>
          </cell>
          <cell r="I143" t="str">
            <v>MUHAMMAD CHAIRIL ANAM</v>
          </cell>
        </row>
        <row r="144">
          <cell r="B144" t="str">
            <v>MOJOLABAN</v>
          </cell>
          <cell r="I144" t="str">
            <v>MUHAMMAD CHAIRIL ANAM</v>
          </cell>
        </row>
        <row r="145">
          <cell r="B145" t="str">
            <v>TELUKAN</v>
          </cell>
          <cell r="I145" t="str">
            <v>MUHAMMAD CHAIRIL ANAM</v>
          </cell>
        </row>
        <row r="146">
          <cell r="B146" t="str">
            <v>JETIS</v>
          </cell>
          <cell r="I146" t="str">
            <v>MUHAMMAD CHAIRIL ANAM</v>
          </cell>
        </row>
        <row r="147">
          <cell r="B147" t="str">
            <v>TCBTL101</v>
          </cell>
          <cell r="I147" t="str">
            <v>BIMO WALGITO</v>
          </cell>
        </row>
        <row r="148">
          <cell r="B148" t="str">
            <v>TCBTL111</v>
          </cell>
          <cell r="I148" t="str">
            <v>BIMO WALGITO</v>
          </cell>
        </row>
        <row r="149">
          <cell r="B149" t="str">
            <v>TCBTL171</v>
          </cell>
          <cell r="I149" t="str">
            <v>SURYA DWI J</v>
          </cell>
        </row>
        <row r="150">
          <cell r="B150" t="str">
            <v>TCBYL091</v>
          </cell>
          <cell r="I150" t="str">
            <v>RIZKI NOFRIA WAHYUDI</v>
          </cell>
        </row>
        <row r="151">
          <cell r="B151" t="str">
            <v>TCCLP061</v>
          </cell>
          <cell r="I151" t="str">
            <v>IFAN SUTIONO</v>
          </cell>
        </row>
        <row r="152">
          <cell r="B152" t="str">
            <v>TCCLP241</v>
          </cell>
          <cell r="I152" t="str">
            <v>DIMAS DANU SOHIBAN</v>
          </cell>
        </row>
        <row r="153">
          <cell r="B153" t="str">
            <v>TCKAA071</v>
          </cell>
          <cell r="I153" t="str">
            <v>FATAH MUSTOFA B</v>
          </cell>
        </row>
        <row r="154">
          <cell r="B154" t="str">
            <v>TCKAA171</v>
          </cell>
          <cell r="I154" t="str">
            <v>OKI WILLYANTO</v>
          </cell>
        </row>
        <row r="155">
          <cell r="B155" t="str">
            <v>TCKBM031</v>
          </cell>
          <cell r="I155" t="str">
            <v>LUTFI HARIYANTO</v>
          </cell>
        </row>
        <row r="156">
          <cell r="B156" t="str">
            <v>TCKLP121</v>
          </cell>
          <cell r="I156" t="str">
            <v>RASTO ZANU MUBIARTO</v>
          </cell>
        </row>
        <row r="157">
          <cell r="B157" t="str">
            <v>TCKLT021</v>
          </cell>
          <cell r="I157" t="str">
            <v>ADIMAS BAYU RADITYO</v>
          </cell>
        </row>
        <row r="158">
          <cell r="B158" t="str">
            <v>TCMUG071</v>
          </cell>
          <cell r="I158" t="str">
            <v>MUHAMMAD DENI HENDRO SUSILO</v>
          </cell>
        </row>
        <row r="159">
          <cell r="B159" t="str">
            <v>TCPWJ101</v>
          </cell>
          <cell r="I159" t="str">
            <v>PAIMUN</v>
          </cell>
        </row>
        <row r="160">
          <cell r="B160" t="str">
            <v>TCSLM011</v>
          </cell>
          <cell r="I160" t="str">
            <v>FARIS JAGAD SANTOSA</v>
          </cell>
        </row>
        <row r="161">
          <cell r="B161" t="str">
            <v>TCSLM101</v>
          </cell>
          <cell r="I161" t="str">
            <v>RASTO ZANU MUBIARTO</v>
          </cell>
        </row>
        <row r="162">
          <cell r="B162" t="str">
            <v>TCSOC041</v>
          </cell>
          <cell r="I162" t="str">
            <v>FAJAR MAFAZAKI</v>
          </cell>
        </row>
        <row r="163">
          <cell r="B163" t="str">
            <v>TCSRN061</v>
          </cell>
          <cell r="I163" t="str">
            <v>FERY SAPUTRO</v>
          </cell>
        </row>
        <row r="164">
          <cell r="B164" t="str">
            <v>TCSUJ051</v>
          </cell>
          <cell r="I164" t="str">
            <v>MUHAMMAD CHAIRIL ANAM</v>
          </cell>
        </row>
        <row r="165">
          <cell r="B165" t="str">
            <v>TCWGI051</v>
          </cell>
          <cell r="I165" t="str">
            <v>JOKO NDARU FEBRIYANTO</v>
          </cell>
        </row>
        <row r="166">
          <cell r="B166" t="str">
            <v>TCWNO031</v>
          </cell>
          <cell r="I166" t="str">
            <v>SURYA DWI J</v>
          </cell>
        </row>
        <row r="167">
          <cell r="B167" t="str">
            <v>WONOGIRI</v>
          </cell>
          <cell r="I167" t="str">
            <v>JOKO NDARU FEBRIYANTO</v>
          </cell>
        </row>
        <row r="168">
          <cell r="B168" t="str">
            <v>BATURETNO</v>
          </cell>
          <cell r="I168" t="str">
            <v>JOKO NDARU FEBRIYANTO</v>
          </cell>
        </row>
        <row r="169">
          <cell r="B169" t="str">
            <v>NGADIROJO</v>
          </cell>
          <cell r="I169" t="str">
            <v>JOKO NDARU FEBRIYANTO</v>
          </cell>
        </row>
        <row r="170">
          <cell r="B170" t="str">
            <v>WURYANTORO</v>
          </cell>
          <cell r="I170" t="str">
            <v>JOKO NDARU FEBRIYANTO</v>
          </cell>
        </row>
        <row r="171">
          <cell r="B171" t="str">
            <v>SLOGOHIMO</v>
          </cell>
          <cell r="I171" t="str">
            <v>JOKO NDARU FEBRIYANTO</v>
          </cell>
        </row>
        <row r="172">
          <cell r="B172" t="str">
            <v>SELOGIRI</v>
          </cell>
          <cell r="I172" t="str">
            <v>JOKO NDARU FEBRIYANTO</v>
          </cell>
        </row>
        <row r="173">
          <cell r="B173" t="str">
            <v>PURWANTORO</v>
          </cell>
          <cell r="I173" t="str">
            <v>JOKO NDARU FEBRIYANTO</v>
          </cell>
        </row>
        <row r="174">
          <cell r="B174" t="str">
            <v>NGUNTORONADI</v>
          </cell>
          <cell r="I174" t="str">
            <v>JOKO NDARU FEBRIYANTO</v>
          </cell>
        </row>
        <row r="175">
          <cell r="B175" t="str">
            <v>JATISRONO_WGI</v>
          </cell>
          <cell r="I175" t="str">
            <v>JOKO NDARU FEBRIYANTO</v>
          </cell>
        </row>
        <row r="176">
          <cell r="B176" t="str">
            <v>WONOSARI</v>
          </cell>
          <cell r="I176" t="str">
            <v>SURYA DWI J</v>
          </cell>
        </row>
        <row r="177">
          <cell r="B177" t="str">
            <v>NGLIPAR</v>
          </cell>
          <cell r="I177" t="str">
            <v>SURYA DWI J</v>
          </cell>
        </row>
        <row r="178">
          <cell r="B178" t="str">
            <v>KARANGMOJO</v>
          </cell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</sheetNames>
    <sheetDataSet>
      <sheetData sheetId="0">
        <row r="1">
          <cell r="C1" t="str">
            <v>Nama Cabang
网点名称</v>
          </cell>
          <cell r="E1" t="str">
            <v>SPV (Update 29 Mei 2026)</v>
          </cell>
        </row>
        <row r="2">
          <cell r="C2" t="str">
            <v>PADANGAN</v>
          </cell>
          <cell r="E2" t="str">
            <v>Fahmi Nur Muhamad</v>
          </cell>
        </row>
        <row r="3">
          <cell r="C3" t="str">
            <v>KALITIDU</v>
          </cell>
          <cell r="E3" t="str">
            <v>Imam Khudori</v>
          </cell>
        </row>
        <row r="4">
          <cell r="C4" t="str">
            <v>SUMBEREJO</v>
          </cell>
          <cell r="E4" t="str">
            <v>Dwi Murdianto</v>
          </cell>
        </row>
        <row r="5">
          <cell r="C5" t="str">
            <v>DC_SRATU</v>
          </cell>
          <cell r="E5" t="str">
            <v>Ali Subeki</v>
          </cell>
        </row>
        <row r="6">
          <cell r="C6" t="str">
            <v>DC_KLANGON</v>
          </cell>
          <cell r="E6" t="str">
            <v>Dwi Murdianto</v>
          </cell>
        </row>
        <row r="7">
          <cell r="C7" t="str">
            <v>GAYAM</v>
          </cell>
          <cell r="E7" t="str">
            <v>Mochamad Robi Hidayat</v>
          </cell>
        </row>
        <row r="8">
          <cell r="C8" t="str">
            <v>NGRAHO</v>
          </cell>
          <cell r="E8" t="str">
            <v>Fahmi Nur Muhamad</v>
          </cell>
        </row>
        <row r="9">
          <cell r="C9" t="str">
            <v>DANDER</v>
          </cell>
          <cell r="E9" t="str">
            <v>Imam Khudori</v>
          </cell>
        </row>
        <row r="10">
          <cell r="C10" t="str">
            <v>BALEN_1</v>
          </cell>
          <cell r="E10" t="str">
            <v>Mochamad Robi Hidayat</v>
          </cell>
        </row>
        <row r="11">
          <cell r="C11" t="str">
            <v>KEDUNGADEM_1</v>
          </cell>
          <cell r="E11" t="str">
            <v>Ali Subeki</v>
          </cell>
        </row>
        <row r="12">
          <cell r="C12" t="str">
            <v>TUBAN</v>
          </cell>
          <cell r="E12" t="str">
            <v>Budianto</v>
          </cell>
        </row>
        <row r="13">
          <cell r="C13" t="str">
            <v>JATIROGO</v>
          </cell>
          <cell r="E13" t="str">
            <v>Andy Kistiwantono</v>
          </cell>
        </row>
        <row r="14">
          <cell r="C14" t="str">
            <v>KEREK</v>
          </cell>
          <cell r="E14" t="str">
            <v>M. Zen Asrofi</v>
          </cell>
        </row>
        <row r="15">
          <cell r="C15" t="str">
            <v>PLUMPANG</v>
          </cell>
          <cell r="E15" t="str">
            <v>Totok Suwiknyo</v>
          </cell>
        </row>
        <row r="16">
          <cell r="C16" t="str">
            <v>PARENGAN</v>
          </cell>
          <cell r="E16" t="str">
            <v>Andy Kistiwantono</v>
          </cell>
        </row>
        <row r="17">
          <cell r="C17" t="str">
            <v>TAMBAKBOYO</v>
          </cell>
          <cell r="E17" t="str">
            <v>M. Zen Asrofi</v>
          </cell>
        </row>
        <row r="18">
          <cell r="C18" t="str">
            <v>RENGEL_1</v>
          </cell>
          <cell r="E18" t="str">
            <v>Mokhammad Ali Mustofa</v>
          </cell>
        </row>
        <row r="19">
          <cell r="C19" t="str">
            <v>MERAKURAK_1</v>
          </cell>
          <cell r="E19" t="str">
            <v>Mokhammad Ali Mustofa</v>
          </cell>
        </row>
        <row r="20">
          <cell r="C20" t="str">
            <v>TUBAN_1</v>
          </cell>
          <cell r="E20" t="str">
            <v>Totok Suwiknyo</v>
          </cell>
        </row>
        <row r="21">
          <cell r="C21" t="str">
            <v>PALANG_1</v>
          </cell>
          <cell r="E21" t="str">
            <v>Budianto</v>
          </cell>
        </row>
        <row r="22">
          <cell r="C22" t="str">
            <v>DRIYOREJO</v>
          </cell>
          <cell r="E22" t="str">
            <v>Niza Ramadani</v>
          </cell>
        </row>
        <row r="23">
          <cell r="C23" t="str">
            <v>PANCENG</v>
          </cell>
          <cell r="E23" t="str">
            <v>Dian Putra Aris Firmansyah</v>
          </cell>
        </row>
        <row r="24">
          <cell r="C24" t="str">
            <v>MANYAR_2</v>
          </cell>
          <cell r="E24" t="str">
            <v>Mohammad Fa'Iq Al Abror</v>
          </cell>
        </row>
        <row r="25">
          <cell r="C25" t="str">
            <v>BAWEAN</v>
          </cell>
          <cell r="E25" t="str">
            <v>Fariszulhazmi</v>
          </cell>
        </row>
        <row r="26">
          <cell r="C26" t="str">
            <v>CERME</v>
          </cell>
          <cell r="E26" t="str">
            <v>Fitra Romansyah</v>
          </cell>
        </row>
        <row r="27">
          <cell r="C27" t="str">
            <v>KEBON</v>
          </cell>
          <cell r="E27" t="str">
            <v>Fariszulhazmi</v>
          </cell>
        </row>
        <row r="28">
          <cell r="C28" t="str">
            <v>MENGANTI</v>
          </cell>
          <cell r="E28" t="str">
            <v>Dede Rahadiansyah Ucky Pradana</v>
          </cell>
        </row>
        <row r="29">
          <cell r="C29" t="str">
            <v>KEDAMEAN</v>
          </cell>
          <cell r="E29" t="str">
            <v>Ardyanita Wanti, S.Pd</v>
          </cell>
        </row>
        <row r="30">
          <cell r="C30" t="str">
            <v>BUNGAH_1</v>
          </cell>
          <cell r="E30" t="str">
            <v>Mohammad Fa'Iq Al Abror</v>
          </cell>
        </row>
        <row r="31">
          <cell r="C31" t="str">
            <v>DUKUN_2</v>
          </cell>
          <cell r="E31" t="str">
            <v>Dian Putra Aris Firmansyah</v>
          </cell>
        </row>
        <row r="32">
          <cell r="C32" t="str">
            <v>WRINGINANOM</v>
          </cell>
          <cell r="E32" t="str">
            <v>Ardyanita Wanti, S.Pd</v>
          </cell>
        </row>
        <row r="33">
          <cell r="C33" t="str">
            <v>KEBOMAS_1</v>
          </cell>
          <cell r="E33" t="str">
            <v>Fariszulhazmi</v>
          </cell>
        </row>
        <row r="34">
          <cell r="C34" t="str">
            <v>BALONGPANGGANG_1</v>
          </cell>
          <cell r="E34" t="str">
            <v>Fitra Romansyah</v>
          </cell>
        </row>
        <row r="35">
          <cell r="C35" t="str">
            <v>DUDUKSAMPEYAN_1</v>
          </cell>
          <cell r="E35" t="str">
            <v>Fitra Romansyah</v>
          </cell>
        </row>
        <row r="36">
          <cell r="C36" t="str">
            <v>BABAT</v>
          </cell>
          <cell r="E36" t="str">
            <v>M. Faris Rahman</v>
          </cell>
        </row>
        <row r="37">
          <cell r="C37" t="str">
            <v>KEDUNGPRING_2</v>
          </cell>
          <cell r="E37" t="str">
            <v>Ali Said</v>
          </cell>
        </row>
        <row r="38">
          <cell r="C38" t="str">
            <v>PACIRAN</v>
          </cell>
          <cell r="E38" t="str">
            <v>Siswa Maulana Malik</v>
          </cell>
        </row>
        <row r="39">
          <cell r="C39" t="str">
            <v>MANTUP_1</v>
          </cell>
          <cell r="E39" t="str">
            <v>Ahmad Andy Fajar Wijaya</v>
          </cell>
        </row>
        <row r="40">
          <cell r="C40" t="str">
            <v>KARANGGENENG</v>
          </cell>
          <cell r="E40" t="str">
            <v>Moch Ali Muksin</v>
          </cell>
        </row>
        <row r="41">
          <cell r="C41" t="str">
            <v>LAMONGAN_2</v>
          </cell>
          <cell r="E41" t="str">
            <v>Ahmad Andy Fajar Wijaya</v>
          </cell>
        </row>
        <row r="42">
          <cell r="C42" t="str">
            <v>RAYA_PACIRAN</v>
          </cell>
          <cell r="E42" t="str">
            <v>Siswa Maulana Malik</v>
          </cell>
        </row>
        <row r="43">
          <cell r="C43" t="str">
            <v>MOROPELANG</v>
          </cell>
          <cell r="E43" t="str">
            <v>M. Faris Rahman</v>
          </cell>
        </row>
        <row r="44">
          <cell r="C44" t="str">
            <v>SAMBENG</v>
          </cell>
          <cell r="E44" t="str">
            <v>Ali Said</v>
          </cell>
        </row>
        <row r="45">
          <cell r="C45" t="str">
            <v>SUGIO_1</v>
          </cell>
          <cell r="E45" t="str">
            <v>M. Faris Rahman</v>
          </cell>
        </row>
        <row r="46">
          <cell r="C46" t="str">
            <v>GLAGAH_LMG_1</v>
          </cell>
          <cell r="E46" t="str">
            <v>Moch Ali Muksin</v>
          </cell>
        </row>
        <row r="47">
          <cell r="C47" t="str">
            <v>TIKUNG_2</v>
          </cell>
          <cell r="E47" t="str">
            <v>Ahmad Andy Fajar Wijaya</v>
          </cell>
        </row>
        <row r="48">
          <cell r="C48" t="str">
            <v>BANGKALAN</v>
          </cell>
          <cell r="E48" t="str">
            <v>Faris Meilugianta Pratama</v>
          </cell>
        </row>
        <row r="49">
          <cell r="C49" t="str">
            <v>BLEGA</v>
          </cell>
          <cell r="E49" t="str">
            <v>Zainal Abidin</v>
          </cell>
        </row>
        <row r="50">
          <cell r="C50" t="str">
            <v>BANGKALAN_KOTA</v>
          </cell>
          <cell r="E50" t="str">
            <v>Ega Chandra Dinata</v>
          </cell>
        </row>
        <row r="51">
          <cell r="C51" t="str">
            <v>SEPULU</v>
          </cell>
          <cell r="E51" t="str">
            <v>Fauzen Alfan</v>
          </cell>
        </row>
        <row r="52">
          <cell r="C52" t="str">
            <v>TANAH_MERAH_1</v>
          </cell>
          <cell r="E52" t="str">
            <v>Faris Meilugianta Pratama</v>
          </cell>
        </row>
        <row r="53">
          <cell r="C53" t="str">
            <v>BURNEH_1</v>
          </cell>
          <cell r="E53" t="str">
            <v>Hilman Anshori</v>
          </cell>
        </row>
        <row r="54">
          <cell r="C54" t="str">
            <v>TANJUNG_BUMI_1</v>
          </cell>
          <cell r="E54" t="str">
            <v>-</v>
          </cell>
        </row>
        <row r="55">
          <cell r="C55" t="str">
            <v>KAMAL_1</v>
          </cell>
          <cell r="E55" t="str">
            <v>-</v>
          </cell>
        </row>
        <row r="56">
          <cell r="C56" t="str">
            <v>AROSBAYA_1</v>
          </cell>
          <cell r="E56" t="str">
            <v>-</v>
          </cell>
        </row>
        <row r="57">
          <cell r="C57" t="str">
            <v>GALIS_1</v>
          </cell>
          <cell r="E57" t="str">
            <v>-</v>
          </cell>
        </row>
        <row r="58">
          <cell r="C58" t="str">
            <v>PAMEKASAN</v>
          </cell>
          <cell r="E58" t="str">
            <v>Andi Wiranata Negara</v>
          </cell>
        </row>
        <row r="59">
          <cell r="C59" t="str">
            <v>PROPPO</v>
          </cell>
          <cell r="E59" t="str">
            <v>Moh. Hasan</v>
          </cell>
        </row>
        <row r="60">
          <cell r="C60" t="str">
            <v>PAKONG</v>
          </cell>
          <cell r="E60" t="str">
            <v>Farida</v>
          </cell>
        </row>
        <row r="61">
          <cell r="C61" t="str">
            <v>LARANGAN_PAMEKASAN</v>
          </cell>
          <cell r="E61" t="str">
            <v>Moh. Hasan</v>
          </cell>
        </row>
        <row r="62">
          <cell r="C62" t="str">
            <v>PALENGAAN_1</v>
          </cell>
          <cell r="E62" t="str">
            <v>Farida</v>
          </cell>
        </row>
        <row r="63">
          <cell r="C63" t="str">
            <v>PEGANTENAN</v>
          </cell>
          <cell r="E63" t="str">
            <v>Abdur Rahman</v>
          </cell>
        </row>
        <row r="64">
          <cell r="C64" t="str">
            <v>PASEAN_1</v>
          </cell>
          <cell r="E64" t="str">
            <v>Abdur Rahman</v>
          </cell>
        </row>
        <row r="65">
          <cell r="C65" t="str">
            <v>SUMENEP</v>
          </cell>
          <cell r="E65" t="str">
            <v>Ahmad Khairul Zawawi</v>
          </cell>
        </row>
        <row r="66">
          <cell r="C66" t="str">
            <v>ARJASA</v>
          </cell>
          <cell r="E66" t="str">
            <v>Ahmad Khairul Zawawi</v>
          </cell>
        </row>
        <row r="67">
          <cell r="C67" t="str">
            <v>AMBUNTEN</v>
          </cell>
          <cell r="E67" t="str">
            <v>Muhlis Riyadi</v>
          </cell>
        </row>
        <row r="68">
          <cell r="C68" t="str">
            <v>BATUAN_1</v>
          </cell>
          <cell r="E68" t="str">
            <v>Mohammad Irsyad</v>
          </cell>
        </row>
        <row r="69">
          <cell r="C69" t="str">
            <v>KALIANGET_1</v>
          </cell>
          <cell r="E69" t="str">
            <v>Mohammad Irsyad</v>
          </cell>
        </row>
        <row r="70">
          <cell r="C70" t="str">
            <v>BLUTO_1</v>
          </cell>
          <cell r="E70" t="str">
            <v>Eka Satrio</v>
          </cell>
        </row>
        <row r="71">
          <cell r="C71" t="str">
            <v>GAPURA_1</v>
          </cell>
          <cell r="E71" t="str">
            <v>Hodaifah</v>
          </cell>
        </row>
        <row r="72">
          <cell r="C72" t="str">
            <v>PRAGAAN_1</v>
          </cell>
          <cell r="E72" t="str">
            <v>Hodaifah</v>
          </cell>
        </row>
        <row r="73">
          <cell r="C73" t="str">
            <v>KOTA_SUMENEP_1</v>
          </cell>
          <cell r="E73" t="str">
            <v>Mohammad Irsyad</v>
          </cell>
        </row>
        <row r="74">
          <cell r="C74" t="str">
            <v>GUNUNG_SEKAR</v>
          </cell>
          <cell r="E74" t="str">
            <v>Syamsuddin</v>
          </cell>
        </row>
        <row r="75">
          <cell r="C75" t="str">
            <v>CAMPLONG</v>
          </cell>
          <cell r="E75" t="str">
            <v>Yusufil Hamdhani Akbar</v>
          </cell>
        </row>
        <row r="76">
          <cell r="C76" t="str">
            <v>KEDUNGDUNG_1</v>
          </cell>
          <cell r="E76" t="str">
            <v>-</v>
          </cell>
        </row>
        <row r="77">
          <cell r="C77" t="str">
            <v>SAMPANG_UTARA</v>
          </cell>
          <cell r="E77" t="str">
            <v>Moh. Adfar Istihar</v>
          </cell>
        </row>
        <row r="78">
          <cell r="C78" t="str">
            <v>SOKOBANAH</v>
          </cell>
          <cell r="E78" t="str">
            <v>Moh. Adfar Istihar</v>
          </cell>
        </row>
        <row r="79">
          <cell r="C79" t="str">
            <v>TORJUN_RAYA</v>
          </cell>
          <cell r="E79" t="str">
            <v>Abd. Ghoni</v>
          </cell>
        </row>
        <row r="80">
          <cell r="C80" t="str">
            <v>KARANGPENANG_1</v>
          </cell>
          <cell r="E80" t="str">
            <v>Abd. Syakur</v>
          </cell>
        </row>
        <row r="81">
          <cell r="C81" t="str">
            <v>ROBATAL</v>
          </cell>
          <cell r="E81" t="str">
            <v>Abd. Syakur</v>
          </cell>
        </row>
        <row r="82">
          <cell r="C82" t="str">
            <v>BANYUATES_1</v>
          </cell>
          <cell r="E82" t="str">
            <v>-</v>
          </cell>
        </row>
        <row r="83">
          <cell r="C83" t="str">
            <v>OMBEN_1</v>
          </cell>
          <cell r="E83" t="str">
            <v>-</v>
          </cell>
        </row>
        <row r="84">
          <cell r="C84" t="str">
            <v>TAMBELANGAN_1</v>
          </cell>
          <cell r="E84" t="str">
            <v>-</v>
          </cell>
        </row>
        <row r="85">
          <cell r="C85" t="str">
            <v>MADIUN_1</v>
          </cell>
          <cell r="E85" t="str">
            <v>Eko Junaidi</v>
          </cell>
        </row>
        <row r="86">
          <cell r="C86" t="str">
            <v>MEJAYAN</v>
          </cell>
          <cell r="E86" t="str">
            <v>Tika Vebrian Tiara Devi</v>
          </cell>
        </row>
        <row r="87">
          <cell r="C87" t="str">
            <v>DOLOPO</v>
          </cell>
          <cell r="E87" t="str">
            <v>Eko Prasetianto Nugroho</v>
          </cell>
        </row>
        <row r="88">
          <cell r="C88" t="str">
            <v>JIWAN</v>
          </cell>
          <cell r="E88" t="str">
            <v>Eko Junaidi</v>
          </cell>
        </row>
        <row r="89">
          <cell r="C89" t="str">
            <v>TAMAN_PRAJA</v>
          </cell>
          <cell r="E89" t="str">
            <v>Boma Eka Kurniawan</v>
          </cell>
        </row>
        <row r="90">
          <cell r="C90" t="str">
            <v>MUNENG</v>
          </cell>
          <cell r="E90" t="str">
            <v>Tika Vebrian Tiara Devi</v>
          </cell>
        </row>
        <row r="91">
          <cell r="C91" t="str">
            <v>DC_TUGU_PENDEKAR</v>
          </cell>
          <cell r="E91" t="str">
            <v>Galih Dewangga</v>
          </cell>
        </row>
        <row r="92">
          <cell r="C92" t="str">
            <v>MAGETAN_2</v>
          </cell>
          <cell r="E92" t="str">
            <v>Riza Aji Nurcholis</v>
          </cell>
        </row>
        <row r="93">
          <cell r="C93" t="str">
            <v>MAOSPATI_1</v>
          </cell>
          <cell r="E93" t="str">
            <v>Hendrik Robi Saputra</v>
          </cell>
        </row>
        <row r="94">
          <cell r="C94" t="str">
            <v>TAKERAN_1</v>
          </cell>
          <cell r="E94" t="str">
            <v>Rika Arif Aprianto</v>
          </cell>
        </row>
        <row r="95">
          <cell r="C95" t="str">
            <v>PLAOSAN_2</v>
          </cell>
          <cell r="E95" t="str">
            <v>Yacob Juan Firmansyah</v>
          </cell>
        </row>
        <row r="96">
          <cell r="C96" t="str">
            <v>NGAWI</v>
          </cell>
          <cell r="E96" t="str">
            <v>Rony Koco Abrianto</v>
          </cell>
        </row>
        <row r="97">
          <cell r="C97" t="str">
            <v>WALIKUKUN</v>
          </cell>
          <cell r="E97" t="str">
            <v>Fathoni Yusuf</v>
          </cell>
        </row>
        <row r="98">
          <cell r="C98" t="str">
            <v>DC_KARTONYONO</v>
          </cell>
          <cell r="E98" t="str">
            <v>Faizal Dwi Pramono</v>
          </cell>
        </row>
        <row r="99">
          <cell r="C99" t="str">
            <v>PARON</v>
          </cell>
          <cell r="E99" t="str">
            <v>Yudi Yiswoyo</v>
          </cell>
        </row>
        <row r="100">
          <cell r="C100" t="str">
            <v>PACITAN</v>
          </cell>
          <cell r="E100" t="str">
            <v>Irul Marwianto</v>
          </cell>
        </row>
        <row r="101">
          <cell r="C101" t="str">
            <v>BALEHARJO</v>
          </cell>
          <cell r="E101" t="str">
            <v>Fikto Nur Mansah</v>
          </cell>
        </row>
        <row r="102">
          <cell r="C102" t="str">
            <v>NGADIROJO_1</v>
          </cell>
          <cell r="E102" t="str">
            <v>Fikto Nur Mansah</v>
          </cell>
        </row>
        <row r="103">
          <cell r="C103" t="str">
            <v>ARJOSARI_2</v>
          </cell>
          <cell r="E103" t="str">
            <v>Irul Marwianto</v>
          </cell>
        </row>
        <row r="104">
          <cell r="C104" t="str">
            <v>PONOROGO</v>
          </cell>
          <cell r="E104" t="str">
            <v>Fanky Puguh Prasetyo</v>
          </cell>
        </row>
        <row r="105">
          <cell r="C105" t="str">
            <v>SUMOROTO</v>
          </cell>
          <cell r="E105" t="str">
            <v>Mohamad Ariz Zakariya</v>
          </cell>
        </row>
        <row r="106">
          <cell r="C106" t="str">
            <v>BALONG</v>
          </cell>
          <cell r="E106" t="str">
            <v>Mohammad Putra Surya Mahendra</v>
          </cell>
        </row>
        <row r="107">
          <cell r="C107" t="str">
            <v>BABADAN_RAYA</v>
          </cell>
          <cell r="E107" t="str">
            <v>Angga Widayanto</v>
          </cell>
        </row>
        <row r="108">
          <cell r="C108" t="str">
            <v>SAMBIT_1</v>
          </cell>
          <cell r="E108" t="str">
            <v>Ruly Syaiful Ansor</v>
          </cell>
        </row>
        <row r="109">
          <cell r="C109" t="str">
            <v>KEDIRI</v>
          </cell>
          <cell r="E109" t="str">
            <v>Prasetyo Istianto</v>
          </cell>
        </row>
        <row r="110">
          <cell r="C110" t="str">
            <v>GROGOL</v>
          </cell>
          <cell r="E110" t="str">
            <v>Widi Rumekso</v>
          </cell>
        </row>
        <row r="111">
          <cell r="C111" t="str">
            <v>TOSAREN</v>
          </cell>
          <cell r="E111" t="str">
            <v>Mohammad Afreza Al Ayyubi</v>
          </cell>
        </row>
        <row r="112">
          <cell r="C112" t="str">
            <v>NGADILUWIH</v>
          </cell>
          <cell r="E112" t="str">
            <v>Laga Pratama Nurjiwo</v>
          </cell>
        </row>
        <row r="113">
          <cell r="C113" t="str">
            <v>TIRTO_UDAN</v>
          </cell>
          <cell r="E113" t="str">
            <v>Ali Zainal Abidin</v>
          </cell>
        </row>
        <row r="114">
          <cell r="C114" t="str">
            <v>PLOSOKLATEN</v>
          </cell>
          <cell r="E114" t="str">
            <v>Dyah Ayu Larasati Tri Palupi</v>
          </cell>
        </row>
        <row r="115">
          <cell r="C115" t="str">
            <v>PAPAR</v>
          </cell>
          <cell r="E115" t="str">
            <v>Feri Setiawan</v>
          </cell>
        </row>
        <row r="116">
          <cell r="C116" t="str">
            <v>DC_KEDIRI</v>
          </cell>
          <cell r="E116" t="str">
            <v>M. Yanuar Rifa'I</v>
          </cell>
        </row>
        <row r="117">
          <cell r="C117" t="str">
            <v>KDR_NGASEM_2</v>
          </cell>
          <cell r="E117" t="str">
            <v>Muhammad Syaifullah</v>
          </cell>
        </row>
        <row r="118">
          <cell r="C118" t="str">
            <v>MOJO</v>
          </cell>
          <cell r="E118" t="str">
            <v>Diky Satriawan</v>
          </cell>
        </row>
        <row r="119">
          <cell r="C119" t="str">
            <v>KEPUNG_2</v>
          </cell>
          <cell r="E119" t="str">
            <v>Achmad Afandi</v>
          </cell>
        </row>
        <row r="120">
          <cell r="C120" t="str">
            <v>RINGINREJO</v>
          </cell>
          <cell r="E120" t="str">
            <v>Nanang Arifianto</v>
          </cell>
        </row>
        <row r="121">
          <cell r="C121" t="str">
            <v>PARE_4</v>
          </cell>
          <cell r="E121" t="str">
            <v>Rif'An Munawwir</v>
          </cell>
        </row>
        <row r="122">
          <cell r="C122" t="str">
            <v>PLEMAHAN_3</v>
          </cell>
          <cell r="E122" t="str">
            <v>Shokibul Kafi</v>
          </cell>
        </row>
        <row r="123">
          <cell r="C123" t="str">
            <v>TULUNG_AGUNG</v>
          </cell>
          <cell r="E123" t="str">
            <v>Ahmad Fakhru Rozan</v>
          </cell>
        </row>
        <row r="124">
          <cell r="C124" t="str">
            <v>CAMPUR_DARAT</v>
          </cell>
          <cell r="E124" t="str">
            <v>Afan Fardianto</v>
          </cell>
        </row>
        <row r="125">
          <cell r="C125" t="str">
            <v>NGUNUT</v>
          </cell>
          <cell r="E125" t="str">
            <v>Dwi Wahyu Wichaksono</v>
          </cell>
        </row>
        <row r="126">
          <cell r="C126" t="str">
            <v>KAUMAN</v>
          </cell>
          <cell r="E126" t="str">
            <v>Hafiz Adam Adidarmawan</v>
          </cell>
        </row>
        <row r="127">
          <cell r="C127" t="str">
            <v>BOYOLANGU</v>
          </cell>
          <cell r="E127" t="str">
            <v>Argo Lumaksana</v>
          </cell>
        </row>
        <row r="128">
          <cell r="C128" t="str">
            <v>GONDANGRAYA</v>
          </cell>
          <cell r="E128" t="str">
            <v>Ahmad Fakhru Rozan</v>
          </cell>
        </row>
        <row r="129">
          <cell r="C129" t="str">
            <v>DC_TULUNG_AGUNG</v>
          </cell>
          <cell r="E129" t="str">
            <v>Hafiz Adam Adidarmawan</v>
          </cell>
        </row>
        <row r="130">
          <cell r="C130" t="str">
            <v>TRENGGALEK</v>
          </cell>
          <cell r="E130" t="str">
            <v>Rochma Ridho Permadi</v>
          </cell>
        </row>
        <row r="131">
          <cell r="C131" t="str">
            <v>GANDUSARI_1</v>
          </cell>
          <cell r="E131" t="str">
            <v>Mohammad Chandra Hermawan</v>
          </cell>
        </row>
        <row r="132">
          <cell r="C132" t="str">
            <v>POGALAN</v>
          </cell>
          <cell r="E132" t="str">
            <v>Setiyo Budi Iswanto</v>
          </cell>
        </row>
        <row r="133">
          <cell r="C133" t="str">
            <v>KARANGAN_1</v>
          </cell>
          <cell r="E133" t="str">
            <v>Muhammad Alfan Fauzi</v>
          </cell>
        </row>
        <row r="134">
          <cell r="C134" t="str">
            <v>DIWEK_1</v>
          </cell>
          <cell r="E134" t="str">
            <v>Muhammad Ali Yusuf</v>
          </cell>
        </row>
        <row r="135">
          <cell r="C135" t="str">
            <v>MOJOAGUNG</v>
          </cell>
          <cell r="E135" t="str">
            <v>Ali Ghofar</v>
          </cell>
        </row>
        <row r="136">
          <cell r="C136" t="str">
            <v>PERAK</v>
          </cell>
          <cell r="E136" t="str">
            <v>Muhammad Ali Yusuf</v>
          </cell>
        </row>
        <row r="137">
          <cell r="C137" t="str">
            <v>JOMBANG_2</v>
          </cell>
          <cell r="E137" t="str">
            <v>Muhammad Ghoniyyulloh</v>
          </cell>
        </row>
        <row r="138">
          <cell r="C138" t="str">
            <v>TEMBELANG_1</v>
          </cell>
          <cell r="E138" t="str">
            <v>Agung Hendi Alparista</v>
          </cell>
        </row>
        <row r="139">
          <cell r="C139" t="str">
            <v>KABUH</v>
          </cell>
          <cell r="E139" t="str">
            <v>Agung Hendi Alparista</v>
          </cell>
        </row>
        <row r="140">
          <cell r="C140" t="str">
            <v>MOJOWARNO</v>
          </cell>
          <cell r="E140" t="str">
            <v>Muhammad Azam Khoirur Roziqin</v>
          </cell>
        </row>
        <row r="141">
          <cell r="C141" t="str">
            <v>NGANJUK_3</v>
          </cell>
          <cell r="E141" t="str">
            <v>Didit Adi Saputro</v>
          </cell>
        </row>
        <row r="142">
          <cell r="C142" t="str">
            <v>KERTOSONO</v>
          </cell>
          <cell r="E142" t="str">
            <v>Ali Machtub</v>
          </cell>
        </row>
        <row r="143">
          <cell r="C143" t="str">
            <v>LOCERET</v>
          </cell>
          <cell r="E143" t="str">
            <v>Didit Adi Saputro</v>
          </cell>
        </row>
        <row r="144">
          <cell r="C144" t="str">
            <v>WARUJAYENG</v>
          </cell>
          <cell r="E144" t="str">
            <v>Wanto Sugianto</v>
          </cell>
        </row>
        <row r="145">
          <cell r="C145" t="str">
            <v>PRAMBON</v>
          </cell>
          <cell r="E145" t="str">
            <v>Ali Machtub</v>
          </cell>
        </row>
        <row r="146">
          <cell r="C146" t="str">
            <v>NGANJUK_1</v>
          </cell>
          <cell r="E146" t="str">
            <v>Dedi Wibowo</v>
          </cell>
        </row>
        <row r="147">
          <cell r="C147" t="str">
            <v>MOJOSARI</v>
          </cell>
          <cell r="E147" t="str">
            <v>Indra Kokasih</v>
          </cell>
        </row>
        <row r="148">
          <cell r="C148" t="str">
            <v>DC_MAJAPAHIT</v>
          </cell>
          <cell r="E148" t="str">
            <v>Dwi Harioseno</v>
          </cell>
        </row>
        <row r="149">
          <cell r="C149" t="str">
            <v>BRANGKAL</v>
          </cell>
          <cell r="E149" t="str">
            <v>Harianto</v>
          </cell>
        </row>
        <row r="150">
          <cell r="C150" t="str">
            <v>DLANGGU</v>
          </cell>
          <cell r="E150" t="str">
            <v>Mokhammad Arif Pratama Wijaya</v>
          </cell>
        </row>
        <row r="151">
          <cell r="C151" t="str">
            <v>TROWULAN</v>
          </cell>
          <cell r="E151" t="str">
            <v>Harianto</v>
          </cell>
        </row>
        <row r="152">
          <cell r="C152" t="str">
            <v>JETIS_1</v>
          </cell>
          <cell r="E152" t="str">
            <v>Abdul Rauf Nafik</v>
          </cell>
        </row>
        <row r="153">
          <cell r="C153" t="str">
            <v>KEMLAGI_1</v>
          </cell>
          <cell r="E153" t="str">
            <v>Abdul Rauf Nafik</v>
          </cell>
        </row>
        <row r="154">
          <cell r="C154" t="str">
            <v>NGORO</v>
          </cell>
          <cell r="E154" t="str">
            <v>Indra Kokasih</v>
          </cell>
        </row>
        <row r="155">
          <cell r="C155" t="str">
            <v>BANGSAL</v>
          </cell>
          <cell r="E155" t="str">
            <v>Ahmad Fariz Rohmatulloh</v>
          </cell>
        </row>
        <row r="156">
          <cell r="C156" t="str">
            <v>DC_GAJAH_MADA</v>
          </cell>
          <cell r="E156" t="str">
            <v>Mokhammad Arif Pratama Wijaya</v>
          </cell>
        </row>
        <row r="157">
          <cell r="C157" t="str">
            <v>ABDUL_KARIM</v>
          </cell>
          <cell r="E157" t="str">
            <v>Bagus Hermawan</v>
          </cell>
        </row>
        <row r="158">
          <cell r="C158" t="str">
            <v>DC_KARANGPILANG</v>
          </cell>
          <cell r="E158" t="str">
            <v>-</v>
          </cell>
        </row>
        <row r="159">
          <cell r="C159" t="str">
            <v>GUNUNG_ANYAR</v>
          </cell>
          <cell r="E159" t="str">
            <v>Satrio Wahyu Nugroho</v>
          </cell>
        </row>
        <row r="160">
          <cell r="C160" t="str">
            <v>SURABAYA_KIDUL</v>
          </cell>
          <cell r="E160" t="str">
            <v>Bintang Zaesar Ramadan</v>
          </cell>
        </row>
        <row r="161">
          <cell r="C161" t="str">
            <v>TEGALSARI_4</v>
          </cell>
          <cell r="E161" t="str">
            <v>Taufiq Hidayat</v>
          </cell>
        </row>
        <row r="162">
          <cell r="C162" t="str">
            <v>WONOCOLO_2</v>
          </cell>
          <cell r="E162" t="str">
            <v>-</v>
          </cell>
        </row>
        <row r="163">
          <cell r="C163" t="str">
            <v>BULAK_1</v>
          </cell>
          <cell r="E163" t="str">
            <v>Wahyu Hari Prayitno</v>
          </cell>
        </row>
        <row r="164">
          <cell r="C164" t="str">
            <v>DC_KENJERAN</v>
          </cell>
          <cell r="E164" t="str">
            <v>Achmad Findi Kurniawan</v>
          </cell>
        </row>
        <row r="165">
          <cell r="C165" t="str">
            <v>DUKUH_PAKIS_1</v>
          </cell>
          <cell r="E165" t="str">
            <v>Havid Rambu Sinaga</v>
          </cell>
        </row>
        <row r="166">
          <cell r="C166" t="str">
            <v>DUKUH_PAKIS_2</v>
          </cell>
          <cell r="E166" t="str">
            <v>-</v>
          </cell>
        </row>
        <row r="167">
          <cell r="C167" t="str">
            <v>DUKUH_SETRO_2</v>
          </cell>
          <cell r="E167" t="str">
            <v>Hartoyo Utomo</v>
          </cell>
        </row>
        <row r="168">
          <cell r="C168" t="str">
            <v>GUBENG_3</v>
          </cell>
          <cell r="E168" t="str">
            <v>Fani Putra Adi Pratama</v>
          </cell>
        </row>
        <row r="169">
          <cell r="C169" t="str">
            <v>SUB_GENTENG</v>
          </cell>
          <cell r="E169" t="str">
            <v>Tarmuji</v>
          </cell>
        </row>
        <row r="170">
          <cell r="C170" t="str">
            <v>KARANG_EMPAT_BESAR_2</v>
          </cell>
          <cell r="E170" t="str">
            <v>Hartoyo Utomo</v>
          </cell>
        </row>
        <row r="171">
          <cell r="C171" t="str">
            <v>GUBENG_2</v>
          </cell>
          <cell r="E171" t="str">
            <v>Ainun Yahya, S.Kom</v>
          </cell>
        </row>
        <row r="172">
          <cell r="C172" t="str">
            <v>DC_ARJUNO</v>
          </cell>
          <cell r="E172" t="str">
            <v>Angga Yulistyawan</v>
          </cell>
        </row>
        <row r="173">
          <cell r="C173" t="str">
            <v>DC_WIYUNG</v>
          </cell>
          <cell r="E173" t="str">
            <v>Moch. Irsyad</v>
          </cell>
        </row>
        <row r="174">
          <cell r="C174" t="str">
            <v>PETEMON_BARAT</v>
          </cell>
          <cell r="E174" t="str">
            <v>Alfiyatuz Zahra</v>
          </cell>
        </row>
        <row r="175">
          <cell r="C175" t="str">
            <v>WONOKROMO_2</v>
          </cell>
          <cell r="E175" t="str">
            <v>Impron Suryadi</v>
          </cell>
        </row>
        <row r="176">
          <cell r="C176" t="str">
            <v>BUBUTAN_5</v>
          </cell>
          <cell r="E176" t="str">
            <v>Ghifar Zakatus Suaidah</v>
          </cell>
        </row>
        <row r="177">
          <cell r="C177" t="str">
            <v>BUBUTAN_4</v>
          </cell>
          <cell r="E177" t="str">
            <v>-</v>
          </cell>
        </row>
        <row r="178">
          <cell r="C178" t="str">
            <v>DC_MADE</v>
          </cell>
          <cell r="E178" t="str">
            <v>Agus Prianto</v>
          </cell>
        </row>
        <row r="179">
          <cell r="C179" t="str">
            <v>LAKARSANTRI_2</v>
          </cell>
          <cell r="E179" t="str">
            <v>Moch. Ragil Januar</v>
          </cell>
        </row>
        <row r="180">
          <cell r="C180" t="str">
            <v>DC_PAKAL</v>
          </cell>
          <cell r="E180" t="str">
            <v>Hasan Mahmudi</v>
          </cell>
        </row>
        <row r="181">
          <cell r="C181" t="str">
            <v>MAYJEND_BARAT</v>
          </cell>
          <cell r="E181" t="str">
            <v>Moch. Ragil Januar</v>
          </cell>
        </row>
        <row r="182">
          <cell r="C182" t="str">
            <v>PAKAL_2</v>
          </cell>
          <cell r="E182" t="str">
            <v>Dwi Novitasari</v>
          </cell>
        </row>
        <row r="183">
          <cell r="C183" t="str">
            <v>SAMBIKEREP</v>
          </cell>
          <cell r="E183" t="str">
            <v>Agus Prianto</v>
          </cell>
        </row>
        <row r="184">
          <cell r="C184" t="str">
            <v>SAMBIKEREP_2</v>
          </cell>
          <cell r="E184" t="str">
            <v>-</v>
          </cell>
        </row>
        <row r="185">
          <cell r="C185" t="str">
            <v>SUKOMANUNGGAL_2</v>
          </cell>
          <cell r="E185" t="str">
            <v>Fanny Zubiatmoko</v>
          </cell>
        </row>
        <row r="186">
          <cell r="C186" t="str">
            <v>TANDES_2</v>
          </cell>
          <cell r="E186" t="str">
            <v>Bonifacius Edo Prasetio</v>
          </cell>
        </row>
        <row r="187">
          <cell r="C187" t="str">
            <v>ARIEF_RAHMAN_HAKIM</v>
          </cell>
          <cell r="E187" t="str">
            <v>-</v>
          </cell>
        </row>
        <row r="188">
          <cell r="C188" t="str">
            <v>DC_SUKOLILO</v>
          </cell>
          <cell r="E188" t="str">
            <v>Ahmad Syihab Taqiyulloh</v>
          </cell>
        </row>
        <row r="189">
          <cell r="C189" t="str">
            <v>KENJERAN_3</v>
          </cell>
          <cell r="E189" t="str">
            <v>Mochammad Nor Cholis</v>
          </cell>
        </row>
        <row r="190">
          <cell r="C190" t="str">
            <v>KEPUTIH_2</v>
          </cell>
          <cell r="E190" t="str">
            <v>-</v>
          </cell>
        </row>
        <row r="191">
          <cell r="C191" t="str">
            <v>MULYOREJO</v>
          </cell>
          <cell r="E191" t="str">
            <v>Pradiska Julianda Vebyola</v>
          </cell>
        </row>
        <row r="192">
          <cell r="C192" t="str">
            <v>MULYOREJO_1</v>
          </cell>
          <cell r="E192" t="str">
            <v>Indra Bayu</v>
          </cell>
        </row>
        <row r="193">
          <cell r="C193" t="str">
            <v>PANJANG_JIWO_2</v>
          </cell>
          <cell r="E193" t="str">
            <v>Wahyu Sujatmiko</v>
          </cell>
        </row>
        <row r="194">
          <cell r="C194" t="str">
            <v>RAYA_TENGGILIS</v>
          </cell>
          <cell r="E194" t="str">
            <v>Wahyu Sujatmiko</v>
          </cell>
        </row>
        <row r="195">
          <cell r="C195" t="str">
            <v>RUNGKUT_2</v>
          </cell>
          <cell r="E195" t="str">
            <v>-</v>
          </cell>
        </row>
        <row r="196">
          <cell r="C196" t="str">
            <v>RUNGKUT_ALANG_ALANG</v>
          </cell>
          <cell r="E196" t="str">
            <v>Bayu Dian Krisdianto</v>
          </cell>
        </row>
        <row r="197">
          <cell r="C197" t="str">
            <v>KALI_RUNGKUT_1</v>
          </cell>
          <cell r="E197" t="str">
            <v>Enggar Ida Ariawan</v>
          </cell>
        </row>
        <row r="198">
          <cell r="C198" t="str">
            <v>TAMBAKSARI_2</v>
          </cell>
          <cell r="E198" t="str">
            <v>Roqi Andrianus Duka Djuma</v>
          </cell>
        </row>
        <row r="199">
          <cell r="C199" t="str">
            <v>PABEAN_CANTIAN_4</v>
          </cell>
          <cell r="E199" t="str">
            <v>Adha Mubarok</v>
          </cell>
        </row>
        <row r="200">
          <cell r="C200" t="str">
            <v>PABEAN_CANTIAN_5</v>
          </cell>
          <cell r="E200" t="str">
            <v>Adha Mubarok</v>
          </cell>
        </row>
        <row r="201">
          <cell r="C201" t="str">
            <v>SIMOKERTO_2</v>
          </cell>
          <cell r="E201" t="str">
            <v>Gilang Sabastian Vernando</v>
          </cell>
        </row>
        <row r="202">
          <cell r="C202" t="str">
            <v>SEMAMPIR_2</v>
          </cell>
          <cell r="E202" t="str">
            <v>Legowo Herlambang</v>
          </cell>
        </row>
        <row r="203">
          <cell r="C203" t="str">
            <v>SEMAMPIR_3</v>
          </cell>
          <cell r="E203" t="str">
            <v>Afid Mahardianto</v>
          </cell>
        </row>
        <row r="204">
          <cell r="C204" t="str">
            <v>AMBULU</v>
          </cell>
          <cell r="E204" t="str">
            <v>Yusky Ali</v>
          </cell>
        </row>
        <row r="205">
          <cell r="C205" t="str">
            <v>TANGGUL</v>
          </cell>
          <cell r="E205" t="str">
            <v>Rofi Firmansyah</v>
          </cell>
        </row>
        <row r="206">
          <cell r="C206" t="str">
            <v>RAMBIPUJI</v>
          </cell>
          <cell r="E206" t="str">
            <v>Annur Rahman Hakim</v>
          </cell>
        </row>
        <row r="207">
          <cell r="C207" t="str">
            <v>PUGER_1</v>
          </cell>
          <cell r="E207" t="str">
            <v>Rifki Maghrobi Putra Pamungkas</v>
          </cell>
        </row>
        <row r="208">
          <cell r="C208" t="str">
            <v>BALUNG</v>
          </cell>
          <cell r="E208" t="str">
            <v>Rifki Maghrobi Putra Pamungkas</v>
          </cell>
        </row>
        <row r="209">
          <cell r="C209" t="str">
            <v>KENCONG</v>
          </cell>
          <cell r="E209" t="str">
            <v>Fajar Fir Rizky</v>
          </cell>
        </row>
        <row r="210">
          <cell r="C210" t="str">
            <v>WULUHAN</v>
          </cell>
          <cell r="E210" t="str">
            <v>Yusky Ali</v>
          </cell>
        </row>
        <row r="211">
          <cell r="C211" t="str">
            <v>SEMBORO</v>
          </cell>
          <cell r="E211" t="str">
            <v>Annur Rahman Hakim</v>
          </cell>
        </row>
        <row r="212">
          <cell r="C212" t="str">
            <v>BANGSALSARI</v>
          </cell>
          <cell r="E212" t="str">
            <v>Annur Rahman Hakim</v>
          </cell>
        </row>
        <row r="213">
          <cell r="C213" t="str">
            <v>GUMUKMAS_1</v>
          </cell>
          <cell r="E213" t="str">
            <v>Fajar Fir Rizky</v>
          </cell>
        </row>
        <row r="214">
          <cell r="C214" t="str">
            <v>SUMBERBARU_1</v>
          </cell>
          <cell r="E214" t="str">
            <v>Rofi Firmansyah</v>
          </cell>
        </row>
        <row r="215">
          <cell r="C215" t="str">
            <v>PASIRIAN</v>
          </cell>
          <cell r="E215" t="str">
            <v>Aries Firman Widiansyah</v>
          </cell>
        </row>
        <row r="216">
          <cell r="C216" t="str">
            <v>JATIROTO</v>
          </cell>
          <cell r="E216" t="str">
            <v>Moch Erfan</v>
          </cell>
        </row>
        <row r="217">
          <cell r="C217" t="str">
            <v>MAHAKAM</v>
          </cell>
          <cell r="E217" t="str">
            <v>Olivia Sukma Rini Widyananda</v>
          </cell>
        </row>
        <row r="218">
          <cell r="C218" t="str">
            <v>SANDTOWN</v>
          </cell>
          <cell r="E218" t="str">
            <v>Aries Firman Widiansyah</v>
          </cell>
        </row>
        <row r="219">
          <cell r="C219" t="str">
            <v>CENTRAL_LUMAJANG</v>
          </cell>
          <cell r="E219" t="str">
            <v>Yusril Abdillah</v>
          </cell>
        </row>
        <row r="220">
          <cell r="C220" t="str">
            <v>SENDURO</v>
          </cell>
          <cell r="E220" t="str">
            <v>Vidya Putri Ramadhanti</v>
          </cell>
        </row>
        <row r="221">
          <cell r="C221" t="str">
            <v>TEMPEH</v>
          </cell>
          <cell r="E221" t="str">
            <v>Yusril Abdillah</v>
          </cell>
        </row>
        <row r="222">
          <cell r="C222" t="str">
            <v>YOSOWILANGUN_1</v>
          </cell>
          <cell r="E222" t="str">
            <v>Olivia Sukma Rini Widyananda</v>
          </cell>
        </row>
        <row r="223">
          <cell r="C223" t="str">
            <v>KLAKAH_1</v>
          </cell>
          <cell r="E223" t="str">
            <v>Moch Erfan</v>
          </cell>
        </row>
        <row r="224">
          <cell r="C224" t="str">
            <v>RANDUAGUNG_1</v>
          </cell>
          <cell r="E224" t="str">
            <v>Moch Erfan</v>
          </cell>
        </row>
        <row r="225">
          <cell r="C225" t="str">
            <v>PRONOJIWO_1</v>
          </cell>
          <cell r="E225" t="str">
            <v>Erwin Purwanto</v>
          </cell>
        </row>
        <row r="226">
          <cell r="C226" t="str">
            <v>CANDIPURO_1</v>
          </cell>
          <cell r="E226" t="str">
            <v>Erwin Purwanto</v>
          </cell>
        </row>
        <row r="227">
          <cell r="C227" t="str">
            <v>MAYANGAN_1</v>
          </cell>
          <cell r="E227" t="str">
            <v>Rendhy Bhaskara Putra</v>
          </cell>
        </row>
        <row r="228">
          <cell r="C228" t="str">
            <v>WONOASIH_2</v>
          </cell>
          <cell r="E228" t="str">
            <v>Deby Alief Intan Permata</v>
          </cell>
        </row>
        <row r="229">
          <cell r="C229" t="str">
            <v>BANTARAN_1</v>
          </cell>
          <cell r="E229" t="str">
            <v>Rizki Fajar Kurniawan</v>
          </cell>
        </row>
        <row r="230">
          <cell r="C230" t="str">
            <v>MARON</v>
          </cell>
          <cell r="E230" t="str">
            <v>Imam Safiudin Mustaqim</v>
          </cell>
        </row>
        <row r="231">
          <cell r="C231" t="str">
            <v>GENDING</v>
          </cell>
          <cell r="E231" t="str">
            <v>Imam Safiudin Mustaqim</v>
          </cell>
        </row>
        <row r="232">
          <cell r="C232" t="str">
            <v>KRAKSAAN_2</v>
          </cell>
          <cell r="E232" t="str">
            <v>Muhammad Yasin</v>
          </cell>
        </row>
        <row r="233">
          <cell r="C233" t="str">
            <v>BESUK</v>
          </cell>
          <cell r="E233" t="str">
            <v>Mohammad Sholehhuddin</v>
          </cell>
        </row>
        <row r="234">
          <cell r="C234" t="str">
            <v>TONGAS_1</v>
          </cell>
          <cell r="E234" t="str">
            <v>Riki Yuhan Diantoro</v>
          </cell>
        </row>
        <row r="235">
          <cell r="C235" t="str">
            <v>KOTAANYAR_1</v>
          </cell>
          <cell r="E235" t="str">
            <v>Mohammad Sholehhuddin</v>
          </cell>
        </row>
        <row r="236">
          <cell r="C236" t="str">
            <v>LECES_1</v>
          </cell>
          <cell r="E236" t="str">
            <v>Deby Alief Intan Permata</v>
          </cell>
        </row>
        <row r="237">
          <cell r="C237" t="str">
            <v>SUMBERASIH_1</v>
          </cell>
          <cell r="E237" t="str">
            <v>Riki Yuhan Diantoro</v>
          </cell>
        </row>
        <row r="238">
          <cell r="C238" t="str">
            <v>GADING_1</v>
          </cell>
          <cell r="E238" t="str">
            <v>Muhammad Yasin</v>
          </cell>
        </row>
        <row r="239">
          <cell r="C239" t="str">
            <v>JEMBER</v>
          </cell>
          <cell r="E239" t="str">
            <v>Miftahul Rahman</v>
          </cell>
        </row>
        <row r="240">
          <cell r="C240" t="str">
            <v>KALISAT</v>
          </cell>
          <cell r="E240" t="str">
            <v>Dwi Rahman Saleh</v>
          </cell>
        </row>
        <row r="241">
          <cell r="C241" t="str">
            <v>PATRANG</v>
          </cell>
          <cell r="E241" t="str">
            <v>Ilham Tri Cahyono</v>
          </cell>
        </row>
        <row r="242">
          <cell r="C242" t="str">
            <v>KALIWATES_2</v>
          </cell>
          <cell r="E242" t="str">
            <v>Rizki Eki Prayoga</v>
          </cell>
        </row>
        <row r="243">
          <cell r="C243" t="str">
            <v>SUMBERSARI</v>
          </cell>
          <cell r="E243" t="str">
            <v>Farid Amrullah</v>
          </cell>
        </row>
        <row r="244">
          <cell r="C244" t="str">
            <v>MUMBULSARI_1</v>
          </cell>
          <cell r="E244" t="str">
            <v>Miftahul Rahman</v>
          </cell>
        </row>
        <row r="245">
          <cell r="C245" t="str">
            <v>MAYANG</v>
          </cell>
          <cell r="E245" t="str">
            <v>Moh. Kusnadi</v>
          </cell>
        </row>
        <row r="246">
          <cell r="C246" t="str">
            <v>PAKUSARI</v>
          </cell>
          <cell r="E246" t="str">
            <v>Moh. Kusnadi</v>
          </cell>
        </row>
        <row r="247">
          <cell r="C247" t="str">
            <v>JENGGAWAH</v>
          </cell>
          <cell r="E247" t="str">
            <v>Imro'Atul Azizah</v>
          </cell>
        </row>
        <row r="248">
          <cell r="C248" t="str">
            <v>JEMBER_LINTAS_UTARA</v>
          </cell>
          <cell r="E248" t="str">
            <v>Dwi Rahman Saleh</v>
          </cell>
        </row>
        <row r="249">
          <cell r="C249" t="str">
            <v>SILO_1</v>
          </cell>
          <cell r="E249" t="str">
            <v>Muhammad Suhir</v>
          </cell>
        </row>
        <row r="250">
          <cell r="C250" t="str">
            <v>SUMBERSARI_1</v>
          </cell>
          <cell r="E250" t="str">
            <v>Farid Amrullah</v>
          </cell>
        </row>
        <row r="251">
          <cell r="C251" t="str">
            <v>JBR_ARJASA_1</v>
          </cell>
          <cell r="E251" t="str">
            <v>Vigil Setya Sembada</v>
          </cell>
        </row>
        <row r="252">
          <cell r="C252" t="str">
            <v>BONDOWOSO_2</v>
          </cell>
          <cell r="E252" t="str">
            <v>Putra Pratama Iwan Wahyudi</v>
          </cell>
        </row>
        <row r="253">
          <cell r="C253" t="str">
            <v>PRAJEKAN</v>
          </cell>
          <cell r="E253" t="str">
            <v>Putra Pratama Iwan Wahyudi</v>
          </cell>
        </row>
        <row r="254">
          <cell r="C254" t="str">
            <v>MAESAN_1</v>
          </cell>
          <cell r="E254" t="str">
            <v>Akhmad Taufikqul Hakim</v>
          </cell>
        </row>
        <row r="255">
          <cell r="C255" t="str">
            <v>JAVA_IJEN</v>
          </cell>
          <cell r="E255" t="str">
            <v>Putra Pratama Iwan Wahyudi</v>
          </cell>
        </row>
        <row r="256">
          <cell r="C256" t="str">
            <v>KAMPUNG_DURIAN</v>
          </cell>
          <cell r="E256" t="str">
            <v>Akhmad Taufikqul Hakim</v>
          </cell>
        </row>
        <row r="257">
          <cell r="C257" t="str">
            <v>BONDOWOSO_3</v>
          </cell>
          <cell r="E257" t="str">
            <v>Akhmad Taufikqul Hakim</v>
          </cell>
        </row>
        <row r="258">
          <cell r="C258" t="str">
            <v>WRINGIN</v>
          </cell>
          <cell r="E258" t="str">
            <v>Akhmad Taufikqul Hakim</v>
          </cell>
        </row>
        <row r="259">
          <cell r="C259" t="str">
            <v>SUMBERWRINGIN_1</v>
          </cell>
          <cell r="E259" t="str">
            <v>Putra Pratama Iwan Wahyudi</v>
          </cell>
        </row>
        <row r="260">
          <cell r="C260" t="str">
            <v>SITUBONDO</v>
          </cell>
          <cell r="E260" t="str">
            <v>Hermanto</v>
          </cell>
        </row>
        <row r="261">
          <cell r="C261" t="str">
            <v>ASEMBAGUS</v>
          </cell>
          <cell r="E261" t="str">
            <v>Satrio Aji Pamungkas</v>
          </cell>
        </row>
        <row r="262">
          <cell r="C262" t="str">
            <v>BESUKI_CITY</v>
          </cell>
          <cell r="E262" t="str">
            <v>Hermanto</v>
          </cell>
        </row>
        <row r="263">
          <cell r="C263" t="str">
            <v>PANARUKAN</v>
          </cell>
          <cell r="E263" t="str">
            <v>Moh. Ria Sholeh</v>
          </cell>
        </row>
        <row r="264">
          <cell r="C264" t="str">
            <v>ARJASA_SBD</v>
          </cell>
          <cell r="E264" t="str">
            <v>Agung Permana</v>
          </cell>
        </row>
        <row r="265">
          <cell r="C265" t="str">
            <v>DC_PANJI</v>
          </cell>
          <cell r="E265" t="str">
            <v>Agung Permana</v>
          </cell>
        </row>
        <row r="266">
          <cell r="C266" t="str">
            <v>MLANDINGAN_1</v>
          </cell>
          <cell r="E266" t="str">
            <v>Moh. Ria Sholeh</v>
          </cell>
        </row>
        <row r="267">
          <cell r="C267" t="str">
            <v>BANYUPUTIH_1</v>
          </cell>
          <cell r="E267" t="str">
            <v>Satrio Aji Pamungkas</v>
          </cell>
        </row>
        <row r="268">
          <cell r="C268" t="str">
            <v>PURWOHARJO</v>
          </cell>
          <cell r="E268" t="str">
            <v>Mochammad Rifqi Riva</v>
          </cell>
        </row>
        <row r="269">
          <cell r="C269" t="str">
            <v>JAJAG</v>
          </cell>
          <cell r="E269" t="str">
            <v>Bingar Restu Wiyana</v>
          </cell>
        </row>
        <row r="270">
          <cell r="C270" t="str">
            <v>MOJOPANGGUNG</v>
          </cell>
          <cell r="E270" t="str">
            <v>Jefri Biantoro</v>
          </cell>
        </row>
        <row r="271">
          <cell r="C271" t="str">
            <v>GENTENG_2</v>
          </cell>
          <cell r="E271" t="str">
            <v>Mohammad Rizky Adhe Nugraha</v>
          </cell>
        </row>
        <row r="272">
          <cell r="C272" t="str">
            <v>GLENMORE_1</v>
          </cell>
          <cell r="E272" t="str">
            <v>Nor Dwi Prakoso</v>
          </cell>
        </row>
        <row r="273">
          <cell r="C273" t="str">
            <v>KALIBARU_1</v>
          </cell>
          <cell r="E273" t="str">
            <v>Nor Dwi Prakoso</v>
          </cell>
        </row>
        <row r="274">
          <cell r="C274" t="str">
            <v>KALIPURO</v>
          </cell>
          <cell r="E274" t="str">
            <v>Muhammad Robit</v>
          </cell>
        </row>
        <row r="275">
          <cell r="C275" t="str">
            <v>SUMBERAYU</v>
          </cell>
          <cell r="E275" t="str">
            <v>Tri Ari Febriyanto</v>
          </cell>
        </row>
        <row r="276">
          <cell r="C276" t="str">
            <v>BWI_TEGALSARI_2</v>
          </cell>
          <cell r="E276" t="str">
            <v>Mochammad Rifqi Riva</v>
          </cell>
        </row>
        <row r="277">
          <cell r="C277" t="str">
            <v>CLURING</v>
          </cell>
          <cell r="E277" t="str">
            <v>Mochammad Rifqi Riva</v>
          </cell>
        </row>
        <row r="278">
          <cell r="C278" t="str">
            <v>SRONO</v>
          </cell>
          <cell r="E278" t="str">
            <v>Lutfiyanto</v>
          </cell>
        </row>
        <row r="279">
          <cell r="C279" t="str">
            <v>GLAGAH</v>
          </cell>
          <cell r="E279" t="str">
            <v>Jefri Biantoro</v>
          </cell>
        </row>
        <row r="280">
          <cell r="C280" t="str">
            <v>KABAT</v>
          </cell>
          <cell r="E280" t="str">
            <v>Lutfiyanto</v>
          </cell>
        </row>
        <row r="281">
          <cell r="C281" t="str">
            <v>WONGSOREJO</v>
          </cell>
          <cell r="E281" t="str">
            <v>Muhammad Robit</v>
          </cell>
        </row>
        <row r="282">
          <cell r="C282" t="str">
            <v>SEMPU_1</v>
          </cell>
          <cell r="E282" t="str">
            <v>Mohammad Rizky Adhe Nugraha</v>
          </cell>
        </row>
        <row r="283">
          <cell r="C283" t="str">
            <v>BANGOREJO_1</v>
          </cell>
          <cell r="E283" t="str">
            <v>Bingar Restu Wiyana</v>
          </cell>
        </row>
        <row r="284">
          <cell r="C284" t="str">
            <v>PESANGGARAN_1</v>
          </cell>
          <cell r="E284" t="str">
            <v>Rizka Azizi</v>
          </cell>
        </row>
        <row r="285">
          <cell r="C285" t="str">
            <v>GENTENG_BWI_1</v>
          </cell>
          <cell r="E285" t="str">
            <v>Nor Dwi Prakoso</v>
          </cell>
        </row>
        <row r="286">
          <cell r="C286" t="str">
            <v>BWI_GENTENG</v>
          </cell>
          <cell r="E286" t="str">
            <v>Nor Dwi Prakoso</v>
          </cell>
        </row>
        <row r="287">
          <cell r="C287" t="str">
            <v>MALANG</v>
          </cell>
          <cell r="E287" t="str">
            <v>Galih Christian Kusworo</v>
          </cell>
        </row>
        <row r="288">
          <cell r="C288" t="str">
            <v>BLIMBING</v>
          </cell>
          <cell r="E288" t="str">
            <v>Yohanes Tri Agung Laksono</v>
          </cell>
        </row>
        <row r="289">
          <cell r="C289" t="str">
            <v>KLOJEN</v>
          </cell>
          <cell r="E289" t="str">
            <v>Hafid Arie Prastyo</v>
          </cell>
        </row>
        <row r="290">
          <cell r="C290" t="str">
            <v>SOEHAT</v>
          </cell>
          <cell r="E290" t="str">
            <v>Mochamad Rizky Maulana</v>
          </cell>
        </row>
        <row r="291">
          <cell r="C291" t="str">
            <v>KALPATARU</v>
          </cell>
          <cell r="E291" t="str">
            <v>Hervin Samsul Bakhri</v>
          </cell>
        </row>
        <row r="292">
          <cell r="C292" t="str">
            <v>SUKUN_TANJUNG</v>
          </cell>
          <cell r="E292" t="str">
            <v>Tedy Eko Saputra</v>
          </cell>
        </row>
        <row r="293">
          <cell r="C293" t="str">
            <v>MALANG_HITS</v>
          </cell>
          <cell r="E293" t="str">
            <v>Frendy Satria Nugraha</v>
          </cell>
        </row>
        <row r="294">
          <cell r="C294" t="str">
            <v>DC_SUDARMO</v>
          </cell>
          <cell r="E294" t="str">
            <v>Rizki Dio Reza Andriawan</v>
          </cell>
        </row>
        <row r="295">
          <cell r="C295" t="str">
            <v>OLD_CITY</v>
          </cell>
          <cell r="E295" t="str">
            <v>Wahyu Doniansyah</v>
          </cell>
        </row>
        <row r="296">
          <cell r="C296" t="str">
            <v>PARANG_ARGO</v>
          </cell>
          <cell r="E296" t="str">
            <v>Galih Christian Kusworo</v>
          </cell>
        </row>
        <row r="297">
          <cell r="C297" t="str">
            <v>KLOJEN_1</v>
          </cell>
          <cell r="E297" t="str">
            <v>Wahyu Doniansyah</v>
          </cell>
        </row>
        <row r="298">
          <cell r="C298" t="str">
            <v>LAWANG_1</v>
          </cell>
          <cell r="E298" t="str">
            <v>Irfan Wahyu Bahtiar</v>
          </cell>
        </row>
        <row r="299">
          <cell r="C299" t="str">
            <v>SINGOSARI_1</v>
          </cell>
          <cell r="E299" t="str">
            <v>Irfan Wahyu Bahtiar</v>
          </cell>
        </row>
        <row r="300">
          <cell r="C300" t="str">
            <v>MLG_SALES</v>
          </cell>
          <cell r="E300" t="str">
            <v>Umi Hanik</v>
          </cell>
        </row>
        <row r="301">
          <cell r="C301" t="str">
            <v>KARANG_PLOSO_1</v>
          </cell>
          <cell r="E301" t="str">
            <v>Much Zainuri</v>
          </cell>
        </row>
        <row r="302">
          <cell r="C302" t="str">
            <v>BATU</v>
          </cell>
          <cell r="E302" t="str">
            <v>Wisnu Mahesa Murti</v>
          </cell>
        </row>
        <row r="303">
          <cell r="C303" t="str">
            <v>PUJON</v>
          </cell>
          <cell r="E303" t="str">
            <v>Muhammad Angga Saputra</v>
          </cell>
        </row>
        <row r="304">
          <cell r="C304" t="str">
            <v>NGANTANG</v>
          </cell>
          <cell r="E304" t="str">
            <v>Muhammad Angga Saputra</v>
          </cell>
        </row>
        <row r="305">
          <cell r="C305" t="str">
            <v>BUMIAJI_1</v>
          </cell>
          <cell r="E305" t="str">
            <v>Dading Tustiyan Pratama</v>
          </cell>
        </row>
        <row r="306">
          <cell r="C306" t="str">
            <v>JUNREJO_1</v>
          </cell>
          <cell r="E306" t="str">
            <v>Wisnu Mahesa Murti</v>
          </cell>
        </row>
        <row r="307">
          <cell r="C307" t="str">
            <v>KASEMBON_1</v>
          </cell>
          <cell r="E307" t="str">
            <v>Doni Hadi Prasetyo</v>
          </cell>
        </row>
        <row r="308">
          <cell r="C308" t="str">
            <v>DAU_1</v>
          </cell>
          <cell r="E308" t="str">
            <v>Dading Tustiyan Pratama</v>
          </cell>
        </row>
        <row r="309">
          <cell r="C309" t="str">
            <v>BLITAR</v>
          </cell>
          <cell r="E309" t="str">
            <v>Presma Havila Manggara</v>
          </cell>
        </row>
        <row r="310">
          <cell r="C310" t="str">
            <v>TALUN</v>
          </cell>
          <cell r="E310" t="str">
            <v>Feri Ardiansyah</v>
          </cell>
        </row>
        <row r="311">
          <cell r="C311" t="str">
            <v>SRENGAT</v>
          </cell>
          <cell r="E311" t="str">
            <v>Andrean Pradhana Putra Maulana</v>
          </cell>
        </row>
        <row r="312">
          <cell r="C312" t="str">
            <v>SUKOREJO_1</v>
          </cell>
          <cell r="E312" t="str">
            <v>Gayuh Triasa</v>
          </cell>
        </row>
        <row r="313">
          <cell r="C313" t="str">
            <v>KADEMANGAN</v>
          </cell>
          <cell r="E313" t="str">
            <v>Wahyu Kristanto</v>
          </cell>
        </row>
        <row r="314">
          <cell r="C314" t="str">
            <v>PONGGOK</v>
          </cell>
          <cell r="E314" t="str">
            <v>Andrean Pradhana Putra Maulana</v>
          </cell>
        </row>
        <row r="315">
          <cell r="C315" t="str">
            <v>KESAMBEN</v>
          </cell>
          <cell r="E315" t="str">
            <v>Bayu Indiarto Wisnu Barata</v>
          </cell>
        </row>
        <row r="316">
          <cell r="C316" t="str">
            <v>KEPANJEN</v>
          </cell>
          <cell r="E316" t="str">
            <v>Roffik Ari Wibowo</v>
          </cell>
        </row>
        <row r="317">
          <cell r="C317" t="str">
            <v>TUREN</v>
          </cell>
          <cell r="E317" t="str">
            <v>Catur Budi Cahyono</v>
          </cell>
        </row>
        <row r="318">
          <cell r="C318" t="str">
            <v>SUMBERPUCUNG</v>
          </cell>
          <cell r="E318" t="str">
            <v>Andru Hindriyat Saputra</v>
          </cell>
        </row>
        <row r="319">
          <cell r="C319" t="str">
            <v>DAMPIT</v>
          </cell>
          <cell r="E319" t="str">
            <v>Catur Budi Cahyono</v>
          </cell>
        </row>
        <row r="320">
          <cell r="C320" t="str">
            <v>PAKISAJI</v>
          </cell>
          <cell r="E320" t="str">
            <v>Essa Abdiandiri</v>
          </cell>
        </row>
        <row r="321">
          <cell r="C321" t="str">
            <v>SUPER_HERO</v>
          </cell>
          <cell r="E321" t="str">
            <v>Achmad Misbachul Munir</v>
          </cell>
        </row>
        <row r="322">
          <cell r="C322" t="str">
            <v>BULULAWANG</v>
          </cell>
          <cell r="E322" t="str">
            <v>Achmad Misbachul Munir</v>
          </cell>
        </row>
        <row r="323">
          <cell r="C323" t="str">
            <v>BANTUR</v>
          </cell>
          <cell r="E323" t="str">
            <v>Achmad Misbachul Munir</v>
          </cell>
        </row>
        <row r="324">
          <cell r="C324" t="str">
            <v>TALANGAGUNG_KPJ</v>
          </cell>
          <cell r="E324" t="str">
            <v>Roffik Ari Wibowo</v>
          </cell>
        </row>
        <row r="325">
          <cell r="C325" t="str">
            <v>TIRTOYUDO</v>
          </cell>
          <cell r="E325" t="str">
            <v>Catur Budi Cahyono</v>
          </cell>
        </row>
        <row r="326">
          <cell r="C326" t="str">
            <v>SUMBERMANJINGWETAN_1</v>
          </cell>
          <cell r="E326" t="str">
            <v>Moh Abdul Rozaq</v>
          </cell>
        </row>
        <row r="327">
          <cell r="C327" t="str">
            <v>PAGAK_1</v>
          </cell>
          <cell r="E327" t="str">
            <v>Andru Hindriyat Saputra</v>
          </cell>
        </row>
        <row r="328">
          <cell r="C328" t="str">
            <v>RED_DEER</v>
          </cell>
          <cell r="E328" t="str">
            <v>Moh Abdul Rozaq</v>
          </cell>
        </row>
        <row r="329">
          <cell r="C329" t="str">
            <v>TAJINAN_1</v>
          </cell>
          <cell r="E329" t="str">
            <v>Moh Abdul Rozaq</v>
          </cell>
        </row>
        <row r="330">
          <cell r="C330" t="str">
            <v>BEAUTIFUL_BROMO</v>
          </cell>
          <cell r="E330" t="str">
            <v>Rifqi Auliaq Humaidi</v>
          </cell>
        </row>
        <row r="331">
          <cell r="C331" t="str">
            <v>KEDUNGKANDANG_1</v>
          </cell>
          <cell r="E331" t="str">
            <v>Novan Yogmaputra</v>
          </cell>
        </row>
        <row r="332">
          <cell r="C332" t="str">
            <v>PAKIS_1</v>
          </cell>
          <cell r="E332" t="str">
            <v>Rizky Kurniawan</v>
          </cell>
        </row>
        <row r="333">
          <cell r="C333" t="str">
            <v>PANDAAN</v>
          </cell>
          <cell r="E333" t="str">
            <v>Nurul Hidayatullah</v>
          </cell>
        </row>
        <row r="334">
          <cell r="C334" t="str">
            <v>SUKOREJO_PND</v>
          </cell>
          <cell r="E334" t="str">
            <v>Yudhy Indra Prasetya</v>
          </cell>
        </row>
        <row r="335">
          <cell r="C335" t="str">
            <v>PURWOSARI_PND</v>
          </cell>
          <cell r="E335" t="str">
            <v>Ridwan Fatarudin</v>
          </cell>
        </row>
        <row r="336">
          <cell r="C336" t="str">
            <v>PURWODADI_1</v>
          </cell>
          <cell r="E336" t="str">
            <v>Anang Prasetyo</v>
          </cell>
        </row>
        <row r="337">
          <cell r="C337" t="str">
            <v>TUTUR_1</v>
          </cell>
          <cell r="E337" t="str">
            <v>Ridwan Fatarudin</v>
          </cell>
        </row>
        <row r="338">
          <cell r="C338" t="str">
            <v>PANDAAN_2</v>
          </cell>
          <cell r="E338" t="str">
            <v>Nurul Hidayatullah</v>
          </cell>
        </row>
        <row r="339">
          <cell r="C339" t="str">
            <v>PASURUAN</v>
          </cell>
          <cell r="E339" t="str">
            <v>Imam Nawawi</v>
          </cell>
        </row>
        <row r="340">
          <cell r="C340" t="str">
            <v>BANGIL</v>
          </cell>
          <cell r="E340" t="str">
            <v>Fauzi Permana Putra</v>
          </cell>
        </row>
        <row r="341">
          <cell r="C341" t="str">
            <v>GEMPOL</v>
          </cell>
          <cell r="E341" t="str">
            <v>Alif Septian Nur Alamsyah</v>
          </cell>
        </row>
        <row r="342">
          <cell r="C342" t="str">
            <v>BUGULKIDUL</v>
          </cell>
          <cell r="E342" t="str">
            <v>Lasio Efendi</v>
          </cell>
        </row>
        <row r="343">
          <cell r="C343" t="str">
            <v>WONOREJO_PSR</v>
          </cell>
          <cell r="E343" t="str">
            <v>Ilham Ramadhan</v>
          </cell>
        </row>
        <row r="344">
          <cell r="C344" t="str">
            <v>GONDANGWETAN</v>
          </cell>
          <cell r="E344" t="str">
            <v>Muhammad Irsan Junud</v>
          </cell>
        </row>
        <row r="345">
          <cell r="C345" t="str">
            <v>BEJI_PSR</v>
          </cell>
          <cell r="E345" t="str">
            <v>Imam Nawawi</v>
          </cell>
        </row>
        <row r="346">
          <cell r="C346" t="str">
            <v>GRATI</v>
          </cell>
          <cell r="E346" t="str">
            <v>Muhammad Irsan Junud</v>
          </cell>
        </row>
        <row r="347">
          <cell r="C347" t="str">
            <v>PUSPO_2</v>
          </cell>
          <cell r="E347" t="str">
            <v>Muhammad Irsan Junud</v>
          </cell>
        </row>
        <row r="348">
          <cell r="C348" t="str">
            <v>BANGIL_1</v>
          </cell>
          <cell r="E348" t="str">
            <v>Leo Fajar Saputra</v>
          </cell>
        </row>
        <row r="349">
          <cell r="C349" t="str">
            <v>KRATON_1</v>
          </cell>
          <cell r="E349" t="str">
            <v>Fauzi Permana Putra</v>
          </cell>
        </row>
        <row r="350">
          <cell r="C350" t="str">
            <v>DC_PORONG</v>
          </cell>
          <cell r="E350" t="str">
            <v>Budi Achirianto</v>
          </cell>
        </row>
        <row r="351">
          <cell r="C351" t="str">
            <v>DC_TANGGULANGIN</v>
          </cell>
          <cell r="E351" t="str">
            <v>Candra Robianto</v>
          </cell>
        </row>
        <row r="352">
          <cell r="C352" t="str">
            <v>WONOAYU_3</v>
          </cell>
          <cell r="E352" t="str">
            <v>Moh. Sihabudin Zuhri, S.Pd</v>
          </cell>
        </row>
        <row r="353">
          <cell r="C353" t="str">
            <v>PRAMBON_1</v>
          </cell>
          <cell r="E353" t="str">
            <v>Ahmad Luky Cahyono</v>
          </cell>
        </row>
        <row r="354">
          <cell r="C354" t="str">
            <v>BALONGBENDO_1</v>
          </cell>
          <cell r="E354" t="str">
            <v>Achmad Subairi</v>
          </cell>
        </row>
        <row r="355">
          <cell r="C355" t="str">
            <v>TARIK_2</v>
          </cell>
          <cell r="E355" t="str">
            <v>Joko Purnomo</v>
          </cell>
        </row>
        <row r="356">
          <cell r="C356" t="str">
            <v>TULANGAN_1</v>
          </cell>
          <cell r="E356" t="str">
            <v>Mochamad Zaini</v>
          </cell>
        </row>
        <row r="357">
          <cell r="C357" t="str">
            <v>SUKODONO_1</v>
          </cell>
          <cell r="E357" t="str">
            <v>Fery Hardianto Setiawan</v>
          </cell>
        </row>
        <row r="358">
          <cell r="C358" t="str">
            <v>DC_SAFELOCK</v>
          </cell>
          <cell r="E358" t="str">
            <v>Alfi Abidin</v>
          </cell>
        </row>
        <row r="359">
          <cell r="C359" t="str">
            <v>GELAM</v>
          </cell>
          <cell r="E359" t="str">
            <v>Vavan Aldi Zulkarnain</v>
          </cell>
        </row>
        <row r="360">
          <cell r="C360" t="str">
            <v>TAMAN</v>
          </cell>
          <cell r="E360" t="str">
            <v>Aldo Irwansyah</v>
          </cell>
        </row>
        <row r="361">
          <cell r="C361" t="str">
            <v>TAMAN_3</v>
          </cell>
          <cell r="E361" t="str">
            <v>Roni Nofendra Trimanto</v>
          </cell>
        </row>
        <row r="362">
          <cell r="C362" t="str">
            <v>DC_TAMAN</v>
          </cell>
          <cell r="E362" t="str">
            <v>Tri Atmojo</v>
          </cell>
        </row>
        <row r="363">
          <cell r="C363" t="str">
            <v>SEDATI</v>
          </cell>
          <cell r="E363" t="str">
            <v>Luhur Setya Budi</v>
          </cell>
        </row>
        <row r="364">
          <cell r="C364" t="str">
            <v>GEDANGAN</v>
          </cell>
          <cell r="E364" t="str">
            <v>Rundi Atmoko</v>
          </cell>
        </row>
        <row r="365">
          <cell r="C365" t="str">
            <v>WARU_6</v>
          </cell>
          <cell r="E365" t="str">
            <v>Rundi Atmoko</v>
          </cell>
        </row>
        <row r="366">
          <cell r="C366" t="str">
            <v>SEDATI_1</v>
          </cell>
          <cell r="E366" t="str">
            <v>Luhur Setya Budi</v>
          </cell>
        </row>
        <row r="367">
          <cell r="C367" t="str">
            <v>BUDURAN_1</v>
          </cell>
          <cell r="E367" t="str">
            <v>Alvin Aviandika Aksanah Pu</v>
          </cell>
        </row>
        <row r="368">
          <cell r="C368" t="str">
            <v>WARU_7</v>
          </cell>
          <cell r="E368" t="str">
            <v>Muhammad Ikhwanul Masruri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"/>
      <sheetName val="OUTGOING"/>
    </sheetNames>
    <sheetDataSet>
      <sheetData sheetId="0">
        <row r="2">
          <cell r="C2" t="str">
            <v>Nama Drop Point</v>
          </cell>
          <cell r="N2" t="str">
            <v>Penanggung Jawab</v>
          </cell>
        </row>
        <row r="3">
          <cell r="C3" t="str">
            <v>PEMENANG</v>
          </cell>
          <cell r="N3" t="str">
            <v>MUHAMMAD TONY NUGRAHA</v>
          </cell>
        </row>
        <row r="4">
          <cell r="C4" t="str">
            <v>MASBAGIK_1</v>
          </cell>
          <cell r="N4" t="str">
            <v>Abi Hilmawan</v>
          </cell>
        </row>
        <row r="5">
          <cell r="C5" t="str">
            <v>TCABU021</v>
          </cell>
          <cell r="N5" t="str">
            <v>CICI TRISNAWATI NGGILLI</v>
          </cell>
        </row>
        <row r="6">
          <cell r="C6" t="str">
            <v>ADONARA</v>
          </cell>
          <cell r="N6" t="str">
            <v>PETRUS TRIMULIA WANGGA DALA</v>
          </cell>
        </row>
        <row r="7">
          <cell r="C7" t="str">
            <v>MADAPANGGA</v>
          </cell>
          <cell r="N7" t="str">
            <v>SYARIFUDDIN</v>
          </cell>
        </row>
        <row r="8">
          <cell r="C8" t="str">
            <v>PUJUT</v>
          </cell>
          <cell r="N8" t="str">
            <v>Suhardi</v>
          </cell>
        </row>
        <row r="9">
          <cell r="C9" t="str">
            <v>PEKAT</v>
          </cell>
          <cell r="N9" t="str">
            <v>M. SALAHUDIN</v>
          </cell>
        </row>
        <row r="10">
          <cell r="C10" t="str">
            <v>LABUAN_HAJI</v>
          </cell>
          <cell r="N10" t="str">
            <v>Abi Hilmawan</v>
          </cell>
        </row>
        <row r="11">
          <cell r="C11" t="str">
            <v>SEKONGKANG</v>
          </cell>
          <cell r="N11" t="str">
            <v>RITA HERMAWATI</v>
          </cell>
        </row>
        <row r="12">
          <cell r="C12" t="str">
            <v>CP_PANJITILAR_NEGARA</v>
          </cell>
          <cell r="N12" t="str">
            <v>MUHAMMAD JUMADIL</v>
          </cell>
        </row>
        <row r="13">
          <cell r="C13" t="str">
            <v>UTAN_RHEE</v>
          </cell>
          <cell r="N13" t="str">
            <v>DENI SUSATYO</v>
          </cell>
        </row>
        <row r="14">
          <cell r="C14" t="str">
            <v>CP_MASBAGIK_UTARA</v>
          </cell>
          <cell r="N14" t="str">
            <v>Abi Hilmawan</v>
          </cell>
        </row>
        <row r="15">
          <cell r="C15" t="str">
            <v>CP_GANTI</v>
          </cell>
          <cell r="N15" t="str">
            <v>Suhardi</v>
          </cell>
        </row>
        <row r="16">
          <cell r="C16" t="str">
            <v>KEDIRI_1</v>
          </cell>
          <cell r="N16" t="str">
            <v>MUHAMMAD TONY NUGRAHA</v>
          </cell>
        </row>
        <row r="17">
          <cell r="C17" t="str">
            <v>AMPENAN</v>
          </cell>
          <cell r="N17" t="str">
            <v>MUHAMMAD JUMADIL</v>
          </cell>
        </row>
        <row r="18">
          <cell r="C18" t="str">
            <v>LASIANA</v>
          </cell>
          <cell r="N18" t="str">
            <v>EKAYASA EBENHAEZER SANDY KALLA</v>
          </cell>
        </row>
        <row r="19">
          <cell r="C19" t="str">
            <v>ATAMBUA</v>
          </cell>
          <cell r="N19" t="str">
            <v>CICI TRISNAWATI NGGILLI</v>
          </cell>
        </row>
        <row r="20">
          <cell r="C20" t="str">
            <v>BORONG</v>
          </cell>
          <cell r="N20" t="str">
            <v>ALOYSIUS RIWANTO</v>
          </cell>
        </row>
        <row r="21">
          <cell r="C21" t="str">
            <v>WOHA</v>
          </cell>
          <cell r="N21" t="str">
            <v>SYARIFUDDIN</v>
          </cell>
        </row>
        <row r="22">
          <cell r="C22" t="str">
            <v>KEFAMENANU</v>
          </cell>
          <cell r="N22" t="str">
            <v>CICI TRISNAWATI NGGILLI</v>
          </cell>
        </row>
        <row r="23">
          <cell r="C23" t="str">
            <v>BETUN</v>
          </cell>
          <cell r="N23" t="str">
            <v>CICI TRISNAWATI NGGILLI</v>
          </cell>
        </row>
        <row r="24">
          <cell r="C24" t="str">
            <v>ENDE</v>
          </cell>
          <cell r="N24" t="str">
            <v>PETRUS TRIMULIA WANGGA DALA</v>
          </cell>
        </row>
        <row r="25">
          <cell r="C25" t="str">
            <v>SELONG</v>
          </cell>
          <cell r="N25" t="str">
            <v>Abi Hilmawan</v>
          </cell>
        </row>
        <row r="26">
          <cell r="C26" t="str">
            <v>OELAMASI</v>
          </cell>
          <cell r="N26" t="str">
            <v>CHINDY BIRE</v>
          </cell>
        </row>
        <row r="27">
          <cell r="C27" t="str">
            <v>ALAK</v>
          </cell>
          <cell r="N27" t="str">
            <v>MANAHAN SIMATUPANG SIBURIAN</v>
          </cell>
        </row>
        <row r="28">
          <cell r="C28" t="str">
            <v>OEBUFU</v>
          </cell>
          <cell r="N28" t="str">
            <v>ADRIAN ALFANDION BENU</v>
          </cell>
        </row>
        <row r="29">
          <cell r="C29" t="str">
            <v>CAKRANEGARA</v>
          </cell>
          <cell r="N29" t="str">
            <v>MUHAMMAD JUMADIL</v>
          </cell>
        </row>
        <row r="30">
          <cell r="C30" t="str">
            <v>SERUNI</v>
          </cell>
          <cell r="N30" t="str">
            <v>MUHAMMAD JUMADIL</v>
          </cell>
        </row>
        <row r="31">
          <cell r="C31" t="str">
            <v>KARANG_GENTENG</v>
          </cell>
          <cell r="N31" t="str">
            <v>MUHAMMAD JUMADIL</v>
          </cell>
        </row>
        <row r="32">
          <cell r="C32" t="str">
            <v>BAA</v>
          </cell>
          <cell r="N32" t="str">
            <v>CHINDY BIRE</v>
          </cell>
        </row>
        <row r="33">
          <cell r="C33" t="str">
            <v>KELAPA_LIMA</v>
          </cell>
          <cell r="N33" t="str">
            <v>JUNEIDI ANDRI MANDALA</v>
          </cell>
        </row>
        <row r="34">
          <cell r="C34" t="str">
            <v>KUPANG</v>
          </cell>
          <cell r="N34" t="str">
            <v>FELIX DEMASIUS FOENAY</v>
          </cell>
        </row>
        <row r="35">
          <cell r="C35" t="str">
            <v>MATARAM</v>
          </cell>
          <cell r="N35" t="str">
            <v>MUHAMMAD JUMADIL</v>
          </cell>
        </row>
        <row r="36">
          <cell r="C36" t="str">
            <v>WAIKABUBAK</v>
          </cell>
          <cell r="N36" t="str">
            <v>ARMIYATI BULU</v>
          </cell>
        </row>
        <row r="37">
          <cell r="C37" t="str">
            <v>MAUMERE</v>
          </cell>
          <cell r="N37" t="str">
            <v>PETRUS TRIMULIA WANGGA DALA</v>
          </cell>
        </row>
        <row r="38">
          <cell r="C38" t="str">
            <v>SOE</v>
          </cell>
          <cell r="N38" t="str">
            <v>CICI TRISNAWATI NGGILLI</v>
          </cell>
        </row>
        <row r="39">
          <cell r="C39" t="str">
            <v>AMI_SALES</v>
          </cell>
          <cell r="N39" t="str">
            <v>MUHAMMAD JUMADIL</v>
          </cell>
        </row>
        <row r="40">
          <cell r="C40" t="str">
            <v>MAULAFA</v>
          </cell>
          <cell r="N40" t="str">
            <v>PUTRY PRATIWY ELISABETH KAMEO</v>
          </cell>
        </row>
        <row r="41">
          <cell r="C41" t="str">
            <v>DOMPU</v>
          </cell>
          <cell r="N41" t="str">
            <v>M. SALAHUDIN</v>
          </cell>
        </row>
        <row r="42">
          <cell r="C42" t="str">
            <v>WAINGAPU</v>
          </cell>
          <cell r="N42" t="str">
            <v>ARMIYATI BULU</v>
          </cell>
        </row>
        <row r="43">
          <cell r="C43" t="str">
            <v>KUANINO</v>
          </cell>
          <cell r="N43" t="str">
            <v>ISMAIL ABDURAHMAN MARO</v>
          </cell>
        </row>
        <row r="44">
          <cell r="C44" t="str">
            <v>RUTENG</v>
          </cell>
          <cell r="N44" t="str">
            <v>ALOYSIUS RIWANTO</v>
          </cell>
        </row>
        <row r="45">
          <cell r="C45" t="str">
            <v>MBAY</v>
          </cell>
          <cell r="N45" t="str">
            <v>ALOYSIUS RIWANTO</v>
          </cell>
        </row>
        <row r="46">
          <cell r="C46" t="str">
            <v>LEWOLEBA</v>
          </cell>
          <cell r="N46" t="str">
            <v>PETRUS TRIMULIA WANGGA DALA</v>
          </cell>
        </row>
        <row r="47">
          <cell r="C47" t="str">
            <v>TAMBOLAKA</v>
          </cell>
          <cell r="N47" t="str">
            <v>ARMIYATI BULU</v>
          </cell>
        </row>
        <row r="48">
          <cell r="C48" t="str">
            <v>BAJAWA</v>
          </cell>
          <cell r="N48" t="str">
            <v>ALOYSIUS RIWANTO</v>
          </cell>
        </row>
        <row r="49">
          <cell r="C49" t="str">
            <v>LARANTUKA</v>
          </cell>
          <cell r="N49" t="str">
            <v>PETRUS TRIMULIA WANGGA DALA</v>
          </cell>
        </row>
        <row r="50">
          <cell r="C50" t="str">
            <v>TODE_KISAR</v>
          </cell>
          <cell r="N50" t="str">
            <v>CHINDY BIRE</v>
          </cell>
        </row>
        <row r="51">
          <cell r="C51" t="str">
            <v>BIMA</v>
          </cell>
          <cell r="N51" t="str">
            <v>FAHRURRAZI</v>
          </cell>
        </row>
        <row r="52">
          <cell r="C52" t="str">
            <v>KALABAHI</v>
          </cell>
          <cell r="N52" t="str">
            <v>PETRUS TRIMULIA WANGGA DALA</v>
          </cell>
        </row>
        <row r="53">
          <cell r="C53" t="str">
            <v>LABUAN_BAJO</v>
          </cell>
          <cell r="N53" t="str">
            <v>ALOYSIUS RIWANTO</v>
          </cell>
        </row>
        <row r="54">
          <cell r="C54" t="str">
            <v>DASAN_CERMEN</v>
          </cell>
          <cell r="N54" t="str">
            <v>MUHAMMAD JUMADIL</v>
          </cell>
        </row>
        <row r="55">
          <cell r="C55" t="str">
            <v>GIA04A</v>
          </cell>
          <cell r="N55" t="str">
            <v>I Gd Andika Adi Prasetya Murya</v>
          </cell>
        </row>
        <row r="56">
          <cell r="C56" t="str">
            <v>MONJOK_1</v>
          </cell>
          <cell r="N56" t="str">
            <v>MUHAMMAD JUMADIL</v>
          </cell>
        </row>
        <row r="57">
          <cell r="C57" t="str">
            <v>KETEWEL</v>
          </cell>
          <cell r="N57" t="str">
            <v>GUSTI NGURAH ARY RAKA DARMAYASA, SE.MM</v>
          </cell>
        </row>
        <row r="58">
          <cell r="C58" t="str">
            <v>BAYAN_1</v>
          </cell>
          <cell r="N58" t="str">
            <v>MUHAMMAD TONY NUGRAHA</v>
          </cell>
        </row>
        <row r="59">
          <cell r="C59" t="str">
            <v>KAYANGAN_1</v>
          </cell>
          <cell r="N59" t="str">
            <v>MUHAMMAD TONY NUGRAHA</v>
          </cell>
        </row>
        <row r="60">
          <cell r="C60" t="str">
            <v>GIANYAR_1</v>
          </cell>
          <cell r="N60" t="str">
            <v>GUSTI NGURAH ARY RAKA DARMAYASA, SE.MM</v>
          </cell>
        </row>
        <row r="61">
          <cell r="C61" t="str">
            <v>KLUMPU</v>
          </cell>
          <cell r="N61" t="str">
            <v>GEMAYA WANGSA</v>
          </cell>
        </row>
        <row r="62">
          <cell r="C62" t="str">
            <v>MARGA</v>
          </cell>
          <cell r="N62" t="str">
            <v>AGUS KADE DIVA RAMANA</v>
          </cell>
        </row>
        <row r="63">
          <cell r="C63" t="str">
            <v>KLUNGKUNG_1</v>
          </cell>
          <cell r="N63" t="str">
            <v>GEMAYA WANGSA</v>
          </cell>
        </row>
        <row r="64">
          <cell r="C64" t="str">
            <v>MELAYA_1</v>
          </cell>
          <cell r="N64" t="str">
            <v>YUNAN FURQONA RAMADHANI</v>
          </cell>
        </row>
        <row r="65">
          <cell r="C65" t="str">
            <v>PELIATAN_1</v>
          </cell>
          <cell r="N65" t="str">
            <v>I Gd Andika Adi Prasetya Murya</v>
          </cell>
        </row>
        <row r="66">
          <cell r="C66" t="str">
            <v>PAYANGAN_1</v>
          </cell>
          <cell r="N66" t="str">
            <v>I Gd Andika Adi Prasetya Murya</v>
          </cell>
        </row>
        <row r="67">
          <cell r="C67" t="str">
            <v>MUNCAN_1</v>
          </cell>
          <cell r="N67" t="str">
            <v>AGUSTINUS DICKY PURWONO</v>
          </cell>
        </row>
        <row r="68">
          <cell r="C68" t="str">
            <v>MANGGIS_1</v>
          </cell>
          <cell r="N68" t="str">
            <v>AGUSTINUS DICKY PURWONO</v>
          </cell>
        </row>
        <row r="69">
          <cell r="C69" t="str">
            <v>ABANG_1</v>
          </cell>
          <cell r="N69" t="str">
            <v>AGUSTINUS DICKY PURWONO</v>
          </cell>
        </row>
        <row r="70">
          <cell r="C70" t="str">
            <v>AMLAPURA_1</v>
          </cell>
          <cell r="N70" t="str">
            <v>AGUSTINUS DICKY PURWONO</v>
          </cell>
        </row>
        <row r="71">
          <cell r="C71" t="str">
            <v>UBUD_1</v>
          </cell>
          <cell r="N71" t="str">
            <v>I Gd Andika Adi Prasetya Murya</v>
          </cell>
        </row>
        <row r="72">
          <cell r="C72" t="str">
            <v>NEGARA_1</v>
          </cell>
          <cell r="N72" t="str">
            <v>YUNAN FURQONA RAMADHANI</v>
          </cell>
        </row>
        <row r="73">
          <cell r="C73" t="str">
            <v>CELUK_1</v>
          </cell>
          <cell r="N73" t="str">
            <v>GUSTI NGURAH ARY RAKA DARMAYASA, SE.MM</v>
          </cell>
        </row>
        <row r="74">
          <cell r="C74" t="str">
            <v>MERITA_1</v>
          </cell>
          <cell r="N74" t="str">
            <v>AGUSTINUS DICKY PURWONO</v>
          </cell>
        </row>
        <row r="75">
          <cell r="C75" t="str">
            <v>SUKAWATI_1</v>
          </cell>
          <cell r="N75" t="str">
            <v>GUSTI NGURAH ARY RAKA DARMAYASA, SE.MM</v>
          </cell>
        </row>
        <row r="76">
          <cell r="C76" t="str">
            <v>PEKUTATAN_1</v>
          </cell>
          <cell r="N76" t="str">
            <v>YUNAN FURQONA RAMADHANI</v>
          </cell>
        </row>
        <row r="77">
          <cell r="C77" t="str">
            <v>MENDOYO_1</v>
          </cell>
          <cell r="N77" t="str">
            <v>YUNAN FURQONA RAMADHANI</v>
          </cell>
        </row>
        <row r="78">
          <cell r="C78" t="str">
            <v>BULELENG_1</v>
          </cell>
          <cell r="N78" t="str">
            <v>DEAR RAMOS DAMANIK</v>
          </cell>
        </row>
        <row r="79">
          <cell r="C79" t="str">
            <v>ANTURAN_1</v>
          </cell>
          <cell r="N79" t="str">
            <v>DEAR RAMOS DAMANIK</v>
          </cell>
        </row>
        <row r="80">
          <cell r="C80" t="str">
            <v>BATURITI_1</v>
          </cell>
          <cell r="N80" t="str">
            <v>AGUS KADE DIVA RAMANA</v>
          </cell>
        </row>
        <row r="81">
          <cell r="C81" t="str">
            <v>TEJAKULA_1</v>
          </cell>
          <cell r="N81" t="str">
            <v>DEAR RAMOS DAMANIK</v>
          </cell>
        </row>
        <row r="82">
          <cell r="C82" t="str">
            <v>SELEMADEG_1</v>
          </cell>
          <cell r="N82" t="str">
            <v>AGUS KADE DIVA RAMANA</v>
          </cell>
        </row>
        <row r="83">
          <cell r="C83" t="str">
            <v>SERIRIT_1</v>
          </cell>
          <cell r="N83" t="str">
            <v>DEAR RAMOS DAMANIK</v>
          </cell>
        </row>
        <row r="84">
          <cell r="C84" t="str">
            <v>BUNGKULAN_1</v>
          </cell>
          <cell r="N84" t="str">
            <v>DEAR RAMOS DAMANIK</v>
          </cell>
        </row>
        <row r="85">
          <cell r="C85" t="str">
            <v>GEROKGAK_1</v>
          </cell>
          <cell r="N85" t="str">
            <v>DEAR RAMOS DAMANIK</v>
          </cell>
        </row>
        <row r="86">
          <cell r="C86" t="str">
            <v>BADUNG_SELATAN_1</v>
          </cell>
          <cell r="N86" t="str">
            <v>Rino Prasetya Wibowo</v>
          </cell>
        </row>
        <row r="87">
          <cell r="C87" t="str">
            <v>CANGGU_1</v>
          </cell>
          <cell r="N87" t="str">
            <v>I GEDE BAGUS ADI SURYAWAN , ST</v>
          </cell>
        </row>
        <row r="88">
          <cell r="C88" t="str">
            <v>JIMBARAN_1</v>
          </cell>
          <cell r="N88" t="str">
            <v>Rino Prasetya Wibowo</v>
          </cell>
        </row>
        <row r="89">
          <cell r="C89" t="str">
            <v>KUTA_2</v>
          </cell>
          <cell r="N89" t="str">
            <v>AGUS PRADNYANA</v>
          </cell>
        </row>
        <row r="90">
          <cell r="C90" t="str">
            <v>DC_KUTA_1</v>
          </cell>
          <cell r="N90" t="str">
            <v>I KOMANG FERI INDRAJAYA</v>
          </cell>
        </row>
        <row r="91">
          <cell r="C91" t="str">
            <v>UNGASAN_1</v>
          </cell>
          <cell r="N91" t="str">
            <v>AGUS PRADNYANA</v>
          </cell>
        </row>
        <row r="92">
          <cell r="C92" t="str">
            <v>JEMBRANA</v>
          </cell>
          <cell r="N92" t="str">
            <v>YUNAN FURQONA RAMADHANI</v>
          </cell>
        </row>
        <row r="93">
          <cell r="C93" t="str">
            <v>PRAYA_TENGAH</v>
          </cell>
          <cell r="N93" t="str">
            <v>Suhardi</v>
          </cell>
        </row>
        <row r="94">
          <cell r="C94" t="str">
            <v>KEDEWATAN</v>
          </cell>
          <cell r="N94" t="str">
            <v>I Gd Andika Adi Prasetya Murya</v>
          </cell>
        </row>
        <row r="95">
          <cell r="C95" t="str">
            <v>SUMBERKIMA</v>
          </cell>
          <cell r="N95" t="str">
            <v>DEAR RAMOS DAMANIK</v>
          </cell>
        </row>
        <row r="96">
          <cell r="C96" t="str">
            <v>BANJAR_SGA</v>
          </cell>
          <cell r="N96" t="str">
            <v>DEAR RAMOS DAMANIK</v>
          </cell>
        </row>
        <row r="97">
          <cell r="C97" t="str">
            <v>LEMBONGAN</v>
          </cell>
          <cell r="N97" t="str">
            <v>GEMAYA WANGSA</v>
          </cell>
        </row>
        <row r="98">
          <cell r="C98" t="str">
            <v>SUKASADA</v>
          </cell>
          <cell r="N98" t="str">
            <v>DEAR RAMOS DAMANIK</v>
          </cell>
        </row>
        <row r="99">
          <cell r="C99" t="str">
            <v>CP_SEBATU</v>
          </cell>
          <cell r="N99" t="str">
            <v>GUSTI NGURAH ARY RAKA DARMAYASA, SE.MM</v>
          </cell>
        </row>
        <row r="100">
          <cell r="C100" t="str">
            <v>CP_UDAYANA</v>
          </cell>
          <cell r="N100" t="str">
            <v>YUNAN FURQONA RAMADHANI</v>
          </cell>
        </row>
        <row r="101">
          <cell r="C101" t="str">
            <v>CP_KALIUNTU</v>
          </cell>
          <cell r="N101" t="str">
            <v>DEAR RAMOS DAMANIK</v>
          </cell>
        </row>
        <row r="102">
          <cell r="C102" t="str">
            <v>CP_BATUBULAN</v>
          </cell>
          <cell r="N102" t="str">
            <v>GUSTI NGURAH ARY RAKA DARMAYASA, SE.MM</v>
          </cell>
        </row>
        <row r="103">
          <cell r="C103" t="str">
            <v>CP_MADE_LEBAH</v>
          </cell>
          <cell r="N103" t="str">
            <v>I Gd Andika Adi Prasetya Murya</v>
          </cell>
        </row>
        <row r="104">
          <cell r="C104" t="str">
            <v>CP_DALUNG</v>
          </cell>
          <cell r="N104" t="str">
            <v>I GEDE BAGUS ADI SURYAWAN , ST</v>
          </cell>
        </row>
        <row r="105">
          <cell r="C105" t="str">
            <v>CP_SANGSIT</v>
          </cell>
          <cell r="N105" t="str">
            <v>DEAR RAMOS DAMANIK</v>
          </cell>
        </row>
        <row r="106">
          <cell r="C106" t="str">
            <v>CP_UDAYANA_1</v>
          </cell>
          <cell r="N106" t="str">
            <v>GUSTI NGURAH ARY RAKA DARMAYASA, SE.MM</v>
          </cell>
        </row>
        <row r="107">
          <cell r="C107" t="str">
            <v>GUWANG</v>
          </cell>
          <cell r="N107" t="str">
            <v>GUSTI NGURAH ARY RAKA DARMAYASA, SE.MM</v>
          </cell>
        </row>
        <row r="108">
          <cell r="C108" t="str">
            <v>PENGADANG</v>
          </cell>
          <cell r="N108" t="str">
            <v>Suhardi</v>
          </cell>
        </row>
        <row r="109">
          <cell r="C109" t="str">
            <v>WOJA</v>
          </cell>
          <cell r="N109" t="str">
            <v>M. SALAHUDIN</v>
          </cell>
        </row>
        <row r="110">
          <cell r="C110" t="str">
            <v>PRINGGABAYA</v>
          </cell>
          <cell r="N110" t="str">
            <v>Abi Hilmawan</v>
          </cell>
        </row>
        <row r="111">
          <cell r="C111" t="str">
            <v>KERUAK</v>
          </cell>
          <cell r="N111" t="str">
            <v>Abi Hilmawan</v>
          </cell>
        </row>
        <row r="112">
          <cell r="C112" t="str">
            <v>CP_BITERA</v>
          </cell>
          <cell r="N112" t="str">
            <v>GUSTI NGURAH ARY RAKA DARMAYASA, SE.MM</v>
          </cell>
        </row>
        <row r="113">
          <cell r="C113" t="str">
            <v>TEMBUKU</v>
          </cell>
          <cell r="N113" t="str">
            <v>I Kadek Sandiyasa</v>
          </cell>
        </row>
        <row r="114">
          <cell r="C114" t="str">
            <v>MOYO</v>
          </cell>
          <cell r="N114" t="str">
            <v>Ari Ardiansyah</v>
          </cell>
        </row>
        <row r="115">
          <cell r="C115" t="str">
            <v>MONTA</v>
          </cell>
          <cell r="N115" t="str">
            <v>SYARIFUDDIN</v>
          </cell>
        </row>
        <row r="116">
          <cell r="C116" t="str">
            <v>LUNYUK</v>
          </cell>
          <cell r="N116" t="str">
            <v>DENI SUSATYO</v>
          </cell>
        </row>
        <row r="117">
          <cell r="C117" t="str">
            <v>BRANG_REA</v>
          </cell>
          <cell r="N117" t="str">
            <v>Syamsul Bahri</v>
          </cell>
        </row>
        <row r="118">
          <cell r="C118" t="str">
            <v>MPUNDA</v>
          </cell>
          <cell r="N118" t="str">
            <v>FAHRURRAZI</v>
          </cell>
        </row>
        <row r="119">
          <cell r="C119" t="str">
            <v>REMPUNG</v>
          </cell>
          <cell r="N119" t="str">
            <v>Abi Hilmawan</v>
          </cell>
        </row>
        <row r="120">
          <cell r="C120" t="str">
            <v>BANJARANGKAN</v>
          </cell>
          <cell r="N120" t="str">
            <v>GEMAYA WANGSA</v>
          </cell>
        </row>
        <row r="121">
          <cell r="C121" t="str">
            <v>MALUK</v>
          </cell>
          <cell r="N121" t="str">
            <v>Muhammad Aqil Fadhilah</v>
          </cell>
        </row>
        <row r="122">
          <cell r="C122" t="str">
            <v>BOLO</v>
          </cell>
          <cell r="N122" t="str">
            <v>SYARIFUDDIN</v>
          </cell>
        </row>
        <row r="123">
          <cell r="C123" t="str">
            <v>NUSA_PENIDA</v>
          </cell>
          <cell r="N123" t="str">
            <v>GEMAYA WANGSA</v>
          </cell>
        </row>
        <row r="124">
          <cell r="C124" t="str">
            <v>SAKRA_BARAT</v>
          </cell>
          <cell r="N124" t="str">
            <v>Abi Hilmawan</v>
          </cell>
        </row>
        <row r="125">
          <cell r="C125" t="str">
            <v>KINTAMANI</v>
          </cell>
          <cell r="N125" t="str">
            <v>I Kadek Sandiyasa</v>
          </cell>
        </row>
        <row r="126">
          <cell r="C126" t="str">
            <v>SAPE</v>
          </cell>
          <cell r="N126" t="str">
            <v>FAHRURRAZI</v>
          </cell>
        </row>
        <row r="127">
          <cell r="C127" t="str">
            <v>EMPANG_TARANO</v>
          </cell>
          <cell r="N127" t="str">
            <v>Ari Ardiansyah</v>
          </cell>
        </row>
        <row r="128">
          <cell r="C128" t="str">
            <v>PUYUNG</v>
          </cell>
          <cell r="N128" t="str">
            <v>Suhardi</v>
          </cell>
        </row>
        <row r="129">
          <cell r="C129" t="str">
            <v>RABA_SASAMBO</v>
          </cell>
          <cell r="N129" t="str">
            <v>FAHRURRAZI</v>
          </cell>
        </row>
        <row r="130">
          <cell r="C130" t="str">
            <v>PLAMPANG</v>
          </cell>
          <cell r="N130" t="str">
            <v>Ari Ardiansyah</v>
          </cell>
        </row>
        <row r="131">
          <cell r="C131" t="str">
            <v>SETELUK</v>
          </cell>
          <cell r="N131" t="str">
            <v>ANTON IQRA ANUGRA</v>
          </cell>
        </row>
        <row r="132">
          <cell r="C132" t="str">
            <v>LAPE</v>
          </cell>
          <cell r="N132" t="str">
            <v>Ari Ardiansyah</v>
          </cell>
        </row>
        <row r="133">
          <cell r="C133" t="str">
            <v>ALAS</v>
          </cell>
          <cell r="N133" t="str">
            <v>DENI SUSATYO</v>
          </cell>
        </row>
        <row r="134">
          <cell r="C134" t="str">
            <v>MANTANG</v>
          </cell>
          <cell r="N134" t="str">
            <v>Suhardi</v>
          </cell>
        </row>
        <row r="135">
          <cell r="C135" t="str">
            <v>NARMADA</v>
          </cell>
          <cell r="N135" t="str">
            <v>MUHAMMAD TONY NUGRAHA</v>
          </cell>
        </row>
        <row r="136">
          <cell r="C136" t="str">
            <v>GUNUNG_SARI</v>
          </cell>
          <cell r="N136" t="str">
            <v>MUHAMMAD TONY NUGRAHA</v>
          </cell>
        </row>
        <row r="137">
          <cell r="C137" t="str">
            <v>SIKUR</v>
          </cell>
          <cell r="N137" t="str">
            <v>Abi Hilmawan</v>
          </cell>
        </row>
        <row r="138">
          <cell r="C138" t="str">
            <v>TANAK_AWU</v>
          </cell>
          <cell r="N138" t="str">
            <v>Suhardi</v>
          </cell>
        </row>
        <row r="139">
          <cell r="C139" t="str">
            <v>SEGANTENG</v>
          </cell>
          <cell r="N139" t="str">
            <v>MUHAMMAD JUMADIL</v>
          </cell>
        </row>
        <row r="140">
          <cell r="C140" t="str">
            <v>EMPANG</v>
          </cell>
          <cell r="N140" t="str">
            <v>DENI SUSATYO</v>
          </cell>
        </row>
        <row r="141">
          <cell r="C141" t="str">
            <v>SUSUT</v>
          </cell>
          <cell r="N141" t="str">
            <v>I Kadek Sandiyasa</v>
          </cell>
        </row>
        <row r="142">
          <cell r="C142" t="str">
            <v>GERUNG</v>
          </cell>
          <cell r="N142" t="str">
            <v>MUHAMMAD TONY NUGRAHA</v>
          </cell>
        </row>
        <row r="143">
          <cell r="C143" t="str">
            <v>TALIWANG</v>
          </cell>
          <cell r="N143" t="str">
            <v>Resi Marsila</v>
          </cell>
        </row>
        <row r="144">
          <cell r="C144" t="str">
            <v>SUMBAWA</v>
          </cell>
          <cell r="N144" t="str">
            <v>DENI SUSATYO</v>
          </cell>
        </row>
        <row r="145">
          <cell r="C145" t="str">
            <v>SEMARAPURA</v>
          </cell>
          <cell r="N145" t="str">
            <v>GEMAYA WANGSA</v>
          </cell>
        </row>
        <row r="146">
          <cell r="C146" t="str">
            <v>SINGARAJA</v>
          </cell>
          <cell r="N146" t="str">
            <v>DEAR RAMOS DAMANIK</v>
          </cell>
        </row>
        <row r="147">
          <cell r="C147" t="str">
            <v>BANGLI</v>
          </cell>
          <cell r="N147" t="str">
            <v>I Kadek Sandiyasa</v>
          </cell>
        </row>
        <row r="148">
          <cell r="C148" t="str">
            <v>KESRA</v>
          </cell>
          <cell r="N148" t="str">
            <v>MUHAMMAD JUMADIL</v>
          </cell>
        </row>
        <row r="149">
          <cell r="C149" t="str">
            <v>TAMAN_SARI</v>
          </cell>
          <cell r="N149" t="str">
            <v>MUHAMMAD JUMADIL</v>
          </cell>
        </row>
        <row r="150">
          <cell r="C150" t="str">
            <v>LABUAN_LOMBOK</v>
          </cell>
          <cell r="N150" t="str">
            <v>Abi Hilmawan</v>
          </cell>
        </row>
        <row r="151">
          <cell r="C151" t="str">
            <v>PUPUAN_1</v>
          </cell>
          <cell r="N151" t="str">
            <v>AGUS KADE DIVA RAMANA</v>
          </cell>
        </row>
        <row r="152">
          <cell r="C152" t="str">
            <v>TAMAN_GRIYA_1</v>
          </cell>
          <cell r="N152" t="str">
            <v>Rino Prasetya Wibowo</v>
          </cell>
        </row>
        <row r="153">
          <cell r="C153" t="str">
            <v>SEMINYAK_1</v>
          </cell>
          <cell r="N153" t="str">
            <v>I GEDE BAGUS ADI SURYAWAN , ST</v>
          </cell>
        </row>
        <row r="154">
          <cell r="C154" t="str">
            <v>KELAN_1</v>
          </cell>
          <cell r="N154" t="str">
            <v>Rino Prasetya Wibowo</v>
          </cell>
        </row>
        <row r="155">
          <cell r="C155" t="str">
            <v>MERTANADI_1</v>
          </cell>
          <cell r="N155" t="str">
            <v>I KOMANG FERI INDRAJAYA</v>
          </cell>
        </row>
        <row r="156">
          <cell r="C156" t="str">
            <v>SUNSET_ROAD_1</v>
          </cell>
          <cell r="N156" t="str">
            <v>AGUS PRADNYANA</v>
          </cell>
        </row>
        <row r="157">
          <cell r="C157" t="str">
            <v>ABIANBASE_1</v>
          </cell>
          <cell r="N157" t="str">
            <v>I GEDE BAGUS ADI SURYAWAN , ST</v>
          </cell>
        </row>
        <row r="158">
          <cell r="C158" t="str">
            <v>BLAHKIUH_1</v>
          </cell>
          <cell r="N158" t="str">
            <v>I GEDE BAGUS ADI SURYAWAN , ST</v>
          </cell>
        </row>
        <row r="159">
          <cell r="C159" t="str">
            <v>CICA_1</v>
          </cell>
          <cell r="N159" t="str">
            <v>I GEDE BAGUS ADI SURYAWAN , ST</v>
          </cell>
        </row>
        <row r="160">
          <cell r="C160" t="str">
            <v>MENGWI_1</v>
          </cell>
          <cell r="N160" t="str">
            <v>I GEDE BAGUS ADI SURYAWAN , ST</v>
          </cell>
        </row>
        <row r="161">
          <cell r="C161" t="str">
            <v>DC_MENGWI_1</v>
          </cell>
          <cell r="N161" t="str">
            <v>I GEDE BAGUS ADI SURYAWAN , ST</v>
          </cell>
        </row>
        <row r="162">
          <cell r="C162" t="str">
            <v>DC_DENPASAR_SELATAN1</v>
          </cell>
          <cell r="N162" t="str">
            <v>KADEK DWIPA ANGGARASTRA</v>
          </cell>
        </row>
        <row r="163">
          <cell r="C163" t="str">
            <v>NANGKA_SELATAN_1</v>
          </cell>
          <cell r="N163" t="str">
            <v>DWIKY REZA ARDANI WINAHARA</v>
          </cell>
        </row>
        <row r="164">
          <cell r="C164" t="str">
            <v>PEMECUTAN_1</v>
          </cell>
          <cell r="N164" t="str">
            <v>NI PUTU DEWI LASTINI</v>
          </cell>
        </row>
        <row r="165">
          <cell r="C165" t="str">
            <v>DENPASAR_UTARA_1</v>
          </cell>
          <cell r="N165" t="str">
            <v>NI PUTU DEWI LASTINI</v>
          </cell>
        </row>
        <row r="166">
          <cell r="C166" t="str">
            <v>KEBO_IWA_UTARA_1</v>
          </cell>
          <cell r="N166" t="str">
            <v>NI PUTU DEWI LASTINI</v>
          </cell>
        </row>
        <row r="167">
          <cell r="C167" t="str">
            <v>PEGUYANGAN_1</v>
          </cell>
          <cell r="N167" t="str">
            <v>NI PUTU DEWI LASTINI</v>
          </cell>
        </row>
        <row r="168">
          <cell r="C168" t="str">
            <v>KEMUDA_1</v>
          </cell>
          <cell r="N168" t="str">
            <v>DWIKY REZA ARDANI WINAHARA</v>
          </cell>
        </row>
        <row r="169">
          <cell r="C169" t="str">
            <v>AYANI_UTARA_1</v>
          </cell>
          <cell r="N169" t="str">
            <v>NI PUTU DEWI LASTINI</v>
          </cell>
        </row>
        <row r="170">
          <cell r="C170" t="str">
            <v>SESETAN_2</v>
          </cell>
          <cell r="N170" t="str">
            <v>KADEK DWIPA ANGGARASTRA</v>
          </cell>
        </row>
        <row r="171">
          <cell r="C171" t="str">
            <v>GRIYA_ANYAR_1</v>
          </cell>
          <cell r="N171" t="str">
            <v>KADEK DWIPA ANGGARASTRA</v>
          </cell>
        </row>
        <row r="172">
          <cell r="C172" t="str">
            <v>PUPUTAN_RENON_1</v>
          </cell>
          <cell r="N172" t="str">
            <v>DWIKY REZA ARDANI WINAHARA</v>
          </cell>
        </row>
        <row r="173">
          <cell r="C173" t="str">
            <v>WIBISANA_1</v>
          </cell>
          <cell r="N173" t="str">
            <v>NI WAYAN ELSA SEPTIANA INDRIANI</v>
          </cell>
        </row>
        <row r="174">
          <cell r="C174" t="str">
            <v>KEBO_IWA_1</v>
          </cell>
          <cell r="N174" t="str">
            <v>NI PUTU DEWI LASTINI</v>
          </cell>
        </row>
        <row r="175">
          <cell r="C175" t="str">
            <v>DC_PULAU_MOYO_1</v>
          </cell>
          <cell r="N175" t="str">
            <v>KADEK DWIPA ANGGARASTRA</v>
          </cell>
        </row>
        <row r="176">
          <cell r="C176" t="str">
            <v>PULAU_BUNGIN_1</v>
          </cell>
          <cell r="N176" t="str">
            <v>KADEK DWIPA ANGGARASTRA</v>
          </cell>
        </row>
        <row r="177">
          <cell r="C177" t="str">
            <v>SIDAKARYA_1</v>
          </cell>
          <cell r="N177" t="str">
            <v>KADEK DWIPA ANGGARASTRA</v>
          </cell>
        </row>
        <row r="178">
          <cell r="C178" t="str">
            <v>PEMOGAN_1</v>
          </cell>
          <cell r="N178" t="str">
            <v>KADEK DWIPA ANGGARASTRA</v>
          </cell>
        </row>
        <row r="179">
          <cell r="C179" t="str">
            <v>DC_DENPASAR_BARAT_3</v>
          </cell>
          <cell r="N179" t="str">
            <v>NI WAYAN ELSA SEPTIANA INDRIANI</v>
          </cell>
        </row>
        <row r="180">
          <cell r="C180" t="str">
            <v>SANUR_KAUH_1</v>
          </cell>
          <cell r="N180" t="str">
            <v>KADEK DWIPA ANGGARASTRA</v>
          </cell>
        </row>
        <row r="181">
          <cell r="C181" t="str">
            <v>SANUR_1</v>
          </cell>
          <cell r="N181" t="str">
            <v>KADEK DWIPA ANGGARASTRA</v>
          </cell>
        </row>
        <row r="182">
          <cell r="C182" t="str">
            <v>KEBO_IWA_SELATAN_1</v>
          </cell>
          <cell r="N182" t="str">
            <v>NI PUTU DEWI LASTINI</v>
          </cell>
        </row>
        <row r="183">
          <cell r="C183" t="str">
            <v>PADANG_SAMBIAN_1</v>
          </cell>
          <cell r="N183" t="str">
            <v>NI WAYAN ELSA SEPTIANA INDRIANI</v>
          </cell>
        </row>
        <row r="184">
          <cell r="C184" t="str">
            <v>HAYAM_WURUK_1</v>
          </cell>
          <cell r="N184" t="str">
            <v>DWIKY REZA ARDANI WINAHARA</v>
          </cell>
        </row>
        <row r="185">
          <cell r="C185" t="str">
            <v>RENON_1</v>
          </cell>
          <cell r="N185" t="str">
            <v>DWIKY REZA ARDANI WINAHARA</v>
          </cell>
        </row>
        <row r="186">
          <cell r="C186" t="str">
            <v>MAHENDRADATTA_1</v>
          </cell>
          <cell r="N186" t="str">
            <v>NI WAYAN ELSA SEPTIANA INDRIANI</v>
          </cell>
        </row>
        <row r="187">
          <cell r="C187" t="str">
            <v>CANDIKUNING</v>
          </cell>
          <cell r="N187" t="str">
            <v>AGUS KADE DIVA RAMANA</v>
          </cell>
        </row>
        <row r="188">
          <cell r="C188" t="str">
            <v>SUWUNG_KAUH</v>
          </cell>
          <cell r="N188" t="str">
            <v>KADEK DWIPA ANGGARASTRA</v>
          </cell>
        </row>
        <row r="189">
          <cell r="C189" t="str">
            <v>PERANG</v>
          </cell>
          <cell r="N189" t="str">
            <v>I GEDE BAGUS ADI SURYAWAN , ST</v>
          </cell>
        </row>
        <row r="190">
          <cell r="C190" t="str">
            <v>SEDANG</v>
          </cell>
          <cell r="N190" t="str">
            <v>I GEDE BAGUS ADI SURYAWAN , ST</v>
          </cell>
        </row>
        <row r="191">
          <cell r="C191" t="str">
            <v>KEROBOKAN_1</v>
          </cell>
          <cell r="N191" t="str">
            <v>I KOMANG FERI INDRAJAYA</v>
          </cell>
        </row>
        <row r="192">
          <cell r="C192" t="str">
            <v>PERMATA_HIJAU</v>
          </cell>
          <cell r="N192" t="str">
            <v>NI WAYAN ELSA SEPTIANA INDRIANI</v>
          </cell>
        </row>
        <row r="193">
          <cell r="C193" t="str">
            <v>PURA_DEMAK</v>
          </cell>
          <cell r="N193" t="str">
            <v>NI WAYAN ELSA SEPTIANA INDRIANI</v>
          </cell>
        </row>
        <row r="194">
          <cell r="C194" t="str">
            <v>PENEBEL</v>
          </cell>
          <cell r="N194" t="str">
            <v>AGUS KADE DIVA RAMANA</v>
          </cell>
        </row>
        <row r="195">
          <cell r="C195" t="str">
            <v>DAUH_PEKEN_05</v>
          </cell>
          <cell r="N195" t="str">
            <v>Rino Prasetya Wibowo</v>
          </cell>
        </row>
        <row r="196">
          <cell r="C196" t="str">
            <v>KERAMBITAN_04</v>
          </cell>
          <cell r="N196" t="str">
            <v>AGUS KADE DIVA RAMANA</v>
          </cell>
        </row>
        <row r="197">
          <cell r="C197" t="str">
            <v>COKROAMINOTO</v>
          </cell>
          <cell r="N197" t="str">
            <v>NI PUTU DEWI LASTINI</v>
          </cell>
        </row>
        <row r="198">
          <cell r="C198" t="str">
            <v>TUKAD_PETANU</v>
          </cell>
          <cell r="N198" t="str">
            <v>DWIKY REZA ARDANI WINAHARA</v>
          </cell>
        </row>
        <row r="199">
          <cell r="C199" t="str">
            <v>PANJER</v>
          </cell>
          <cell r="N199" t="str">
            <v>KADEK DWIPA ANGGARASTRA</v>
          </cell>
        </row>
        <row r="200">
          <cell r="C200" t="str">
            <v>TABANANAN_01</v>
          </cell>
          <cell r="N200" t="str">
            <v>AGUS KADE DIVA RAMANA</v>
          </cell>
        </row>
        <row r="201">
          <cell r="C201" t="str">
            <v>BADAK_AGUNG</v>
          </cell>
          <cell r="N201" t="str">
            <v>DWIKY REZA ARDANI WINAHARA</v>
          </cell>
        </row>
        <row r="202">
          <cell r="C202" t="str">
            <v>AYANI_UTARA2</v>
          </cell>
          <cell r="N202" t="str">
            <v>NI PUTU DEWI LASTINI</v>
          </cell>
        </row>
        <row r="203">
          <cell r="C203" t="str">
            <v>KARYA_MAKMUR</v>
          </cell>
          <cell r="N203" t="str">
            <v>NI PUTU DEWI LASTINI</v>
          </cell>
        </row>
        <row r="204">
          <cell r="C204" t="str">
            <v>DENPASAR_SELATAN_2</v>
          </cell>
          <cell r="N204" t="str">
            <v>KADEK DWIPA ANGGARASTRA</v>
          </cell>
        </row>
        <row r="205">
          <cell r="C205" t="str">
            <v>PULAU_MOYO_2</v>
          </cell>
          <cell r="N205" t="str">
            <v>KADEK DWIPA ANGGARASTRA</v>
          </cell>
        </row>
        <row r="206">
          <cell r="C206" t="str">
            <v>RAYA_KUTA</v>
          </cell>
          <cell r="N206" t="str">
            <v>I KOMANG FERI INDRAJAYA</v>
          </cell>
        </row>
        <row r="207">
          <cell r="C207" t="str">
            <v>BATU_BOLONG</v>
          </cell>
          <cell r="N207" t="str">
            <v>I GEDE BAGUS ADI SURYAWAN , ST</v>
          </cell>
        </row>
        <row r="208">
          <cell r="C208" t="str">
            <v>BATUKARU</v>
          </cell>
          <cell r="N208" t="str">
            <v>NI WAYAN ELSA SEPTIANA INDRIANI</v>
          </cell>
        </row>
        <row r="209">
          <cell r="C209" t="str">
            <v>KESIMAN</v>
          </cell>
          <cell r="N209" t="str">
            <v>DWIKY REZA ARDANI WINAHARA</v>
          </cell>
        </row>
        <row r="210">
          <cell r="C210" t="str">
            <v>PADANG_UDAYANA</v>
          </cell>
          <cell r="N210" t="str">
            <v>NI WAYAN ELSA SEPTIANA INDRIANI</v>
          </cell>
        </row>
        <row r="211">
          <cell r="C211" t="str">
            <v>BLAMBANGAN</v>
          </cell>
          <cell r="N211" t="str">
            <v>AGUS PRADNYANA</v>
          </cell>
        </row>
        <row r="212">
          <cell r="C212" t="str">
            <v>CP_GATSU_TENGAH</v>
          </cell>
          <cell r="N212" t="str">
            <v>NI PUTU DEWI LASTINI</v>
          </cell>
        </row>
        <row r="213">
          <cell r="C213" t="str">
            <v>CP_PULAU_NIAS</v>
          </cell>
          <cell r="N213" t="str">
            <v>NI WAYAN ELSA SEPTIANA INDRIANI</v>
          </cell>
        </row>
        <row r="214">
          <cell r="C214" t="str">
            <v>CP_LETDA_MADE_PUTRA</v>
          </cell>
          <cell r="N214" t="str">
            <v>DWIKY REZA ARDANI WINAHARA</v>
          </cell>
        </row>
        <row r="215">
          <cell r="C215" t="str">
            <v>CP_BULUH_INDAH</v>
          </cell>
          <cell r="N215" t="str">
            <v>NI WAYAN ELSA SEPTIANA INDRIANI</v>
          </cell>
        </row>
        <row r="216">
          <cell r="C216" t="str">
            <v>CP_PEMECUTAN_KAJA</v>
          </cell>
          <cell r="N216" t="str">
            <v>NI PUTU DEWI LASTINI</v>
          </cell>
        </row>
        <row r="217">
          <cell r="C217" t="str">
            <v>SAELUS</v>
          </cell>
          <cell r="N217" t="str">
            <v>KADEK DWIPA ANGGARASTRA</v>
          </cell>
        </row>
        <row r="218">
          <cell r="C218" t="str">
            <v>CP_BUDUK_TENGAH</v>
          </cell>
          <cell r="N218" t="str">
            <v>I GEDE BAGUS ADI SURYAWAN , ST</v>
          </cell>
        </row>
        <row r="219">
          <cell r="C219" t="str">
            <v>KALIMUTU</v>
          </cell>
          <cell r="N219" t="str">
            <v>NI WAYAN ELSA SEPTIANA INDRIANI</v>
          </cell>
        </row>
        <row r="220">
          <cell r="C220" t="str">
            <v>CP_PATIH_NAMBI</v>
          </cell>
          <cell r="N220" t="str">
            <v>NI PUTU DEWI LASTINI</v>
          </cell>
        </row>
        <row r="221">
          <cell r="C221" t="str">
            <v>CP_ASEMAN</v>
          </cell>
          <cell r="N221" t="str">
            <v>I GEDE BAGUS ADI SURYAWAN , ST</v>
          </cell>
        </row>
        <row r="222">
          <cell r="C222" t="str">
            <v>CP_KESAMBI_1</v>
          </cell>
          <cell r="N222" t="str">
            <v>I KOMANG FERI INDRAJAYA</v>
          </cell>
        </row>
        <row r="223">
          <cell r="C223" t="str">
            <v>CP_WR_SUPRATMAN</v>
          </cell>
          <cell r="N223" t="str">
            <v>DWIKY REZA ARDANI WINAHARA</v>
          </cell>
        </row>
        <row r="224">
          <cell r="C224" t="str">
            <v>CP_KENYERI</v>
          </cell>
          <cell r="N224" t="str">
            <v>DWIKY REZA ARDANI WINAHARA</v>
          </cell>
        </row>
        <row r="225">
          <cell r="C225" t="str">
            <v>CP_NANGKA</v>
          </cell>
          <cell r="N225" t="str">
            <v>NI PUTU DEWI LASTINI</v>
          </cell>
        </row>
        <row r="226">
          <cell r="C226" t="str">
            <v>CP_TANGKUBAN_PERAHU</v>
          </cell>
          <cell r="N226" t="str">
            <v>NI WAYAN ELSA SEPTIANA INDRIANI</v>
          </cell>
        </row>
        <row r="227">
          <cell r="C227" t="str">
            <v>CP_SESETAN</v>
          </cell>
          <cell r="N227" t="str">
            <v>KADEK DWIPA ANGGARASTRA</v>
          </cell>
        </row>
        <row r="228">
          <cell r="C228" t="str">
            <v>CP_TUKAD_BARU</v>
          </cell>
          <cell r="N228" t="str">
            <v>KADEK DWIPA ANGGARASTRA</v>
          </cell>
        </row>
        <row r="229">
          <cell r="C229" t="str">
            <v>CP_TUKAD_YEH_AYA</v>
          </cell>
          <cell r="N229" t="str">
            <v>KADEK DWIPA ANGGARASTRA</v>
          </cell>
        </row>
        <row r="230">
          <cell r="C230" t="str">
            <v>CP_SUBUR</v>
          </cell>
          <cell r="N230" t="str">
            <v>NI WAYAN ELSA SEPTIANA INDRIANI</v>
          </cell>
        </row>
        <row r="231">
          <cell r="C231" t="str">
            <v>CP_BUANA_RAYA</v>
          </cell>
          <cell r="N231" t="str">
            <v>NI WAYAN ELSA SEPTIANA INDRIANI</v>
          </cell>
        </row>
        <row r="232">
          <cell r="C232" t="str">
            <v>SATELIT</v>
          </cell>
          <cell r="N232" t="str">
            <v>NI WAYAN ELSA SEPTIANA INDRIANI</v>
          </cell>
        </row>
        <row r="233">
          <cell r="C233" t="str">
            <v>CP_SEMER</v>
          </cell>
          <cell r="N233" t="str">
            <v>I GEDE BAGUS ADI SURYAWAN , ST</v>
          </cell>
        </row>
        <row r="234">
          <cell r="C234" t="str">
            <v>KARTINI</v>
          </cell>
          <cell r="N234" t="str">
            <v>DWIKY REZA ARDANI WINAHARA</v>
          </cell>
        </row>
        <row r="235">
          <cell r="C235" t="str">
            <v>DENPASAR_BARAT2</v>
          </cell>
          <cell r="N235" t="str">
            <v>NI WAYAN ELSA SEPTIANA INDRIANI</v>
          </cell>
        </row>
        <row r="236">
          <cell r="C236" t="str">
            <v>ULUWATU1</v>
          </cell>
          <cell r="N236" t="str">
            <v>AGUS PRADNYANA</v>
          </cell>
        </row>
        <row r="237">
          <cell r="C237" t="str">
            <v>GLOGOR_CARIK</v>
          </cell>
          <cell r="N237" t="str">
            <v>KADEK DWIPA ANGGARASTRA</v>
          </cell>
        </row>
        <row r="238">
          <cell r="C238" t="str">
            <v>DC_DENPASAR_BARAT</v>
          </cell>
          <cell r="N238" t="str">
            <v>NI WAYAN ELSA SEPTIANA INDRIANI</v>
          </cell>
        </row>
        <row r="239">
          <cell r="C239" t="str">
            <v>SOPUTAN</v>
          </cell>
          <cell r="N239" t="str">
            <v>NI WAYAN ELSA SEPTIANA INDRIANI</v>
          </cell>
        </row>
        <row r="240">
          <cell r="C240" t="str">
            <v>DENPASAR</v>
          </cell>
          <cell r="N240" t="str">
            <v>NI WAYAN ELSA SEPTIANA INDRIANI</v>
          </cell>
        </row>
        <row r="241">
          <cell r="C241" t="str">
            <v>KUTA_SELATAN</v>
          </cell>
          <cell r="N241" t="str">
            <v>AGUS PRADNYANA</v>
          </cell>
        </row>
        <row r="242">
          <cell r="C242" t="str">
            <v>SIULAN</v>
          </cell>
          <cell r="N242" t="str">
            <v>DWIKY REZA ARDANI WINAHARA</v>
          </cell>
        </row>
        <row r="243">
          <cell r="C243" t="str">
            <v>SANUR_KAJA</v>
          </cell>
          <cell r="N243" t="str">
            <v>DWIKY REZA ARDANI WINAHARA</v>
          </cell>
        </row>
        <row r="244">
          <cell r="C244" t="str">
            <v>NUSA_KAMBANGAN</v>
          </cell>
          <cell r="N244" t="str">
            <v>NI WAYAN ELSA SEPTIANA INDRIANI</v>
          </cell>
        </row>
        <row r="245">
          <cell r="C245" t="str">
            <v>MOYO_HULU</v>
          </cell>
          <cell r="N245" t="str">
            <v>Ari Ardiansyah</v>
          </cell>
        </row>
        <row r="246">
          <cell r="C246" t="str">
            <v>PRAYA</v>
          </cell>
          <cell r="N246" t="str">
            <v>Suhardi</v>
          </cell>
        </row>
        <row r="247">
          <cell r="C247" t="str">
            <v>TCWHO131</v>
          </cell>
          <cell r="N247" t="str">
            <v>ADE HARYANTO</v>
          </cell>
        </row>
        <row r="248">
          <cell r="C248" t="str">
            <v>TCWHO231</v>
          </cell>
          <cell r="N248" t="str">
            <v>NOFITA</v>
          </cell>
        </row>
        <row r="249">
          <cell r="C249" t="str">
            <v>PEDUNGAN_1</v>
          </cell>
          <cell r="N249" t="str">
            <v>PANJI PRATAMA</v>
          </cell>
        </row>
        <row r="250">
          <cell r="C250" t="str">
            <v>TEMBAU</v>
          </cell>
          <cell r="N250" t="str">
            <v>PANJI PRATAMA</v>
          </cell>
        </row>
        <row r="251">
          <cell r="C251" t="str">
            <v>DPS_SALES</v>
          </cell>
          <cell r="N251" t="str">
            <v>Panji Pratama</v>
          </cell>
        </row>
        <row r="252">
          <cell r="C252" t="str">
            <v>PYW03A</v>
          </cell>
          <cell r="N252" t="str">
            <v>Suhardi</v>
          </cell>
        </row>
        <row r="253">
          <cell r="C253" t="str">
            <v>WHO22</v>
          </cell>
          <cell r="N253" t="str">
            <v>FAHRURRAZI</v>
          </cell>
        </row>
        <row r="254">
          <cell r="C254" t="str">
            <v>APU07A</v>
          </cell>
          <cell r="N254" t="str">
            <v>AGUSTINUS DICKY PURWONO</v>
          </cell>
        </row>
        <row r="255">
          <cell r="C255" t="str">
            <v>TNW02B</v>
          </cell>
          <cell r="N255" t="str">
            <v>AGUS KADE DIVA RAMANA</v>
          </cell>
        </row>
        <row r="256">
          <cell r="C256" t="str">
            <v>BNL02A</v>
          </cell>
          <cell r="N256" t="str">
            <v>I Kadek Sandiyasa</v>
          </cell>
        </row>
        <row r="257">
          <cell r="C257" t="str">
            <v>TAW02B</v>
          </cell>
          <cell r="N257" t="str">
            <v>Resi Marsila</v>
          </cell>
        </row>
        <row r="258">
          <cell r="C258" t="str">
            <v>BMU01A</v>
          </cell>
          <cell r="N258" t="str">
            <v>FAHRURRAZI</v>
          </cell>
        </row>
        <row r="259">
          <cell r="C259" t="str">
            <v>GIA07B</v>
          </cell>
          <cell r="N259" t="str">
            <v>GUSTI NGURAH ARY RAKA DARMAYASA, SE.MM</v>
          </cell>
        </row>
        <row r="260">
          <cell r="C260" t="str">
            <v>APU05A</v>
          </cell>
          <cell r="N260" t="str">
            <v>AGUSTINUS DICKY PURWONO</v>
          </cell>
        </row>
        <row r="261">
          <cell r="C261" t="str">
            <v>KUPANG_TIMUR</v>
          </cell>
          <cell r="N261" t="str">
            <v>Salvatris Siro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688"/>
  <sheetViews>
    <sheetView tabSelected="1" topLeftCell="A1404" zoomScale="70" zoomScaleNormal="70" workbookViewId="0">
      <selection activeCell="H1432" sqref="H1432"/>
    </sheetView>
  </sheetViews>
  <sheetFormatPr defaultColWidth="9.77734375" defaultRowHeight="14.4"/>
  <cols>
    <col min="1" max="2" width="1.88671875" style="50" customWidth="1"/>
    <col min="3" max="4" width="23.6640625" style="51" customWidth="1"/>
    <col min="5" max="6" width="29.77734375" style="51" customWidth="1"/>
    <col min="7" max="7" width="30.33203125" style="51" customWidth="1"/>
    <col min="8" max="8" width="31.88671875" style="51" customWidth="1"/>
    <col min="9" max="9" width="30.77734375" style="50" customWidth="1"/>
    <col min="10" max="10" width="13.21875" style="50" customWidth="1"/>
    <col min="11" max="11" width="18" style="50" customWidth="1"/>
    <col min="12" max="14" width="15.44140625" style="50" customWidth="1"/>
    <col min="15" max="15" width="13.21875" style="50" customWidth="1"/>
    <col min="16" max="16" width="18.33203125" style="50" customWidth="1"/>
    <col min="17" max="17" width="17.33203125" style="50" customWidth="1"/>
    <col min="18" max="18" width="21.33203125" style="50" customWidth="1"/>
    <col min="19" max="19" width="16.109375" style="50" customWidth="1"/>
    <col min="20" max="20" width="13.21875" style="50" customWidth="1"/>
    <col min="21" max="21" width="17.5546875" style="50" customWidth="1"/>
    <col min="22" max="22" width="19.109375" style="50" customWidth="1"/>
    <col min="23" max="24" width="16.109375" style="50" customWidth="1"/>
    <col min="25" max="25" width="13.21875" style="50" customWidth="1"/>
    <col min="26" max="26" width="15.33203125" style="50" customWidth="1"/>
    <col min="27" max="27" width="14.77734375" style="50" customWidth="1"/>
    <col min="28" max="28" width="14.33203125" style="50" customWidth="1"/>
    <col min="29" max="29" width="15" style="50" customWidth="1"/>
    <col min="30" max="30" width="13.21875" style="50" customWidth="1"/>
    <col min="31" max="31" width="13.6640625" style="50" customWidth="1"/>
    <col min="32" max="32" width="15.109375" style="50" customWidth="1"/>
    <col min="33" max="33" width="15" style="50" customWidth="1"/>
    <col min="34" max="34" width="14.44140625" style="50" customWidth="1"/>
    <col min="35" max="35" width="13.21875" style="50" customWidth="1"/>
    <col min="36" max="36" width="16.5546875" style="50" customWidth="1"/>
    <col min="37" max="37" width="15.44140625" style="50" customWidth="1"/>
    <col min="38" max="38" width="14.33203125" style="50" customWidth="1"/>
    <col min="39" max="39" width="14.44140625" style="50" customWidth="1"/>
    <col min="40" max="40" width="13" style="50" customWidth="1"/>
    <col min="41" max="41" width="14.6640625" style="50" customWidth="1"/>
    <col min="42" max="44" width="16.109375" style="50" customWidth="1"/>
    <col min="45" max="45" width="13.21875" style="50" customWidth="1"/>
    <col min="46" max="46" width="14.21875" style="50" customWidth="1"/>
    <col min="47" max="47" width="15.109375" style="50" customWidth="1"/>
    <col min="48" max="48" width="15.77734375" style="50" customWidth="1"/>
    <col min="49" max="49" width="16.109375" style="50" customWidth="1"/>
    <col min="50" max="50" width="10" style="50" customWidth="1"/>
    <col min="51" max="51" width="2.33203125" style="52" customWidth="1"/>
    <col min="52" max="53" width="13.77734375" style="50" customWidth="1"/>
    <col min="54" max="54" width="15" style="50" customWidth="1"/>
    <col min="55" max="16384" width="9.77734375" style="50"/>
  </cols>
  <sheetData>
    <row r="1" spans="1:60" ht="12" customHeight="1">
      <c r="A1" s="53"/>
      <c r="B1" s="180" t="str">
        <f>"网管-雅加达网点质量达成 "&amp;TEXT(BA2,"YYYY-MM-DD")&amp;"
"&amp;"NM - Pencapaian Kualitas DropPoint Jakarta "&amp;TEXT(BA2,"YYYY-MM-DD")</f>
        <v>网管-雅加达网点质量达成 2026-08-11
NM - Pencapaian Kualitas DropPoint Jakarta 2026-08-11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54"/>
      <c r="BA1" s="50" t="s">
        <v>0</v>
      </c>
    </row>
    <row r="2" spans="1:60" ht="61.5" customHeight="1">
      <c r="A2" s="53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54"/>
      <c r="BA2" s="55">
        <f>'06.30, 07.30, &amp; 12.00'!F4</f>
        <v>46245</v>
      </c>
      <c r="BB2" s="55">
        <f>EOMONTH(BA2,-1)+1</f>
        <v>46235</v>
      </c>
      <c r="BC2" s="50" t="s">
        <v>1</v>
      </c>
      <c r="BF2" s="50" t="e">
        <f>COUNTIFS('[1]Raw Abnsensi (2)'!P:P,I:I,'[1]Raw Abnsensi (2)'!Q:Q,1,'[1]Raw Abnsensi (2)'!O:O,"&lt;="&amp;#REF!)</f>
        <v>#VALUE!</v>
      </c>
      <c r="BG2" s="50" t="e">
        <f>COUNTIFS('[1]Raw Abnsensi (2)'!P:P,I:I,'[1]Raw Abnsensi (2)'!Q:Q,1)</f>
        <v>#VALUE!</v>
      </c>
      <c r="BH2" s="50" t="e">
        <f>BF2/BG2</f>
        <v>#VALUE!</v>
      </c>
    </row>
    <row r="3" spans="1:60" ht="36" customHeight="1">
      <c r="A3" s="53"/>
      <c r="B3" s="56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6"/>
      <c r="AY3" s="54"/>
      <c r="BA3" s="55">
        <f>BA2-2</f>
        <v>46243</v>
      </c>
      <c r="BB3" s="55">
        <f>EOMONTH(BA3,-1)+1</f>
        <v>46235</v>
      </c>
      <c r="BC3" s="50" t="s">
        <v>2</v>
      </c>
    </row>
    <row r="4" spans="1:60" ht="249" hidden="1" customHeight="1">
      <c r="A4" s="53"/>
      <c r="B4" s="56"/>
      <c r="C4" s="150" t="s">
        <v>3</v>
      </c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2"/>
      <c r="T4" s="58"/>
      <c r="U4" s="151" t="s">
        <v>4</v>
      </c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56"/>
      <c r="AY4" s="54"/>
    </row>
    <row r="5" spans="1:60" ht="9" customHeight="1">
      <c r="A5" s="53"/>
      <c r="B5" s="56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6"/>
      <c r="AY5" s="54"/>
    </row>
    <row r="6" spans="1:60" ht="57" customHeight="1">
      <c r="A6" s="53"/>
      <c r="B6" s="56"/>
      <c r="C6" s="169" t="s">
        <v>5</v>
      </c>
      <c r="D6" s="173" t="s">
        <v>1761</v>
      </c>
      <c r="E6" s="172" t="s">
        <v>6</v>
      </c>
      <c r="F6" s="169" t="s">
        <v>7</v>
      </c>
      <c r="G6" s="174" t="s">
        <v>8</v>
      </c>
      <c r="H6" s="60"/>
      <c r="I6" s="177" t="s">
        <v>6</v>
      </c>
      <c r="J6" s="153" t="s">
        <v>9</v>
      </c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4"/>
      <c r="V6" s="154"/>
      <c r="W6" s="153"/>
      <c r="X6" s="155"/>
      <c r="Y6" s="156" t="s">
        <v>10</v>
      </c>
      <c r="Z6" s="156"/>
      <c r="AA6" s="156"/>
      <c r="AB6" s="156"/>
      <c r="AC6" s="157"/>
      <c r="AD6" s="158" t="s">
        <v>11</v>
      </c>
      <c r="AE6" s="153"/>
      <c r="AF6" s="153"/>
      <c r="AG6" s="153"/>
      <c r="AH6" s="153"/>
      <c r="AI6" s="153"/>
      <c r="AJ6" s="153"/>
      <c r="AK6" s="153"/>
      <c r="AL6" s="153"/>
      <c r="AM6" s="155"/>
      <c r="AN6" s="159"/>
      <c r="AO6" s="159"/>
      <c r="AP6" s="159"/>
      <c r="AQ6" s="159"/>
      <c r="AR6" s="159"/>
      <c r="AS6" s="159"/>
      <c r="AT6" s="159"/>
      <c r="AU6" s="159"/>
      <c r="AV6" s="159"/>
      <c r="AW6" s="160"/>
      <c r="AX6" s="56"/>
      <c r="AY6" s="54"/>
    </row>
    <row r="7" spans="1:60" ht="54.45" customHeight="1">
      <c r="A7" s="53"/>
      <c r="B7" s="56"/>
      <c r="C7" s="170"/>
      <c r="D7" s="227"/>
      <c r="E7" s="172"/>
      <c r="F7" s="170"/>
      <c r="G7" s="175"/>
      <c r="H7" s="61"/>
      <c r="I7" s="178"/>
      <c r="J7" s="161" t="s">
        <v>12</v>
      </c>
      <c r="K7" s="159"/>
      <c r="L7" s="159"/>
      <c r="M7" s="159"/>
      <c r="N7" s="160"/>
      <c r="O7" s="161" t="s">
        <v>13</v>
      </c>
      <c r="P7" s="159"/>
      <c r="Q7" s="159"/>
      <c r="R7" s="159"/>
      <c r="S7" s="160"/>
      <c r="T7" s="162" t="s">
        <v>14</v>
      </c>
      <c r="U7" s="163"/>
      <c r="V7" s="163"/>
      <c r="W7" s="163"/>
      <c r="X7" s="164"/>
      <c r="Y7" s="165" t="s">
        <v>15</v>
      </c>
      <c r="Z7" s="165"/>
      <c r="AA7" s="165"/>
      <c r="AB7" s="165"/>
      <c r="AC7" s="165"/>
      <c r="AD7" s="166" t="s">
        <v>16</v>
      </c>
      <c r="AE7" s="166"/>
      <c r="AF7" s="166"/>
      <c r="AG7" s="166"/>
      <c r="AH7" s="166"/>
      <c r="AI7" s="166" t="s">
        <v>17</v>
      </c>
      <c r="AJ7" s="166"/>
      <c r="AK7" s="166"/>
      <c r="AL7" s="166"/>
      <c r="AM7" s="166"/>
      <c r="AN7" s="159" t="s">
        <v>18</v>
      </c>
      <c r="AO7" s="159"/>
      <c r="AP7" s="159"/>
      <c r="AQ7" s="159"/>
      <c r="AR7" s="160"/>
      <c r="AS7" s="161" t="s">
        <v>19</v>
      </c>
      <c r="AT7" s="159"/>
      <c r="AU7" s="159"/>
      <c r="AV7" s="159"/>
      <c r="AW7" s="160"/>
      <c r="AX7" s="56"/>
      <c r="AY7" s="54"/>
      <c r="BA7" s="62">
        <f>BA2-1</f>
        <v>46244</v>
      </c>
    </row>
    <row r="8" spans="1:60" ht="56.25" customHeight="1">
      <c r="A8" s="53"/>
      <c r="B8" s="56"/>
      <c r="C8" s="171"/>
      <c r="D8" s="227"/>
      <c r="E8" s="173"/>
      <c r="F8" s="171"/>
      <c r="G8" s="176"/>
      <c r="H8" s="63"/>
      <c r="I8" s="179"/>
      <c r="J8" s="59" t="s">
        <v>20</v>
      </c>
      <c r="K8" s="64">
        <f>$BA$2</f>
        <v>46245</v>
      </c>
      <c r="L8" s="65">
        <f>BA7</f>
        <v>46244</v>
      </c>
      <c r="M8" s="65">
        <f>BA3</f>
        <v>46243</v>
      </c>
      <c r="N8" s="59" t="s">
        <v>21</v>
      </c>
      <c r="O8" s="59" t="s">
        <v>20</v>
      </c>
      <c r="P8" s="64">
        <f>$BA$2</f>
        <v>46245</v>
      </c>
      <c r="Q8" s="65">
        <f>BA7</f>
        <v>46244</v>
      </c>
      <c r="R8" s="65">
        <f>BA3</f>
        <v>46243</v>
      </c>
      <c r="S8" s="59" t="s">
        <v>21</v>
      </c>
      <c r="T8" s="59" t="s">
        <v>20</v>
      </c>
      <c r="U8" s="64">
        <f>$BA$2</f>
        <v>46245</v>
      </c>
      <c r="V8" s="65">
        <f>BA7</f>
        <v>46244</v>
      </c>
      <c r="W8" s="65">
        <f>BA3</f>
        <v>46243</v>
      </c>
      <c r="X8" s="59" t="s">
        <v>21</v>
      </c>
      <c r="Y8" s="59" t="s">
        <v>20</v>
      </c>
      <c r="Z8" s="64">
        <f>$BA$2</f>
        <v>46245</v>
      </c>
      <c r="AA8" s="65">
        <f>BA7</f>
        <v>46244</v>
      </c>
      <c r="AB8" s="65">
        <f>BA3</f>
        <v>46243</v>
      </c>
      <c r="AC8" s="59" t="s">
        <v>21</v>
      </c>
      <c r="AD8" s="59" t="s">
        <v>20</v>
      </c>
      <c r="AE8" s="64">
        <f>$BA$2</f>
        <v>46245</v>
      </c>
      <c r="AF8" s="65">
        <f>BA7</f>
        <v>46244</v>
      </c>
      <c r="AG8" s="65">
        <f>BA3</f>
        <v>46243</v>
      </c>
      <c r="AH8" s="59" t="s">
        <v>21</v>
      </c>
      <c r="AI8" s="59" t="s">
        <v>20</v>
      </c>
      <c r="AJ8" s="64">
        <f>$BA$2</f>
        <v>46245</v>
      </c>
      <c r="AK8" s="65">
        <f>BA7</f>
        <v>46244</v>
      </c>
      <c r="AL8" s="65">
        <f>BA3</f>
        <v>46243</v>
      </c>
      <c r="AM8" s="59" t="s">
        <v>21</v>
      </c>
      <c r="AN8" s="66" t="s">
        <v>20</v>
      </c>
      <c r="AO8" s="64">
        <f>$BA$2</f>
        <v>46245</v>
      </c>
      <c r="AP8" s="65">
        <f>BA7</f>
        <v>46244</v>
      </c>
      <c r="AQ8" s="65">
        <f>BA3</f>
        <v>46243</v>
      </c>
      <c r="AR8" s="59" t="s">
        <v>21</v>
      </c>
      <c r="AS8" s="59" t="s">
        <v>22</v>
      </c>
      <c r="AT8" s="64">
        <f>$BA$2</f>
        <v>46245</v>
      </c>
      <c r="AU8" s="65">
        <f>BA7</f>
        <v>46244</v>
      </c>
      <c r="AV8" s="65">
        <f>BA3</f>
        <v>46243</v>
      </c>
      <c r="AW8" s="59" t="s">
        <v>21</v>
      </c>
      <c r="AX8" s="56"/>
      <c r="AY8" s="54"/>
    </row>
    <row r="9" spans="1:60" ht="15">
      <c r="A9" s="53"/>
      <c r="B9" s="56"/>
      <c r="C9" s="67" t="s">
        <v>23</v>
      </c>
      <c r="D9" s="229" t="s">
        <v>1757</v>
      </c>
      <c r="E9" s="68" t="s">
        <v>24</v>
      </c>
      <c r="F9" s="69" t="s">
        <v>25</v>
      </c>
      <c r="G9" s="69" t="s">
        <v>25</v>
      </c>
      <c r="H9" s="69" t="s">
        <v>25</v>
      </c>
      <c r="I9" s="69" t="s">
        <v>25</v>
      </c>
      <c r="J9" s="70">
        <v>0.9</v>
      </c>
      <c r="K9" s="71">
        <v>0.875</v>
      </c>
      <c r="L9" s="71">
        <v>0.88888888888888895</v>
      </c>
      <c r="M9" s="72">
        <v>0.85185185185185197</v>
      </c>
      <c r="N9" s="72">
        <v>0.870253164556962</v>
      </c>
      <c r="O9" s="73">
        <v>0.9</v>
      </c>
      <c r="P9" s="74">
        <v>0.78169708929452397</v>
      </c>
      <c r="Q9" s="71">
        <v>0.99145023390869502</v>
      </c>
      <c r="R9" s="71">
        <v>0.99323410013531799</v>
      </c>
      <c r="S9" s="71">
        <v>0.90462550128278596</v>
      </c>
      <c r="T9" s="73">
        <v>0.9</v>
      </c>
      <c r="U9" s="71">
        <v>0.688209176122348</v>
      </c>
      <c r="V9" s="71">
        <v>0.735118567510889</v>
      </c>
      <c r="W9" s="71">
        <v>0.62909336941813299</v>
      </c>
      <c r="X9" s="71">
        <v>0.65339875955862203</v>
      </c>
      <c r="Y9" s="73">
        <v>0.92</v>
      </c>
      <c r="Z9" s="73">
        <v>0.93399729912221496</v>
      </c>
      <c r="AA9" s="73">
        <v>0.936324645331574</v>
      </c>
      <c r="AB9" s="73">
        <v>0.88862858172643699</v>
      </c>
      <c r="AC9" s="73">
        <v>0.93015986780545101</v>
      </c>
      <c r="AD9" s="73">
        <v>0.92</v>
      </c>
      <c r="AE9" s="71">
        <v>0.99502916415251597</v>
      </c>
      <c r="AF9" s="71">
        <v>0.98542709399109596</v>
      </c>
      <c r="AG9" s="71">
        <v>0.97856448161836196</v>
      </c>
      <c r="AH9" s="71">
        <v>0.98133277482782799</v>
      </c>
      <c r="AI9" s="73">
        <v>0.92</v>
      </c>
      <c r="AJ9" s="71">
        <v>0.94510111079464498</v>
      </c>
      <c r="AK9" s="71">
        <v>0.95368466616167102</v>
      </c>
      <c r="AL9" s="71">
        <v>0.90808681547848902</v>
      </c>
      <c r="AM9" s="71">
        <v>0.94705206738131698</v>
      </c>
      <c r="AN9" s="70">
        <v>0.99</v>
      </c>
      <c r="AO9" s="75">
        <v>1</v>
      </c>
      <c r="AP9" s="75">
        <v>1</v>
      </c>
      <c r="AQ9" s="75">
        <v>1</v>
      </c>
      <c r="AR9" s="76">
        <v>1</v>
      </c>
      <c r="AS9" s="77">
        <v>8.7218210012826203E-2</v>
      </c>
      <c r="AT9" s="78">
        <v>0.18181818181818199</v>
      </c>
      <c r="AU9" s="79">
        <v>0.22222222222222199</v>
      </c>
      <c r="AV9" s="79">
        <v>6.0606060606060601E-2</v>
      </c>
      <c r="AW9" s="79">
        <v>6.7357512953367907E-2</v>
      </c>
      <c r="AX9" s="56"/>
      <c r="AY9" s="54"/>
    </row>
    <row r="10" spans="1:60" ht="15">
      <c r="A10" s="53"/>
      <c r="B10" s="56"/>
      <c r="C10" s="67" t="s">
        <v>23</v>
      </c>
      <c r="D10" s="229" t="s">
        <v>1757</v>
      </c>
      <c r="E10" s="68" t="s">
        <v>24</v>
      </c>
      <c r="F10" s="69" t="s">
        <v>26</v>
      </c>
      <c r="G10" s="69" t="s">
        <v>26</v>
      </c>
      <c r="H10" s="69" t="s">
        <v>26</v>
      </c>
      <c r="I10" s="69" t="s">
        <v>26</v>
      </c>
      <c r="J10" s="70">
        <v>0.9</v>
      </c>
      <c r="K10" s="71">
        <v>0.82352941176470595</v>
      </c>
      <c r="L10" s="71">
        <v>0.77777777777777801</v>
      </c>
      <c r="M10" s="72">
        <v>0.83653846153846201</v>
      </c>
      <c r="N10" s="71">
        <v>0.81469115191986596</v>
      </c>
      <c r="O10" s="73">
        <v>0.9</v>
      </c>
      <c r="P10" s="71">
        <v>0.98442887331776197</v>
      </c>
      <c r="Q10" s="71">
        <v>0.98786376092913997</v>
      </c>
      <c r="R10" s="71">
        <v>0.97352058319039403</v>
      </c>
      <c r="S10" s="71">
        <v>0.98031935398786696</v>
      </c>
      <c r="T10" s="73">
        <v>0.9</v>
      </c>
      <c r="U10" s="71">
        <v>0.78767656545434295</v>
      </c>
      <c r="V10" s="71">
        <v>0.79551089651572504</v>
      </c>
      <c r="W10" s="71">
        <v>0.71901801029159496</v>
      </c>
      <c r="X10" s="71">
        <v>0.75714691500801401</v>
      </c>
      <c r="Y10" s="73">
        <v>0.92</v>
      </c>
      <c r="Z10" s="73">
        <v>0.93239038189533197</v>
      </c>
      <c r="AA10" s="73">
        <v>0.92844763555335497</v>
      </c>
      <c r="AB10" s="73">
        <v>0.92275960170697002</v>
      </c>
      <c r="AC10" s="73">
        <v>0.94691762554294001</v>
      </c>
      <c r="AD10" s="73">
        <v>0.92</v>
      </c>
      <c r="AE10" s="71">
        <v>0.99359611849440999</v>
      </c>
      <c r="AF10" s="71">
        <v>0.89246556723450499</v>
      </c>
      <c r="AG10" s="71">
        <v>0.980364114259209</v>
      </c>
      <c r="AH10" s="71">
        <v>0.96105356139082998</v>
      </c>
      <c r="AI10" s="73">
        <v>0.92</v>
      </c>
      <c r="AJ10" s="71">
        <v>0.94572388895804804</v>
      </c>
      <c r="AK10" s="71">
        <v>0.94260334813802504</v>
      </c>
      <c r="AL10" s="71">
        <v>0.93645750595710897</v>
      </c>
      <c r="AM10" s="71">
        <v>0.95582048112811202</v>
      </c>
      <c r="AN10" s="70">
        <v>0.99</v>
      </c>
      <c r="AO10" s="75">
        <v>1</v>
      </c>
      <c r="AP10" s="75">
        <v>1</v>
      </c>
      <c r="AQ10" s="75">
        <v>1</v>
      </c>
      <c r="AR10" s="76">
        <v>1</v>
      </c>
      <c r="AS10" s="77">
        <v>8.7218210012826203E-2</v>
      </c>
      <c r="AT10" s="78">
        <v>0.16666666666666699</v>
      </c>
      <c r="AU10" s="79">
        <v>3.1746031746031703E-2</v>
      </c>
      <c r="AV10" s="79">
        <v>7.69230769230769E-2</v>
      </c>
      <c r="AW10" s="79">
        <v>7.7844311377245498E-2</v>
      </c>
      <c r="AX10" s="56"/>
      <c r="AY10" s="54"/>
    </row>
    <row r="11" spans="1:60" ht="15">
      <c r="A11" s="53"/>
      <c r="B11" s="56"/>
      <c r="C11" s="67" t="s">
        <v>23</v>
      </c>
      <c r="D11" s="229" t="s">
        <v>1757</v>
      </c>
      <c r="E11" s="68" t="s">
        <v>24</v>
      </c>
      <c r="F11" s="69" t="s">
        <v>27</v>
      </c>
      <c r="G11" s="69" t="s">
        <v>27</v>
      </c>
      <c r="H11" s="69" t="s">
        <v>27</v>
      </c>
      <c r="I11" s="69" t="s">
        <v>27</v>
      </c>
      <c r="J11" s="70">
        <v>0.9</v>
      </c>
      <c r="K11" s="71">
        <v>0.9375</v>
      </c>
      <c r="L11" s="71">
        <v>0.9</v>
      </c>
      <c r="M11" s="72">
        <v>1</v>
      </c>
      <c r="N11" s="71">
        <v>0.95857988165680497</v>
      </c>
      <c r="O11" s="73">
        <v>0.9</v>
      </c>
      <c r="P11" s="71">
        <v>0.97108433734939803</v>
      </c>
      <c r="Q11" s="71">
        <v>0.98872950819672101</v>
      </c>
      <c r="R11" s="71">
        <v>0.97838171710932698</v>
      </c>
      <c r="S11" s="71">
        <v>0.98321205821205804</v>
      </c>
      <c r="T11" s="73">
        <v>0.9</v>
      </c>
      <c r="U11" s="71">
        <v>0.86506024096385503</v>
      </c>
      <c r="V11" s="71">
        <v>0.83913934426229497</v>
      </c>
      <c r="W11" s="71">
        <v>0.90055589870290298</v>
      </c>
      <c r="X11" s="71">
        <v>0.88840956340956301</v>
      </c>
      <c r="Y11" s="73">
        <v>0.92</v>
      </c>
      <c r="Z11" s="73">
        <v>0.95636875439831104</v>
      </c>
      <c r="AA11" s="73">
        <v>0.94927536231884102</v>
      </c>
      <c r="AB11" s="73">
        <v>0.95161290322580605</v>
      </c>
      <c r="AC11" s="73">
        <v>0.96192573945877902</v>
      </c>
      <c r="AD11" s="73">
        <v>0.92</v>
      </c>
      <c r="AE11" s="71">
        <v>0.86028354222313497</v>
      </c>
      <c r="AF11" s="71">
        <v>0.69787953845224404</v>
      </c>
      <c r="AG11" s="71">
        <v>0.88563605728727901</v>
      </c>
      <c r="AH11" s="71">
        <v>0.84896984571711598</v>
      </c>
      <c r="AI11" s="73">
        <v>0.92</v>
      </c>
      <c r="AJ11" s="71">
        <v>0.95813047711781896</v>
      </c>
      <c r="AK11" s="71">
        <v>0.94892167990919396</v>
      </c>
      <c r="AL11" s="71">
        <v>0.95435139573070604</v>
      </c>
      <c r="AM11" s="71">
        <v>0.96914700544464605</v>
      </c>
      <c r="AN11" s="70">
        <v>0.99</v>
      </c>
      <c r="AO11" s="75">
        <v>1</v>
      </c>
      <c r="AP11" s="75">
        <v>1</v>
      </c>
      <c r="AQ11" s="75">
        <v>1</v>
      </c>
      <c r="AR11" s="75">
        <v>1</v>
      </c>
      <c r="AS11" s="77">
        <v>8.7218210012826203E-2</v>
      </c>
      <c r="AT11" s="79">
        <v>0.14285714285714299</v>
      </c>
      <c r="AU11" s="79">
        <v>0</v>
      </c>
      <c r="AV11" s="79">
        <v>0.11111111111111099</v>
      </c>
      <c r="AW11" s="79">
        <v>5.1724137931034503E-2</v>
      </c>
      <c r="AX11" s="56"/>
      <c r="AY11" s="54"/>
    </row>
    <row r="12" spans="1:60" ht="15">
      <c r="A12" s="53"/>
      <c r="B12" s="56"/>
      <c r="C12" s="67" t="s">
        <v>23</v>
      </c>
      <c r="D12" s="229" t="s">
        <v>1757</v>
      </c>
      <c r="E12" s="68" t="s">
        <v>24</v>
      </c>
      <c r="F12" s="69" t="s">
        <v>28</v>
      </c>
      <c r="G12" s="69" t="s">
        <v>28</v>
      </c>
      <c r="H12" s="69" t="s">
        <v>28</v>
      </c>
      <c r="I12" s="69" t="s">
        <v>28</v>
      </c>
      <c r="J12" s="70">
        <v>0.9</v>
      </c>
      <c r="K12" s="71">
        <v>0.92307692307692302</v>
      </c>
      <c r="L12" s="71">
        <v>0.94845360824742297</v>
      </c>
      <c r="M12" s="72">
        <v>0.93877551020408201</v>
      </c>
      <c r="N12" s="71">
        <v>0.90947191953059503</v>
      </c>
      <c r="O12" s="73">
        <v>0.9</v>
      </c>
      <c r="P12" s="71">
        <v>0.87070014378940397</v>
      </c>
      <c r="Q12" s="71">
        <v>0.87896494156928195</v>
      </c>
      <c r="R12" s="71">
        <v>0.84572619874913102</v>
      </c>
      <c r="S12" s="71">
        <v>0.89072096612153195</v>
      </c>
      <c r="T12" s="73">
        <v>0.9</v>
      </c>
      <c r="U12" s="71">
        <v>0.75699590753235302</v>
      </c>
      <c r="V12" s="71">
        <v>0.743461324429605</v>
      </c>
      <c r="W12" s="71">
        <v>0.70546675932360403</v>
      </c>
      <c r="X12" s="71">
        <v>0.76400037285993905</v>
      </c>
      <c r="Y12" s="73">
        <v>0.92</v>
      </c>
      <c r="Z12" s="73">
        <v>0.95190599808717002</v>
      </c>
      <c r="AA12" s="73">
        <v>0.92132058006787998</v>
      </c>
      <c r="AB12" s="73">
        <v>0.92360144725855797</v>
      </c>
      <c r="AC12" s="73">
        <v>0.964014336917563</v>
      </c>
      <c r="AD12" s="73">
        <v>0.92</v>
      </c>
      <c r="AE12" s="71">
        <v>0.79657053780202602</v>
      </c>
      <c r="AF12" s="71">
        <v>0.84097287184284397</v>
      </c>
      <c r="AG12" s="71">
        <v>0.55616438356164399</v>
      </c>
      <c r="AH12" s="71">
        <v>0.84368182580969997</v>
      </c>
      <c r="AI12" s="73">
        <v>0.92</v>
      </c>
      <c r="AJ12" s="71">
        <v>0.943524234459996</v>
      </c>
      <c r="AK12" s="71">
        <v>0.948604851855403</v>
      </c>
      <c r="AL12" s="71">
        <v>0.93576301162203102</v>
      </c>
      <c r="AM12" s="71">
        <v>0.96980213242630997</v>
      </c>
      <c r="AN12" s="70">
        <v>0.99</v>
      </c>
      <c r="AO12" s="75">
        <v>1</v>
      </c>
      <c r="AP12" s="75">
        <v>1</v>
      </c>
      <c r="AQ12" s="75">
        <v>1</v>
      </c>
      <c r="AR12" s="75">
        <v>1</v>
      </c>
      <c r="AS12" s="77">
        <v>8.7218210012826203E-2</v>
      </c>
      <c r="AT12" s="79">
        <v>0.13725490196078399</v>
      </c>
      <c r="AU12" s="79">
        <v>7.2727272727272696E-2</v>
      </c>
      <c r="AV12" s="79">
        <v>1.72413793103448E-2</v>
      </c>
      <c r="AW12" s="79">
        <v>6.5180102915951998E-2</v>
      </c>
      <c r="AX12" s="56"/>
      <c r="AY12" s="54"/>
    </row>
    <row r="13" spans="1:60" ht="15">
      <c r="A13" s="53"/>
      <c r="B13" s="56"/>
      <c r="C13" s="67" t="s">
        <v>23</v>
      </c>
      <c r="D13" s="229" t="s">
        <v>1757</v>
      </c>
      <c r="E13" s="68" t="s">
        <v>24</v>
      </c>
      <c r="F13" s="69" t="s">
        <v>29</v>
      </c>
      <c r="G13" s="69" t="s">
        <v>29</v>
      </c>
      <c r="H13" s="69" t="s">
        <v>29</v>
      </c>
      <c r="I13" s="69" t="s">
        <v>29</v>
      </c>
      <c r="J13" s="70">
        <v>0.9</v>
      </c>
      <c r="K13" s="71">
        <v>0.80357142857142905</v>
      </c>
      <c r="L13" s="71">
        <v>0.88888888888888895</v>
      </c>
      <c r="M13" s="72">
        <v>0.86046511627906996</v>
      </c>
      <c r="N13" s="71">
        <v>0.85018050541516199</v>
      </c>
      <c r="O13" s="73">
        <v>0.9</v>
      </c>
      <c r="P13" s="71">
        <v>0.92564250649725699</v>
      </c>
      <c r="Q13" s="71">
        <v>0.80204112261743998</v>
      </c>
      <c r="R13" s="71">
        <v>0.85472972972973005</v>
      </c>
      <c r="S13" s="71">
        <v>0.88954312347500797</v>
      </c>
      <c r="T13" s="73">
        <v>0.9</v>
      </c>
      <c r="U13" s="71">
        <v>0.91409182789488896</v>
      </c>
      <c r="V13" s="71">
        <v>0.86687678223022702</v>
      </c>
      <c r="W13" s="71">
        <v>0.89722617354196299</v>
      </c>
      <c r="X13" s="71">
        <v>0.90013587949096296</v>
      </c>
      <c r="Y13" s="73">
        <v>0.92</v>
      </c>
      <c r="Z13" s="73">
        <v>0.93830703012912497</v>
      </c>
      <c r="AA13" s="73">
        <v>0.96446124763705099</v>
      </c>
      <c r="AB13" s="73">
        <v>0.96692913385826795</v>
      </c>
      <c r="AC13" s="73">
        <v>0.93728959331613204</v>
      </c>
      <c r="AD13" s="73">
        <v>0.92</v>
      </c>
      <c r="AE13" s="71">
        <v>0.97711380965828898</v>
      </c>
      <c r="AF13" s="71">
        <v>0.98843178279486199</v>
      </c>
      <c r="AG13" s="71">
        <v>0.99090144399270996</v>
      </c>
      <c r="AH13" s="71">
        <v>0.96481933260254304</v>
      </c>
      <c r="AI13" s="73">
        <v>0.92</v>
      </c>
      <c r="AJ13" s="71">
        <v>0.95663589396120896</v>
      </c>
      <c r="AK13" s="71">
        <v>0.96777312278440197</v>
      </c>
      <c r="AL13" s="71">
        <v>0.97343634247010302</v>
      </c>
      <c r="AM13" s="71">
        <v>0.95914011980435598</v>
      </c>
      <c r="AN13" s="70">
        <v>0.99</v>
      </c>
      <c r="AO13" s="75">
        <v>1</v>
      </c>
      <c r="AP13" s="75">
        <v>1</v>
      </c>
      <c r="AQ13" s="75">
        <v>1</v>
      </c>
      <c r="AR13" s="75">
        <v>1</v>
      </c>
      <c r="AS13" s="77">
        <v>8.7218210012826203E-2</v>
      </c>
      <c r="AT13" s="79">
        <v>0.25</v>
      </c>
      <c r="AU13" s="79">
        <v>0.15384615384615399</v>
      </c>
      <c r="AV13" s="79">
        <v>0.1</v>
      </c>
      <c r="AW13" s="79">
        <v>7.3170731707317097E-2</v>
      </c>
      <c r="AX13" s="56"/>
      <c r="AY13" s="54"/>
    </row>
    <row r="14" spans="1:60" ht="15">
      <c r="A14" s="53"/>
      <c r="B14" s="56"/>
      <c r="C14" s="67" t="s">
        <v>23</v>
      </c>
      <c r="D14" s="229" t="s">
        <v>1757</v>
      </c>
      <c r="E14" s="68" t="s">
        <v>24</v>
      </c>
      <c r="F14" s="69" t="s">
        <v>30</v>
      </c>
      <c r="G14" s="69" t="s">
        <v>30</v>
      </c>
      <c r="H14" s="69" t="s">
        <v>30</v>
      </c>
      <c r="I14" s="69" t="s">
        <v>30</v>
      </c>
      <c r="J14" s="70">
        <v>0.9</v>
      </c>
      <c r="K14" s="71">
        <v>0.911392405063291</v>
      </c>
      <c r="L14" s="71">
        <v>0.89473684210526305</v>
      </c>
      <c r="M14" s="72">
        <v>0.90140845070422504</v>
      </c>
      <c r="N14" s="71">
        <v>0.88742514970059905</v>
      </c>
      <c r="O14" s="73">
        <v>0.9</v>
      </c>
      <c r="P14" s="71">
        <v>0.85311554748941298</v>
      </c>
      <c r="Q14" s="71">
        <v>0.84149565655294001</v>
      </c>
      <c r="R14" s="71">
        <v>0.81509433962264199</v>
      </c>
      <c r="S14" s="71">
        <v>0.83569459657907696</v>
      </c>
      <c r="T14" s="73">
        <v>0.9</v>
      </c>
      <c r="U14" s="71">
        <v>0.79516031457955205</v>
      </c>
      <c r="V14" s="71">
        <v>0.775651517059046</v>
      </c>
      <c r="W14" s="71">
        <v>0.70510132774283696</v>
      </c>
      <c r="X14" s="71">
        <v>0.77127243400700596</v>
      </c>
      <c r="Y14" s="73">
        <v>0.92</v>
      </c>
      <c r="Z14" s="73">
        <v>0.974574721053594</v>
      </c>
      <c r="AA14" s="73">
        <v>0.98009242801279794</v>
      </c>
      <c r="AB14" s="73">
        <v>0.93277310924369705</v>
      </c>
      <c r="AC14" s="73">
        <v>0.97254040134967101</v>
      </c>
      <c r="AD14" s="73">
        <v>0.92</v>
      </c>
      <c r="AE14" s="71">
        <v>0.93324913167035095</v>
      </c>
      <c r="AF14" s="71">
        <v>0.80274413954005097</v>
      </c>
      <c r="AG14" s="71">
        <v>0.95515873015872998</v>
      </c>
      <c r="AH14" s="71">
        <v>0.91200067379901195</v>
      </c>
      <c r="AI14" s="73">
        <v>0.92</v>
      </c>
      <c r="AJ14" s="71">
        <v>0.96469132207338404</v>
      </c>
      <c r="AK14" s="71">
        <v>0.97936802973977699</v>
      </c>
      <c r="AL14" s="71">
        <v>0.95221872816212405</v>
      </c>
      <c r="AM14" s="71">
        <v>0.97483928348520799</v>
      </c>
      <c r="AN14" s="70">
        <v>0.99</v>
      </c>
      <c r="AO14" s="75">
        <v>1</v>
      </c>
      <c r="AP14" s="75">
        <v>1</v>
      </c>
      <c r="AQ14" s="75">
        <v>1</v>
      </c>
      <c r="AR14" s="75">
        <v>1</v>
      </c>
      <c r="AS14" s="77">
        <v>8.7218210012826203E-2</v>
      </c>
      <c r="AT14" s="79">
        <v>0.05</v>
      </c>
      <c r="AU14" s="79">
        <v>0.1</v>
      </c>
      <c r="AV14" s="79">
        <v>0</v>
      </c>
      <c r="AW14" s="79">
        <v>6.80529300567108E-2</v>
      </c>
      <c r="AX14" s="56"/>
      <c r="AY14" s="54"/>
    </row>
    <row r="15" spans="1:60">
      <c r="A15" s="53"/>
      <c r="B15" s="56"/>
      <c r="C15" s="67" t="s">
        <v>23</v>
      </c>
      <c r="D15" s="229" t="s">
        <v>1757</v>
      </c>
      <c r="E15" s="68" t="s">
        <v>24</v>
      </c>
      <c r="F15" s="80" t="s">
        <v>31</v>
      </c>
      <c r="G15" s="80" t="s">
        <v>31</v>
      </c>
      <c r="H15" s="80" t="s">
        <v>31</v>
      </c>
      <c r="I15" s="80" t="s">
        <v>31</v>
      </c>
      <c r="J15" s="70">
        <v>0.9</v>
      </c>
      <c r="K15" s="71">
        <v>0.992307692307692</v>
      </c>
      <c r="L15" s="71">
        <v>0.97435897435897401</v>
      </c>
      <c r="M15" s="72">
        <v>0.95798319327731096</v>
      </c>
      <c r="N15" s="71">
        <v>0.98736998514115903</v>
      </c>
      <c r="O15" s="73">
        <v>0.9</v>
      </c>
      <c r="P15" s="71">
        <v>0.97046551583081098</v>
      </c>
      <c r="Q15" s="71">
        <v>0.992273730684327</v>
      </c>
      <c r="R15" s="71">
        <v>0.85407905803196005</v>
      </c>
      <c r="S15" s="71">
        <v>0.96433200593425505</v>
      </c>
      <c r="T15" s="73">
        <v>0.9</v>
      </c>
      <c r="U15" s="71">
        <v>0.93389511576536</v>
      </c>
      <c r="V15" s="71">
        <v>0.93247039935781695</v>
      </c>
      <c r="W15" s="71">
        <v>0.88788898233809899</v>
      </c>
      <c r="X15" s="71">
        <v>0.91232138674162599</v>
      </c>
      <c r="Y15" s="73">
        <v>0.92</v>
      </c>
      <c r="Z15" s="73">
        <v>0.95622213214430496</v>
      </c>
      <c r="AA15" s="73">
        <v>0.96700507614213205</v>
      </c>
      <c r="AB15" s="73">
        <v>0.95601237842617104</v>
      </c>
      <c r="AC15" s="73">
        <v>0.96327663341228298</v>
      </c>
      <c r="AD15" s="73">
        <v>0.92</v>
      </c>
      <c r="AE15" s="71">
        <v>0.99744570193187998</v>
      </c>
      <c r="AF15" s="71">
        <v>0.99619745912268598</v>
      </c>
      <c r="AG15" s="71">
        <v>0.99760898442217105</v>
      </c>
      <c r="AH15" s="71">
        <v>0.99656601897899</v>
      </c>
      <c r="AI15" s="73">
        <v>0.92</v>
      </c>
      <c r="AJ15" s="71">
        <v>0.96627738547890596</v>
      </c>
      <c r="AK15" s="71">
        <v>0.97679640718562899</v>
      </c>
      <c r="AL15" s="71">
        <v>0.96829186762809805</v>
      </c>
      <c r="AM15" s="71">
        <v>0.97592268048541997</v>
      </c>
      <c r="AN15" s="70">
        <v>0.99</v>
      </c>
      <c r="AO15" s="75">
        <v>1</v>
      </c>
      <c r="AP15" s="75">
        <v>1</v>
      </c>
      <c r="AQ15" s="75">
        <v>1</v>
      </c>
      <c r="AR15" s="75">
        <v>1</v>
      </c>
      <c r="AS15" s="77">
        <v>8.7218210012826203E-2</v>
      </c>
      <c r="AT15" s="79">
        <v>2.8368794326241099E-2</v>
      </c>
      <c r="AU15" s="79">
        <v>6.4748201438848907E-2</v>
      </c>
      <c r="AV15" s="79">
        <v>1.2345679012345699E-2</v>
      </c>
      <c r="AW15" s="79">
        <v>2.07838479809976E-2</v>
      </c>
      <c r="AX15" s="56"/>
      <c r="AY15" s="54"/>
    </row>
    <row r="16" spans="1:60">
      <c r="A16" s="53"/>
      <c r="B16" s="56"/>
      <c r="C16" s="67" t="s">
        <v>23</v>
      </c>
      <c r="D16" s="229" t="s">
        <v>1757</v>
      </c>
      <c r="E16" s="68" t="s">
        <v>24</v>
      </c>
      <c r="F16" s="80" t="s">
        <v>32</v>
      </c>
      <c r="G16" s="80" t="s">
        <v>32</v>
      </c>
      <c r="H16" s="80" t="s">
        <v>32</v>
      </c>
      <c r="I16" s="80" t="s">
        <v>32</v>
      </c>
      <c r="J16" s="70">
        <v>0.9</v>
      </c>
      <c r="K16" s="71">
        <v>1</v>
      </c>
      <c r="L16" s="71">
        <v>1</v>
      </c>
      <c r="M16" s="72">
        <v>1</v>
      </c>
      <c r="N16" s="71">
        <v>0.96245733788395904</v>
      </c>
      <c r="O16" s="73">
        <v>0.9</v>
      </c>
      <c r="P16" s="71">
        <v>0.99073520621637801</v>
      </c>
      <c r="Q16" s="71">
        <v>0.98397150489759599</v>
      </c>
      <c r="R16" s="71">
        <v>0.99175199089874899</v>
      </c>
      <c r="S16" s="71">
        <v>0.98908050502664202</v>
      </c>
      <c r="T16" s="73">
        <v>0.9</v>
      </c>
      <c r="U16" s="71">
        <v>0.96473401075911502</v>
      </c>
      <c r="V16" s="71">
        <v>0.979815969130306</v>
      </c>
      <c r="W16" s="71">
        <v>0.99146757679180897</v>
      </c>
      <c r="X16" s="71">
        <v>0.98818804630285895</v>
      </c>
      <c r="Y16" s="73">
        <v>0.92</v>
      </c>
      <c r="Z16" s="73" t="s">
        <v>1710</v>
      </c>
      <c r="AA16" s="73" t="s">
        <v>1710</v>
      </c>
      <c r="AB16" s="73" t="s">
        <v>1710</v>
      </c>
      <c r="AC16" s="73" t="s">
        <v>1710</v>
      </c>
      <c r="AD16" s="73">
        <v>0.92</v>
      </c>
      <c r="AE16" s="71">
        <v>0</v>
      </c>
      <c r="AF16" s="71">
        <v>0.125</v>
      </c>
      <c r="AG16" s="71">
        <v>0.83333333333333304</v>
      </c>
      <c r="AH16" s="71">
        <v>0.41111111111111098</v>
      </c>
      <c r="AI16" s="73">
        <v>0.92</v>
      </c>
      <c r="AJ16" s="71">
        <v>0.97071129707113002</v>
      </c>
      <c r="AK16" s="71">
        <v>0.98723656871475196</v>
      </c>
      <c r="AL16" s="71">
        <v>0.99544937428896496</v>
      </c>
      <c r="AM16" s="71">
        <v>0.99398902800745503</v>
      </c>
      <c r="AN16" s="70">
        <v>0.99</v>
      </c>
      <c r="AO16" s="75">
        <v>1</v>
      </c>
      <c r="AP16" s="75">
        <v>1</v>
      </c>
      <c r="AQ16" s="75">
        <v>1</v>
      </c>
      <c r="AR16" s="75">
        <v>1</v>
      </c>
      <c r="AS16" s="77">
        <v>8.7218210012826203E-2</v>
      </c>
      <c r="AT16" s="79">
        <v>0</v>
      </c>
      <c r="AU16" s="79">
        <v>0</v>
      </c>
      <c r="AV16" s="79">
        <v>0.15</v>
      </c>
      <c r="AW16" s="79">
        <v>6.3636363636363602E-2</v>
      </c>
      <c r="AX16" s="56"/>
      <c r="AY16" s="54"/>
    </row>
    <row r="17" spans="1:51">
      <c r="A17" s="53"/>
      <c r="B17" s="56"/>
      <c r="C17" s="67" t="s">
        <v>23</v>
      </c>
      <c r="D17" s="229" t="s">
        <v>1757</v>
      </c>
      <c r="E17" s="68" t="s">
        <v>24</v>
      </c>
      <c r="F17" s="80" t="s">
        <v>33</v>
      </c>
      <c r="G17" s="80" t="s">
        <v>33</v>
      </c>
      <c r="H17" s="80" t="s">
        <v>33</v>
      </c>
      <c r="I17" s="80" t="s">
        <v>33</v>
      </c>
      <c r="J17" s="70">
        <v>0.9</v>
      </c>
      <c r="K17" s="71">
        <v>0.86274509803921595</v>
      </c>
      <c r="L17" s="71">
        <v>0.82524271844660202</v>
      </c>
      <c r="M17" s="72">
        <v>0.75609756097560998</v>
      </c>
      <c r="N17" s="71">
        <v>0.81214953271028001</v>
      </c>
      <c r="O17" s="73">
        <v>0.9</v>
      </c>
      <c r="P17" s="71">
        <v>0.992437309274247</v>
      </c>
      <c r="Q17" s="71">
        <v>0.99517114046300204</v>
      </c>
      <c r="R17" s="71">
        <v>0.99058240396530395</v>
      </c>
      <c r="S17" s="71">
        <v>0.98226936475008797</v>
      </c>
      <c r="T17" s="73">
        <v>0.9</v>
      </c>
      <c r="U17" s="71">
        <v>0.74631816372561999</v>
      </c>
      <c r="V17" s="71">
        <v>0.72603323391563701</v>
      </c>
      <c r="W17" s="71">
        <v>0.53333333333333299</v>
      </c>
      <c r="X17" s="71">
        <v>0.661434889819562</v>
      </c>
      <c r="Y17" s="73">
        <v>0.92</v>
      </c>
      <c r="Z17" s="73">
        <v>0.86092066601371198</v>
      </c>
      <c r="AA17" s="73">
        <v>0.88662131519274401</v>
      </c>
      <c r="AB17" s="73">
        <v>0.68146283291374099</v>
      </c>
      <c r="AC17" s="73">
        <v>0.829996513313637</v>
      </c>
      <c r="AD17" s="73">
        <v>0.92</v>
      </c>
      <c r="AE17" s="71">
        <v>0.99009900990098998</v>
      </c>
      <c r="AF17" s="71">
        <v>0.71696219471395095</v>
      </c>
      <c r="AG17" s="71">
        <v>0.988668555240793</v>
      </c>
      <c r="AH17" s="71">
        <v>0.82900448826429296</v>
      </c>
      <c r="AI17" s="73">
        <v>0.92</v>
      </c>
      <c r="AJ17" s="71">
        <v>0.89148251134201695</v>
      </c>
      <c r="AK17" s="71">
        <v>0.92279905046960498</v>
      </c>
      <c r="AL17" s="71">
        <v>0.69296504100129497</v>
      </c>
      <c r="AM17" s="71">
        <v>0.87289376172250299</v>
      </c>
      <c r="AN17" s="70">
        <v>0.99</v>
      </c>
      <c r="AO17" s="75">
        <v>1</v>
      </c>
      <c r="AP17" s="75">
        <v>1</v>
      </c>
      <c r="AQ17" s="75">
        <v>1</v>
      </c>
      <c r="AR17" s="75">
        <v>1</v>
      </c>
      <c r="AS17" s="77">
        <v>8.7218210012826203E-2</v>
      </c>
      <c r="AT17" s="79">
        <v>0.11111111111111099</v>
      </c>
      <c r="AU17" s="79">
        <v>7.4074074074074098E-2</v>
      </c>
      <c r="AV17" s="79">
        <v>1.6949152542372899E-2</v>
      </c>
      <c r="AW17" s="79">
        <v>6.5693430656934296E-2</v>
      </c>
      <c r="AX17" s="56"/>
      <c r="AY17" s="54"/>
    </row>
    <row r="18" spans="1:51">
      <c r="A18" s="53"/>
      <c r="B18" s="56"/>
      <c r="C18" s="67" t="s">
        <v>23</v>
      </c>
      <c r="D18" s="229" t="s">
        <v>1757</v>
      </c>
      <c r="E18" s="68" t="s">
        <v>24</v>
      </c>
      <c r="F18" s="80" t="s">
        <v>34</v>
      </c>
      <c r="G18" s="80" t="s">
        <v>34</v>
      </c>
      <c r="H18" s="80" t="s">
        <v>34</v>
      </c>
      <c r="I18" s="80" t="s">
        <v>34</v>
      </c>
      <c r="J18" s="70">
        <v>0.9</v>
      </c>
      <c r="K18" s="71">
        <v>0.98425196850393704</v>
      </c>
      <c r="L18" s="71">
        <v>0.98245614035087703</v>
      </c>
      <c r="M18" s="72">
        <v>0.96153846153846201</v>
      </c>
      <c r="N18" s="71">
        <v>0.97358197358197396</v>
      </c>
      <c r="O18" s="73">
        <v>0.9</v>
      </c>
      <c r="P18" s="71">
        <v>0.96755579749591702</v>
      </c>
      <c r="Q18" s="71">
        <v>0.98521630874572097</v>
      </c>
      <c r="R18" s="71">
        <v>0.98097601323407801</v>
      </c>
      <c r="S18" s="71">
        <v>0.979250762762511</v>
      </c>
      <c r="T18" s="73">
        <v>0.9</v>
      </c>
      <c r="U18" s="71">
        <v>0.863799673380512</v>
      </c>
      <c r="V18" s="71">
        <v>0.84765017117958297</v>
      </c>
      <c r="W18" s="71">
        <v>0.75646933711449804</v>
      </c>
      <c r="X18" s="71">
        <v>0.83678454973421301</v>
      </c>
      <c r="Y18" s="73">
        <v>0.92</v>
      </c>
      <c r="Z18" s="73">
        <v>0.93371337664059395</v>
      </c>
      <c r="AA18" s="73">
        <v>0.92097802976612297</v>
      </c>
      <c r="AB18" s="73">
        <v>0.85020011435105802</v>
      </c>
      <c r="AC18" s="73">
        <v>0.91779310773437695</v>
      </c>
      <c r="AD18" s="73">
        <v>0.92</v>
      </c>
      <c r="AE18" s="71">
        <v>0.98212927756654</v>
      </c>
      <c r="AF18" s="71">
        <v>0.97942386831275696</v>
      </c>
      <c r="AG18" s="71">
        <v>0.99063779988297296</v>
      </c>
      <c r="AH18" s="71">
        <v>0.97753020260423995</v>
      </c>
      <c r="AI18" s="73">
        <v>0.92</v>
      </c>
      <c r="AJ18" s="71">
        <v>0.94428836152788598</v>
      </c>
      <c r="AK18" s="71">
        <v>0.94225778546712802</v>
      </c>
      <c r="AL18" s="71">
        <v>0.865856024836686</v>
      </c>
      <c r="AM18" s="71">
        <v>0.93784741349091105</v>
      </c>
      <c r="AN18" s="70">
        <v>0.99</v>
      </c>
      <c r="AO18" s="75">
        <v>1</v>
      </c>
      <c r="AP18" s="75">
        <v>1</v>
      </c>
      <c r="AQ18" s="75">
        <v>1</v>
      </c>
      <c r="AR18" s="75">
        <v>1</v>
      </c>
      <c r="AS18" s="77">
        <v>8.7218210012826203E-2</v>
      </c>
      <c r="AT18" s="79">
        <v>6.9444444444444406E-2</v>
      </c>
      <c r="AU18" s="79">
        <v>8.2191780821917804E-2</v>
      </c>
      <c r="AV18" s="79">
        <v>2.8571428571428598E-2</v>
      </c>
      <c r="AW18" s="79">
        <v>4.1866028708134002E-2</v>
      </c>
      <c r="AX18" s="56"/>
      <c r="AY18" s="54"/>
    </row>
    <row r="19" spans="1:51">
      <c r="A19" s="53"/>
      <c r="B19" s="56"/>
      <c r="C19" s="67" t="s">
        <v>23</v>
      </c>
      <c r="D19" s="229" t="s">
        <v>1757</v>
      </c>
      <c r="E19" s="68" t="s">
        <v>24</v>
      </c>
      <c r="F19" s="80" t="s">
        <v>35</v>
      </c>
      <c r="G19" s="80" t="s">
        <v>35</v>
      </c>
      <c r="H19" s="80" t="s">
        <v>35</v>
      </c>
      <c r="I19" s="80" t="s">
        <v>35</v>
      </c>
      <c r="J19" s="70">
        <v>0.9</v>
      </c>
      <c r="K19" s="71">
        <v>0.7</v>
      </c>
      <c r="L19" s="71">
        <v>0.76190476190476197</v>
      </c>
      <c r="M19" s="72">
        <v>0.5</v>
      </c>
      <c r="N19" s="71">
        <v>0.82653061224489799</v>
      </c>
      <c r="O19" s="73">
        <v>0.9</v>
      </c>
      <c r="P19" s="71">
        <v>0.97565725413826698</v>
      </c>
      <c r="Q19" s="71">
        <v>0.97517070142768503</v>
      </c>
      <c r="R19" s="71">
        <v>0.172786177105832</v>
      </c>
      <c r="S19" s="71">
        <v>0.86292257820064799</v>
      </c>
      <c r="T19" s="73">
        <v>0.9</v>
      </c>
      <c r="U19" s="71">
        <v>0.73612463485881197</v>
      </c>
      <c r="V19" s="71">
        <v>0.58472998137802601</v>
      </c>
      <c r="W19" s="71">
        <v>0.20734341252699801</v>
      </c>
      <c r="X19" s="71">
        <v>0.63225697806592895</v>
      </c>
      <c r="Y19" s="73">
        <v>0.92</v>
      </c>
      <c r="Z19" s="73">
        <v>0.95367306419589704</v>
      </c>
      <c r="AA19" s="73">
        <v>0.81513828238719099</v>
      </c>
      <c r="AB19" s="73">
        <v>0.32881773399014802</v>
      </c>
      <c r="AC19" s="73">
        <v>0.79751815980629503</v>
      </c>
      <c r="AD19" s="73">
        <v>0.92</v>
      </c>
      <c r="AE19" s="71">
        <v>0.99495768053304501</v>
      </c>
      <c r="AF19" s="71">
        <v>0.99368882019577498</v>
      </c>
      <c r="AG19" s="71">
        <v>0.99843189964157697</v>
      </c>
      <c r="AH19" s="71">
        <v>0.98971946519689102</v>
      </c>
      <c r="AI19" s="73">
        <v>0.92</v>
      </c>
      <c r="AJ19" s="71">
        <v>0.95594837261503895</v>
      </c>
      <c r="AK19" s="71">
        <v>0.89512619669277604</v>
      </c>
      <c r="AL19" s="71">
        <v>0.38395168248490102</v>
      </c>
      <c r="AM19" s="71">
        <v>0.854538569728443</v>
      </c>
      <c r="AN19" s="70">
        <v>0.99</v>
      </c>
      <c r="AO19" s="75">
        <v>1</v>
      </c>
      <c r="AP19" s="75">
        <v>1</v>
      </c>
      <c r="AQ19" s="75">
        <v>1</v>
      </c>
      <c r="AR19" s="75">
        <v>1</v>
      </c>
      <c r="AS19" s="77">
        <v>8.7218210012826203E-2</v>
      </c>
      <c r="AT19" s="79">
        <v>0</v>
      </c>
      <c r="AU19" s="79">
        <v>7.69230769230769E-2</v>
      </c>
      <c r="AV19" s="79">
        <v>0.25</v>
      </c>
      <c r="AW19" s="79">
        <v>8.4905660377358499E-2</v>
      </c>
      <c r="AX19" s="56"/>
      <c r="AY19" s="54"/>
    </row>
    <row r="20" spans="1:51">
      <c r="A20" s="53"/>
      <c r="B20" s="56"/>
      <c r="C20" s="67" t="s">
        <v>23</v>
      </c>
      <c r="D20" s="229" t="s">
        <v>1757</v>
      </c>
      <c r="E20" s="68" t="s">
        <v>24</v>
      </c>
      <c r="F20" s="80" t="s">
        <v>36</v>
      </c>
      <c r="G20" s="80" t="s">
        <v>36</v>
      </c>
      <c r="H20" s="80" t="s">
        <v>36</v>
      </c>
      <c r="I20" s="80" t="s">
        <v>36</v>
      </c>
      <c r="J20" s="70">
        <v>0.9</v>
      </c>
      <c r="K20" s="71">
        <v>0.90163934426229497</v>
      </c>
      <c r="L20" s="71">
        <v>0.92105263157894701</v>
      </c>
      <c r="M20" s="72">
        <v>0.88793103448275901</v>
      </c>
      <c r="N20" s="71">
        <v>0.88953913679590302</v>
      </c>
      <c r="O20" s="73">
        <v>0.9</v>
      </c>
      <c r="P20" s="71">
        <v>0.98802976383047603</v>
      </c>
      <c r="Q20" s="71">
        <v>0.99512987012986998</v>
      </c>
      <c r="R20" s="71">
        <v>0.85763842561707804</v>
      </c>
      <c r="S20" s="71">
        <v>0.96910424214093704</v>
      </c>
      <c r="T20" s="73">
        <v>0.9</v>
      </c>
      <c r="U20" s="71">
        <v>0.791976706567454</v>
      </c>
      <c r="V20" s="71">
        <v>0.83867694805194803</v>
      </c>
      <c r="W20" s="71">
        <v>0.79573048699132798</v>
      </c>
      <c r="X20" s="71">
        <v>0.80939581629075597</v>
      </c>
      <c r="Y20" s="73">
        <v>0.92</v>
      </c>
      <c r="Z20" s="73">
        <v>0.91906342182890899</v>
      </c>
      <c r="AA20" s="73">
        <v>0.92862318840579705</v>
      </c>
      <c r="AB20" s="73">
        <v>0.88334658187599402</v>
      </c>
      <c r="AC20" s="73">
        <v>0.92927679959658804</v>
      </c>
      <c r="AD20" s="73">
        <v>0.92</v>
      </c>
      <c r="AE20" s="71">
        <v>0.99870745368375702</v>
      </c>
      <c r="AF20" s="71">
        <v>0.97859778597785996</v>
      </c>
      <c r="AG20" s="71">
        <v>0.99730458221024298</v>
      </c>
      <c r="AH20" s="71">
        <v>0.99319313217515004</v>
      </c>
      <c r="AI20" s="73">
        <v>0.92</v>
      </c>
      <c r="AJ20" s="71">
        <v>0.93374116836119203</v>
      </c>
      <c r="AK20" s="71">
        <v>0.95122268470343396</v>
      </c>
      <c r="AL20" s="71">
        <v>0.92255543148827601</v>
      </c>
      <c r="AM20" s="71">
        <v>0.95150951199338296</v>
      </c>
      <c r="AN20" s="70">
        <v>0.99</v>
      </c>
      <c r="AO20" s="75">
        <v>1</v>
      </c>
      <c r="AP20" s="75">
        <v>1</v>
      </c>
      <c r="AQ20" s="75">
        <v>1</v>
      </c>
      <c r="AR20" s="75">
        <v>1</v>
      </c>
      <c r="AS20" s="77">
        <v>8.7218210012826203E-2</v>
      </c>
      <c r="AT20" s="79">
        <v>0.16666666666666699</v>
      </c>
      <c r="AU20" s="79">
        <v>0.06</v>
      </c>
      <c r="AV20" s="79">
        <v>7.1428571428571397E-2</v>
      </c>
      <c r="AW20" s="79">
        <v>5.9829059829059797E-2</v>
      </c>
      <c r="AX20" s="56"/>
      <c r="AY20" s="54"/>
    </row>
    <row r="21" spans="1:51">
      <c r="A21" s="53"/>
      <c r="B21" s="56"/>
      <c r="C21" s="67" t="s">
        <v>23</v>
      </c>
      <c r="D21" s="229" t="s">
        <v>1757</v>
      </c>
      <c r="E21" s="68" t="s">
        <v>24</v>
      </c>
      <c r="F21" s="80" t="s">
        <v>37</v>
      </c>
      <c r="G21" s="80" t="s">
        <v>37</v>
      </c>
      <c r="H21" s="80" t="s">
        <v>37</v>
      </c>
      <c r="I21" s="80" t="s">
        <v>37</v>
      </c>
      <c r="J21" s="70">
        <v>0.9</v>
      </c>
      <c r="K21" s="71">
        <v>0.94736842105263197</v>
      </c>
      <c r="L21" s="71">
        <v>0.94117647058823495</v>
      </c>
      <c r="M21" s="72">
        <v>0.8</v>
      </c>
      <c r="N21" s="71">
        <v>0.90147783251231495</v>
      </c>
      <c r="O21" s="73">
        <v>0.9</v>
      </c>
      <c r="P21" s="71">
        <v>0.91511035653650297</v>
      </c>
      <c r="Q21" s="71">
        <v>0.99481865284974103</v>
      </c>
      <c r="R21" s="71">
        <v>0.99543973941368102</v>
      </c>
      <c r="S21" s="71">
        <v>0.97479726970421798</v>
      </c>
      <c r="T21" s="73">
        <v>0.9</v>
      </c>
      <c r="U21" s="71">
        <v>0.93661573288058897</v>
      </c>
      <c r="V21" s="71">
        <v>0.86787564766839398</v>
      </c>
      <c r="W21" s="71">
        <v>0.82801302931596099</v>
      </c>
      <c r="X21" s="71">
        <v>0.87935359663963597</v>
      </c>
      <c r="Y21" s="73">
        <v>0.92</v>
      </c>
      <c r="Z21" s="73">
        <v>0.95675265553869504</v>
      </c>
      <c r="AA21" s="73">
        <v>0.96392496392496396</v>
      </c>
      <c r="AB21" s="73">
        <v>0.87885802469135799</v>
      </c>
      <c r="AC21" s="73">
        <v>0.93804671295878805</v>
      </c>
      <c r="AD21" s="73">
        <v>0.92</v>
      </c>
      <c r="AE21" s="71">
        <v>0.99461181923522601</v>
      </c>
      <c r="AF21" s="71">
        <v>0.96748219262929702</v>
      </c>
      <c r="AG21" s="71">
        <v>0.99673614717009096</v>
      </c>
      <c r="AH21" s="71">
        <v>0.96890545363822</v>
      </c>
      <c r="AI21" s="73">
        <v>0.92</v>
      </c>
      <c r="AJ21" s="71">
        <v>0.97439222042139395</v>
      </c>
      <c r="AK21" s="71">
        <v>0.96434359805510494</v>
      </c>
      <c r="AL21" s="71">
        <v>0.91310490992582105</v>
      </c>
      <c r="AM21" s="71">
        <v>0.95751830497683099</v>
      </c>
      <c r="AN21" s="70">
        <v>0.99</v>
      </c>
      <c r="AO21" s="75">
        <v>1</v>
      </c>
      <c r="AP21" s="75">
        <v>1</v>
      </c>
      <c r="AQ21" s="75">
        <v>1</v>
      </c>
      <c r="AR21" s="75">
        <v>1</v>
      </c>
      <c r="AS21" s="77">
        <v>8.7218210012826203E-2</v>
      </c>
      <c r="AT21" s="79">
        <v>0.11111111111111099</v>
      </c>
      <c r="AU21" s="79">
        <v>0.2</v>
      </c>
      <c r="AV21" s="79">
        <v>0.1</v>
      </c>
      <c r="AW21" s="79">
        <v>8.04597701149425E-2</v>
      </c>
      <c r="AX21" s="56"/>
      <c r="AY21" s="54"/>
    </row>
    <row r="22" spans="1:51">
      <c r="A22" s="53"/>
      <c r="B22" s="56"/>
      <c r="C22" s="67" t="s">
        <v>23</v>
      </c>
      <c r="D22" s="229" t="s">
        <v>1757</v>
      </c>
      <c r="E22" s="68" t="s">
        <v>24</v>
      </c>
      <c r="F22" s="80" t="s">
        <v>38</v>
      </c>
      <c r="G22" s="80" t="s">
        <v>38</v>
      </c>
      <c r="H22" s="80" t="s">
        <v>38</v>
      </c>
      <c r="I22" s="80" t="s">
        <v>38</v>
      </c>
      <c r="J22" s="70">
        <v>0.9</v>
      </c>
      <c r="K22" s="71">
        <v>0.91666666666666696</v>
      </c>
      <c r="L22" s="71">
        <v>0.89795918367346905</v>
      </c>
      <c r="M22" s="72">
        <v>0.88095238095238104</v>
      </c>
      <c r="N22" s="71">
        <v>0.91093117408906898</v>
      </c>
      <c r="O22" s="73">
        <v>0.9</v>
      </c>
      <c r="P22" s="71">
        <v>0.96371379897785303</v>
      </c>
      <c r="Q22" s="71">
        <v>0.867678125600154</v>
      </c>
      <c r="R22" s="71">
        <v>0.97283796440836701</v>
      </c>
      <c r="S22" s="71">
        <v>0.95243902439024397</v>
      </c>
      <c r="T22" s="73">
        <v>0.9</v>
      </c>
      <c r="U22" s="71">
        <v>0.81788756388415695</v>
      </c>
      <c r="V22" s="71">
        <v>0.79661993470328396</v>
      </c>
      <c r="W22" s="71">
        <v>0.80830471433031503</v>
      </c>
      <c r="X22" s="71">
        <v>0.77888501742160299</v>
      </c>
      <c r="Y22" s="73">
        <v>0.92</v>
      </c>
      <c r="Z22" s="73">
        <v>0.93509451150079703</v>
      </c>
      <c r="AA22" s="73">
        <v>0.98170128585558902</v>
      </c>
      <c r="AB22" s="73">
        <v>0.94962030005556597</v>
      </c>
      <c r="AC22" s="73">
        <v>0.95803975181407097</v>
      </c>
      <c r="AD22" s="73">
        <v>0.92</v>
      </c>
      <c r="AE22" s="71">
        <v>0.983915922526585</v>
      </c>
      <c r="AF22" s="71">
        <v>0.97237634749524404</v>
      </c>
      <c r="AG22" s="71">
        <v>0.99659810745288202</v>
      </c>
      <c r="AH22" s="71">
        <v>0.98173674695722601</v>
      </c>
      <c r="AI22" s="73">
        <v>0.92</v>
      </c>
      <c r="AJ22" s="71">
        <v>0.95031660983926003</v>
      </c>
      <c r="AK22" s="71">
        <v>0.98907481676116704</v>
      </c>
      <c r="AL22" s="71">
        <v>0.959786145978615</v>
      </c>
      <c r="AM22" s="71">
        <v>0.97295088836741495</v>
      </c>
      <c r="AN22" s="70">
        <v>0.99</v>
      </c>
      <c r="AO22" s="75">
        <v>1</v>
      </c>
      <c r="AP22" s="75">
        <v>1</v>
      </c>
      <c r="AQ22" s="75">
        <v>1</v>
      </c>
      <c r="AR22" s="75">
        <v>1</v>
      </c>
      <c r="AS22" s="77">
        <v>8.7218210012826203E-2</v>
      </c>
      <c r="AT22" s="79">
        <v>6.25E-2</v>
      </c>
      <c r="AU22" s="79">
        <v>0.25</v>
      </c>
      <c r="AV22" s="79">
        <v>0</v>
      </c>
      <c r="AW22" s="79">
        <v>8.0168776371307995E-2</v>
      </c>
      <c r="AX22" s="56"/>
      <c r="AY22" s="54"/>
    </row>
    <row r="23" spans="1:51">
      <c r="A23" s="53"/>
      <c r="B23" s="56"/>
      <c r="C23" s="67" t="s">
        <v>23</v>
      </c>
      <c r="D23" s="229" t="s">
        <v>1757</v>
      </c>
      <c r="E23" s="68" t="s">
        <v>24</v>
      </c>
      <c r="F23" s="80" t="s">
        <v>39</v>
      </c>
      <c r="G23" s="80" t="s">
        <v>39</v>
      </c>
      <c r="H23" s="80" t="s">
        <v>39</v>
      </c>
      <c r="I23" s="80" t="s">
        <v>39</v>
      </c>
      <c r="J23" s="70">
        <v>0.9</v>
      </c>
      <c r="K23" s="71">
        <v>0.86666666666666703</v>
      </c>
      <c r="L23" s="71">
        <v>0.81538461538461504</v>
      </c>
      <c r="M23" s="72">
        <v>0.77966101694915302</v>
      </c>
      <c r="N23" s="71">
        <v>0.82567049808429105</v>
      </c>
      <c r="O23" s="73">
        <v>0.9</v>
      </c>
      <c r="P23" s="71">
        <v>0.89134438305708996</v>
      </c>
      <c r="Q23" s="71">
        <v>0.79207249936478397</v>
      </c>
      <c r="R23" s="71">
        <v>0.93548653560218098</v>
      </c>
      <c r="S23" s="71">
        <v>0.88926939023872498</v>
      </c>
      <c r="T23" s="73">
        <v>0.9</v>
      </c>
      <c r="U23" s="71">
        <v>0.69525182160301102</v>
      </c>
      <c r="V23" s="71">
        <v>0.569238587278733</v>
      </c>
      <c r="W23" s="71">
        <v>0.58334710061126704</v>
      </c>
      <c r="X23" s="71">
        <v>0.63169513351352102</v>
      </c>
      <c r="Y23" s="73">
        <v>0.92</v>
      </c>
      <c r="Z23" s="73">
        <v>0.94996619337390098</v>
      </c>
      <c r="AA23" s="73">
        <v>0.96193666260657695</v>
      </c>
      <c r="AB23" s="73">
        <v>0.94968119937963102</v>
      </c>
      <c r="AC23" s="73">
        <v>0.95836055577333501</v>
      </c>
      <c r="AD23" s="73">
        <v>0.92</v>
      </c>
      <c r="AE23" s="71">
        <v>0.87356051703877802</v>
      </c>
      <c r="AF23" s="71">
        <v>0.81802232505098804</v>
      </c>
      <c r="AG23" s="71">
        <v>0.82272072825228704</v>
      </c>
      <c r="AH23" s="71">
        <v>0.75837441456589805</v>
      </c>
      <c r="AI23" s="73">
        <v>0.92</v>
      </c>
      <c r="AJ23" s="71">
        <v>0.95845225284237101</v>
      </c>
      <c r="AK23" s="71">
        <v>0.95476821192052996</v>
      </c>
      <c r="AL23" s="71">
        <v>0.96450100468854705</v>
      </c>
      <c r="AM23" s="71">
        <v>0.96633588984038099</v>
      </c>
      <c r="AN23" s="70">
        <v>0.99</v>
      </c>
      <c r="AO23" s="75">
        <v>1</v>
      </c>
      <c r="AP23" s="75">
        <v>1</v>
      </c>
      <c r="AQ23" s="75">
        <v>1</v>
      </c>
      <c r="AR23" s="75">
        <v>0.99559294871794901</v>
      </c>
      <c r="AS23" s="77">
        <v>8.7218210012826203E-2</v>
      </c>
      <c r="AT23" s="79">
        <v>7.3170731707317097E-2</v>
      </c>
      <c r="AU23" s="79">
        <v>0.296875</v>
      </c>
      <c r="AV23" s="79">
        <v>2.1978021978022001E-2</v>
      </c>
      <c r="AW23" s="79">
        <v>4.78134110787172E-2</v>
      </c>
      <c r="AX23" s="56"/>
      <c r="AY23" s="54"/>
    </row>
    <row r="24" spans="1:51">
      <c r="A24" s="53"/>
      <c r="B24" s="56"/>
      <c r="C24" s="67" t="s">
        <v>23</v>
      </c>
      <c r="D24" s="229" t="s">
        <v>1757</v>
      </c>
      <c r="E24" s="68" t="s">
        <v>24</v>
      </c>
      <c r="F24" s="80" t="s">
        <v>40</v>
      </c>
      <c r="G24" s="80" t="s">
        <v>40</v>
      </c>
      <c r="H24" s="80" t="s">
        <v>40</v>
      </c>
      <c r="I24" s="80" t="s">
        <v>40</v>
      </c>
      <c r="J24" s="70">
        <v>0.9</v>
      </c>
      <c r="K24" s="71">
        <v>0.84105960264900703</v>
      </c>
      <c r="L24" s="71">
        <v>0.86399999999999999</v>
      </c>
      <c r="M24" s="72">
        <v>0.75373134328358204</v>
      </c>
      <c r="N24" s="71">
        <v>0.82028241335044905</v>
      </c>
      <c r="O24" s="73">
        <v>0.9</v>
      </c>
      <c r="P24" s="71">
        <v>0.94943601711396297</v>
      </c>
      <c r="Q24" s="71">
        <v>0.96385542168674698</v>
      </c>
      <c r="R24" s="71">
        <v>0.94649891981192003</v>
      </c>
      <c r="S24" s="71">
        <v>0.96145119300675896</v>
      </c>
      <c r="T24" s="73">
        <v>0.9</v>
      </c>
      <c r="U24" s="71">
        <v>0.70076494230519903</v>
      </c>
      <c r="V24" s="71">
        <v>0.66499765294946001</v>
      </c>
      <c r="W24" s="71">
        <v>0.597280467657898</v>
      </c>
      <c r="X24" s="71">
        <v>0.68083785139363295</v>
      </c>
      <c r="Y24" s="73">
        <v>0.92</v>
      </c>
      <c r="Z24" s="73">
        <v>0.89137813985064496</v>
      </c>
      <c r="AA24" s="73">
        <v>0.86258064516128996</v>
      </c>
      <c r="AB24" s="73">
        <v>0.85200111172873805</v>
      </c>
      <c r="AC24" s="73">
        <v>0.89621481615055498</v>
      </c>
      <c r="AD24" s="73">
        <v>0.92</v>
      </c>
      <c r="AE24" s="71">
        <v>0.96</v>
      </c>
      <c r="AF24" s="71">
        <v>0.9375</v>
      </c>
      <c r="AG24" s="71">
        <v>0.91666666666666696</v>
      </c>
      <c r="AH24" s="71">
        <v>0.78021978021978</v>
      </c>
      <c r="AI24" s="73">
        <v>0.92</v>
      </c>
      <c r="AJ24" s="71">
        <v>0.91466083150984701</v>
      </c>
      <c r="AK24" s="71">
        <v>0.90654304077547199</v>
      </c>
      <c r="AL24" s="71">
        <v>0.88320392859512897</v>
      </c>
      <c r="AM24" s="71">
        <v>0.92372576923608296</v>
      </c>
      <c r="AN24" s="70">
        <v>0.99</v>
      </c>
      <c r="AO24" s="75">
        <v>1</v>
      </c>
      <c r="AP24" s="75">
        <v>1</v>
      </c>
      <c r="AQ24" s="75">
        <v>1</v>
      </c>
      <c r="AR24" s="75">
        <v>1</v>
      </c>
      <c r="AS24" s="77">
        <v>8.7218210012826203E-2</v>
      </c>
      <c r="AT24" s="79">
        <v>0.11764705882352899</v>
      </c>
      <c r="AU24" s="79">
        <v>0.19047619047618999</v>
      </c>
      <c r="AV24" s="79">
        <v>0.12121212121212099</v>
      </c>
      <c r="AW24" s="79">
        <v>7.3469387755102006E-2</v>
      </c>
      <c r="AX24" s="56"/>
      <c r="AY24" s="54"/>
    </row>
    <row r="25" spans="1:51">
      <c r="A25" s="53"/>
      <c r="B25" s="56"/>
      <c r="C25" s="67" t="s">
        <v>23</v>
      </c>
      <c r="D25" s="229" t="s">
        <v>1757</v>
      </c>
      <c r="E25" s="68" t="s">
        <v>24</v>
      </c>
      <c r="F25" s="80" t="s">
        <v>41</v>
      </c>
      <c r="G25" s="80" t="s">
        <v>41</v>
      </c>
      <c r="H25" s="80" t="s">
        <v>41</v>
      </c>
      <c r="I25" s="80" t="s">
        <v>41</v>
      </c>
      <c r="J25" s="70">
        <v>0.9</v>
      </c>
      <c r="K25" s="71">
        <v>0.94642857142857095</v>
      </c>
      <c r="L25" s="71">
        <v>0.94047619047619002</v>
      </c>
      <c r="M25" s="72">
        <v>0.91397849462365599</v>
      </c>
      <c r="N25" s="71">
        <v>0.95970695970695996</v>
      </c>
      <c r="O25" s="73">
        <v>0.9</v>
      </c>
      <c r="P25" s="71">
        <v>0.97682051282051297</v>
      </c>
      <c r="Q25" s="71">
        <v>0.98888888888888904</v>
      </c>
      <c r="R25" s="71">
        <v>0.99162775720495899</v>
      </c>
      <c r="S25" s="71">
        <v>0.98383884454579995</v>
      </c>
      <c r="T25" s="73">
        <v>0.9</v>
      </c>
      <c r="U25" s="71">
        <v>0.79938461538461503</v>
      </c>
      <c r="V25" s="71">
        <v>0.76686507936507897</v>
      </c>
      <c r="W25" s="71">
        <v>0.73015617452906101</v>
      </c>
      <c r="X25" s="71">
        <v>0.77862409730140603</v>
      </c>
      <c r="Y25" s="73">
        <v>0.92</v>
      </c>
      <c r="Z25" s="73">
        <v>0.90137531668476301</v>
      </c>
      <c r="AA25" s="73">
        <v>0.88338658146964899</v>
      </c>
      <c r="AB25" s="73">
        <v>0.88728323699421996</v>
      </c>
      <c r="AC25" s="73">
        <v>0.90709739297236003</v>
      </c>
      <c r="AD25" s="73">
        <v>0.92</v>
      </c>
      <c r="AE25" s="71">
        <v>0.99344841337663103</v>
      </c>
      <c r="AF25" s="71">
        <v>0.90539337842648604</v>
      </c>
      <c r="AG25" s="71">
        <v>0.99076138897738097</v>
      </c>
      <c r="AH25" s="71">
        <v>0.98821034775233296</v>
      </c>
      <c r="AI25" s="73">
        <v>0.92</v>
      </c>
      <c r="AJ25" s="71">
        <v>0.91800442180140296</v>
      </c>
      <c r="AK25" s="71">
        <v>0.91874337221633096</v>
      </c>
      <c r="AL25" s="71">
        <v>0.91209188749208603</v>
      </c>
      <c r="AM25" s="71">
        <v>0.93383426324792496</v>
      </c>
      <c r="AN25" s="70">
        <v>0.99</v>
      </c>
      <c r="AO25" s="75">
        <v>1</v>
      </c>
      <c r="AP25" s="75">
        <v>1</v>
      </c>
      <c r="AQ25" s="75">
        <v>1</v>
      </c>
      <c r="AR25" s="75">
        <v>1</v>
      </c>
      <c r="AS25" s="77">
        <v>8.7218210012826203E-2</v>
      </c>
      <c r="AT25" s="79">
        <v>7.5949367088607597E-2</v>
      </c>
      <c r="AU25" s="79">
        <v>0.15</v>
      </c>
      <c r="AV25" s="79">
        <v>7.5757575757575801E-2</v>
      </c>
      <c r="AW25" s="79">
        <v>5.4088050314465397E-2</v>
      </c>
      <c r="AX25" s="56"/>
      <c r="AY25" s="54"/>
    </row>
    <row r="26" spans="1:51">
      <c r="A26" s="53"/>
      <c r="B26" s="56"/>
      <c r="C26" s="67" t="s">
        <v>23</v>
      </c>
      <c r="D26" s="229" t="s">
        <v>1757</v>
      </c>
      <c r="E26" s="68" t="s">
        <v>24</v>
      </c>
      <c r="F26" s="80" t="s">
        <v>42</v>
      </c>
      <c r="G26" s="80" t="s">
        <v>42</v>
      </c>
      <c r="H26" s="80" t="s">
        <v>42</v>
      </c>
      <c r="I26" s="80" t="s">
        <v>42</v>
      </c>
      <c r="J26" s="70">
        <v>0.9</v>
      </c>
      <c r="K26" s="71">
        <v>0.88073394495412805</v>
      </c>
      <c r="L26" s="71">
        <v>0.89690721649484495</v>
      </c>
      <c r="M26" s="72">
        <v>0.83157894736842097</v>
      </c>
      <c r="N26" s="71">
        <v>0.88821490467937603</v>
      </c>
      <c r="O26" s="73">
        <v>0.9</v>
      </c>
      <c r="P26" s="71">
        <v>0.94449670743179703</v>
      </c>
      <c r="Q26" s="71">
        <v>0.92750621375310704</v>
      </c>
      <c r="R26" s="71">
        <v>0.94983071714373701</v>
      </c>
      <c r="S26" s="71">
        <v>0.93660573201316299</v>
      </c>
      <c r="T26" s="73">
        <v>0.9</v>
      </c>
      <c r="U26" s="71">
        <v>0.663217309501411</v>
      </c>
      <c r="V26" s="71">
        <v>0.69925434962717503</v>
      </c>
      <c r="W26" s="71">
        <v>0.58171745152354604</v>
      </c>
      <c r="X26" s="71">
        <v>0.66009480871544302</v>
      </c>
      <c r="Y26" s="73">
        <v>0.92</v>
      </c>
      <c r="Z26" s="73">
        <v>0.91394450298559904</v>
      </c>
      <c r="AA26" s="73">
        <v>0.89789227166276298</v>
      </c>
      <c r="AB26" s="73">
        <v>0.90936434730298799</v>
      </c>
      <c r="AC26" s="73">
        <v>0.91226901590030096</v>
      </c>
      <c r="AD26" s="73">
        <v>0.92</v>
      </c>
      <c r="AE26" s="71">
        <v>0.99820035992801404</v>
      </c>
      <c r="AF26" s="71">
        <v>0.977735670298437</v>
      </c>
      <c r="AG26" s="71">
        <v>0.99591836734693895</v>
      </c>
      <c r="AH26" s="71">
        <v>0.98966631881697198</v>
      </c>
      <c r="AI26" s="73">
        <v>0.92</v>
      </c>
      <c r="AJ26" s="71">
        <v>0.93339960238568598</v>
      </c>
      <c r="AK26" s="71">
        <v>0.936099942561746</v>
      </c>
      <c r="AL26" s="71">
        <v>0.92783146165230301</v>
      </c>
      <c r="AM26" s="71">
        <v>0.93923603597365202</v>
      </c>
      <c r="AN26" s="70">
        <v>0.99</v>
      </c>
      <c r="AO26" s="75">
        <v>1</v>
      </c>
      <c r="AP26" s="75">
        <v>1</v>
      </c>
      <c r="AQ26" s="75">
        <v>1</v>
      </c>
      <c r="AR26" s="75">
        <v>1</v>
      </c>
      <c r="AS26" s="77">
        <v>8.7218210012826203E-2</v>
      </c>
      <c r="AT26" s="79">
        <v>9.375E-2</v>
      </c>
      <c r="AU26" s="79">
        <v>3.8461538461538498E-2</v>
      </c>
      <c r="AV26" s="79">
        <v>5.1948051948052E-2</v>
      </c>
      <c r="AW26" s="79">
        <v>2.9411764705882401E-2</v>
      </c>
      <c r="AX26" s="56"/>
      <c r="AY26" s="54"/>
    </row>
    <row r="27" spans="1:51">
      <c r="A27" s="53"/>
      <c r="B27" s="56"/>
      <c r="C27" s="67" t="s">
        <v>23</v>
      </c>
      <c r="D27" s="229" t="s">
        <v>1757</v>
      </c>
      <c r="E27" s="68" t="s">
        <v>24</v>
      </c>
      <c r="F27" s="80" t="s">
        <v>43</v>
      </c>
      <c r="G27" s="80" t="s">
        <v>43</v>
      </c>
      <c r="H27" s="80" t="s">
        <v>43</v>
      </c>
      <c r="I27" s="80" t="s">
        <v>43</v>
      </c>
      <c r="J27" s="70">
        <v>0.9</v>
      </c>
      <c r="K27" s="71">
        <v>0.929824561403509</v>
      </c>
      <c r="L27" s="71">
        <v>0.93406593406593397</v>
      </c>
      <c r="M27" s="72">
        <v>0.91397849462365599</v>
      </c>
      <c r="N27" s="71">
        <v>0.95306859205776195</v>
      </c>
      <c r="O27" s="73">
        <v>0.9</v>
      </c>
      <c r="P27" s="71">
        <v>0.98081432530377299</v>
      </c>
      <c r="Q27" s="71">
        <v>0.96617540468712204</v>
      </c>
      <c r="R27" s="71">
        <v>0.97846022606099403</v>
      </c>
      <c r="S27" s="71">
        <v>0.94606569900687498</v>
      </c>
      <c r="T27" s="73">
        <v>0.9</v>
      </c>
      <c r="U27" s="71">
        <v>0.89895544659987203</v>
      </c>
      <c r="V27" s="71">
        <v>0.87871466537811105</v>
      </c>
      <c r="W27" s="71">
        <v>0.87054809127745802</v>
      </c>
      <c r="X27" s="71">
        <v>0.89354469060351405</v>
      </c>
      <c r="Y27" s="73">
        <v>0.92</v>
      </c>
      <c r="Z27" s="73">
        <v>0.95416033021942204</v>
      </c>
      <c r="AA27" s="73">
        <v>0.93480546792849595</v>
      </c>
      <c r="AB27" s="73">
        <v>0.93496932515337405</v>
      </c>
      <c r="AC27" s="73">
        <v>0.95015759388856202</v>
      </c>
      <c r="AD27" s="73">
        <v>0.92</v>
      </c>
      <c r="AE27" s="71">
        <v>1</v>
      </c>
      <c r="AF27" s="71">
        <v>0.95833333333333304</v>
      </c>
      <c r="AG27" s="71">
        <v>1</v>
      </c>
      <c r="AH27" s="71">
        <v>0.89320388349514601</v>
      </c>
      <c r="AI27" s="73">
        <v>0.92</v>
      </c>
      <c r="AJ27" s="71">
        <v>0.96578805809574997</v>
      </c>
      <c r="AK27" s="71">
        <v>0.95961602118503797</v>
      </c>
      <c r="AL27" s="71">
        <v>0.95390758699372502</v>
      </c>
      <c r="AM27" s="71">
        <v>0.96779617607429602</v>
      </c>
      <c r="AN27" s="70">
        <v>0.99</v>
      </c>
      <c r="AO27" s="75">
        <v>1</v>
      </c>
      <c r="AP27" s="75">
        <v>1</v>
      </c>
      <c r="AQ27" s="75">
        <v>1</v>
      </c>
      <c r="AR27" s="75">
        <v>1</v>
      </c>
      <c r="AS27" s="77">
        <v>8.7218210012826203E-2</v>
      </c>
      <c r="AT27" s="79">
        <v>0.11111111111111099</v>
      </c>
      <c r="AU27" s="79">
        <v>0.16</v>
      </c>
      <c r="AV27" s="79">
        <v>0.102040816326531</v>
      </c>
      <c r="AW27" s="79">
        <v>6.7307692307692304E-2</v>
      </c>
      <c r="AX27" s="56"/>
      <c r="AY27" s="54"/>
    </row>
    <row r="28" spans="1:51">
      <c r="A28" s="53"/>
      <c r="B28" s="56"/>
      <c r="C28" s="67" t="s">
        <v>23</v>
      </c>
      <c r="D28" s="229" t="s">
        <v>1757</v>
      </c>
      <c r="E28" s="68" t="s">
        <v>24</v>
      </c>
      <c r="F28" s="80" t="s">
        <v>44</v>
      </c>
      <c r="G28" s="80" t="s">
        <v>44</v>
      </c>
      <c r="H28" s="80" t="s">
        <v>44</v>
      </c>
      <c r="I28" s="80" t="s">
        <v>44</v>
      </c>
      <c r="J28" s="70">
        <v>0.9</v>
      </c>
      <c r="K28" s="71">
        <v>0.98305084745762705</v>
      </c>
      <c r="L28" s="71">
        <v>1</v>
      </c>
      <c r="M28" s="72">
        <v>0.98</v>
      </c>
      <c r="N28" s="71">
        <v>0.97635135135135098</v>
      </c>
      <c r="O28" s="73">
        <v>0.9</v>
      </c>
      <c r="P28" s="71">
        <v>0.98675683291067895</v>
      </c>
      <c r="Q28" s="71">
        <v>0.98936170212765995</v>
      </c>
      <c r="R28" s="71">
        <v>0.98352800239592697</v>
      </c>
      <c r="S28" s="71">
        <v>0.98294215391006301</v>
      </c>
      <c r="T28" s="73">
        <v>0.9</v>
      </c>
      <c r="U28" s="71">
        <v>0.89912651451113001</v>
      </c>
      <c r="V28" s="71">
        <v>0.88588007736943897</v>
      </c>
      <c r="W28" s="71">
        <v>0.83228511530398297</v>
      </c>
      <c r="X28" s="71">
        <v>0.87168968740263797</v>
      </c>
      <c r="Y28" s="73">
        <v>0.92</v>
      </c>
      <c r="Z28" s="73">
        <v>0.95709779179810694</v>
      </c>
      <c r="AA28" s="73">
        <v>0.94832214765100697</v>
      </c>
      <c r="AB28" s="73">
        <v>0.95</v>
      </c>
      <c r="AC28" s="73">
        <v>0.95995444358719995</v>
      </c>
      <c r="AD28" s="73">
        <v>0.92</v>
      </c>
      <c r="AE28" s="71">
        <v>0.99909990999099896</v>
      </c>
      <c r="AF28" s="71">
        <v>0.98577844311377205</v>
      </c>
      <c r="AG28" s="71">
        <v>0.99619467254155802</v>
      </c>
      <c r="AH28" s="71">
        <v>0.99302616677594302</v>
      </c>
      <c r="AI28" s="73">
        <v>0.92</v>
      </c>
      <c r="AJ28" s="71">
        <v>0.96905222437137295</v>
      </c>
      <c r="AK28" s="71">
        <v>0.96123693379790898</v>
      </c>
      <c r="AL28" s="71">
        <v>0.96410095626273695</v>
      </c>
      <c r="AM28" s="71">
        <v>0.97274358896358704</v>
      </c>
      <c r="AN28" s="70">
        <v>0.99</v>
      </c>
      <c r="AO28" s="75">
        <v>1</v>
      </c>
      <c r="AP28" s="75">
        <v>1</v>
      </c>
      <c r="AQ28" s="75">
        <v>1</v>
      </c>
      <c r="AR28" s="75">
        <v>1</v>
      </c>
      <c r="AS28" s="77">
        <v>8.7218210012826203E-2</v>
      </c>
      <c r="AT28" s="79">
        <v>0.11111111111111099</v>
      </c>
      <c r="AU28" s="79">
        <v>0.20833333333333301</v>
      </c>
      <c r="AV28" s="79">
        <v>8.1081081081081099E-2</v>
      </c>
      <c r="AW28" s="79">
        <v>6.5217391304347797E-2</v>
      </c>
      <c r="AX28" s="56"/>
      <c r="AY28" s="54"/>
    </row>
    <row r="29" spans="1:51">
      <c r="A29" s="53"/>
      <c r="B29" s="56"/>
      <c r="C29" s="67" t="s">
        <v>23</v>
      </c>
      <c r="D29" s="229" t="s">
        <v>1757</v>
      </c>
      <c r="E29" s="68" t="s">
        <v>24</v>
      </c>
      <c r="F29" s="80" t="s">
        <v>45</v>
      </c>
      <c r="G29" s="80" t="s">
        <v>45</v>
      </c>
      <c r="H29" s="80" t="s">
        <v>45</v>
      </c>
      <c r="I29" s="80" t="s">
        <v>45</v>
      </c>
      <c r="J29" s="70">
        <v>0.9</v>
      </c>
      <c r="K29" s="71">
        <v>0.96875</v>
      </c>
      <c r="L29" s="71">
        <v>0.83636363636363598</v>
      </c>
      <c r="M29" s="72">
        <v>0.72881355932203395</v>
      </c>
      <c r="N29" s="71">
        <v>0.84977908689248904</v>
      </c>
      <c r="O29" s="73">
        <v>0.9</v>
      </c>
      <c r="P29" s="71">
        <v>0.98971877834895705</v>
      </c>
      <c r="Q29" s="71">
        <v>0.99398655818889303</v>
      </c>
      <c r="R29" s="71">
        <v>0.99582560296846001</v>
      </c>
      <c r="S29" s="71">
        <v>0.992174193927292</v>
      </c>
      <c r="T29" s="73">
        <v>0.9</v>
      </c>
      <c r="U29" s="71">
        <v>0.866344118536438</v>
      </c>
      <c r="V29" s="71">
        <v>0.86823487796250398</v>
      </c>
      <c r="W29" s="71">
        <v>0.76855287569573305</v>
      </c>
      <c r="X29" s="71">
        <v>0.82736242438480101</v>
      </c>
      <c r="Y29" s="73">
        <v>0.92</v>
      </c>
      <c r="Z29" s="73">
        <v>0.96085480327541395</v>
      </c>
      <c r="AA29" s="73">
        <v>0.96193771626297597</v>
      </c>
      <c r="AB29" s="73">
        <v>0.95964749536178096</v>
      </c>
      <c r="AC29" s="73">
        <v>0.96430566010246899</v>
      </c>
      <c r="AD29" s="73">
        <v>0.92</v>
      </c>
      <c r="AE29" s="71">
        <v>0.97297466654731002</v>
      </c>
      <c r="AF29" s="71">
        <v>0.95192662053151</v>
      </c>
      <c r="AG29" s="71">
        <v>0.957714094104403</v>
      </c>
      <c r="AH29" s="71">
        <v>0.94481608646408799</v>
      </c>
      <c r="AI29" s="73">
        <v>0.92</v>
      </c>
      <c r="AJ29" s="71">
        <v>0.97083369181794699</v>
      </c>
      <c r="AK29" s="71">
        <v>0.97203051216854297</v>
      </c>
      <c r="AL29" s="71">
        <v>0.97190542420027803</v>
      </c>
      <c r="AM29" s="71">
        <v>0.97621769951977999</v>
      </c>
      <c r="AN29" s="70">
        <v>0.99</v>
      </c>
      <c r="AO29" s="75">
        <v>1</v>
      </c>
      <c r="AP29" s="75">
        <v>1</v>
      </c>
      <c r="AQ29" s="75">
        <v>1</v>
      </c>
      <c r="AR29" s="75">
        <v>1</v>
      </c>
      <c r="AS29" s="77">
        <v>8.7218210012826203E-2</v>
      </c>
      <c r="AT29" s="79">
        <v>5.6451612903225798E-2</v>
      </c>
      <c r="AU29" s="79">
        <v>8.3333333333333297E-3</v>
      </c>
      <c r="AV29" s="79">
        <v>2.1739130434782601E-2</v>
      </c>
      <c r="AW29" s="79">
        <v>3.92749244712991E-2</v>
      </c>
      <c r="AX29" s="56"/>
      <c r="AY29" s="54"/>
    </row>
    <row r="30" spans="1:51">
      <c r="A30" s="53"/>
      <c r="B30" s="56"/>
      <c r="C30" s="67" t="s">
        <v>23</v>
      </c>
      <c r="D30" s="229" t="s">
        <v>1757</v>
      </c>
      <c r="E30" s="68" t="s">
        <v>24</v>
      </c>
      <c r="F30" s="80" t="s">
        <v>46</v>
      </c>
      <c r="G30" s="80" t="s">
        <v>46</v>
      </c>
      <c r="H30" s="80" t="s">
        <v>46</v>
      </c>
      <c r="I30" s="80" t="s">
        <v>46</v>
      </c>
      <c r="J30" s="70">
        <v>0.9</v>
      </c>
      <c r="K30" s="71">
        <v>0.90540540540540504</v>
      </c>
      <c r="L30" s="71">
        <v>0.82352941176470595</v>
      </c>
      <c r="M30" s="72">
        <v>0.84285714285714297</v>
      </c>
      <c r="N30" s="71">
        <v>0.89192708333333304</v>
      </c>
      <c r="O30" s="73">
        <v>0.9</v>
      </c>
      <c r="P30" s="71">
        <v>0.97357512953367897</v>
      </c>
      <c r="Q30" s="71">
        <v>0.96010910330719401</v>
      </c>
      <c r="R30" s="71">
        <v>0.90567901234567905</v>
      </c>
      <c r="S30" s="71">
        <v>0.96493599224766702</v>
      </c>
      <c r="T30" s="73">
        <v>0.9</v>
      </c>
      <c r="U30" s="71">
        <v>0.81243523316062205</v>
      </c>
      <c r="V30" s="71">
        <v>0.82407091714967595</v>
      </c>
      <c r="W30" s="71">
        <v>0.75111111111111095</v>
      </c>
      <c r="X30" s="71">
        <v>0.81542306319171698</v>
      </c>
      <c r="Y30" s="73">
        <v>0.92</v>
      </c>
      <c r="Z30" s="73">
        <v>0.90278202384591899</v>
      </c>
      <c r="AA30" s="73">
        <v>0.89871611982881605</v>
      </c>
      <c r="AB30" s="73">
        <v>0.91468295765746799</v>
      </c>
      <c r="AC30" s="73">
        <v>0.92266941864465102</v>
      </c>
      <c r="AD30" s="73">
        <v>0.92</v>
      </c>
      <c r="AE30" s="71">
        <v>1</v>
      </c>
      <c r="AF30" s="71">
        <v>0</v>
      </c>
      <c r="AG30" s="71">
        <v>1</v>
      </c>
      <c r="AH30" s="71">
        <v>0.60714285714285698</v>
      </c>
      <c r="AI30" s="73">
        <v>0.92</v>
      </c>
      <c r="AJ30" s="71">
        <v>0.92554683118339898</v>
      </c>
      <c r="AK30" s="71">
        <v>0.925259515570934</v>
      </c>
      <c r="AL30" s="71">
        <v>0.92114589486119303</v>
      </c>
      <c r="AM30" s="71">
        <v>0.944213606437454</v>
      </c>
      <c r="AN30" s="70">
        <v>0.99</v>
      </c>
      <c r="AO30" s="75">
        <v>1</v>
      </c>
      <c r="AP30" s="75">
        <v>1</v>
      </c>
      <c r="AQ30" s="75">
        <v>1</v>
      </c>
      <c r="AR30" s="75">
        <v>1</v>
      </c>
      <c r="AS30" s="77">
        <v>8.7218210012826203E-2</v>
      </c>
      <c r="AT30" s="79">
        <v>2.6315789473684199E-2</v>
      </c>
      <c r="AU30" s="79">
        <v>3.7037037037037E-2</v>
      </c>
      <c r="AV30" s="79">
        <v>0.15384615384615399</v>
      </c>
      <c r="AW30" s="79">
        <v>4.8128342245989303E-2</v>
      </c>
      <c r="AX30" s="56"/>
      <c r="AY30" s="54"/>
    </row>
    <row r="31" spans="1:51">
      <c r="A31" s="53"/>
      <c r="B31" s="56"/>
      <c r="C31" s="67" t="s">
        <v>23</v>
      </c>
      <c r="D31" s="229" t="s">
        <v>1757</v>
      </c>
      <c r="E31" s="68" t="s">
        <v>24</v>
      </c>
      <c r="F31" s="80" t="s">
        <v>47</v>
      </c>
      <c r="G31" s="80" t="s">
        <v>47</v>
      </c>
      <c r="H31" s="80" t="s">
        <v>47</v>
      </c>
      <c r="I31" s="80" t="s">
        <v>47</v>
      </c>
      <c r="J31" s="70">
        <v>0.9</v>
      </c>
      <c r="K31" s="71">
        <v>0.92553191489361697</v>
      </c>
      <c r="L31" s="71">
        <v>0.95454545454545503</v>
      </c>
      <c r="M31" s="72">
        <v>0.92753623188405798</v>
      </c>
      <c r="N31" s="71">
        <v>0.92841409691629995</v>
      </c>
      <c r="O31" s="73">
        <v>0.9</v>
      </c>
      <c r="P31" s="71">
        <v>0.90406374501992004</v>
      </c>
      <c r="Q31" s="71">
        <v>0.98982706002034604</v>
      </c>
      <c r="R31" s="71">
        <v>0.99029435163086699</v>
      </c>
      <c r="S31" s="71">
        <v>0.93380700355252699</v>
      </c>
      <c r="T31" s="73">
        <v>0.9</v>
      </c>
      <c r="U31" s="71">
        <v>0.85880478087649403</v>
      </c>
      <c r="V31" s="71">
        <v>0.72431332655137304</v>
      </c>
      <c r="W31" s="71">
        <v>0.59681782020684204</v>
      </c>
      <c r="X31" s="71">
        <v>0.73986804901036796</v>
      </c>
      <c r="Y31" s="73">
        <v>0.92</v>
      </c>
      <c r="Z31" s="73">
        <v>0.92869718309859195</v>
      </c>
      <c r="AA31" s="73">
        <v>0.91623711340206204</v>
      </c>
      <c r="AB31" s="73">
        <v>0.75398313027178998</v>
      </c>
      <c r="AC31" s="73">
        <v>0.87254574223886205</v>
      </c>
      <c r="AD31" s="73">
        <v>0.92</v>
      </c>
      <c r="AE31" s="71">
        <v>0.99931961217894205</v>
      </c>
      <c r="AF31" s="71">
        <v>0.98750000000000004</v>
      </c>
      <c r="AG31" s="71">
        <v>0.99564375605033895</v>
      </c>
      <c r="AH31" s="71">
        <v>0.99525907980200901</v>
      </c>
      <c r="AI31" s="73">
        <v>0.92</v>
      </c>
      <c r="AJ31" s="71">
        <v>0.94772499163599899</v>
      </c>
      <c r="AK31" s="71">
        <v>0.945326522159326</v>
      </c>
      <c r="AL31" s="71">
        <v>0.77051354936517003</v>
      </c>
      <c r="AM31" s="71">
        <v>0.89651053514496304</v>
      </c>
      <c r="AN31" s="70">
        <v>0.99</v>
      </c>
      <c r="AO31" s="75">
        <v>1</v>
      </c>
      <c r="AP31" s="75">
        <v>1</v>
      </c>
      <c r="AQ31" s="75">
        <v>1</v>
      </c>
      <c r="AR31" s="75">
        <v>1</v>
      </c>
      <c r="AS31" s="77">
        <v>8.7218210012826203E-2</v>
      </c>
      <c r="AT31" s="79">
        <v>8.9285714285714302E-2</v>
      </c>
      <c r="AU31" s="79">
        <v>5.3333333333333302E-2</v>
      </c>
      <c r="AV31" s="79">
        <v>4.91803278688525E-2</v>
      </c>
      <c r="AW31" s="79">
        <v>7.7989601386481797E-2</v>
      </c>
      <c r="AX31" s="56"/>
      <c r="AY31" s="54"/>
    </row>
    <row r="32" spans="1:51">
      <c r="A32" s="53"/>
      <c r="B32" s="56"/>
      <c r="C32" s="67" t="s">
        <v>23</v>
      </c>
      <c r="D32" s="229" t="s">
        <v>1757</v>
      </c>
      <c r="E32" s="68" t="s">
        <v>24</v>
      </c>
      <c r="F32" s="80" t="s">
        <v>48</v>
      </c>
      <c r="G32" s="80" t="s">
        <v>48</v>
      </c>
      <c r="H32" s="80" t="s">
        <v>48</v>
      </c>
      <c r="I32" s="80" t="s">
        <v>48</v>
      </c>
      <c r="J32" s="70">
        <v>0.9</v>
      </c>
      <c r="K32" s="71">
        <v>0.96</v>
      </c>
      <c r="L32" s="71">
        <v>0.9375</v>
      </c>
      <c r="M32" s="72">
        <v>0.9375</v>
      </c>
      <c r="N32" s="71">
        <v>0.93725490196078398</v>
      </c>
      <c r="O32" s="73">
        <v>0.9</v>
      </c>
      <c r="P32" s="71">
        <v>0.98358974358974405</v>
      </c>
      <c r="Q32" s="71">
        <v>0.98992443324936996</v>
      </c>
      <c r="R32" s="71">
        <v>0.91696474195196698</v>
      </c>
      <c r="S32" s="71">
        <v>0.94989505044349698</v>
      </c>
      <c r="T32" s="73">
        <v>0.9</v>
      </c>
      <c r="U32" s="71">
        <v>0.84871794871794903</v>
      </c>
      <c r="V32" s="71">
        <v>0.86964735516372804</v>
      </c>
      <c r="W32" s="71">
        <v>0.83903934593766005</v>
      </c>
      <c r="X32" s="71">
        <v>0.87372198523935296</v>
      </c>
      <c r="Y32" s="73">
        <v>0.92</v>
      </c>
      <c r="Z32" s="73">
        <v>0.94338498212157296</v>
      </c>
      <c r="AA32" s="73">
        <v>0.94117647058823495</v>
      </c>
      <c r="AB32" s="73">
        <v>0.93490932642487001</v>
      </c>
      <c r="AC32" s="73">
        <v>0.95292375507955096</v>
      </c>
      <c r="AD32" s="73">
        <v>0.92</v>
      </c>
      <c r="AE32" s="71">
        <v>0.995793668363958</v>
      </c>
      <c r="AF32" s="71">
        <v>0.99749373433583999</v>
      </c>
      <c r="AG32" s="71">
        <v>0.99969164353993201</v>
      </c>
      <c r="AH32" s="71">
        <v>0.99705030427041497</v>
      </c>
      <c r="AI32" s="73">
        <v>0.92</v>
      </c>
      <c r="AJ32" s="71">
        <v>0.95410694597574397</v>
      </c>
      <c r="AK32" s="71">
        <v>0.95688726018538495</v>
      </c>
      <c r="AL32" s="71">
        <v>0.94659431672140504</v>
      </c>
      <c r="AM32" s="71">
        <v>0.96627130197682298</v>
      </c>
      <c r="AN32" s="70">
        <v>0.99</v>
      </c>
      <c r="AO32" s="75">
        <v>1</v>
      </c>
      <c r="AP32" s="75">
        <v>1</v>
      </c>
      <c r="AQ32" s="75">
        <v>1</v>
      </c>
      <c r="AR32" s="75">
        <v>1</v>
      </c>
      <c r="AS32" s="77">
        <v>8.7218210012826203E-2</v>
      </c>
      <c r="AT32" s="79">
        <v>0.114285714285714</v>
      </c>
      <c r="AU32" s="79">
        <v>2.7027027027027001E-2</v>
      </c>
      <c r="AV32" s="79">
        <v>4.4444444444444398E-2</v>
      </c>
      <c r="AW32" s="79">
        <v>5.1094890510948898E-2</v>
      </c>
      <c r="AX32" s="56"/>
      <c r="AY32" s="54"/>
    </row>
    <row r="33" spans="1:51">
      <c r="A33" s="53"/>
      <c r="B33" s="56"/>
      <c r="C33" s="67" t="s">
        <v>23</v>
      </c>
      <c r="D33" s="229" t="s">
        <v>1757</v>
      </c>
      <c r="E33" s="68" t="s">
        <v>24</v>
      </c>
      <c r="F33" s="80" t="s">
        <v>49</v>
      </c>
      <c r="G33" s="80" t="s">
        <v>49</v>
      </c>
      <c r="H33" s="80" t="s">
        <v>49</v>
      </c>
      <c r="I33" s="80" t="s">
        <v>49</v>
      </c>
      <c r="J33" s="70">
        <v>0.9</v>
      </c>
      <c r="K33" s="71">
        <v>0.94520547945205502</v>
      </c>
      <c r="L33" s="71">
        <v>0.91935483870967705</v>
      </c>
      <c r="M33" s="72">
        <v>0.78461538461538505</v>
      </c>
      <c r="N33" s="71">
        <v>0.90405405405405403</v>
      </c>
      <c r="O33" s="73">
        <v>0.9</v>
      </c>
      <c r="P33" s="71">
        <v>0.872986483984447</v>
      </c>
      <c r="Q33" s="71">
        <v>0.76773761713520705</v>
      </c>
      <c r="R33" s="71">
        <v>0.86544461778471105</v>
      </c>
      <c r="S33" s="71">
        <v>0.85679088389282398</v>
      </c>
      <c r="T33" s="73">
        <v>0.9</v>
      </c>
      <c r="U33" s="71">
        <v>0.82151453434549204</v>
      </c>
      <c r="V33" s="71">
        <v>0.77956269522534605</v>
      </c>
      <c r="W33" s="71">
        <v>0.75819032761310501</v>
      </c>
      <c r="X33" s="71">
        <v>0.77656298121342804</v>
      </c>
      <c r="Y33" s="73">
        <v>0.92</v>
      </c>
      <c r="Z33" s="73">
        <v>0.94234154929577496</v>
      </c>
      <c r="AA33" s="73">
        <v>0.95047619047619003</v>
      </c>
      <c r="AB33" s="73">
        <v>0.93907728706624605</v>
      </c>
      <c r="AC33" s="73">
        <v>0.94654937142525297</v>
      </c>
      <c r="AD33" s="73">
        <v>0.92</v>
      </c>
      <c r="AE33" s="71">
        <v>0.99574742961726903</v>
      </c>
      <c r="AF33" s="71">
        <v>0.95471277189068604</v>
      </c>
      <c r="AG33" s="71">
        <v>0.98842661506400697</v>
      </c>
      <c r="AH33" s="71">
        <v>0.96629795108883798</v>
      </c>
      <c r="AI33" s="73">
        <v>0.92</v>
      </c>
      <c r="AJ33" s="71">
        <v>0.95298844801607197</v>
      </c>
      <c r="AK33" s="71">
        <v>0.95460548035655302</v>
      </c>
      <c r="AL33" s="71">
        <v>0.94501898154208697</v>
      </c>
      <c r="AM33" s="71">
        <v>0.95875131613963205</v>
      </c>
      <c r="AN33" s="70">
        <v>0.99</v>
      </c>
      <c r="AO33" s="75">
        <v>1</v>
      </c>
      <c r="AP33" s="75">
        <v>1</v>
      </c>
      <c r="AQ33" s="75">
        <v>1</v>
      </c>
      <c r="AR33" s="75">
        <v>1</v>
      </c>
      <c r="AS33" s="77">
        <v>8.7218210012826203E-2</v>
      </c>
      <c r="AT33" s="79">
        <v>8.8235294117647106E-2</v>
      </c>
      <c r="AU33" s="79">
        <v>0.14285714285714299</v>
      </c>
      <c r="AV33" s="79">
        <v>0.11764705882352899</v>
      </c>
      <c r="AW33" s="79">
        <v>7.0640176600441501E-2</v>
      </c>
      <c r="AX33" s="56"/>
      <c r="AY33" s="54"/>
    </row>
    <row r="34" spans="1:51">
      <c r="A34" s="53"/>
      <c r="B34" s="56"/>
      <c r="C34" s="67" t="s">
        <v>23</v>
      </c>
      <c r="D34" s="229" t="s">
        <v>1757</v>
      </c>
      <c r="E34" s="68" t="s">
        <v>24</v>
      </c>
      <c r="F34" s="80" t="s">
        <v>50</v>
      </c>
      <c r="G34" s="80" t="s">
        <v>50</v>
      </c>
      <c r="H34" s="80" t="s">
        <v>50</v>
      </c>
      <c r="I34" s="80" t="s">
        <v>50</v>
      </c>
      <c r="J34" s="70">
        <v>0.9</v>
      </c>
      <c r="K34" s="71">
        <v>0.98412698412698396</v>
      </c>
      <c r="L34" s="71">
        <v>0.980582524271845</v>
      </c>
      <c r="M34" s="72">
        <v>0.95192307692307698</v>
      </c>
      <c r="N34" s="71">
        <v>0.97581903276130999</v>
      </c>
      <c r="O34" s="73">
        <v>0.9</v>
      </c>
      <c r="P34" s="71">
        <v>0.99258137774413302</v>
      </c>
      <c r="Q34" s="71">
        <v>0.99169723884919903</v>
      </c>
      <c r="R34" s="71">
        <v>0.99109414758269698</v>
      </c>
      <c r="S34" s="71">
        <v>0.99276687067800695</v>
      </c>
      <c r="T34" s="73">
        <v>0.9</v>
      </c>
      <c r="U34" s="71">
        <v>0.87857683573050704</v>
      </c>
      <c r="V34" s="71">
        <v>0.83722726395057001</v>
      </c>
      <c r="W34" s="71">
        <v>0.82145886344359598</v>
      </c>
      <c r="X34" s="71">
        <v>0.86838619081683999</v>
      </c>
      <c r="Y34" s="73">
        <v>0.92</v>
      </c>
      <c r="Z34" s="73">
        <v>0.93427002583979302</v>
      </c>
      <c r="AA34" s="73">
        <v>0.93672966310599803</v>
      </c>
      <c r="AB34" s="73">
        <v>0.90389317284182802</v>
      </c>
      <c r="AC34" s="73">
        <v>0.93335669645464603</v>
      </c>
      <c r="AD34" s="73">
        <v>0.92</v>
      </c>
      <c r="AE34" s="71">
        <v>0.98999444135630899</v>
      </c>
      <c r="AF34" s="71">
        <v>0.960609911054638</v>
      </c>
      <c r="AG34" s="71">
        <v>0.99426111908177905</v>
      </c>
      <c r="AH34" s="71">
        <v>0.98433889602053903</v>
      </c>
      <c r="AI34" s="73">
        <v>0.92</v>
      </c>
      <c r="AJ34" s="71">
        <v>0.94976170013282302</v>
      </c>
      <c r="AK34" s="71">
        <v>0.95954288716668901</v>
      </c>
      <c r="AL34" s="71">
        <v>0.92455418381344301</v>
      </c>
      <c r="AM34" s="71">
        <v>0.95433368806905505</v>
      </c>
      <c r="AN34" s="70">
        <v>0.99</v>
      </c>
      <c r="AO34" s="75">
        <v>1</v>
      </c>
      <c r="AP34" s="75">
        <v>1</v>
      </c>
      <c r="AQ34" s="75">
        <v>1</v>
      </c>
      <c r="AR34" s="75">
        <v>1</v>
      </c>
      <c r="AS34" s="77">
        <v>8.7218210012826203E-2</v>
      </c>
      <c r="AT34" s="79">
        <v>0.13235294117647101</v>
      </c>
      <c r="AU34" s="79">
        <v>7.0422535211267595E-2</v>
      </c>
      <c r="AV34" s="79">
        <v>1.16279069767442E-2</v>
      </c>
      <c r="AW34" s="79">
        <v>4.5871559633027498E-2</v>
      </c>
      <c r="AX34" s="56"/>
      <c r="AY34" s="54"/>
    </row>
    <row r="35" spans="1:51">
      <c r="A35" s="53"/>
      <c r="B35" s="56"/>
      <c r="C35" s="67" t="s">
        <v>23</v>
      </c>
      <c r="D35" s="229" t="s">
        <v>1757</v>
      </c>
      <c r="E35" s="68" t="s">
        <v>24</v>
      </c>
      <c r="F35" s="80" t="s">
        <v>51</v>
      </c>
      <c r="G35" s="80" t="s">
        <v>51</v>
      </c>
      <c r="H35" s="80" t="s">
        <v>51</v>
      </c>
      <c r="I35" s="80" t="s">
        <v>51</v>
      </c>
      <c r="J35" s="70">
        <v>0.9</v>
      </c>
      <c r="K35" s="71">
        <v>0.93617021276595702</v>
      </c>
      <c r="L35" s="71">
        <v>0.87654320987654299</v>
      </c>
      <c r="M35" s="72">
        <v>0.90109890109890101</v>
      </c>
      <c r="N35" s="71">
        <v>0.88247213779128697</v>
      </c>
      <c r="O35" s="73">
        <v>0.9</v>
      </c>
      <c r="P35" s="71">
        <v>0.98006083136194699</v>
      </c>
      <c r="Q35" s="71">
        <v>0.89619087484303095</v>
      </c>
      <c r="R35" s="71">
        <v>0.90540791674410004</v>
      </c>
      <c r="S35" s="71">
        <v>0.943034305041069</v>
      </c>
      <c r="T35" s="73">
        <v>0.9</v>
      </c>
      <c r="U35" s="71">
        <v>0.83186887461980397</v>
      </c>
      <c r="V35" s="71">
        <v>0.80724152365006296</v>
      </c>
      <c r="W35" s="71">
        <v>0.81100167255156996</v>
      </c>
      <c r="X35" s="71">
        <v>0.80180383314543402</v>
      </c>
      <c r="Y35" s="73">
        <v>0.92</v>
      </c>
      <c r="Z35" s="73">
        <v>0.92001657687525895</v>
      </c>
      <c r="AA35" s="73">
        <v>0.91834980661796295</v>
      </c>
      <c r="AB35" s="73">
        <v>0.925272067714631</v>
      </c>
      <c r="AC35" s="73">
        <v>0.93684902416826799</v>
      </c>
      <c r="AD35" s="73">
        <v>0.92</v>
      </c>
      <c r="AE35" s="71">
        <v>0.99368761801996197</v>
      </c>
      <c r="AF35" s="71">
        <v>0.925486250838364</v>
      </c>
      <c r="AG35" s="71">
        <v>0.99671466234029604</v>
      </c>
      <c r="AH35" s="71">
        <v>0.94137691459771</v>
      </c>
      <c r="AI35" s="73">
        <v>0.92</v>
      </c>
      <c r="AJ35" s="71">
        <v>0.94610945644080402</v>
      </c>
      <c r="AK35" s="71">
        <v>0.95200562983814196</v>
      </c>
      <c r="AL35" s="71">
        <v>0.94252994326539197</v>
      </c>
      <c r="AM35" s="71">
        <v>0.95792269105930905</v>
      </c>
      <c r="AN35" s="70">
        <v>0.99</v>
      </c>
      <c r="AO35" s="75">
        <v>1</v>
      </c>
      <c r="AP35" s="75">
        <v>1</v>
      </c>
      <c r="AQ35" s="75">
        <v>1</v>
      </c>
      <c r="AR35" s="75">
        <v>0.99910313901345305</v>
      </c>
      <c r="AS35" s="77">
        <v>8.7218210012826203E-2</v>
      </c>
      <c r="AT35" s="79">
        <v>6.1224489795918401E-2</v>
      </c>
      <c r="AU35" s="79">
        <v>0.12765957446808501</v>
      </c>
      <c r="AV35" s="79">
        <v>0.191176470588235</v>
      </c>
      <c r="AW35" s="79">
        <v>8.46286701208981E-2</v>
      </c>
      <c r="AX35" s="56"/>
      <c r="AY35" s="54"/>
    </row>
    <row r="36" spans="1:51">
      <c r="A36" s="53"/>
      <c r="B36" s="56"/>
      <c r="C36" s="67" t="s">
        <v>23</v>
      </c>
      <c r="D36" s="229" t="s">
        <v>1757</v>
      </c>
      <c r="E36" s="68" t="s">
        <v>24</v>
      </c>
      <c r="F36" s="80" t="s">
        <v>52</v>
      </c>
      <c r="G36" s="80" t="s">
        <v>52</v>
      </c>
      <c r="H36" s="80" t="s">
        <v>52</v>
      </c>
      <c r="I36" s="80" t="s">
        <v>52</v>
      </c>
      <c r="J36" s="70">
        <v>0.9</v>
      </c>
      <c r="K36" s="71">
        <v>0.88749999999999996</v>
      </c>
      <c r="L36" s="71">
        <v>0.917241379310345</v>
      </c>
      <c r="M36" s="72">
        <v>0.875</v>
      </c>
      <c r="N36" s="71">
        <v>0.89856801909307904</v>
      </c>
      <c r="O36" s="73">
        <v>0.9</v>
      </c>
      <c r="P36" s="71">
        <v>0.94442122858336797</v>
      </c>
      <c r="Q36" s="71">
        <v>0.93176404651814504</v>
      </c>
      <c r="R36" s="71">
        <v>0.90526745610453196</v>
      </c>
      <c r="S36" s="71">
        <v>0.930947783025181</v>
      </c>
      <c r="T36" s="73">
        <v>0.9</v>
      </c>
      <c r="U36" s="71">
        <v>0.76096949435854599</v>
      </c>
      <c r="V36" s="71">
        <v>0.71948998178506396</v>
      </c>
      <c r="W36" s="71">
        <v>0.66853817884850997</v>
      </c>
      <c r="X36" s="71">
        <v>0.74136249784899</v>
      </c>
      <c r="Y36" s="73">
        <v>0.92</v>
      </c>
      <c r="Z36" s="73">
        <v>0.90335280670561302</v>
      </c>
      <c r="AA36" s="73">
        <v>0.87067395264116598</v>
      </c>
      <c r="AB36" s="73">
        <v>0.85783701235596299</v>
      </c>
      <c r="AC36" s="73">
        <v>0.907603690004532</v>
      </c>
      <c r="AD36" s="73">
        <v>0.92</v>
      </c>
      <c r="AE36" s="71">
        <v>0.99562043795620403</v>
      </c>
      <c r="AF36" s="71">
        <v>0.96273291925465798</v>
      </c>
      <c r="AG36" s="71">
        <v>0.96422764227642299</v>
      </c>
      <c r="AH36" s="71">
        <v>0.96816037735849103</v>
      </c>
      <c r="AI36" s="73">
        <v>0.92</v>
      </c>
      <c r="AJ36" s="71">
        <v>0.92680690089986795</v>
      </c>
      <c r="AK36" s="71">
        <v>0.91899923312883403</v>
      </c>
      <c r="AL36" s="71">
        <v>0.89311135949173504</v>
      </c>
      <c r="AM36" s="71">
        <v>0.93343313257886595</v>
      </c>
      <c r="AN36" s="70">
        <v>0.99</v>
      </c>
      <c r="AO36" s="75">
        <v>1</v>
      </c>
      <c r="AP36" s="75">
        <v>1</v>
      </c>
      <c r="AQ36" s="75">
        <v>1</v>
      </c>
      <c r="AR36" s="75">
        <v>1</v>
      </c>
      <c r="AS36" s="77">
        <v>8.7218210012826203E-2</v>
      </c>
      <c r="AT36" s="79">
        <v>0.126582278481013</v>
      </c>
      <c r="AU36" s="79">
        <v>0.1</v>
      </c>
      <c r="AV36" s="79">
        <v>4.6875E-2</v>
      </c>
      <c r="AW36" s="79">
        <v>6.3305978898007001E-2</v>
      </c>
      <c r="AX36" s="56"/>
      <c r="AY36" s="54"/>
    </row>
    <row r="37" spans="1:51">
      <c r="A37" s="53"/>
      <c r="B37" s="56"/>
      <c r="C37" s="67" t="s">
        <v>23</v>
      </c>
      <c r="D37" s="229" t="s">
        <v>1757</v>
      </c>
      <c r="E37" s="68" t="s">
        <v>24</v>
      </c>
      <c r="F37" s="80" t="s">
        <v>53</v>
      </c>
      <c r="G37" s="80" t="s">
        <v>53</v>
      </c>
      <c r="H37" s="80" t="s">
        <v>53</v>
      </c>
      <c r="I37" s="80" t="s">
        <v>53</v>
      </c>
      <c r="J37" s="70">
        <v>0.9</v>
      </c>
      <c r="K37" s="71" t="s">
        <v>1710</v>
      </c>
      <c r="L37" s="71" t="s">
        <v>1710</v>
      </c>
      <c r="M37" s="72" t="s">
        <v>1710</v>
      </c>
      <c r="N37" s="71" t="s">
        <v>1710</v>
      </c>
      <c r="O37" s="73">
        <v>0.9</v>
      </c>
      <c r="P37" s="71" t="s">
        <v>1710</v>
      </c>
      <c r="Q37" s="71">
        <v>0</v>
      </c>
      <c r="R37" s="71">
        <v>1</v>
      </c>
      <c r="S37" s="71">
        <v>0.99237243556023103</v>
      </c>
      <c r="T37" s="73">
        <v>0.9</v>
      </c>
      <c r="U37" s="71" t="s">
        <v>1710</v>
      </c>
      <c r="V37" s="71">
        <v>0</v>
      </c>
      <c r="W37" s="71">
        <v>0.5</v>
      </c>
      <c r="X37" s="71">
        <v>0.99579168858495504</v>
      </c>
      <c r="Y37" s="73">
        <v>0.92</v>
      </c>
      <c r="Z37" s="73" t="s">
        <v>1710</v>
      </c>
      <c r="AA37" s="73" t="s">
        <v>1710</v>
      </c>
      <c r="AB37" s="73">
        <v>1</v>
      </c>
      <c r="AC37" s="73">
        <v>0.99783197831978299</v>
      </c>
      <c r="AD37" s="73">
        <v>0.92</v>
      </c>
      <c r="AE37" s="71" t="s">
        <v>1710</v>
      </c>
      <c r="AF37" s="71" t="s">
        <v>1710</v>
      </c>
      <c r="AG37" s="71" t="s">
        <v>1710</v>
      </c>
      <c r="AH37" s="71">
        <v>0.99939772990502695</v>
      </c>
      <c r="AI37" s="73">
        <v>0.92</v>
      </c>
      <c r="AJ37" s="71" t="s">
        <v>1710</v>
      </c>
      <c r="AK37" s="71">
        <v>0.5</v>
      </c>
      <c r="AL37" s="71">
        <v>0.66666666666666696</v>
      </c>
      <c r="AM37" s="71">
        <v>0.99752300070771405</v>
      </c>
      <c r="AN37" s="70">
        <v>0.99</v>
      </c>
      <c r="AO37" s="75" t="s">
        <v>1710</v>
      </c>
      <c r="AP37" s="75" t="s">
        <v>1710</v>
      </c>
      <c r="AQ37" s="75" t="s">
        <v>1710</v>
      </c>
      <c r="AR37" s="75">
        <v>1</v>
      </c>
      <c r="AS37" s="77">
        <v>8.7218210012826203E-2</v>
      </c>
      <c r="AT37" s="79" t="s">
        <v>1710</v>
      </c>
      <c r="AU37" s="79" t="s">
        <v>1710</v>
      </c>
      <c r="AV37" s="79" t="s">
        <v>1710</v>
      </c>
      <c r="AW37" s="79" t="s">
        <v>1710</v>
      </c>
      <c r="AX37" s="56"/>
      <c r="AY37" s="54"/>
    </row>
    <row r="38" spans="1:51">
      <c r="A38" s="53"/>
      <c r="B38" s="56"/>
      <c r="C38" s="67" t="s">
        <v>23</v>
      </c>
      <c r="D38" s="229" t="s">
        <v>1757</v>
      </c>
      <c r="E38" s="68" t="s">
        <v>24</v>
      </c>
      <c r="F38" s="80" t="s">
        <v>54</v>
      </c>
      <c r="G38" s="80" t="s">
        <v>54</v>
      </c>
      <c r="H38" s="80" t="s">
        <v>54</v>
      </c>
      <c r="I38" s="80" t="s">
        <v>54</v>
      </c>
      <c r="J38" s="70">
        <v>0.9</v>
      </c>
      <c r="K38" s="71">
        <v>0.96969696969696995</v>
      </c>
      <c r="L38" s="71">
        <v>0.98214285714285698</v>
      </c>
      <c r="M38" s="72">
        <v>1</v>
      </c>
      <c r="N38" s="71">
        <v>0.98353909465020595</v>
      </c>
      <c r="O38" s="73">
        <v>0.9</v>
      </c>
      <c r="P38" s="71">
        <v>0.980987055016181</v>
      </c>
      <c r="Q38" s="71">
        <v>0.97342281879194603</v>
      </c>
      <c r="R38" s="71">
        <v>0.98159741984443205</v>
      </c>
      <c r="S38" s="71">
        <v>0.97740689860023</v>
      </c>
      <c r="T38" s="73">
        <v>0.9</v>
      </c>
      <c r="U38" s="71">
        <v>0.81330906148867299</v>
      </c>
      <c r="V38" s="71">
        <v>0.74604026845637605</v>
      </c>
      <c r="W38" s="71">
        <v>0.78486055776892405</v>
      </c>
      <c r="X38" s="71">
        <v>0.82577135855641803</v>
      </c>
      <c r="Y38" s="73">
        <v>0.92</v>
      </c>
      <c r="Z38" s="73">
        <v>0.92159591742055202</v>
      </c>
      <c r="AA38" s="73">
        <v>0.91397849462365599</v>
      </c>
      <c r="AB38" s="73">
        <v>0.89036885245901598</v>
      </c>
      <c r="AC38" s="73">
        <v>0.93266913934537199</v>
      </c>
      <c r="AD38" s="73">
        <v>0.92</v>
      </c>
      <c r="AE38" s="71">
        <v>0.93715352745521396</v>
      </c>
      <c r="AF38" s="71">
        <v>0.99607371794871802</v>
      </c>
      <c r="AG38" s="71">
        <v>0.98982075680460302</v>
      </c>
      <c r="AH38" s="71">
        <v>0.95230053642175105</v>
      </c>
      <c r="AI38" s="73">
        <v>0.92</v>
      </c>
      <c r="AJ38" s="71">
        <v>0.93939721291995204</v>
      </c>
      <c r="AK38" s="71">
        <v>0.93630809109424196</v>
      </c>
      <c r="AL38" s="71">
        <v>0.91914569031273796</v>
      </c>
      <c r="AM38" s="71">
        <v>0.95296293849507796</v>
      </c>
      <c r="AN38" s="70">
        <v>0.99</v>
      </c>
      <c r="AO38" s="75">
        <v>1</v>
      </c>
      <c r="AP38" s="75">
        <v>1</v>
      </c>
      <c r="AQ38" s="75">
        <v>1</v>
      </c>
      <c r="AR38" s="75">
        <v>1</v>
      </c>
      <c r="AS38" s="77">
        <v>8.7218210012826203E-2</v>
      </c>
      <c r="AT38" s="79">
        <v>0.05</v>
      </c>
      <c r="AU38" s="79">
        <v>0.35</v>
      </c>
      <c r="AV38" s="79">
        <v>0.18518518518518501</v>
      </c>
      <c r="AW38" s="79">
        <v>5.6856187290969903E-2</v>
      </c>
      <c r="AX38" s="56"/>
      <c r="AY38" s="54"/>
    </row>
    <row r="39" spans="1:51">
      <c r="A39" s="53"/>
      <c r="B39" s="56"/>
      <c r="C39" s="67" t="s">
        <v>23</v>
      </c>
      <c r="D39" s="229" t="s">
        <v>1757</v>
      </c>
      <c r="E39" s="68" t="s">
        <v>24</v>
      </c>
      <c r="F39" s="80" t="s">
        <v>55</v>
      </c>
      <c r="G39" s="80" t="s">
        <v>55</v>
      </c>
      <c r="H39" s="80" t="s">
        <v>55</v>
      </c>
      <c r="I39" s="80" t="s">
        <v>55</v>
      </c>
      <c r="J39" s="70">
        <v>0.9</v>
      </c>
      <c r="K39" s="71">
        <v>0.95833333333333304</v>
      </c>
      <c r="L39" s="71">
        <v>0.939393939393939</v>
      </c>
      <c r="M39" s="72">
        <v>0.94117647058823495</v>
      </c>
      <c r="N39" s="71">
        <v>0.95105820105820105</v>
      </c>
      <c r="O39" s="73">
        <v>0.9</v>
      </c>
      <c r="P39" s="71">
        <v>0.98429179978700698</v>
      </c>
      <c r="Q39" s="71">
        <v>0.99554234769687999</v>
      </c>
      <c r="R39" s="71">
        <v>0.99782135076252698</v>
      </c>
      <c r="S39" s="71">
        <v>0.99557320651624004</v>
      </c>
      <c r="T39" s="73">
        <v>0.9</v>
      </c>
      <c r="U39" s="71">
        <v>0.87087326943556997</v>
      </c>
      <c r="V39" s="71">
        <v>0.85846953937592896</v>
      </c>
      <c r="W39" s="71">
        <v>0.79030501089324601</v>
      </c>
      <c r="X39" s="71">
        <v>0.83759991905291897</v>
      </c>
      <c r="Y39" s="73">
        <v>0.92</v>
      </c>
      <c r="Z39" s="73">
        <v>0.93682839465972001</v>
      </c>
      <c r="AA39" s="73">
        <v>0.93306772908366498</v>
      </c>
      <c r="AB39" s="73">
        <v>0.90010818608005805</v>
      </c>
      <c r="AC39" s="73">
        <v>0.93828509011469097</v>
      </c>
      <c r="AD39" s="73">
        <v>0.92</v>
      </c>
      <c r="AE39" s="71">
        <v>0.99659090909090897</v>
      </c>
      <c r="AF39" s="71">
        <v>0.94244604316546798</v>
      </c>
      <c r="AG39" s="71">
        <v>0.99781659388646304</v>
      </c>
      <c r="AH39" s="71">
        <v>0.96866944279198897</v>
      </c>
      <c r="AI39" s="73">
        <v>0.92</v>
      </c>
      <c r="AJ39" s="71">
        <v>0.94613583138173296</v>
      </c>
      <c r="AK39" s="71">
        <v>0.95643363728470099</v>
      </c>
      <c r="AL39" s="71">
        <v>0.92023587833643705</v>
      </c>
      <c r="AM39" s="71">
        <v>0.95590401374739198</v>
      </c>
      <c r="AN39" s="70">
        <v>0.99</v>
      </c>
      <c r="AO39" s="75">
        <v>1</v>
      </c>
      <c r="AP39" s="75">
        <v>1</v>
      </c>
      <c r="AQ39" s="75">
        <v>1</v>
      </c>
      <c r="AR39" s="75">
        <v>1</v>
      </c>
      <c r="AS39" s="77">
        <v>8.7218210012826203E-2</v>
      </c>
      <c r="AT39" s="79">
        <v>8.6956521739130405E-2</v>
      </c>
      <c r="AU39" s="79">
        <v>8.3333333333333301E-2</v>
      </c>
      <c r="AV39" s="79">
        <v>0</v>
      </c>
      <c r="AW39" s="79">
        <v>5.6250000000000001E-2</v>
      </c>
      <c r="AX39" s="56"/>
      <c r="AY39" s="54"/>
    </row>
    <row r="40" spans="1:51">
      <c r="A40" s="53"/>
      <c r="B40" s="56"/>
      <c r="C40" s="67" t="s">
        <v>23</v>
      </c>
      <c r="D40" s="229" t="s">
        <v>1757</v>
      </c>
      <c r="E40" s="68" t="s">
        <v>24</v>
      </c>
      <c r="F40" s="80" t="s">
        <v>56</v>
      </c>
      <c r="G40" s="80" t="s">
        <v>56</v>
      </c>
      <c r="H40" s="80" t="s">
        <v>56</v>
      </c>
      <c r="I40" s="80" t="s">
        <v>56</v>
      </c>
      <c r="J40" s="70">
        <v>0.9</v>
      </c>
      <c r="K40" s="71">
        <v>0.98863636363636398</v>
      </c>
      <c r="L40" s="71">
        <v>0.91249999999999998</v>
      </c>
      <c r="M40" s="72">
        <v>0.93243243243243201</v>
      </c>
      <c r="N40" s="71">
        <v>0.94624860022396395</v>
      </c>
      <c r="O40" s="73">
        <v>0.9</v>
      </c>
      <c r="P40" s="71">
        <v>0.95242184816214404</v>
      </c>
      <c r="Q40" s="71">
        <v>0.98615018394286902</v>
      </c>
      <c r="R40" s="71">
        <v>0.95174308775545202</v>
      </c>
      <c r="S40" s="71">
        <v>0.96828801100178497</v>
      </c>
      <c r="T40" s="73">
        <v>0.9</v>
      </c>
      <c r="U40" s="71">
        <v>0.80900034352456196</v>
      </c>
      <c r="V40" s="71">
        <v>0.85024886388227705</v>
      </c>
      <c r="W40" s="71">
        <v>0.75081573072299501</v>
      </c>
      <c r="X40" s="71">
        <v>0.81306789345295605</v>
      </c>
      <c r="Y40" s="73">
        <v>0.92</v>
      </c>
      <c r="Z40" s="73">
        <v>0.93987532676452801</v>
      </c>
      <c r="AA40" s="73">
        <v>0.94520547945205502</v>
      </c>
      <c r="AB40" s="73">
        <v>0.89430534012851803</v>
      </c>
      <c r="AC40" s="73">
        <v>0.93565786938932805</v>
      </c>
      <c r="AD40" s="73">
        <v>0.92</v>
      </c>
      <c r="AE40" s="71">
        <v>0.99138618599457695</v>
      </c>
      <c r="AF40" s="71">
        <v>0.97026415094339602</v>
      </c>
      <c r="AG40" s="71">
        <v>0.99267092451052197</v>
      </c>
      <c r="AH40" s="71">
        <v>0.94526100376496702</v>
      </c>
      <c r="AI40" s="73">
        <v>0.92</v>
      </c>
      <c r="AJ40" s="71">
        <v>0.93987957387679499</v>
      </c>
      <c r="AK40" s="71">
        <v>0.95903221018257401</v>
      </c>
      <c r="AL40" s="71">
        <v>0.91643292388045305</v>
      </c>
      <c r="AM40" s="71">
        <v>0.94959514367284104</v>
      </c>
      <c r="AN40" s="70">
        <v>0.99</v>
      </c>
      <c r="AO40" s="75">
        <v>1</v>
      </c>
      <c r="AP40" s="75">
        <v>1</v>
      </c>
      <c r="AQ40" s="75">
        <v>1</v>
      </c>
      <c r="AR40" s="75">
        <v>1</v>
      </c>
      <c r="AS40" s="77">
        <v>8.7218210012826203E-2</v>
      </c>
      <c r="AT40" s="79">
        <v>0.28571428571428598</v>
      </c>
      <c r="AU40" s="79">
        <v>0.115384615384615</v>
      </c>
      <c r="AV40" s="79">
        <v>4.4444444444444398E-2</v>
      </c>
      <c r="AW40" s="79">
        <v>6.26506024096386E-2</v>
      </c>
      <c r="AX40" s="56"/>
      <c r="AY40" s="54"/>
    </row>
    <row r="41" spans="1:51">
      <c r="A41" s="53"/>
      <c r="B41" s="56"/>
      <c r="C41" s="67" t="s">
        <v>23</v>
      </c>
      <c r="D41" s="229" t="s">
        <v>1757</v>
      </c>
      <c r="E41" s="68" t="s">
        <v>24</v>
      </c>
      <c r="F41" s="80" t="s">
        <v>57</v>
      </c>
      <c r="G41" s="80" t="s">
        <v>57</v>
      </c>
      <c r="H41" s="80" t="s">
        <v>57</v>
      </c>
      <c r="I41" s="80" t="s">
        <v>57</v>
      </c>
      <c r="J41" s="70">
        <v>0.9</v>
      </c>
      <c r="K41" s="71">
        <v>0.95833333333333304</v>
      </c>
      <c r="L41" s="71">
        <v>0.93</v>
      </c>
      <c r="M41" s="72">
        <v>0.891891891891892</v>
      </c>
      <c r="N41" s="71">
        <v>0.96229379418696004</v>
      </c>
      <c r="O41" s="73">
        <v>0.9</v>
      </c>
      <c r="P41" s="71">
        <v>0.988470961233607</v>
      </c>
      <c r="Q41" s="71">
        <v>0.99351268841824103</v>
      </c>
      <c r="R41" s="71">
        <v>0.99333912539820401</v>
      </c>
      <c r="S41" s="71">
        <v>0.99041635460874899</v>
      </c>
      <c r="T41" s="73">
        <v>0.9</v>
      </c>
      <c r="U41" s="71">
        <v>0.89133880962674705</v>
      </c>
      <c r="V41" s="71">
        <v>0.88742606372829602</v>
      </c>
      <c r="W41" s="71">
        <v>0.88560671879525099</v>
      </c>
      <c r="X41" s="71">
        <v>0.89279076863332496</v>
      </c>
      <c r="Y41" s="73">
        <v>0.92</v>
      </c>
      <c r="Z41" s="73">
        <v>0.943668601914326</v>
      </c>
      <c r="AA41" s="73">
        <v>0.938060309698452</v>
      </c>
      <c r="AB41" s="73">
        <v>0.95578812473301999</v>
      </c>
      <c r="AC41" s="73">
        <v>0.95614913158772796</v>
      </c>
      <c r="AD41" s="73">
        <v>0.92</v>
      </c>
      <c r="AE41" s="71">
        <v>0.99755766621438302</v>
      </c>
      <c r="AF41" s="71">
        <v>0.99440950384346605</v>
      </c>
      <c r="AG41" s="71">
        <v>0.98199233716475098</v>
      </c>
      <c r="AH41" s="71">
        <v>0.98152665184016097</v>
      </c>
      <c r="AI41" s="73">
        <v>0.92</v>
      </c>
      <c r="AJ41" s="71">
        <v>0.95861188312176104</v>
      </c>
      <c r="AK41" s="71">
        <v>0.95971410006497704</v>
      </c>
      <c r="AL41" s="71">
        <v>0.96137941796052095</v>
      </c>
      <c r="AM41" s="71">
        <v>0.96995831202442395</v>
      </c>
      <c r="AN41" s="70">
        <v>0.99</v>
      </c>
      <c r="AO41" s="75">
        <v>1</v>
      </c>
      <c r="AP41" s="75">
        <v>1</v>
      </c>
      <c r="AQ41" s="75">
        <v>1</v>
      </c>
      <c r="AR41" s="75">
        <v>1</v>
      </c>
      <c r="AS41" s="77">
        <v>8.7218210012826203E-2</v>
      </c>
      <c r="AT41" s="79">
        <v>0.1</v>
      </c>
      <c r="AU41" s="79">
        <v>7.3170731707317097E-2</v>
      </c>
      <c r="AV41" s="79">
        <v>7.4999999999999997E-2</v>
      </c>
      <c r="AW41" s="79">
        <v>5.6603773584905703E-2</v>
      </c>
      <c r="AX41" s="56"/>
      <c r="AY41" s="54"/>
    </row>
    <row r="42" spans="1:51">
      <c r="A42" s="53"/>
      <c r="B42" s="56"/>
      <c r="C42" s="67" t="s">
        <v>23</v>
      </c>
      <c r="D42" s="229" t="s">
        <v>1757</v>
      </c>
      <c r="E42" s="68" t="s">
        <v>24</v>
      </c>
      <c r="F42" s="80" t="s">
        <v>58</v>
      </c>
      <c r="G42" s="80" t="s">
        <v>58</v>
      </c>
      <c r="H42" s="80" t="s">
        <v>58</v>
      </c>
      <c r="I42" s="80" t="s">
        <v>58</v>
      </c>
      <c r="J42" s="70">
        <v>0.9</v>
      </c>
      <c r="K42" s="71">
        <v>0.98601398601398604</v>
      </c>
      <c r="L42" s="71">
        <v>0.99206349206349198</v>
      </c>
      <c r="M42" s="72">
        <v>0.98507462686567204</v>
      </c>
      <c r="N42" s="71">
        <v>0.97269624573378799</v>
      </c>
      <c r="O42" s="73">
        <v>0.9</v>
      </c>
      <c r="P42" s="71">
        <v>0.99542392271513902</v>
      </c>
      <c r="Q42" s="71">
        <v>0.99554489376285105</v>
      </c>
      <c r="R42" s="71">
        <v>0.99458222971346</v>
      </c>
      <c r="S42" s="71">
        <v>0.99754506558181899</v>
      </c>
      <c r="T42" s="73">
        <v>0.9</v>
      </c>
      <c r="U42" s="71">
        <v>0.915978136519639</v>
      </c>
      <c r="V42" s="71">
        <v>0.89564770390678505</v>
      </c>
      <c r="W42" s="71">
        <v>0.90115579099446197</v>
      </c>
      <c r="X42" s="71">
        <v>0.89574711837459997</v>
      </c>
      <c r="Y42" s="73">
        <v>0.92</v>
      </c>
      <c r="Z42" s="73">
        <v>0.93659687407844305</v>
      </c>
      <c r="AA42" s="73">
        <v>0.94770773638968497</v>
      </c>
      <c r="AB42" s="73">
        <v>0.926741130091984</v>
      </c>
      <c r="AC42" s="73">
        <v>0.94853658536585395</v>
      </c>
      <c r="AD42" s="73">
        <v>0.92</v>
      </c>
      <c r="AE42" s="71">
        <v>0.99854552506545102</v>
      </c>
      <c r="AF42" s="71">
        <v>0.99364675984752204</v>
      </c>
      <c r="AG42" s="71">
        <v>0.99558255107675298</v>
      </c>
      <c r="AH42" s="71">
        <v>0.97236846593816495</v>
      </c>
      <c r="AI42" s="73">
        <v>0.92</v>
      </c>
      <c r="AJ42" s="71">
        <v>0.95100313907465495</v>
      </c>
      <c r="AK42" s="71">
        <v>0.96280417149478603</v>
      </c>
      <c r="AL42" s="71">
        <v>0.94776326757432605</v>
      </c>
      <c r="AM42" s="71">
        <v>0.96536648152552595</v>
      </c>
      <c r="AN42" s="70">
        <v>0.99</v>
      </c>
      <c r="AO42" s="75">
        <v>1</v>
      </c>
      <c r="AP42" s="75">
        <v>1</v>
      </c>
      <c r="AQ42" s="75">
        <v>1</v>
      </c>
      <c r="AR42" s="75">
        <v>1</v>
      </c>
      <c r="AS42" s="77">
        <v>8.7218210012826203E-2</v>
      </c>
      <c r="AT42" s="79">
        <v>5.4545454545454501E-2</v>
      </c>
      <c r="AU42" s="79">
        <v>0.125</v>
      </c>
      <c r="AV42" s="79">
        <v>3.4482758620689703E-2</v>
      </c>
      <c r="AW42" s="79">
        <v>4.7987616099071199E-2</v>
      </c>
      <c r="AX42" s="56"/>
      <c r="AY42" s="54"/>
    </row>
    <row r="43" spans="1:51">
      <c r="A43" s="53"/>
      <c r="B43" s="56"/>
      <c r="C43" s="67" t="s">
        <v>23</v>
      </c>
      <c r="D43" s="229" t="s">
        <v>1757</v>
      </c>
      <c r="E43" s="68" t="s">
        <v>24</v>
      </c>
      <c r="F43" s="80" t="s">
        <v>59</v>
      </c>
      <c r="G43" s="80" t="s">
        <v>59</v>
      </c>
      <c r="H43" s="80" t="s">
        <v>59</v>
      </c>
      <c r="I43" s="80" t="s">
        <v>59</v>
      </c>
      <c r="J43" s="70">
        <v>0.9</v>
      </c>
      <c r="K43" s="71" t="s">
        <v>1710</v>
      </c>
      <c r="L43" s="71" t="s">
        <v>1710</v>
      </c>
      <c r="M43" s="72" t="s">
        <v>1710</v>
      </c>
      <c r="N43" s="71" t="s">
        <v>1710</v>
      </c>
      <c r="O43" s="73">
        <v>0.9</v>
      </c>
      <c r="P43" s="71" t="s">
        <v>1710</v>
      </c>
      <c r="Q43" s="71" t="s">
        <v>1710</v>
      </c>
      <c r="R43" s="71" t="s">
        <v>1710</v>
      </c>
      <c r="S43" s="71">
        <v>0.625</v>
      </c>
      <c r="T43" s="73">
        <v>0.9</v>
      </c>
      <c r="U43" s="71" t="s">
        <v>1710</v>
      </c>
      <c r="V43" s="71" t="s">
        <v>1710</v>
      </c>
      <c r="W43" s="71" t="s">
        <v>1710</v>
      </c>
      <c r="X43" s="71">
        <v>0.875</v>
      </c>
      <c r="Y43" s="73">
        <v>0.92</v>
      </c>
      <c r="Z43" s="73" t="s">
        <v>1710</v>
      </c>
      <c r="AA43" s="73" t="s">
        <v>1710</v>
      </c>
      <c r="AB43" s="73" t="s">
        <v>1710</v>
      </c>
      <c r="AC43" s="73">
        <v>1</v>
      </c>
      <c r="AD43" s="73">
        <v>0.92</v>
      </c>
      <c r="AE43" s="71" t="s">
        <v>1710</v>
      </c>
      <c r="AF43" s="71" t="s">
        <v>1710</v>
      </c>
      <c r="AG43" s="71" t="s">
        <v>1710</v>
      </c>
      <c r="AH43" s="71">
        <v>0.94736842105263197</v>
      </c>
      <c r="AI43" s="73">
        <v>0.92</v>
      </c>
      <c r="AJ43" s="71" t="s">
        <v>1710</v>
      </c>
      <c r="AK43" s="71" t="s">
        <v>1710</v>
      </c>
      <c r="AL43" s="71" t="s">
        <v>1710</v>
      </c>
      <c r="AM43" s="71">
        <v>0.85714285714285698</v>
      </c>
      <c r="AN43" s="70">
        <v>0.99</v>
      </c>
      <c r="AO43" s="75" t="s">
        <v>1710</v>
      </c>
      <c r="AP43" s="75" t="s">
        <v>1710</v>
      </c>
      <c r="AQ43" s="75" t="s">
        <v>1710</v>
      </c>
      <c r="AR43" s="75">
        <v>1</v>
      </c>
      <c r="AS43" s="77">
        <v>8.7218210012826203E-2</v>
      </c>
      <c r="AT43" s="79" t="s">
        <v>1710</v>
      </c>
      <c r="AU43" s="79" t="s">
        <v>1710</v>
      </c>
      <c r="AV43" s="79" t="s">
        <v>1710</v>
      </c>
      <c r="AW43" s="79" t="s">
        <v>1710</v>
      </c>
      <c r="AX43" s="56"/>
      <c r="AY43" s="54"/>
    </row>
    <row r="44" spans="1:51">
      <c r="A44" s="53"/>
      <c r="B44" s="56"/>
      <c r="C44" s="67" t="s">
        <v>23</v>
      </c>
      <c r="D44" s="229" t="s">
        <v>1757</v>
      </c>
      <c r="E44" s="68" t="s">
        <v>24</v>
      </c>
      <c r="F44" s="80" t="s">
        <v>60</v>
      </c>
      <c r="G44" s="80" t="s">
        <v>60</v>
      </c>
      <c r="H44" s="80" t="s">
        <v>60</v>
      </c>
      <c r="I44" s="80" t="s">
        <v>60</v>
      </c>
      <c r="J44" s="70">
        <v>0.9</v>
      </c>
      <c r="K44" s="71">
        <v>0.87692307692307703</v>
      </c>
      <c r="L44" s="71">
        <v>0.85294117647058798</v>
      </c>
      <c r="M44" s="72">
        <v>0.75</v>
      </c>
      <c r="N44" s="71">
        <v>0.817091454272864</v>
      </c>
      <c r="O44" s="73">
        <v>0.9</v>
      </c>
      <c r="P44" s="71">
        <v>0.89835283918508901</v>
      </c>
      <c r="Q44" s="71">
        <v>0.96299074768692206</v>
      </c>
      <c r="R44" s="71">
        <v>0.98764568764568805</v>
      </c>
      <c r="S44" s="71">
        <v>0.94757576339911997</v>
      </c>
      <c r="T44" s="73">
        <v>0.9</v>
      </c>
      <c r="U44" s="71">
        <v>0.64044213263979199</v>
      </c>
      <c r="V44" s="71">
        <v>0.50412603150787705</v>
      </c>
      <c r="W44" s="71">
        <v>0.387412587412587</v>
      </c>
      <c r="X44" s="71">
        <v>0.52485731306570305</v>
      </c>
      <c r="Y44" s="73">
        <v>0.92</v>
      </c>
      <c r="Z44" s="73">
        <v>0.88513302034428798</v>
      </c>
      <c r="AA44" s="73">
        <v>0.93286713286713296</v>
      </c>
      <c r="AB44" s="73">
        <v>0.66605166051660503</v>
      </c>
      <c r="AC44" s="73">
        <v>0.85437514107290602</v>
      </c>
      <c r="AD44" s="73">
        <v>0.92</v>
      </c>
      <c r="AE44" s="71">
        <v>0.85</v>
      </c>
      <c r="AF44" s="71">
        <v>0</v>
      </c>
      <c r="AG44" s="71">
        <v>0.28571428571428598</v>
      </c>
      <c r="AH44" s="71">
        <v>0.57894736842105299</v>
      </c>
      <c r="AI44" s="73">
        <v>0.92</v>
      </c>
      <c r="AJ44" s="71">
        <v>0.90779869381482903</v>
      </c>
      <c r="AK44" s="71">
        <v>0.91103333947319998</v>
      </c>
      <c r="AL44" s="71">
        <v>0.71485714285714297</v>
      </c>
      <c r="AM44" s="71">
        <v>0.87498728123728098</v>
      </c>
      <c r="AN44" s="70">
        <v>0.99</v>
      </c>
      <c r="AO44" s="75">
        <v>1</v>
      </c>
      <c r="AP44" s="75">
        <v>1</v>
      </c>
      <c r="AQ44" s="75">
        <v>1</v>
      </c>
      <c r="AR44" s="75">
        <v>1</v>
      </c>
      <c r="AS44" s="77">
        <v>8.7218210012826203E-2</v>
      </c>
      <c r="AT44" s="79">
        <v>7.4074074074074098E-2</v>
      </c>
      <c r="AU44" s="79">
        <v>6.8181818181818205E-2</v>
      </c>
      <c r="AV44" s="79">
        <v>0.12195121951219499</v>
      </c>
      <c r="AW44" s="79">
        <v>4.8865619546247803E-2</v>
      </c>
      <c r="AX44" s="56"/>
      <c r="AY44" s="54"/>
    </row>
    <row r="45" spans="1:51">
      <c r="A45" s="53"/>
      <c r="B45" s="56"/>
      <c r="C45" s="67" t="s">
        <v>23</v>
      </c>
      <c r="D45" s="229" t="s">
        <v>1757</v>
      </c>
      <c r="E45" s="68" t="s">
        <v>24</v>
      </c>
      <c r="F45" s="80" t="s">
        <v>61</v>
      </c>
      <c r="G45" s="80" t="s">
        <v>61</v>
      </c>
      <c r="H45" s="80" t="s">
        <v>61</v>
      </c>
      <c r="I45" s="80" t="s">
        <v>61</v>
      </c>
      <c r="J45" s="70">
        <v>0.9</v>
      </c>
      <c r="K45" s="71">
        <v>0.95</v>
      </c>
      <c r="L45" s="71">
        <v>0.89230769230769202</v>
      </c>
      <c r="M45" s="72">
        <v>0.81355932203389802</v>
      </c>
      <c r="N45" s="71">
        <v>0.898107714701601</v>
      </c>
      <c r="O45" s="73">
        <v>0.9</v>
      </c>
      <c r="P45" s="71">
        <v>0.88777698355968504</v>
      </c>
      <c r="Q45" s="71">
        <v>0.76680203045685302</v>
      </c>
      <c r="R45" s="71">
        <v>0.92573878425968503</v>
      </c>
      <c r="S45" s="71">
        <v>0.88690962392722505</v>
      </c>
      <c r="T45" s="73">
        <v>0.9</v>
      </c>
      <c r="U45" s="71">
        <v>0.81721637904625799</v>
      </c>
      <c r="V45" s="71">
        <v>0.83472081218274097</v>
      </c>
      <c r="W45" s="71">
        <v>0.89664676159852996</v>
      </c>
      <c r="X45" s="71">
        <v>0.83790043750209797</v>
      </c>
      <c r="Y45" s="73">
        <v>0.92</v>
      </c>
      <c r="Z45" s="73">
        <v>0.88141620284477395</v>
      </c>
      <c r="AA45" s="73">
        <v>0.98683883784454896</v>
      </c>
      <c r="AB45" s="73">
        <v>0.963210157903305</v>
      </c>
      <c r="AC45" s="73">
        <v>0.96663475728929804</v>
      </c>
      <c r="AD45" s="73">
        <v>0.92</v>
      </c>
      <c r="AE45" s="71">
        <v>0.99890553566273299</v>
      </c>
      <c r="AF45" s="71">
        <v>0.99798799579513697</v>
      </c>
      <c r="AG45" s="71">
        <v>0.99933135624552605</v>
      </c>
      <c r="AH45" s="71">
        <v>0.99738198431478697</v>
      </c>
      <c r="AI45" s="73">
        <v>0.92</v>
      </c>
      <c r="AJ45" s="71">
        <v>0.90065166605188696</v>
      </c>
      <c r="AK45" s="71">
        <v>0.98220845638550702</v>
      </c>
      <c r="AL45" s="71">
        <v>0.97333333333333305</v>
      </c>
      <c r="AM45" s="71">
        <v>0.97362369712382202</v>
      </c>
      <c r="AN45" s="70">
        <v>0.99</v>
      </c>
      <c r="AO45" s="75">
        <v>1</v>
      </c>
      <c r="AP45" s="75">
        <v>1</v>
      </c>
      <c r="AQ45" s="75">
        <v>1</v>
      </c>
      <c r="AR45" s="75">
        <v>1</v>
      </c>
      <c r="AS45" s="77">
        <v>8.7218210012826203E-2</v>
      </c>
      <c r="AT45" s="79">
        <v>0.133333333333333</v>
      </c>
      <c r="AU45" s="79">
        <v>4.7619047619047603E-2</v>
      </c>
      <c r="AV45" s="79">
        <v>7.1428571428571397E-2</v>
      </c>
      <c r="AW45" s="79">
        <v>6.9204152249134995E-2</v>
      </c>
      <c r="AX45" s="56"/>
      <c r="AY45" s="54"/>
    </row>
    <row r="46" spans="1:51">
      <c r="A46" s="53"/>
      <c r="B46" s="56"/>
      <c r="C46" s="67" t="s">
        <v>23</v>
      </c>
      <c r="D46" s="229" t="s">
        <v>1757</v>
      </c>
      <c r="E46" s="68" t="s">
        <v>24</v>
      </c>
      <c r="F46" s="80" t="s">
        <v>62</v>
      </c>
      <c r="G46" s="80" t="s">
        <v>62</v>
      </c>
      <c r="H46" s="80" t="s">
        <v>62</v>
      </c>
      <c r="I46" s="80" t="s">
        <v>62</v>
      </c>
      <c r="J46" s="70">
        <v>0.9</v>
      </c>
      <c r="K46" s="71">
        <v>0.95081967213114704</v>
      </c>
      <c r="L46" s="71">
        <v>0.83636363636363598</v>
      </c>
      <c r="M46" s="72">
        <v>0.89361702127659604</v>
      </c>
      <c r="N46" s="71">
        <v>0.91940789473684204</v>
      </c>
      <c r="O46" s="73">
        <v>0.9</v>
      </c>
      <c r="P46" s="71">
        <v>0.96109928391716704</v>
      </c>
      <c r="Q46" s="71">
        <v>0.94229328003997004</v>
      </c>
      <c r="R46" s="71">
        <v>0.94988610478359903</v>
      </c>
      <c r="S46" s="71">
        <v>0.94621609604268597</v>
      </c>
      <c r="T46" s="73">
        <v>0.9</v>
      </c>
      <c r="U46" s="71">
        <v>0.83859105864137795</v>
      </c>
      <c r="V46" s="71">
        <v>0.82013489882588098</v>
      </c>
      <c r="W46" s="71">
        <v>0.68621867881549004</v>
      </c>
      <c r="X46" s="71">
        <v>0.78011560693641602</v>
      </c>
      <c r="Y46" s="73">
        <v>0.92</v>
      </c>
      <c r="Z46" s="73">
        <v>0.90894039735099297</v>
      </c>
      <c r="AA46" s="73">
        <v>0.90706126687435096</v>
      </c>
      <c r="AB46" s="73">
        <v>0.83965917893106101</v>
      </c>
      <c r="AC46" s="73">
        <v>0.89579718004338404</v>
      </c>
      <c r="AD46" s="73">
        <v>0.92</v>
      </c>
      <c r="AE46" s="71">
        <v>0.98836448598130799</v>
      </c>
      <c r="AF46" s="71">
        <v>0.98442547300415295</v>
      </c>
      <c r="AG46" s="71">
        <v>0.97264150943396199</v>
      </c>
      <c r="AH46" s="71">
        <v>0.97085629438186904</v>
      </c>
      <c r="AI46" s="73">
        <v>0.92</v>
      </c>
      <c r="AJ46" s="71">
        <v>0.93107849393746001</v>
      </c>
      <c r="AK46" s="71">
        <v>0.95006747638326605</v>
      </c>
      <c r="AL46" s="71">
        <v>0.87608006124904303</v>
      </c>
      <c r="AM46" s="71">
        <v>0.93347865303668098</v>
      </c>
      <c r="AN46" s="70">
        <v>0.99</v>
      </c>
      <c r="AO46" s="75">
        <v>1</v>
      </c>
      <c r="AP46" s="75">
        <v>1</v>
      </c>
      <c r="AQ46" s="75">
        <v>1</v>
      </c>
      <c r="AR46" s="75">
        <v>0.99926847110460904</v>
      </c>
      <c r="AS46" s="77">
        <v>8.7218210012826203E-2</v>
      </c>
      <c r="AT46" s="79">
        <v>0.10344827586206901</v>
      </c>
      <c r="AU46" s="79">
        <v>0.13793103448275901</v>
      </c>
      <c r="AV46" s="79">
        <v>9.0909090909090898E-2</v>
      </c>
      <c r="AW46" s="79">
        <v>7.2829131652661097E-2</v>
      </c>
      <c r="AX46" s="56"/>
      <c r="AY46" s="54"/>
    </row>
    <row r="47" spans="1:51">
      <c r="A47" s="53"/>
      <c r="B47" s="56"/>
      <c r="C47" s="67" t="s">
        <v>23</v>
      </c>
      <c r="D47" s="229" t="s">
        <v>1757</v>
      </c>
      <c r="E47" s="68" t="s">
        <v>24</v>
      </c>
      <c r="F47" s="80" t="s">
        <v>63</v>
      </c>
      <c r="G47" s="80" t="s">
        <v>63</v>
      </c>
      <c r="H47" s="80" t="s">
        <v>63</v>
      </c>
      <c r="I47" s="80" t="s">
        <v>63</v>
      </c>
      <c r="J47" s="70">
        <v>0.9</v>
      </c>
      <c r="K47" s="71">
        <v>0.93548387096774199</v>
      </c>
      <c r="L47" s="71">
        <v>0.89423076923076905</v>
      </c>
      <c r="M47" s="72">
        <v>0.86538461538461497</v>
      </c>
      <c r="N47" s="71">
        <v>0.89743589743589702</v>
      </c>
      <c r="O47" s="73">
        <v>0.9</v>
      </c>
      <c r="P47" s="71">
        <v>0.94506292352371701</v>
      </c>
      <c r="Q47" s="71">
        <v>0.96430212961544404</v>
      </c>
      <c r="R47" s="71">
        <v>0.813883416386603</v>
      </c>
      <c r="S47" s="71">
        <v>0.93118015501081497</v>
      </c>
      <c r="T47" s="73">
        <v>0.9</v>
      </c>
      <c r="U47" s="71">
        <v>0.81231848983543098</v>
      </c>
      <c r="V47" s="71">
        <v>0.79898881568867797</v>
      </c>
      <c r="W47" s="71">
        <v>0.69915401552903</v>
      </c>
      <c r="X47" s="71">
        <v>0.79108462509012301</v>
      </c>
      <c r="Y47" s="73">
        <v>0.92</v>
      </c>
      <c r="Z47" s="73">
        <v>0.93178134669220603</v>
      </c>
      <c r="AA47" s="73">
        <v>0.94068094068094099</v>
      </c>
      <c r="AB47" s="73">
        <v>0.89386270167668502</v>
      </c>
      <c r="AC47" s="73">
        <v>0.94244566640481797</v>
      </c>
      <c r="AD47" s="73">
        <v>0.92</v>
      </c>
      <c r="AE47" s="71">
        <v>0.99416538324842996</v>
      </c>
      <c r="AF47" s="71">
        <v>0.945044231810796</v>
      </c>
      <c r="AG47" s="71">
        <v>0.99666119321291702</v>
      </c>
      <c r="AH47" s="71">
        <v>0.98165904491897005</v>
      </c>
      <c r="AI47" s="73">
        <v>0.92</v>
      </c>
      <c r="AJ47" s="71">
        <v>0.94346641865408898</v>
      </c>
      <c r="AK47" s="71">
        <v>0.96086168284099405</v>
      </c>
      <c r="AL47" s="71">
        <v>0.90743713215623301</v>
      </c>
      <c r="AM47" s="71">
        <v>0.956690217986636</v>
      </c>
      <c r="AN47" s="70">
        <v>0.99</v>
      </c>
      <c r="AO47" s="75">
        <v>1</v>
      </c>
      <c r="AP47" s="75">
        <v>1</v>
      </c>
      <c r="AQ47" s="75">
        <v>1</v>
      </c>
      <c r="AR47" s="75">
        <v>1</v>
      </c>
      <c r="AS47" s="77">
        <v>8.7218210012826203E-2</v>
      </c>
      <c r="AT47" s="79">
        <v>0.18181818181818199</v>
      </c>
      <c r="AU47" s="79">
        <v>2.5000000000000001E-2</v>
      </c>
      <c r="AV47" s="79">
        <v>0</v>
      </c>
      <c r="AW47" s="79">
        <v>6.7978533094812194E-2</v>
      </c>
      <c r="AX47" s="56"/>
      <c r="AY47" s="54"/>
    </row>
    <row r="48" spans="1:51">
      <c r="A48" s="53"/>
      <c r="B48" s="56"/>
      <c r="C48" s="67" t="s">
        <v>23</v>
      </c>
      <c r="D48" s="229" t="s">
        <v>1757</v>
      </c>
      <c r="E48" s="68" t="s">
        <v>24</v>
      </c>
      <c r="F48" s="80" t="s">
        <v>64</v>
      </c>
      <c r="G48" s="80" t="s">
        <v>64</v>
      </c>
      <c r="H48" s="80" t="s">
        <v>64</v>
      </c>
      <c r="I48" s="80" t="s">
        <v>64</v>
      </c>
      <c r="J48" s="70">
        <v>0.9</v>
      </c>
      <c r="K48" s="71">
        <v>0.97297297297297303</v>
      </c>
      <c r="L48" s="71">
        <v>0.98529411764705899</v>
      </c>
      <c r="M48" s="72">
        <v>0.94285714285714295</v>
      </c>
      <c r="N48" s="71">
        <v>0.97579617834394905</v>
      </c>
      <c r="O48" s="73">
        <v>0.9</v>
      </c>
      <c r="P48" s="71">
        <v>0.97714381047714405</v>
      </c>
      <c r="Q48" s="71">
        <v>0.96196483180428105</v>
      </c>
      <c r="R48" s="71">
        <v>0.89470120196377201</v>
      </c>
      <c r="S48" s="71">
        <v>0.94627052432399394</v>
      </c>
      <c r="T48" s="73">
        <v>0.9</v>
      </c>
      <c r="U48" s="71">
        <v>0.89072405739072402</v>
      </c>
      <c r="V48" s="71">
        <v>0.88379204892966401</v>
      </c>
      <c r="W48" s="71">
        <v>0.81835110885390205</v>
      </c>
      <c r="X48" s="71">
        <v>0.84987487029237596</v>
      </c>
      <c r="Y48" s="73">
        <v>0.92</v>
      </c>
      <c r="Z48" s="73">
        <v>0.93857923497267803</v>
      </c>
      <c r="AA48" s="73">
        <v>0.95807895807895804</v>
      </c>
      <c r="AB48" s="73">
        <v>0.95085714285714296</v>
      </c>
      <c r="AC48" s="73">
        <v>0.957890952666267</v>
      </c>
      <c r="AD48" s="73">
        <v>0.92</v>
      </c>
      <c r="AE48" s="71">
        <v>0.992382037646662</v>
      </c>
      <c r="AF48" s="71">
        <v>0.972224072470526</v>
      </c>
      <c r="AG48" s="71">
        <v>0.98266951488423404</v>
      </c>
      <c r="AH48" s="71">
        <v>0.97883849861011196</v>
      </c>
      <c r="AI48" s="73">
        <v>0.92</v>
      </c>
      <c r="AJ48" s="71">
        <v>0.95213319458897006</v>
      </c>
      <c r="AK48" s="71">
        <v>0.96579529197554903</v>
      </c>
      <c r="AL48" s="71">
        <v>0.96004277658953896</v>
      </c>
      <c r="AM48" s="71">
        <v>0.97020768857899298</v>
      </c>
      <c r="AN48" s="70">
        <v>0.99</v>
      </c>
      <c r="AO48" s="75">
        <v>1</v>
      </c>
      <c r="AP48" s="75">
        <v>1</v>
      </c>
      <c r="AQ48" s="75">
        <v>1</v>
      </c>
      <c r="AR48" s="75">
        <v>1</v>
      </c>
      <c r="AS48" s="77">
        <v>8.7218210012826203E-2</v>
      </c>
      <c r="AT48" s="79">
        <v>0.122448979591837</v>
      </c>
      <c r="AU48" s="79">
        <v>2.04081632653061E-2</v>
      </c>
      <c r="AV48" s="79">
        <v>2.5000000000000001E-2</v>
      </c>
      <c r="AW48" s="79">
        <v>4.8016701461377903E-2</v>
      </c>
      <c r="AX48" s="56"/>
      <c r="AY48" s="54"/>
    </row>
    <row r="49" spans="1:51">
      <c r="A49" s="53"/>
      <c r="B49" s="56"/>
      <c r="C49" s="67" t="s">
        <v>23</v>
      </c>
      <c r="D49" s="229" t="s">
        <v>1757</v>
      </c>
      <c r="E49" s="68" t="s">
        <v>24</v>
      </c>
      <c r="F49" s="80" t="s">
        <v>65</v>
      </c>
      <c r="G49" s="80" t="s">
        <v>65</v>
      </c>
      <c r="H49" s="80" t="s">
        <v>65</v>
      </c>
      <c r="I49" s="80" t="s">
        <v>65</v>
      </c>
      <c r="J49" s="70">
        <v>0.9</v>
      </c>
      <c r="K49" s="71">
        <v>0.94339622641509402</v>
      </c>
      <c r="L49" s="71">
        <v>0.91111111111111098</v>
      </c>
      <c r="M49" s="72">
        <v>0.96</v>
      </c>
      <c r="N49" s="71">
        <v>0.93795620437956195</v>
      </c>
      <c r="O49" s="73">
        <v>0.9</v>
      </c>
      <c r="P49" s="71">
        <v>0.97728892962623504</v>
      </c>
      <c r="Q49" s="71">
        <v>0.98922614731171699</v>
      </c>
      <c r="R49" s="71">
        <v>0.76731272917757998</v>
      </c>
      <c r="S49" s="71">
        <v>0.94557569351612902</v>
      </c>
      <c r="T49" s="73">
        <v>0.9</v>
      </c>
      <c r="U49" s="71">
        <v>0.92575618698441797</v>
      </c>
      <c r="V49" s="71">
        <v>0.92375427328291704</v>
      </c>
      <c r="W49" s="71">
        <v>0.89638554216867505</v>
      </c>
      <c r="X49" s="71">
        <v>0.91810447560128905</v>
      </c>
      <c r="Y49" s="73">
        <v>0.92</v>
      </c>
      <c r="Z49" s="73">
        <v>0.94692172975885802</v>
      </c>
      <c r="AA49" s="73">
        <v>0.98210645526613805</v>
      </c>
      <c r="AB49" s="73">
        <v>0.97158642462509903</v>
      </c>
      <c r="AC49" s="73">
        <v>0.97330105305929004</v>
      </c>
      <c r="AD49" s="73">
        <v>0.92</v>
      </c>
      <c r="AE49" s="71">
        <v>0.98942102768260798</v>
      </c>
      <c r="AF49" s="71">
        <v>0.97155514224983697</v>
      </c>
      <c r="AG49" s="71">
        <v>0.99360121041143001</v>
      </c>
      <c r="AH49" s="71">
        <v>0.98000242298856999</v>
      </c>
      <c r="AI49" s="73">
        <v>0.92</v>
      </c>
      <c r="AJ49" s="71">
        <v>0.96057285324984099</v>
      </c>
      <c r="AK49" s="71">
        <v>0.96759061833688698</v>
      </c>
      <c r="AL49" s="71">
        <v>0.97765609264854003</v>
      </c>
      <c r="AM49" s="71">
        <v>0.98086413406672501</v>
      </c>
      <c r="AN49" s="70">
        <v>0.99</v>
      </c>
      <c r="AO49" s="75">
        <v>1</v>
      </c>
      <c r="AP49" s="75">
        <v>1</v>
      </c>
      <c r="AQ49" s="75">
        <v>1</v>
      </c>
      <c r="AR49" s="75">
        <v>1</v>
      </c>
      <c r="AS49" s="77">
        <v>8.7218210012826203E-2</v>
      </c>
      <c r="AT49" s="79">
        <v>0.1</v>
      </c>
      <c r="AU49" s="79">
        <v>0.22222222222222199</v>
      </c>
      <c r="AV49" s="79">
        <v>0.1</v>
      </c>
      <c r="AW49" s="79">
        <v>8.9361702127659606E-2</v>
      </c>
      <c r="AX49" s="56"/>
      <c r="AY49" s="54"/>
    </row>
    <row r="50" spans="1:51">
      <c r="A50" s="53"/>
      <c r="B50" s="56"/>
      <c r="C50" s="67" t="s">
        <v>23</v>
      </c>
      <c r="D50" s="229" t="s">
        <v>1757</v>
      </c>
      <c r="E50" s="68" t="s">
        <v>24</v>
      </c>
      <c r="F50" s="80" t="s">
        <v>66</v>
      </c>
      <c r="G50" s="80" t="s">
        <v>66</v>
      </c>
      <c r="H50" s="80" t="s">
        <v>66</v>
      </c>
      <c r="I50" s="80" t="s">
        <v>66</v>
      </c>
      <c r="J50" s="70">
        <v>0.9</v>
      </c>
      <c r="K50" s="71">
        <v>0.88617886178861804</v>
      </c>
      <c r="L50" s="71">
        <v>0.92660550458715596</v>
      </c>
      <c r="M50" s="72">
        <v>0.92307692307692302</v>
      </c>
      <c r="N50" s="71">
        <v>0.93010325655282</v>
      </c>
      <c r="O50" s="73">
        <v>0.9</v>
      </c>
      <c r="P50" s="71">
        <v>0.69609563500767702</v>
      </c>
      <c r="Q50" s="71">
        <v>0.94218698381235499</v>
      </c>
      <c r="R50" s="71">
        <v>0.88850400519592998</v>
      </c>
      <c r="S50" s="71">
        <v>0.88517315240896599</v>
      </c>
      <c r="T50" s="73">
        <v>0.9</v>
      </c>
      <c r="U50" s="71">
        <v>0.61241500329019505</v>
      </c>
      <c r="V50" s="71">
        <v>0.65113974231912797</v>
      </c>
      <c r="W50" s="71">
        <v>0.54882009092877204</v>
      </c>
      <c r="X50" s="71">
        <v>0.62375862174986896</v>
      </c>
      <c r="Y50" s="73">
        <v>0.92</v>
      </c>
      <c r="Z50" s="73">
        <v>0.90891062929666799</v>
      </c>
      <c r="AA50" s="73">
        <v>0.86657153050303204</v>
      </c>
      <c r="AB50" s="73">
        <v>0.79417062387424298</v>
      </c>
      <c r="AC50" s="73">
        <v>0.88213797705678598</v>
      </c>
      <c r="AD50" s="73">
        <v>0.92</v>
      </c>
      <c r="AE50" s="71">
        <v>0.97794117647058798</v>
      </c>
      <c r="AF50" s="71">
        <v>0.90265486725663702</v>
      </c>
      <c r="AG50" s="71">
        <v>0.96153846153846201</v>
      </c>
      <c r="AH50" s="71">
        <v>0.96008084891359302</v>
      </c>
      <c r="AI50" s="73">
        <v>0.92</v>
      </c>
      <c r="AJ50" s="71">
        <v>0.93526344182700905</v>
      </c>
      <c r="AK50" s="71">
        <v>0.92220842271649495</v>
      </c>
      <c r="AL50" s="71">
        <v>0.83955685891169796</v>
      </c>
      <c r="AM50" s="71">
        <v>0.91858335409917802</v>
      </c>
      <c r="AN50" s="70">
        <v>0.99</v>
      </c>
      <c r="AO50" s="75">
        <v>1</v>
      </c>
      <c r="AP50" s="75">
        <v>1</v>
      </c>
      <c r="AQ50" s="75">
        <v>1</v>
      </c>
      <c r="AR50" s="75">
        <v>1</v>
      </c>
      <c r="AS50" s="77">
        <v>8.7218210012826203E-2</v>
      </c>
      <c r="AT50" s="79">
        <v>7.2727272727272696E-2</v>
      </c>
      <c r="AU50" s="79">
        <v>0.114285714285714</v>
      </c>
      <c r="AV50" s="79">
        <v>2.66666666666667E-2</v>
      </c>
      <c r="AW50" s="79">
        <v>6.7567567567567599E-2</v>
      </c>
      <c r="AX50" s="56"/>
      <c r="AY50" s="54"/>
    </row>
    <row r="51" spans="1:51">
      <c r="A51" s="53"/>
      <c r="B51" s="56"/>
      <c r="C51" s="67" t="s">
        <v>23</v>
      </c>
      <c r="D51" s="229" t="s">
        <v>1757</v>
      </c>
      <c r="E51" s="68" t="s">
        <v>24</v>
      </c>
      <c r="F51" s="80" t="s">
        <v>67</v>
      </c>
      <c r="G51" s="80" t="s">
        <v>67</v>
      </c>
      <c r="H51" s="80" t="s">
        <v>67</v>
      </c>
      <c r="I51" s="80" t="s">
        <v>67</v>
      </c>
      <c r="J51" s="70">
        <v>0.9</v>
      </c>
      <c r="K51" s="71">
        <v>0.97058823529411797</v>
      </c>
      <c r="L51" s="71">
        <v>0.85714285714285698</v>
      </c>
      <c r="M51" s="72">
        <v>0.85</v>
      </c>
      <c r="N51" s="71">
        <v>0.91226321036889302</v>
      </c>
      <c r="O51" s="73">
        <v>0.9</v>
      </c>
      <c r="P51" s="71">
        <v>0.79850208843439396</v>
      </c>
      <c r="Q51" s="71">
        <v>0.96240755957271995</v>
      </c>
      <c r="R51" s="71">
        <v>0.87517188693659298</v>
      </c>
      <c r="S51" s="71">
        <v>0.91810327288510296</v>
      </c>
      <c r="T51" s="73">
        <v>0.9</v>
      </c>
      <c r="U51" s="71">
        <v>0.73743338614431797</v>
      </c>
      <c r="V51" s="71">
        <v>0.82990961380443695</v>
      </c>
      <c r="W51" s="71">
        <v>0.73399541634835797</v>
      </c>
      <c r="X51" s="71">
        <v>0.79604486823009202</v>
      </c>
      <c r="Y51" s="73">
        <v>0.92</v>
      </c>
      <c r="Z51" s="73">
        <v>0.91274283832729697</v>
      </c>
      <c r="AA51" s="73">
        <v>0.930579964850615</v>
      </c>
      <c r="AB51" s="73">
        <v>0.92735042735042705</v>
      </c>
      <c r="AC51" s="73">
        <v>0.93469379581046996</v>
      </c>
      <c r="AD51" s="73">
        <v>0.92</v>
      </c>
      <c r="AE51" s="71">
        <v>0.83333333333333304</v>
      </c>
      <c r="AF51" s="71">
        <v>1</v>
      </c>
      <c r="AG51" s="71">
        <v>1</v>
      </c>
      <c r="AH51" s="71">
        <v>0.63157894736842102</v>
      </c>
      <c r="AI51" s="73">
        <v>0.92</v>
      </c>
      <c r="AJ51" s="71">
        <v>0.92871408818558898</v>
      </c>
      <c r="AK51" s="71">
        <v>0.95534714445688695</v>
      </c>
      <c r="AL51" s="71">
        <v>0.94291223069829799</v>
      </c>
      <c r="AM51" s="71">
        <v>0.956463377161063</v>
      </c>
      <c r="AN51" s="70">
        <v>0.99</v>
      </c>
      <c r="AO51" s="75">
        <v>1</v>
      </c>
      <c r="AP51" s="75">
        <v>1</v>
      </c>
      <c r="AQ51" s="75">
        <v>1</v>
      </c>
      <c r="AR51" s="75">
        <v>1</v>
      </c>
      <c r="AS51" s="77">
        <v>8.7218210012826203E-2</v>
      </c>
      <c r="AT51" s="79">
        <v>2.27272727272727E-2</v>
      </c>
      <c r="AU51" s="79">
        <v>0.125</v>
      </c>
      <c r="AV51" s="79">
        <v>0.11764705882352899</v>
      </c>
      <c r="AW51" s="79">
        <v>5.7971014492753603E-2</v>
      </c>
      <c r="AX51" s="56"/>
      <c r="AY51" s="54"/>
    </row>
    <row r="52" spans="1:51">
      <c r="A52" s="53"/>
      <c r="B52" s="56"/>
      <c r="C52" s="67" t="s">
        <v>23</v>
      </c>
      <c r="D52" s="229" t="s">
        <v>1757</v>
      </c>
      <c r="E52" s="68" t="s">
        <v>24</v>
      </c>
      <c r="F52" s="80" t="s">
        <v>68</v>
      </c>
      <c r="G52" s="80" t="s">
        <v>68</v>
      </c>
      <c r="H52" s="80" t="s">
        <v>68</v>
      </c>
      <c r="I52" s="80" t="s">
        <v>68</v>
      </c>
      <c r="J52" s="70">
        <v>0.9</v>
      </c>
      <c r="K52" s="71">
        <v>1</v>
      </c>
      <c r="L52" s="71">
        <v>1</v>
      </c>
      <c r="M52" s="72">
        <v>0.96</v>
      </c>
      <c r="N52" s="71">
        <v>0.97419354838709704</v>
      </c>
      <c r="O52" s="73">
        <v>0.9</v>
      </c>
      <c r="P52" s="71">
        <v>0.990093457943925</v>
      </c>
      <c r="Q52" s="71">
        <v>0.99275362318840599</v>
      </c>
      <c r="R52" s="71">
        <v>0.99283456269757597</v>
      </c>
      <c r="S52" s="71">
        <v>0.99238989068157102</v>
      </c>
      <c r="T52" s="73">
        <v>0.9</v>
      </c>
      <c r="U52" s="71">
        <v>0.92373831775700899</v>
      </c>
      <c r="V52" s="71">
        <v>0.90766713417484801</v>
      </c>
      <c r="W52" s="71">
        <v>0.87418335089568</v>
      </c>
      <c r="X52" s="71">
        <v>0.91528700481563496</v>
      </c>
      <c r="Y52" s="73">
        <v>0.92</v>
      </c>
      <c r="Z52" s="73">
        <v>0.93663739021329995</v>
      </c>
      <c r="AA52" s="73">
        <v>0.95114503816793905</v>
      </c>
      <c r="AB52" s="73">
        <v>0.93752779012894605</v>
      </c>
      <c r="AC52" s="73">
        <v>0.95227438457089697</v>
      </c>
      <c r="AD52" s="73">
        <v>0.92</v>
      </c>
      <c r="AE52" s="71">
        <v>0.99546485260771</v>
      </c>
      <c r="AF52" s="71">
        <v>0.98930817610062904</v>
      </c>
      <c r="AG52" s="71">
        <v>0.99681054645970701</v>
      </c>
      <c r="AH52" s="71">
        <v>0.96923507761241801</v>
      </c>
      <c r="AI52" s="73">
        <v>0.92</v>
      </c>
      <c r="AJ52" s="71">
        <v>0.95421353858298796</v>
      </c>
      <c r="AK52" s="71">
        <v>0.968294635708567</v>
      </c>
      <c r="AL52" s="71">
        <v>0.94678204434829605</v>
      </c>
      <c r="AM52" s="71">
        <v>0.96723142803947104</v>
      </c>
      <c r="AN52" s="70">
        <v>0.99</v>
      </c>
      <c r="AO52" s="75">
        <v>1</v>
      </c>
      <c r="AP52" s="75">
        <v>1</v>
      </c>
      <c r="AQ52" s="75">
        <v>1</v>
      </c>
      <c r="AR52" s="75">
        <v>1</v>
      </c>
      <c r="AS52" s="77">
        <v>8.7218210012826203E-2</v>
      </c>
      <c r="AT52" s="79">
        <v>9.5238095238095205E-2</v>
      </c>
      <c r="AU52" s="79">
        <v>0.13953488372093001</v>
      </c>
      <c r="AV52" s="79">
        <v>1.3698630136986301E-2</v>
      </c>
      <c r="AW52" s="79">
        <v>6.7381316998468596E-2</v>
      </c>
      <c r="AX52" s="56"/>
      <c r="AY52" s="54"/>
    </row>
    <row r="53" spans="1:51">
      <c r="A53" s="53"/>
      <c r="B53" s="56"/>
      <c r="C53" s="67" t="s">
        <v>23</v>
      </c>
      <c r="D53" s="229" t="s">
        <v>1757</v>
      </c>
      <c r="E53" s="68" t="s">
        <v>24</v>
      </c>
      <c r="F53" s="80" t="s">
        <v>69</v>
      </c>
      <c r="G53" s="80" t="s">
        <v>69</v>
      </c>
      <c r="H53" s="80" t="s">
        <v>69</v>
      </c>
      <c r="I53" s="80" t="s">
        <v>69</v>
      </c>
      <c r="J53" s="70">
        <v>0.9</v>
      </c>
      <c r="K53" s="71">
        <v>0.96610169491525399</v>
      </c>
      <c r="L53" s="71">
        <v>0.91304347826086996</v>
      </c>
      <c r="M53" s="72">
        <v>0.97916666666666696</v>
      </c>
      <c r="N53" s="71">
        <v>0.95706618962432899</v>
      </c>
      <c r="O53" s="73">
        <v>0.9</v>
      </c>
      <c r="P53" s="71">
        <v>0.94698475811795901</v>
      </c>
      <c r="Q53" s="71">
        <v>0.98799599866622201</v>
      </c>
      <c r="R53" s="71">
        <v>0.95649233543733103</v>
      </c>
      <c r="S53" s="71">
        <v>0.96316742673852795</v>
      </c>
      <c r="T53" s="73">
        <v>0.9</v>
      </c>
      <c r="U53" s="71">
        <v>0.85752153744201498</v>
      </c>
      <c r="V53" s="71">
        <v>0.83427809269756603</v>
      </c>
      <c r="W53" s="71">
        <v>0.76961226330027099</v>
      </c>
      <c r="X53" s="71">
        <v>0.81188766937964996</v>
      </c>
      <c r="Y53" s="73">
        <v>0.92</v>
      </c>
      <c r="Z53" s="73">
        <v>0.946879150066401</v>
      </c>
      <c r="AA53" s="73">
        <v>0.91304347826086996</v>
      </c>
      <c r="AB53" s="73">
        <v>0.91053615960099799</v>
      </c>
      <c r="AC53" s="73">
        <v>0.93516118124436398</v>
      </c>
      <c r="AD53" s="73">
        <v>0.92</v>
      </c>
      <c r="AE53" s="71">
        <v>0.99240303878448599</v>
      </c>
      <c r="AF53" s="71">
        <v>0.94508196721311499</v>
      </c>
      <c r="AG53" s="71">
        <v>0.95670391061452498</v>
      </c>
      <c r="AH53" s="71">
        <v>0.95713572854291395</v>
      </c>
      <c r="AI53" s="73">
        <v>0.92</v>
      </c>
      <c r="AJ53" s="71">
        <v>0.95028357668637597</v>
      </c>
      <c r="AK53" s="71">
        <v>0.94748553627058296</v>
      </c>
      <c r="AL53" s="71">
        <v>0.929225536368394</v>
      </c>
      <c r="AM53" s="71">
        <v>0.95339972949711005</v>
      </c>
      <c r="AN53" s="70">
        <v>0.99</v>
      </c>
      <c r="AO53" s="75">
        <v>1</v>
      </c>
      <c r="AP53" s="75">
        <v>1</v>
      </c>
      <c r="AQ53" s="75">
        <v>1</v>
      </c>
      <c r="AR53" s="75">
        <v>1</v>
      </c>
      <c r="AS53" s="77">
        <v>8.7218210012826203E-2</v>
      </c>
      <c r="AT53" s="79">
        <v>7.4074074074074098E-2</v>
      </c>
      <c r="AU53" s="79">
        <v>0.12</v>
      </c>
      <c r="AV53" s="79">
        <v>0</v>
      </c>
      <c r="AW53" s="79">
        <v>5.2631578947368397E-2</v>
      </c>
      <c r="AX53" s="56"/>
      <c r="AY53" s="54"/>
    </row>
    <row r="54" spans="1:51">
      <c r="A54" s="53"/>
      <c r="B54" s="56"/>
      <c r="C54" s="67" t="s">
        <v>23</v>
      </c>
      <c r="D54" s="229" t="s">
        <v>1757</v>
      </c>
      <c r="E54" s="68" t="s">
        <v>24</v>
      </c>
      <c r="F54" s="80" t="s">
        <v>70</v>
      </c>
      <c r="G54" s="80" t="s">
        <v>70</v>
      </c>
      <c r="H54" s="80" t="s">
        <v>70</v>
      </c>
      <c r="I54" s="80" t="s">
        <v>70</v>
      </c>
      <c r="J54" s="70">
        <v>0.9</v>
      </c>
      <c r="K54" s="71">
        <v>0.95833333333333304</v>
      </c>
      <c r="L54" s="71">
        <v>0.90909090909090895</v>
      </c>
      <c r="M54" s="72">
        <v>1</v>
      </c>
      <c r="N54" s="71">
        <v>0.94331983805667996</v>
      </c>
      <c r="O54" s="73">
        <v>0.9</v>
      </c>
      <c r="P54" s="71">
        <v>0.82665379043940101</v>
      </c>
      <c r="Q54" s="71">
        <v>0.98012718600953896</v>
      </c>
      <c r="R54" s="71">
        <v>0.84275862068965501</v>
      </c>
      <c r="S54" s="71">
        <v>0.94250492598393398</v>
      </c>
      <c r="T54" s="73">
        <v>0.9</v>
      </c>
      <c r="U54" s="71">
        <v>0.91163689039111495</v>
      </c>
      <c r="V54" s="71">
        <v>0.92925278219395901</v>
      </c>
      <c r="W54" s="71">
        <v>0.81034482758620696</v>
      </c>
      <c r="X54" s="71">
        <v>0.89445763653817001</v>
      </c>
      <c r="Y54" s="73">
        <v>0.92</v>
      </c>
      <c r="Z54" s="73">
        <v>0.93489254108723097</v>
      </c>
      <c r="AA54" s="73">
        <v>0.95076923076923103</v>
      </c>
      <c r="AB54" s="73">
        <v>0.93717616580310903</v>
      </c>
      <c r="AC54" s="73">
        <v>0.94623655913978499</v>
      </c>
      <c r="AD54" s="73">
        <v>0.92</v>
      </c>
      <c r="AE54" s="71">
        <v>0.99949949949949901</v>
      </c>
      <c r="AF54" s="71">
        <v>0.75079533404029697</v>
      </c>
      <c r="AG54" s="71">
        <v>0.99051233396584404</v>
      </c>
      <c r="AH54" s="71">
        <v>0.83138408073247305</v>
      </c>
      <c r="AI54" s="73">
        <v>0.92</v>
      </c>
      <c r="AJ54" s="71">
        <v>0.95539135194307601</v>
      </c>
      <c r="AK54" s="71">
        <v>0.96436058700209604</v>
      </c>
      <c r="AL54" s="71">
        <v>0.953589315525876</v>
      </c>
      <c r="AM54" s="71">
        <v>0.967008066708964</v>
      </c>
      <c r="AN54" s="70">
        <v>0.99</v>
      </c>
      <c r="AO54" s="75">
        <v>1</v>
      </c>
      <c r="AP54" s="75">
        <v>1</v>
      </c>
      <c r="AQ54" s="75">
        <v>1</v>
      </c>
      <c r="AR54" s="75">
        <v>1</v>
      </c>
      <c r="AS54" s="77">
        <v>8.7218210012826203E-2</v>
      </c>
      <c r="AT54" s="79">
        <v>0.05</v>
      </c>
      <c r="AU54" s="79">
        <v>8.3333333333333301E-2</v>
      </c>
      <c r="AV54" s="79">
        <v>0</v>
      </c>
      <c r="AW54" s="79">
        <v>5.7591623036649199E-2</v>
      </c>
      <c r="AX54" s="56"/>
      <c r="AY54" s="54"/>
    </row>
    <row r="55" spans="1:51">
      <c r="A55" s="53"/>
      <c r="B55" s="56"/>
      <c r="C55" s="67" t="s">
        <v>23</v>
      </c>
      <c r="D55" s="229" t="s">
        <v>1757</v>
      </c>
      <c r="E55" s="68" t="s">
        <v>24</v>
      </c>
      <c r="F55" s="80" t="s">
        <v>71</v>
      </c>
      <c r="G55" s="80" t="s">
        <v>71</v>
      </c>
      <c r="H55" s="80" t="s">
        <v>71</v>
      </c>
      <c r="I55" s="80" t="s">
        <v>71</v>
      </c>
      <c r="J55" s="70">
        <v>0.9</v>
      </c>
      <c r="K55" s="71">
        <v>0.939393939393939</v>
      </c>
      <c r="L55" s="71">
        <v>0.85526315789473695</v>
      </c>
      <c r="M55" s="72">
        <v>0.88</v>
      </c>
      <c r="N55" s="71">
        <v>0.91504605936540395</v>
      </c>
      <c r="O55" s="73">
        <v>0.9</v>
      </c>
      <c r="P55" s="71">
        <v>0.78993671862941806</v>
      </c>
      <c r="Q55" s="71">
        <v>0.97947080291970801</v>
      </c>
      <c r="R55" s="71">
        <v>0.762103174603175</v>
      </c>
      <c r="S55" s="71">
        <v>0.93830718658960299</v>
      </c>
      <c r="T55" s="73">
        <v>0.9</v>
      </c>
      <c r="U55" s="71">
        <v>0.93409476771106603</v>
      </c>
      <c r="V55" s="71">
        <v>0.89073905109489004</v>
      </c>
      <c r="W55" s="71">
        <v>0.79801587301587296</v>
      </c>
      <c r="X55" s="71">
        <v>0.88952935861284599</v>
      </c>
      <c r="Y55" s="73">
        <v>0.92</v>
      </c>
      <c r="Z55" s="73">
        <v>0.95154618869411101</v>
      </c>
      <c r="AA55" s="73">
        <v>0.93982134461683098</v>
      </c>
      <c r="AB55" s="73">
        <v>0.92247894623191495</v>
      </c>
      <c r="AC55" s="73">
        <v>0.94418977257554804</v>
      </c>
      <c r="AD55" s="73">
        <v>0.92</v>
      </c>
      <c r="AE55" s="71">
        <v>0.92478632478632505</v>
      </c>
      <c r="AF55" s="71">
        <v>0.942581534221406</v>
      </c>
      <c r="AG55" s="71">
        <v>0.97674418604651203</v>
      </c>
      <c r="AH55" s="71">
        <v>0.92988404088050303</v>
      </c>
      <c r="AI55" s="73">
        <v>0.92</v>
      </c>
      <c r="AJ55" s="71">
        <v>0.96583044982698996</v>
      </c>
      <c r="AK55" s="71">
        <v>0.96037475042236198</v>
      </c>
      <c r="AL55" s="71">
        <v>0.94190013439470699</v>
      </c>
      <c r="AM55" s="71">
        <v>0.96219430623894697</v>
      </c>
      <c r="AN55" s="70">
        <v>0.99</v>
      </c>
      <c r="AO55" s="75">
        <v>1</v>
      </c>
      <c r="AP55" s="75">
        <v>1</v>
      </c>
      <c r="AQ55" s="75">
        <v>1</v>
      </c>
      <c r="AR55" s="75">
        <v>1</v>
      </c>
      <c r="AS55" s="77">
        <v>8.7218210012826203E-2</v>
      </c>
      <c r="AT55" s="79">
        <v>3.8461538461538498E-2</v>
      </c>
      <c r="AU55" s="79">
        <v>6.25E-2</v>
      </c>
      <c r="AV55" s="79">
        <v>0.114285714285714</v>
      </c>
      <c r="AW55" s="79">
        <v>4.67091295116773E-2</v>
      </c>
      <c r="AX55" s="56"/>
      <c r="AY55" s="54"/>
    </row>
    <row r="56" spans="1:51">
      <c r="A56" s="53"/>
      <c r="B56" s="56"/>
      <c r="C56" s="67" t="s">
        <v>23</v>
      </c>
      <c r="D56" s="229" t="s">
        <v>1757</v>
      </c>
      <c r="E56" s="68" t="s">
        <v>24</v>
      </c>
      <c r="F56" s="80" t="s">
        <v>72</v>
      </c>
      <c r="G56" s="80" t="s">
        <v>72</v>
      </c>
      <c r="H56" s="80" t="s">
        <v>72</v>
      </c>
      <c r="I56" s="80" t="s">
        <v>72</v>
      </c>
      <c r="J56" s="70">
        <v>0.9</v>
      </c>
      <c r="K56" s="71">
        <v>1</v>
      </c>
      <c r="L56" s="71">
        <v>1</v>
      </c>
      <c r="M56" s="72">
        <v>0.97222222222222199</v>
      </c>
      <c r="N56" s="71">
        <v>0.99417249417249398</v>
      </c>
      <c r="O56" s="73">
        <v>0.9</v>
      </c>
      <c r="P56" s="71">
        <v>0.98080105925190297</v>
      </c>
      <c r="Q56" s="71">
        <v>0.98155498482372205</v>
      </c>
      <c r="R56" s="71">
        <v>0.97338403041825095</v>
      </c>
      <c r="S56" s="71">
        <v>0.97599043205262404</v>
      </c>
      <c r="T56" s="73">
        <v>0.9</v>
      </c>
      <c r="U56" s="71">
        <v>0.92585236676597105</v>
      </c>
      <c r="V56" s="71">
        <v>0.89096427737567097</v>
      </c>
      <c r="W56" s="71">
        <v>0.85585896992741095</v>
      </c>
      <c r="X56" s="71">
        <v>0.90346838092390502</v>
      </c>
      <c r="Y56" s="73">
        <v>0.92</v>
      </c>
      <c r="Z56" s="73">
        <v>0.94533513617925402</v>
      </c>
      <c r="AA56" s="73">
        <v>0.91750503018108698</v>
      </c>
      <c r="AB56" s="73">
        <v>0.90873586844809895</v>
      </c>
      <c r="AC56" s="73">
        <v>0.93673045379989095</v>
      </c>
      <c r="AD56" s="73">
        <v>0.92</v>
      </c>
      <c r="AE56" s="71">
        <v>0.99616858237547901</v>
      </c>
      <c r="AF56" s="71">
        <v>0.998106060606061</v>
      </c>
      <c r="AG56" s="71">
        <v>0.99738789725729204</v>
      </c>
      <c r="AH56" s="71">
        <v>0.96070759526688998</v>
      </c>
      <c r="AI56" s="73">
        <v>0.92</v>
      </c>
      <c r="AJ56" s="71">
        <v>0.96346136707958296</v>
      </c>
      <c r="AK56" s="71">
        <v>0.95758252272364897</v>
      </c>
      <c r="AL56" s="71">
        <v>0.92067217423957903</v>
      </c>
      <c r="AM56" s="71">
        <v>0.95638546300489202</v>
      </c>
      <c r="AN56" s="70">
        <v>0.99</v>
      </c>
      <c r="AO56" s="75">
        <v>1</v>
      </c>
      <c r="AP56" s="75">
        <v>1</v>
      </c>
      <c r="AQ56" s="75">
        <v>1</v>
      </c>
      <c r="AR56" s="75">
        <v>1</v>
      </c>
      <c r="AS56" s="77">
        <v>8.7218210012826203E-2</v>
      </c>
      <c r="AT56" s="79">
        <v>0</v>
      </c>
      <c r="AU56" s="79">
        <v>0.157894736842105</v>
      </c>
      <c r="AV56" s="79">
        <v>0.104166666666667</v>
      </c>
      <c r="AW56" s="79">
        <v>5.6451612903225798E-2</v>
      </c>
      <c r="AX56" s="56"/>
      <c r="AY56" s="54"/>
    </row>
    <row r="57" spans="1:51">
      <c r="A57" s="53"/>
      <c r="B57" s="56"/>
      <c r="C57" s="67" t="s">
        <v>23</v>
      </c>
      <c r="D57" s="229" t="s">
        <v>1757</v>
      </c>
      <c r="E57" s="68" t="s">
        <v>24</v>
      </c>
      <c r="F57" s="80" t="s">
        <v>73</v>
      </c>
      <c r="G57" s="80" t="s">
        <v>73</v>
      </c>
      <c r="H57" s="80" t="s">
        <v>73</v>
      </c>
      <c r="I57" s="80" t="s">
        <v>73</v>
      </c>
      <c r="J57" s="70">
        <v>0.9</v>
      </c>
      <c r="K57" s="71">
        <v>1</v>
      </c>
      <c r="L57" s="71">
        <v>0.98275862068965503</v>
      </c>
      <c r="M57" s="72">
        <v>0.931034482758621</v>
      </c>
      <c r="N57" s="71">
        <v>0.95850622406638997</v>
      </c>
      <c r="O57" s="73">
        <v>0.9</v>
      </c>
      <c r="P57" s="71">
        <v>0.97510925327759801</v>
      </c>
      <c r="Q57" s="71">
        <v>0.98117306299782803</v>
      </c>
      <c r="R57" s="71">
        <v>0.95407214577910004</v>
      </c>
      <c r="S57" s="71">
        <v>0.972262058833817</v>
      </c>
      <c r="T57" s="73">
        <v>0.9</v>
      </c>
      <c r="U57" s="71">
        <v>0.92551776553296605</v>
      </c>
      <c r="V57" s="71">
        <v>0.91914071928554197</v>
      </c>
      <c r="W57" s="71">
        <v>0.86370397917441399</v>
      </c>
      <c r="X57" s="71">
        <v>0.91682115498968098</v>
      </c>
      <c r="Y57" s="73">
        <v>0.92</v>
      </c>
      <c r="Z57" s="73">
        <v>0.95142531356898496</v>
      </c>
      <c r="AA57" s="73">
        <v>0.95257315842583201</v>
      </c>
      <c r="AB57" s="73">
        <v>0.94091847265221895</v>
      </c>
      <c r="AC57" s="73">
        <v>0.951807867670449</v>
      </c>
      <c r="AD57" s="73">
        <v>0.92</v>
      </c>
      <c r="AE57" s="71">
        <v>0.97984161267098602</v>
      </c>
      <c r="AF57" s="71">
        <v>0.96405482286009803</v>
      </c>
      <c r="AG57" s="71">
        <v>0.98311435280012005</v>
      </c>
      <c r="AH57" s="71">
        <v>0.97545838899572801</v>
      </c>
      <c r="AI57" s="73">
        <v>0.92</v>
      </c>
      <c r="AJ57" s="71">
        <v>0.96455958549222798</v>
      </c>
      <c r="AK57" s="71">
        <v>0.97028571428571397</v>
      </c>
      <c r="AL57" s="71">
        <v>0.95926086016857604</v>
      </c>
      <c r="AM57" s="71">
        <v>0.96975124587780404</v>
      </c>
      <c r="AN57" s="70">
        <v>0.99</v>
      </c>
      <c r="AO57" s="75">
        <v>1</v>
      </c>
      <c r="AP57" s="75">
        <v>1</v>
      </c>
      <c r="AQ57" s="75">
        <v>1</v>
      </c>
      <c r="AR57" s="75">
        <v>1</v>
      </c>
      <c r="AS57" s="77">
        <v>8.7218210012826203E-2</v>
      </c>
      <c r="AT57" s="79">
        <v>8.1081081081081099E-2</v>
      </c>
      <c r="AU57" s="79">
        <v>0</v>
      </c>
      <c r="AV57" s="79">
        <v>8.5714285714285701E-2</v>
      </c>
      <c r="AW57" s="79">
        <v>3.7578288100208801E-2</v>
      </c>
      <c r="AX57" s="56"/>
      <c r="AY57" s="54"/>
    </row>
    <row r="58" spans="1:51">
      <c r="A58" s="53"/>
      <c r="B58" s="56"/>
      <c r="C58" s="67" t="s">
        <v>23</v>
      </c>
      <c r="D58" s="229" t="s">
        <v>1757</v>
      </c>
      <c r="E58" s="68" t="s">
        <v>24</v>
      </c>
      <c r="F58" s="80" t="s">
        <v>74</v>
      </c>
      <c r="G58" s="80" t="s">
        <v>74</v>
      </c>
      <c r="H58" s="80" t="s">
        <v>74</v>
      </c>
      <c r="I58" s="80" t="s">
        <v>74</v>
      </c>
      <c r="J58" s="70">
        <v>0.9</v>
      </c>
      <c r="K58" s="71">
        <v>1</v>
      </c>
      <c r="L58" s="71">
        <v>0.9375</v>
      </c>
      <c r="M58" s="72">
        <v>0.81818181818181801</v>
      </c>
      <c r="N58" s="71">
        <v>0.95821727019498604</v>
      </c>
      <c r="O58" s="73">
        <v>0.9</v>
      </c>
      <c r="P58" s="71">
        <v>0.96474358974358998</v>
      </c>
      <c r="Q58" s="71">
        <v>0.968928016571724</v>
      </c>
      <c r="R58" s="71">
        <v>0.94937725994375299</v>
      </c>
      <c r="S58" s="71">
        <v>0.95975448397530105</v>
      </c>
      <c r="T58" s="73">
        <v>0.9</v>
      </c>
      <c r="U58" s="71">
        <v>0.94337606837606802</v>
      </c>
      <c r="V58" s="71">
        <v>0.94407042982910405</v>
      </c>
      <c r="W58" s="71">
        <v>0.92165528324628399</v>
      </c>
      <c r="X58" s="71">
        <v>0.92483828285798297</v>
      </c>
      <c r="Y58" s="73">
        <v>0.92</v>
      </c>
      <c r="Z58" s="73">
        <v>0.97159504734158797</v>
      </c>
      <c r="AA58" s="73">
        <v>0.96693272519954399</v>
      </c>
      <c r="AB58" s="73">
        <v>0.96059341678256804</v>
      </c>
      <c r="AC58" s="73">
        <v>0.96803567237737598</v>
      </c>
      <c r="AD58" s="73">
        <v>0.92</v>
      </c>
      <c r="AE58" s="71">
        <v>0.99706888128969196</v>
      </c>
      <c r="AF58" s="71">
        <v>0.98013245033112595</v>
      </c>
      <c r="AG58" s="71">
        <v>0.97805907172995799</v>
      </c>
      <c r="AH58" s="71">
        <v>0.98372839367152798</v>
      </c>
      <c r="AI58" s="73">
        <v>0.92</v>
      </c>
      <c r="AJ58" s="71">
        <v>0.97134387351778695</v>
      </c>
      <c r="AK58" s="71">
        <v>0.97435897435897401</v>
      </c>
      <c r="AL58" s="71">
        <v>0.965353991822681</v>
      </c>
      <c r="AM58" s="71">
        <v>0.97529414188869001</v>
      </c>
      <c r="AN58" s="70">
        <v>0.99</v>
      </c>
      <c r="AO58" s="75">
        <v>1</v>
      </c>
      <c r="AP58" s="75">
        <v>1</v>
      </c>
      <c r="AQ58" s="75">
        <v>1</v>
      </c>
      <c r="AR58" s="75">
        <v>1</v>
      </c>
      <c r="AS58" s="77">
        <v>8.7218210012826203E-2</v>
      </c>
      <c r="AT58" s="79">
        <v>9.0909090909090898E-2</v>
      </c>
      <c r="AU58" s="79">
        <v>0</v>
      </c>
      <c r="AV58" s="79">
        <v>0.2</v>
      </c>
      <c r="AW58" s="79">
        <v>7.69230769230769E-2</v>
      </c>
      <c r="AX58" s="56"/>
      <c r="AY58" s="54"/>
    </row>
    <row r="59" spans="1:51">
      <c r="A59" s="53"/>
      <c r="B59" s="56"/>
      <c r="C59" s="67" t="s">
        <v>23</v>
      </c>
      <c r="D59" s="229" t="s">
        <v>1757</v>
      </c>
      <c r="E59" s="68" t="s">
        <v>24</v>
      </c>
      <c r="F59" s="80" t="s">
        <v>75</v>
      </c>
      <c r="G59" s="80" t="s">
        <v>75</v>
      </c>
      <c r="H59" s="80" t="s">
        <v>75</v>
      </c>
      <c r="I59" s="80" t="s">
        <v>75</v>
      </c>
      <c r="J59" s="70">
        <v>0.9</v>
      </c>
      <c r="K59" s="71">
        <v>0.94285714285714295</v>
      </c>
      <c r="L59" s="71">
        <v>0.95180722891566305</v>
      </c>
      <c r="M59" s="72">
        <v>0.90361445783132499</v>
      </c>
      <c r="N59" s="71">
        <v>0.88068181818181801</v>
      </c>
      <c r="O59" s="73">
        <v>0.9</v>
      </c>
      <c r="P59" s="71">
        <v>0.86597653554175302</v>
      </c>
      <c r="Q59" s="71">
        <v>0.98542557326078495</v>
      </c>
      <c r="R59" s="71">
        <v>0.86976485320718</v>
      </c>
      <c r="S59" s="71">
        <v>0.94071376547705798</v>
      </c>
      <c r="T59" s="73">
        <v>0.9</v>
      </c>
      <c r="U59" s="71">
        <v>0.70172532781228403</v>
      </c>
      <c r="V59" s="71">
        <v>0.68150019432568998</v>
      </c>
      <c r="W59" s="71">
        <v>0.55085571170168401</v>
      </c>
      <c r="X59" s="71">
        <v>0.65168509567635602</v>
      </c>
      <c r="Y59" s="73">
        <v>0.92</v>
      </c>
      <c r="Z59" s="73">
        <v>0.92074784910655205</v>
      </c>
      <c r="AA59" s="73">
        <v>0.905785123966942</v>
      </c>
      <c r="AB59" s="73">
        <v>0.88230898561554305</v>
      </c>
      <c r="AC59" s="73">
        <v>0.91738334129638499</v>
      </c>
      <c r="AD59" s="73">
        <v>0.92</v>
      </c>
      <c r="AE59" s="71">
        <v>0.98995777701700305</v>
      </c>
      <c r="AF59" s="71">
        <v>0.99489274770173597</v>
      </c>
      <c r="AG59" s="71">
        <v>0.99794397327165296</v>
      </c>
      <c r="AH59" s="71">
        <v>0.99621610258566295</v>
      </c>
      <c r="AI59" s="73">
        <v>0.92</v>
      </c>
      <c r="AJ59" s="71">
        <v>0.94093747648784898</v>
      </c>
      <c r="AK59" s="71">
        <v>0.93602960613269903</v>
      </c>
      <c r="AL59" s="71">
        <v>0.90072561996651002</v>
      </c>
      <c r="AM59" s="71">
        <v>0.94108244799287499</v>
      </c>
      <c r="AN59" s="70">
        <v>0.99</v>
      </c>
      <c r="AO59" s="75">
        <v>1</v>
      </c>
      <c r="AP59" s="75">
        <v>1</v>
      </c>
      <c r="AQ59" s="75">
        <v>1</v>
      </c>
      <c r="AR59" s="75">
        <v>1</v>
      </c>
      <c r="AS59" s="77">
        <v>8.7218210012826203E-2</v>
      </c>
      <c r="AT59" s="79">
        <v>6.9767441860465101E-2</v>
      </c>
      <c r="AU59" s="79">
        <v>0.2</v>
      </c>
      <c r="AV59" s="79">
        <v>0</v>
      </c>
      <c r="AW59" s="79">
        <v>6.7484662576687102E-2</v>
      </c>
      <c r="AX59" s="56"/>
      <c r="AY59" s="54"/>
    </row>
    <row r="60" spans="1:51">
      <c r="A60" s="53"/>
      <c r="B60" s="56"/>
      <c r="C60" s="67" t="s">
        <v>23</v>
      </c>
      <c r="D60" s="229" t="s">
        <v>1757</v>
      </c>
      <c r="E60" s="68" t="s">
        <v>24</v>
      </c>
      <c r="F60" s="80" t="s">
        <v>76</v>
      </c>
      <c r="G60" s="80" t="s">
        <v>76</v>
      </c>
      <c r="H60" s="80" t="s">
        <v>76</v>
      </c>
      <c r="I60" s="80" t="s">
        <v>76</v>
      </c>
      <c r="J60" s="70">
        <v>0.9</v>
      </c>
      <c r="K60" s="71">
        <v>0.95</v>
      </c>
      <c r="L60" s="71">
        <v>0.95522388059701502</v>
      </c>
      <c r="M60" s="72">
        <v>0.92307692307692302</v>
      </c>
      <c r="N60" s="71">
        <v>0.94052044609665397</v>
      </c>
      <c r="O60" s="73">
        <v>0.9</v>
      </c>
      <c r="P60" s="71">
        <v>0.94176680311633398</v>
      </c>
      <c r="Q60" s="71">
        <v>0.87862660944205995</v>
      </c>
      <c r="R60" s="71">
        <v>0.95249783424776202</v>
      </c>
      <c r="S60" s="71">
        <v>0.93947478007391605</v>
      </c>
      <c r="T60" s="73">
        <v>0.9</v>
      </c>
      <c r="U60" s="71">
        <v>0.77881949029446695</v>
      </c>
      <c r="V60" s="71">
        <v>0.77047210300429203</v>
      </c>
      <c r="W60" s="71">
        <v>0.64077389546635899</v>
      </c>
      <c r="X60" s="71">
        <v>0.73994065899744899</v>
      </c>
      <c r="Y60" s="73">
        <v>0.92</v>
      </c>
      <c r="Z60" s="73">
        <v>0.92397355601948505</v>
      </c>
      <c r="AA60" s="73">
        <v>0.94148244473342002</v>
      </c>
      <c r="AB60" s="73">
        <v>0.94432169686257195</v>
      </c>
      <c r="AC60" s="73">
        <v>0.94951122335677396</v>
      </c>
      <c r="AD60" s="73">
        <v>0.92</v>
      </c>
      <c r="AE60" s="71">
        <v>0.97722756149209999</v>
      </c>
      <c r="AF60" s="71">
        <v>0.98089371476299902</v>
      </c>
      <c r="AG60" s="71">
        <v>0.96243822075782504</v>
      </c>
      <c r="AH60" s="71">
        <v>0.98557088369798296</v>
      </c>
      <c r="AI60" s="73">
        <v>0.92</v>
      </c>
      <c r="AJ60" s="71">
        <v>0.93356354628030902</v>
      </c>
      <c r="AK60" s="71">
        <v>0.95229312676749001</v>
      </c>
      <c r="AL60" s="71">
        <v>0.95520824238190905</v>
      </c>
      <c r="AM60" s="71">
        <v>0.96219253950154704</v>
      </c>
      <c r="AN60" s="70">
        <v>0.99</v>
      </c>
      <c r="AO60" s="75">
        <v>1</v>
      </c>
      <c r="AP60" s="75">
        <v>1</v>
      </c>
      <c r="AQ60" s="75">
        <v>1</v>
      </c>
      <c r="AR60" s="75">
        <v>1</v>
      </c>
      <c r="AS60" s="77">
        <v>8.7218210012826203E-2</v>
      </c>
      <c r="AT60" s="79">
        <v>6.6666666666666693E-2</v>
      </c>
      <c r="AU60" s="79">
        <v>9.5238095238095205E-2</v>
      </c>
      <c r="AV60" s="79">
        <v>6.3829787234042507E-2</v>
      </c>
      <c r="AW60" s="79">
        <v>4.2769857433808602E-2</v>
      </c>
      <c r="AX60" s="56"/>
      <c r="AY60" s="54"/>
    </row>
    <row r="61" spans="1:51">
      <c r="A61" s="53"/>
      <c r="B61" s="56"/>
      <c r="C61" s="67" t="s">
        <v>23</v>
      </c>
      <c r="D61" s="229" t="s">
        <v>1757</v>
      </c>
      <c r="E61" s="68" t="s">
        <v>24</v>
      </c>
      <c r="F61" s="80" t="s">
        <v>77</v>
      </c>
      <c r="G61" s="80" t="s">
        <v>77</v>
      </c>
      <c r="H61" s="80" t="s">
        <v>77</v>
      </c>
      <c r="I61" s="80" t="s">
        <v>77</v>
      </c>
      <c r="J61" s="70">
        <v>0.9</v>
      </c>
      <c r="K61" s="71">
        <v>0.98850574712643702</v>
      </c>
      <c r="L61" s="71">
        <v>0.93333333333333302</v>
      </c>
      <c r="M61" s="72">
        <v>0.92</v>
      </c>
      <c r="N61" s="71">
        <v>0.93877551020408201</v>
      </c>
      <c r="O61" s="73">
        <v>0.9</v>
      </c>
      <c r="P61" s="71">
        <v>0.97212946313896698</v>
      </c>
      <c r="Q61" s="71">
        <v>0.89951513124895499</v>
      </c>
      <c r="R61" s="71">
        <v>0.97746035906172202</v>
      </c>
      <c r="S61" s="71">
        <v>0.96447883871277895</v>
      </c>
      <c r="T61" s="73">
        <v>0.9</v>
      </c>
      <c r="U61" s="71">
        <v>0.86000513742614904</v>
      </c>
      <c r="V61" s="71">
        <v>0.86875104497575695</v>
      </c>
      <c r="W61" s="71">
        <v>0.79923994234045304</v>
      </c>
      <c r="X61" s="71">
        <v>0.83036121992838097</v>
      </c>
      <c r="Y61" s="73">
        <v>0.92</v>
      </c>
      <c r="Z61" s="73">
        <v>0.95380205698870302</v>
      </c>
      <c r="AA61" s="73">
        <v>0.94363166953528399</v>
      </c>
      <c r="AB61" s="73">
        <v>0.94060631057950095</v>
      </c>
      <c r="AC61" s="73">
        <v>0.95130144426117402</v>
      </c>
      <c r="AD61" s="73">
        <v>0.92</v>
      </c>
      <c r="AE61" s="71">
        <v>0.99301527169409298</v>
      </c>
      <c r="AF61" s="71">
        <v>0.97193280884541799</v>
      </c>
      <c r="AG61" s="71">
        <v>0.99248329621380804</v>
      </c>
      <c r="AH61" s="71">
        <v>0.97206717101597095</v>
      </c>
      <c r="AI61" s="73">
        <v>0.92</v>
      </c>
      <c r="AJ61" s="71">
        <v>0.95946635561711702</v>
      </c>
      <c r="AK61" s="71">
        <v>0.96074653822998202</v>
      </c>
      <c r="AL61" s="71">
        <v>0.95833333333333304</v>
      </c>
      <c r="AM61" s="71">
        <v>0.96526513726965002</v>
      </c>
      <c r="AN61" s="70">
        <v>0.99</v>
      </c>
      <c r="AO61" s="75">
        <v>1</v>
      </c>
      <c r="AP61" s="75">
        <v>1</v>
      </c>
      <c r="AQ61" s="75">
        <v>1</v>
      </c>
      <c r="AR61" s="75">
        <v>0.99867608120035301</v>
      </c>
      <c r="AS61" s="77">
        <v>8.7218210012826203E-2</v>
      </c>
      <c r="AT61" s="79">
        <v>0.13559322033898299</v>
      </c>
      <c r="AU61" s="79">
        <v>6.6666666666666693E-2</v>
      </c>
      <c r="AV61" s="79">
        <v>3.4482758620689703E-2</v>
      </c>
      <c r="AW61" s="79">
        <v>8.0717488789237707E-2</v>
      </c>
      <c r="AX61" s="56"/>
      <c r="AY61" s="54"/>
    </row>
    <row r="62" spans="1:51">
      <c r="A62" s="53"/>
      <c r="B62" s="56"/>
      <c r="C62" s="67" t="s">
        <v>23</v>
      </c>
      <c r="D62" s="229" t="s">
        <v>1758</v>
      </c>
      <c r="E62" s="68" t="s">
        <v>24</v>
      </c>
      <c r="F62" s="80" t="s">
        <v>78</v>
      </c>
      <c r="G62" s="80" t="s">
        <v>78</v>
      </c>
      <c r="H62" s="80" t="s">
        <v>78</v>
      </c>
      <c r="I62" s="80" t="s">
        <v>78</v>
      </c>
      <c r="J62" s="70">
        <v>0.9</v>
      </c>
      <c r="K62" s="71">
        <v>0.93333333333333302</v>
      </c>
      <c r="L62" s="71">
        <v>0.85714285714285698</v>
      </c>
      <c r="M62" s="72">
        <v>0.64516129032258096</v>
      </c>
      <c r="N62" s="71">
        <v>0.808857808857809</v>
      </c>
      <c r="O62" s="73">
        <v>0.9</v>
      </c>
      <c r="P62" s="71">
        <v>0.98227925450656906</v>
      </c>
      <c r="Q62" s="71">
        <v>0.94498669032830496</v>
      </c>
      <c r="R62" s="71">
        <v>0.95846444304594103</v>
      </c>
      <c r="S62" s="71">
        <v>0.97346012803779003</v>
      </c>
      <c r="T62" s="73">
        <v>0.9</v>
      </c>
      <c r="U62" s="71">
        <v>0.73968835930339105</v>
      </c>
      <c r="V62" s="71">
        <v>0.60248447204968902</v>
      </c>
      <c r="W62" s="71">
        <v>0.351164254247955</v>
      </c>
      <c r="X62" s="71">
        <v>0.61209522033687602</v>
      </c>
      <c r="Y62" s="73">
        <v>0.92</v>
      </c>
      <c r="Z62" s="73">
        <v>0.93691950464396301</v>
      </c>
      <c r="AA62" s="73">
        <v>0.91798418972331997</v>
      </c>
      <c r="AB62" s="73">
        <v>0.74985931344963397</v>
      </c>
      <c r="AC62" s="73">
        <v>0.876379892345589</v>
      </c>
      <c r="AD62" s="73">
        <v>0.92</v>
      </c>
      <c r="AE62" s="71">
        <v>0.92079207920792105</v>
      </c>
      <c r="AF62" s="71">
        <v>0.986928104575163</v>
      </c>
      <c r="AG62" s="71">
        <v>0.76190476190476197</v>
      </c>
      <c r="AH62" s="71">
        <v>0.91443298969072195</v>
      </c>
      <c r="AI62" s="73">
        <v>0.92</v>
      </c>
      <c r="AJ62" s="71">
        <v>0.95475499402424402</v>
      </c>
      <c r="AK62" s="71">
        <v>0.95499081445192902</v>
      </c>
      <c r="AL62" s="71">
        <v>0.73653509624732605</v>
      </c>
      <c r="AM62" s="71">
        <v>0.90105726220842097</v>
      </c>
      <c r="AN62" s="70">
        <v>0.99</v>
      </c>
      <c r="AO62" s="75">
        <v>1</v>
      </c>
      <c r="AP62" s="75">
        <v>1</v>
      </c>
      <c r="AQ62" s="75">
        <v>1</v>
      </c>
      <c r="AR62" s="75">
        <v>1</v>
      </c>
      <c r="AS62" s="77">
        <v>8.7218210012826203E-2</v>
      </c>
      <c r="AT62" s="79">
        <v>0</v>
      </c>
      <c r="AU62" s="79">
        <v>7.4074074074074098E-2</v>
      </c>
      <c r="AV62" s="79">
        <v>0</v>
      </c>
      <c r="AW62" s="79">
        <v>3.1872509960159397E-2</v>
      </c>
      <c r="AX62" s="56"/>
      <c r="AY62" s="54"/>
    </row>
    <row r="63" spans="1:51">
      <c r="A63" s="53"/>
      <c r="B63" s="56"/>
      <c r="C63" s="67" t="s">
        <v>23</v>
      </c>
      <c r="D63" s="229" t="s">
        <v>1757</v>
      </c>
      <c r="E63" s="68" t="s">
        <v>24</v>
      </c>
      <c r="F63" s="80" t="s">
        <v>79</v>
      </c>
      <c r="G63" s="80" t="s">
        <v>79</v>
      </c>
      <c r="H63" s="80" t="s">
        <v>79</v>
      </c>
      <c r="I63" s="80" t="s">
        <v>79</v>
      </c>
      <c r="J63" s="70">
        <v>0.9</v>
      </c>
      <c r="K63" s="71">
        <v>0.98888888888888904</v>
      </c>
      <c r="L63" s="71">
        <v>0.78749999999999998</v>
      </c>
      <c r="M63" s="72">
        <v>0.92682926829268297</v>
      </c>
      <c r="N63" s="71">
        <v>0.88743718592964804</v>
      </c>
      <c r="O63" s="73">
        <v>0.9</v>
      </c>
      <c r="P63" s="71">
        <v>0.977233201581028</v>
      </c>
      <c r="Q63" s="71">
        <v>0.99055304074001205</v>
      </c>
      <c r="R63" s="71">
        <v>0.95839091048671898</v>
      </c>
      <c r="S63" s="71">
        <v>0.98184654658913595</v>
      </c>
      <c r="T63" s="73">
        <v>0.9</v>
      </c>
      <c r="U63" s="71">
        <v>0.80616600790513804</v>
      </c>
      <c r="V63" s="71">
        <v>0.78921472151151395</v>
      </c>
      <c r="W63" s="71">
        <v>0.81176109319821899</v>
      </c>
      <c r="X63" s="71">
        <v>0.83625017727981799</v>
      </c>
      <c r="Y63" s="73">
        <v>0.92</v>
      </c>
      <c r="Z63" s="73">
        <v>0.92583853025450902</v>
      </c>
      <c r="AA63" s="73">
        <v>0.90850463522773095</v>
      </c>
      <c r="AB63" s="73">
        <v>0.91751527494908303</v>
      </c>
      <c r="AC63" s="73">
        <v>0.92832534909795095</v>
      </c>
      <c r="AD63" s="73">
        <v>0.92</v>
      </c>
      <c r="AE63" s="71">
        <v>0.99440167949615099</v>
      </c>
      <c r="AF63" s="71">
        <v>0.98336017176596902</v>
      </c>
      <c r="AG63" s="71">
        <v>0.98787878787878802</v>
      </c>
      <c r="AH63" s="71">
        <v>0.98436231805638197</v>
      </c>
      <c r="AI63" s="73">
        <v>0.92</v>
      </c>
      <c r="AJ63" s="71">
        <v>0.93923327895595399</v>
      </c>
      <c r="AK63" s="71">
        <v>0.94274758693640104</v>
      </c>
      <c r="AL63" s="71">
        <v>0.93934885349203601</v>
      </c>
      <c r="AM63" s="71">
        <v>0.95267484549704395</v>
      </c>
      <c r="AN63" s="70">
        <v>0.99</v>
      </c>
      <c r="AO63" s="75">
        <v>1</v>
      </c>
      <c r="AP63" s="75">
        <v>1</v>
      </c>
      <c r="AQ63" s="75">
        <v>1</v>
      </c>
      <c r="AR63" s="75">
        <v>1</v>
      </c>
      <c r="AS63" s="77">
        <v>8.7218210012826203E-2</v>
      </c>
      <c r="AT63" s="79">
        <v>7.4074074074074098E-2</v>
      </c>
      <c r="AU63" s="79">
        <v>8.3333333333333301E-2</v>
      </c>
      <c r="AV63" s="79">
        <v>6.5573770491803296E-2</v>
      </c>
      <c r="AW63" s="79">
        <v>6.8907563025210103E-2</v>
      </c>
      <c r="AX63" s="56"/>
      <c r="AY63" s="54"/>
    </row>
    <row r="64" spans="1:51">
      <c r="A64" s="53"/>
      <c r="B64" s="56"/>
      <c r="C64" s="67" t="s">
        <v>23</v>
      </c>
      <c r="D64" s="229" t="s">
        <v>1757</v>
      </c>
      <c r="E64" s="68" t="s">
        <v>24</v>
      </c>
      <c r="F64" s="80" t="s">
        <v>80</v>
      </c>
      <c r="G64" s="80" t="s">
        <v>80</v>
      </c>
      <c r="H64" s="80" t="s">
        <v>80</v>
      </c>
      <c r="I64" s="80" t="s">
        <v>80</v>
      </c>
      <c r="J64" s="70">
        <v>0.9</v>
      </c>
      <c r="K64" s="71">
        <v>0.92800000000000005</v>
      </c>
      <c r="L64" s="71">
        <v>0.93333333333333302</v>
      </c>
      <c r="M64" s="72">
        <v>0.93333333333333302</v>
      </c>
      <c r="N64" s="71">
        <v>0.92649434571890099</v>
      </c>
      <c r="O64" s="73">
        <v>0.9</v>
      </c>
      <c r="P64" s="71">
        <v>0.96903052064632</v>
      </c>
      <c r="Q64" s="71">
        <v>0.97619047619047605</v>
      </c>
      <c r="R64" s="71">
        <v>0.96092278719397395</v>
      </c>
      <c r="S64" s="71">
        <v>0.956412017167382</v>
      </c>
      <c r="T64" s="73">
        <v>0.9</v>
      </c>
      <c r="U64" s="71">
        <v>0.83931777378815098</v>
      </c>
      <c r="V64" s="71">
        <v>0.87163561076604601</v>
      </c>
      <c r="W64" s="71">
        <v>0.72184557438794705</v>
      </c>
      <c r="X64" s="71">
        <v>0.77502145922746801</v>
      </c>
      <c r="Y64" s="73">
        <v>0.92</v>
      </c>
      <c r="Z64" s="73">
        <v>0.95484392362864901</v>
      </c>
      <c r="AA64" s="73">
        <v>0.95340050377833796</v>
      </c>
      <c r="AB64" s="73">
        <v>0.92555932203389801</v>
      </c>
      <c r="AC64" s="73">
        <v>0.94446115562361599</v>
      </c>
      <c r="AD64" s="73">
        <v>0.92</v>
      </c>
      <c r="AE64" s="71">
        <v>0.99643256169512096</v>
      </c>
      <c r="AF64" s="71">
        <v>0.96546580354629896</v>
      </c>
      <c r="AG64" s="71">
        <v>0.99554022715109702</v>
      </c>
      <c r="AH64" s="71">
        <v>0.97998072738179598</v>
      </c>
      <c r="AI64" s="73">
        <v>0.92</v>
      </c>
      <c r="AJ64" s="71">
        <v>0.96739698683522601</v>
      </c>
      <c r="AK64" s="71">
        <v>0.96489666765549298</v>
      </c>
      <c r="AL64" s="71">
        <v>0.94043451686392199</v>
      </c>
      <c r="AM64" s="71">
        <v>0.96202231314324305</v>
      </c>
      <c r="AN64" s="70">
        <v>0.99</v>
      </c>
      <c r="AO64" s="75">
        <v>0.99932019034670305</v>
      </c>
      <c r="AP64" s="75">
        <v>1</v>
      </c>
      <c r="AQ64" s="75">
        <v>1</v>
      </c>
      <c r="AR64" s="75">
        <v>0.99991166858051395</v>
      </c>
      <c r="AS64" s="77">
        <v>8.7218210012826203E-2</v>
      </c>
      <c r="AT64" s="79">
        <v>0.11864406779661001</v>
      </c>
      <c r="AU64" s="79">
        <v>0.19672131147541</v>
      </c>
      <c r="AV64" s="79">
        <v>6.0606060606060601E-2</v>
      </c>
      <c r="AW64" s="79">
        <v>6.4020486555697795E-2</v>
      </c>
      <c r="AX64" s="56"/>
      <c r="AY64" s="54"/>
    </row>
    <row r="65" spans="1:51">
      <c r="A65" s="53"/>
      <c r="B65" s="56"/>
      <c r="C65" s="67" t="s">
        <v>23</v>
      </c>
      <c r="D65" s="229" t="s">
        <v>1757</v>
      </c>
      <c r="E65" s="68" t="s">
        <v>24</v>
      </c>
      <c r="F65" s="80" t="s">
        <v>81</v>
      </c>
      <c r="G65" s="80" t="s">
        <v>81</v>
      </c>
      <c r="H65" s="80" t="s">
        <v>81</v>
      </c>
      <c r="I65" s="80" t="s">
        <v>81</v>
      </c>
      <c r="J65" s="70">
        <v>0.9</v>
      </c>
      <c r="K65" s="71">
        <v>0.8</v>
      </c>
      <c r="L65" s="71">
        <v>0.77777777777777801</v>
      </c>
      <c r="M65" s="72">
        <v>0.83333333333333304</v>
      </c>
      <c r="N65" s="71">
        <v>0.833720930232558</v>
      </c>
      <c r="O65" s="73">
        <v>0.9</v>
      </c>
      <c r="P65" s="71">
        <v>0.98201498751040806</v>
      </c>
      <c r="Q65" s="71">
        <v>0.50603941513032402</v>
      </c>
      <c r="R65" s="71">
        <v>0.98050601410203198</v>
      </c>
      <c r="S65" s="71">
        <v>0.92636602550666702</v>
      </c>
      <c r="T65" s="73">
        <v>0.9</v>
      </c>
      <c r="U65" s="71">
        <v>0.67893422148209803</v>
      </c>
      <c r="V65" s="71">
        <v>0.76757787666878596</v>
      </c>
      <c r="W65" s="71">
        <v>0.44214019079220201</v>
      </c>
      <c r="X65" s="71">
        <v>0.66098060396949498</v>
      </c>
      <c r="Y65" s="73">
        <v>0.92</v>
      </c>
      <c r="Z65" s="73">
        <v>0.89110117838277103</v>
      </c>
      <c r="AA65" s="73">
        <v>0.93783860849729095</v>
      </c>
      <c r="AB65" s="73">
        <v>0.66073194856577599</v>
      </c>
      <c r="AC65" s="73">
        <v>0.87013267436001995</v>
      </c>
      <c r="AD65" s="73">
        <v>0.92</v>
      </c>
      <c r="AE65" s="71">
        <v>0.93501299740052002</v>
      </c>
      <c r="AF65" s="71">
        <v>0.51832460732984298</v>
      </c>
      <c r="AG65" s="71">
        <v>0.88609583660644098</v>
      </c>
      <c r="AH65" s="71">
        <v>0.85652646189125603</v>
      </c>
      <c r="AI65" s="73">
        <v>0.92</v>
      </c>
      <c r="AJ65" s="71">
        <v>0.91232726274366205</v>
      </c>
      <c r="AK65" s="71">
        <v>0.95638793634045505</v>
      </c>
      <c r="AL65" s="71">
        <v>0.71575865580448095</v>
      </c>
      <c r="AM65" s="71">
        <v>0.90112041036717105</v>
      </c>
      <c r="AN65" s="70">
        <v>0.99</v>
      </c>
      <c r="AO65" s="75">
        <v>1</v>
      </c>
      <c r="AP65" s="75">
        <v>1</v>
      </c>
      <c r="AQ65" s="75">
        <v>1</v>
      </c>
      <c r="AR65" s="75">
        <v>1</v>
      </c>
      <c r="AS65" s="77">
        <v>8.7218210012826203E-2</v>
      </c>
      <c r="AT65" s="79">
        <v>0.38461538461538503</v>
      </c>
      <c r="AU65" s="79">
        <v>4.2553191489361701E-2</v>
      </c>
      <c r="AV65" s="79">
        <v>5.5555555555555601E-2</v>
      </c>
      <c r="AW65" s="79">
        <v>6.8888888888888902E-2</v>
      </c>
      <c r="AX65" s="56"/>
      <c r="AY65" s="54"/>
    </row>
    <row r="66" spans="1:51">
      <c r="A66" s="53"/>
      <c r="B66" s="56"/>
      <c r="C66" s="67" t="s">
        <v>23</v>
      </c>
      <c r="D66" s="229" t="s">
        <v>1757</v>
      </c>
      <c r="E66" s="68" t="s">
        <v>24</v>
      </c>
      <c r="F66" s="80" t="s">
        <v>82</v>
      </c>
      <c r="G66" s="80" t="s">
        <v>82</v>
      </c>
      <c r="H66" s="80" t="s">
        <v>82</v>
      </c>
      <c r="I66" s="80" t="s">
        <v>82</v>
      </c>
      <c r="J66" s="70">
        <v>0.9</v>
      </c>
      <c r="K66" s="71">
        <v>0.94827586206896597</v>
      </c>
      <c r="L66" s="71">
        <v>0.88235294117647101</v>
      </c>
      <c r="M66" s="72">
        <v>0.86</v>
      </c>
      <c r="N66" s="71">
        <v>0.94576271186440697</v>
      </c>
      <c r="O66" s="73">
        <v>0.9</v>
      </c>
      <c r="P66" s="71">
        <v>0.95401174168297498</v>
      </c>
      <c r="Q66" s="71">
        <v>0.955378350865287</v>
      </c>
      <c r="R66" s="71">
        <v>0.96851321771342003</v>
      </c>
      <c r="S66" s="71">
        <v>0.96668602916934898</v>
      </c>
      <c r="T66" s="73">
        <v>0.9</v>
      </c>
      <c r="U66" s="71">
        <v>0.87785388127853903</v>
      </c>
      <c r="V66" s="71">
        <v>0.84000678656260597</v>
      </c>
      <c r="W66" s="71">
        <v>0.78127630914295298</v>
      </c>
      <c r="X66" s="71">
        <v>0.82336687756095295</v>
      </c>
      <c r="Y66" s="73">
        <v>0.92</v>
      </c>
      <c r="Z66" s="73">
        <v>0.94975305990981296</v>
      </c>
      <c r="AA66" s="73">
        <v>0.96848030018761699</v>
      </c>
      <c r="AB66" s="73">
        <v>0.92136839417921901</v>
      </c>
      <c r="AC66" s="73">
        <v>0.96115976576669904</v>
      </c>
      <c r="AD66" s="73">
        <v>0.92</v>
      </c>
      <c r="AE66" s="71">
        <v>0.99843716446756203</v>
      </c>
      <c r="AF66" s="71">
        <v>0.98691722516682001</v>
      </c>
      <c r="AG66" s="71">
        <v>0.99864343306966297</v>
      </c>
      <c r="AH66" s="71">
        <v>0.98863716069299301</v>
      </c>
      <c r="AI66" s="73">
        <v>0.92</v>
      </c>
      <c r="AJ66" s="71">
        <v>0.95062986291218998</v>
      </c>
      <c r="AK66" s="71">
        <v>0.96999065857076106</v>
      </c>
      <c r="AL66" s="71">
        <v>0.92860040567951296</v>
      </c>
      <c r="AM66" s="71">
        <v>0.96687906804010904</v>
      </c>
      <c r="AN66" s="70">
        <v>0.99</v>
      </c>
      <c r="AO66" s="75">
        <v>1</v>
      </c>
      <c r="AP66" s="75">
        <v>1</v>
      </c>
      <c r="AQ66" s="75">
        <v>1</v>
      </c>
      <c r="AR66" s="75">
        <v>1</v>
      </c>
      <c r="AS66" s="77">
        <v>8.7218210012826203E-2</v>
      </c>
      <c r="AT66" s="79">
        <v>2.7027027027027001E-2</v>
      </c>
      <c r="AU66" s="79">
        <v>6.8965517241379296E-2</v>
      </c>
      <c r="AV66" s="79">
        <v>0.107142857142857</v>
      </c>
      <c r="AW66" s="79">
        <v>5.5408970976253302E-2</v>
      </c>
      <c r="AX66" s="56"/>
      <c r="AY66" s="54"/>
    </row>
    <row r="67" spans="1:51">
      <c r="A67" s="53"/>
      <c r="B67" s="56"/>
      <c r="C67" s="67" t="s">
        <v>23</v>
      </c>
      <c r="D67" s="229" t="s">
        <v>1757</v>
      </c>
      <c r="E67" s="68" t="s">
        <v>24</v>
      </c>
      <c r="F67" s="80" t="s">
        <v>83</v>
      </c>
      <c r="G67" s="80" t="s">
        <v>83</v>
      </c>
      <c r="H67" s="80" t="s">
        <v>83</v>
      </c>
      <c r="I67" s="80" t="s">
        <v>83</v>
      </c>
      <c r="J67" s="70">
        <v>0.9</v>
      </c>
      <c r="K67" s="71" t="s">
        <v>1710</v>
      </c>
      <c r="L67" s="71" t="s">
        <v>1710</v>
      </c>
      <c r="M67" s="72" t="s">
        <v>1710</v>
      </c>
      <c r="N67" s="71" t="s">
        <v>1710</v>
      </c>
      <c r="O67" s="73">
        <v>0.9</v>
      </c>
      <c r="P67" s="71">
        <v>0</v>
      </c>
      <c r="Q67" s="71">
        <v>0</v>
      </c>
      <c r="R67" s="71">
        <v>0.90285714285714302</v>
      </c>
      <c r="S67" s="71">
        <v>0.91759319816873797</v>
      </c>
      <c r="T67" s="73">
        <v>0.9</v>
      </c>
      <c r="U67" s="71">
        <v>1</v>
      </c>
      <c r="V67" s="71">
        <v>1</v>
      </c>
      <c r="W67" s="71">
        <v>0.97714285714285698</v>
      </c>
      <c r="X67" s="71">
        <v>0.98070634401569701</v>
      </c>
      <c r="Y67" s="73">
        <v>0.92</v>
      </c>
      <c r="Z67" s="73">
        <v>1</v>
      </c>
      <c r="AA67" s="73">
        <v>1</v>
      </c>
      <c r="AB67" s="73">
        <v>1</v>
      </c>
      <c r="AC67" s="73">
        <v>0.98811292719167898</v>
      </c>
      <c r="AD67" s="73">
        <v>0.92</v>
      </c>
      <c r="AE67" s="71" t="s">
        <v>1710</v>
      </c>
      <c r="AF67" s="71" t="s">
        <v>1710</v>
      </c>
      <c r="AG67" s="71" t="s">
        <v>1710</v>
      </c>
      <c r="AH67" s="71">
        <v>0.83333333333333304</v>
      </c>
      <c r="AI67" s="73">
        <v>0.92</v>
      </c>
      <c r="AJ67" s="71">
        <v>1</v>
      </c>
      <c r="AK67" s="71">
        <v>1</v>
      </c>
      <c r="AL67" s="71">
        <v>1</v>
      </c>
      <c r="AM67" s="71">
        <v>0.98665158371040695</v>
      </c>
      <c r="AN67" s="70">
        <v>0.99</v>
      </c>
      <c r="AO67" s="75" t="s">
        <v>1710</v>
      </c>
      <c r="AP67" s="75" t="s">
        <v>1710</v>
      </c>
      <c r="AQ67" s="75" t="s">
        <v>1710</v>
      </c>
      <c r="AR67" s="75">
        <v>1</v>
      </c>
      <c r="AS67" s="77">
        <v>8.7218210012826203E-2</v>
      </c>
      <c r="AT67" s="79" t="s">
        <v>1710</v>
      </c>
      <c r="AU67" s="79" t="s">
        <v>1710</v>
      </c>
      <c r="AV67" s="79">
        <v>0</v>
      </c>
      <c r="AW67" s="79">
        <v>3</v>
      </c>
      <c r="AX67" s="56"/>
      <c r="AY67" s="54"/>
    </row>
    <row r="68" spans="1:51">
      <c r="A68" s="53"/>
      <c r="B68" s="56"/>
      <c r="C68" s="67" t="s">
        <v>23</v>
      </c>
      <c r="D68" s="229" t="s">
        <v>1757</v>
      </c>
      <c r="E68" s="68" t="s">
        <v>24</v>
      </c>
      <c r="F68" s="80" t="s">
        <v>84</v>
      </c>
      <c r="G68" s="80" t="s">
        <v>84</v>
      </c>
      <c r="H68" s="80" t="s">
        <v>84</v>
      </c>
      <c r="I68" s="80" t="s">
        <v>84</v>
      </c>
      <c r="J68" s="70">
        <v>0.9</v>
      </c>
      <c r="K68" s="71">
        <v>0.92307692307692302</v>
      </c>
      <c r="L68" s="71">
        <v>0.91249999999999998</v>
      </c>
      <c r="M68" s="72">
        <v>0.92207792207792205</v>
      </c>
      <c r="N68" s="71">
        <v>0.92986184909670599</v>
      </c>
      <c r="O68" s="73">
        <v>0.9</v>
      </c>
      <c r="P68" s="71">
        <v>0.99235822496313197</v>
      </c>
      <c r="Q68" s="71">
        <v>0.99654218533886596</v>
      </c>
      <c r="R68" s="71">
        <v>0.98124162572577001</v>
      </c>
      <c r="S68" s="71">
        <v>0.96553741288977102</v>
      </c>
      <c r="T68" s="73">
        <v>0.9</v>
      </c>
      <c r="U68" s="71">
        <v>0.78455557045180302</v>
      </c>
      <c r="V68" s="71">
        <v>0.74982710926694296</v>
      </c>
      <c r="W68" s="71">
        <v>0.65684085157064198</v>
      </c>
      <c r="X68" s="71">
        <v>0.73412940637875801</v>
      </c>
      <c r="Y68" s="73">
        <v>0.92</v>
      </c>
      <c r="Z68" s="73">
        <v>0.936480278789799</v>
      </c>
      <c r="AA68" s="73">
        <v>0.920844327176781</v>
      </c>
      <c r="AB68" s="73">
        <v>0.86569316747791603</v>
      </c>
      <c r="AC68" s="73">
        <v>0.90955634683860997</v>
      </c>
      <c r="AD68" s="73">
        <v>0.92</v>
      </c>
      <c r="AE68" s="71">
        <v>0.99470899470899499</v>
      </c>
      <c r="AF68" s="71">
        <v>0.958666666666667</v>
      </c>
      <c r="AG68" s="71">
        <v>0.97199059225999596</v>
      </c>
      <c r="AH68" s="71">
        <v>0.97435021207309003</v>
      </c>
      <c r="AI68" s="73">
        <v>0.92</v>
      </c>
      <c r="AJ68" s="71">
        <v>0.94220996079570196</v>
      </c>
      <c r="AK68" s="71">
        <v>0.93919639682351597</v>
      </c>
      <c r="AL68" s="71">
        <v>0.88067487162767999</v>
      </c>
      <c r="AM68" s="71">
        <v>0.92903517233987198</v>
      </c>
      <c r="AN68" s="70">
        <v>0.99</v>
      </c>
      <c r="AO68" s="75">
        <v>1</v>
      </c>
      <c r="AP68" s="75">
        <v>1</v>
      </c>
      <c r="AQ68" s="75">
        <v>1</v>
      </c>
      <c r="AR68" s="75">
        <v>1</v>
      </c>
      <c r="AS68" s="77">
        <v>8.7218210012826203E-2</v>
      </c>
      <c r="AT68" s="79">
        <v>0.128571428571429</v>
      </c>
      <c r="AU68" s="79">
        <v>0.164948453608247</v>
      </c>
      <c r="AV68" s="79">
        <v>7.9545454545454503E-2</v>
      </c>
      <c r="AW68" s="79">
        <v>7.0114942528735597E-2</v>
      </c>
      <c r="AX68" s="56"/>
      <c r="AY68" s="54"/>
    </row>
    <row r="69" spans="1:51">
      <c r="A69" s="53"/>
      <c r="B69" s="56"/>
      <c r="C69" s="67" t="s">
        <v>23</v>
      </c>
      <c r="D69" s="229" t="s">
        <v>1757</v>
      </c>
      <c r="E69" s="68" t="s">
        <v>24</v>
      </c>
      <c r="F69" s="80" t="s">
        <v>85</v>
      </c>
      <c r="G69" s="80" t="s">
        <v>85</v>
      </c>
      <c r="H69" s="80" t="s">
        <v>85</v>
      </c>
      <c r="I69" s="80" t="s">
        <v>85</v>
      </c>
      <c r="J69" s="70">
        <v>0.9</v>
      </c>
      <c r="K69" s="71">
        <v>0.97619047619047605</v>
      </c>
      <c r="L69" s="71">
        <v>0.97142857142857097</v>
      </c>
      <c r="M69" s="72">
        <v>0.98076923076923095</v>
      </c>
      <c r="N69" s="71">
        <v>0.97836166924265799</v>
      </c>
      <c r="O69" s="73">
        <v>0.9</v>
      </c>
      <c r="P69" s="71">
        <v>0.97790439132851603</v>
      </c>
      <c r="Q69" s="71">
        <v>0.97282427475825295</v>
      </c>
      <c r="R69" s="71">
        <v>0.96304254404813106</v>
      </c>
      <c r="S69" s="71">
        <v>0.96593262767322796</v>
      </c>
      <c r="T69" s="73">
        <v>0.9</v>
      </c>
      <c r="U69" s="71">
        <v>0.84088382434685904</v>
      </c>
      <c r="V69" s="71">
        <v>0.79293097699233095</v>
      </c>
      <c r="W69" s="71">
        <v>0.71680275032230301</v>
      </c>
      <c r="X69" s="71">
        <v>0.79892499078745105</v>
      </c>
      <c r="Y69" s="73">
        <v>0.92</v>
      </c>
      <c r="Z69" s="73">
        <v>0.93412444850144505</v>
      </c>
      <c r="AA69" s="73">
        <v>0.91711711711711696</v>
      </c>
      <c r="AB69" s="73">
        <v>0.83984807722740895</v>
      </c>
      <c r="AC69" s="73">
        <v>0.91365858919968401</v>
      </c>
      <c r="AD69" s="73">
        <v>0.92</v>
      </c>
      <c r="AE69" s="71">
        <v>0.99753815854258998</v>
      </c>
      <c r="AF69" s="71">
        <v>0.97002341920374702</v>
      </c>
      <c r="AG69" s="71">
        <v>0.99058380414312597</v>
      </c>
      <c r="AH69" s="71">
        <v>0.98756313315622002</v>
      </c>
      <c r="AI69" s="73">
        <v>0.92</v>
      </c>
      <c r="AJ69" s="71">
        <v>0.94996005519645599</v>
      </c>
      <c r="AK69" s="71">
        <v>0.94905402325051302</v>
      </c>
      <c r="AL69" s="71">
        <v>0.86969924812030097</v>
      </c>
      <c r="AM69" s="71">
        <v>0.93977787041448302</v>
      </c>
      <c r="AN69" s="70">
        <v>0.99</v>
      </c>
      <c r="AO69" s="75">
        <v>1</v>
      </c>
      <c r="AP69" s="75">
        <v>1</v>
      </c>
      <c r="AQ69" s="75">
        <v>1</v>
      </c>
      <c r="AR69" s="75">
        <v>1</v>
      </c>
      <c r="AS69" s="77">
        <v>8.7218210012826203E-2</v>
      </c>
      <c r="AT69" s="79">
        <v>1.85185185185185E-2</v>
      </c>
      <c r="AU69" s="79">
        <v>4.8387096774193498E-2</v>
      </c>
      <c r="AV69" s="79">
        <v>3.3333333333333298E-2</v>
      </c>
      <c r="AW69" s="79">
        <v>5.28905289052891E-2</v>
      </c>
      <c r="AX69" s="56"/>
      <c r="AY69" s="54"/>
    </row>
    <row r="70" spans="1:51">
      <c r="A70" s="53"/>
      <c r="B70" s="56"/>
      <c r="C70" s="67" t="s">
        <v>23</v>
      </c>
      <c r="D70" s="229" t="s">
        <v>1757</v>
      </c>
      <c r="E70" s="68" t="s">
        <v>24</v>
      </c>
      <c r="F70" s="80" t="s">
        <v>86</v>
      </c>
      <c r="G70" s="80" t="s">
        <v>86</v>
      </c>
      <c r="H70" s="80" t="s">
        <v>86</v>
      </c>
      <c r="I70" s="80" t="s">
        <v>86</v>
      </c>
      <c r="J70" s="70">
        <v>0.9</v>
      </c>
      <c r="K70" s="71">
        <v>0.99401197604790403</v>
      </c>
      <c r="L70" s="71">
        <v>0.95652173913043503</v>
      </c>
      <c r="M70" s="72">
        <v>0.99382716049382702</v>
      </c>
      <c r="N70" s="71">
        <v>0.94877903513996398</v>
      </c>
      <c r="O70" s="73">
        <v>0.9</v>
      </c>
      <c r="P70" s="71">
        <v>0.97592433361994801</v>
      </c>
      <c r="Q70" s="71">
        <v>0.98217504506308795</v>
      </c>
      <c r="R70" s="71">
        <v>0.95954735810389402</v>
      </c>
      <c r="S70" s="71">
        <v>0.96590336255981002</v>
      </c>
      <c r="T70" s="73">
        <v>0.9</v>
      </c>
      <c r="U70" s="71">
        <v>0.86981943250214999</v>
      </c>
      <c r="V70" s="71">
        <v>0.85459643500901294</v>
      </c>
      <c r="W70" s="71">
        <v>0.83925866524102299</v>
      </c>
      <c r="X70" s="71">
        <v>0.82664925749324403</v>
      </c>
      <c r="Y70" s="73">
        <v>0.92</v>
      </c>
      <c r="Z70" s="73">
        <v>0.943965517241379</v>
      </c>
      <c r="AA70" s="73">
        <v>0.95574502639058101</v>
      </c>
      <c r="AB70" s="73">
        <v>0.94207955338450799</v>
      </c>
      <c r="AC70" s="73">
        <v>0.94738071527803402</v>
      </c>
      <c r="AD70" s="73">
        <v>0.92</v>
      </c>
      <c r="AE70" s="71">
        <v>0.98269095595126499</v>
      </c>
      <c r="AF70" s="71">
        <v>0.97079005819652797</v>
      </c>
      <c r="AG70" s="71">
        <v>0.97732599335041104</v>
      </c>
      <c r="AH70" s="71">
        <v>0.98589583959469296</v>
      </c>
      <c r="AI70" s="73">
        <v>0.92</v>
      </c>
      <c r="AJ70" s="71">
        <v>0.95725760183591502</v>
      </c>
      <c r="AK70" s="71">
        <v>0.96821991283942299</v>
      </c>
      <c r="AL70" s="71">
        <v>0.95775996774030903</v>
      </c>
      <c r="AM70" s="71">
        <v>0.963308101270826</v>
      </c>
      <c r="AN70" s="70">
        <v>0.99</v>
      </c>
      <c r="AO70" s="75">
        <v>1</v>
      </c>
      <c r="AP70" s="75">
        <v>1</v>
      </c>
      <c r="AQ70" s="75">
        <v>1</v>
      </c>
      <c r="AR70" s="75">
        <v>1</v>
      </c>
      <c r="AS70" s="77">
        <v>8.7218210012826203E-2</v>
      </c>
      <c r="AT70" s="79">
        <v>8.5365853658536606E-2</v>
      </c>
      <c r="AU70" s="79">
        <v>5.4054054054054099E-2</v>
      </c>
      <c r="AV70" s="79">
        <v>0.148148148148148</v>
      </c>
      <c r="AW70" s="79">
        <v>6.3492063492063502E-2</v>
      </c>
      <c r="AX70" s="56"/>
      <c r="AY70" s="54"/>
    </row>
    <row r="71" spans="1:51">
      <c r="A71" s="53"/>
      <c r="B71" s="56"/>
      <c r="C71" s="67" t="s">
        <v>23</v>
      </c>
      <c r="D71" s="229" t="s">
        <v>1757</v>
      </c>
      <c r="E71" s="68" t="s">
        <v>24</v>
      </c>
      <c r="F71" s="80" t="s">
        <v>87</v>
      </c>
      <c r="G71" s="80" t="s">
        <v>87</v>
      </c>
      <c r="H71" s="80" t="s">
        <v>87</v>
      </c>
      <c r="I71" s="80" t="s">
        <v>87</v>
      </c>
      <c r="J71" s="70">
        <v>0.9</v>
      </c>
      <c r="K71" s="71">
        <v>0.94444444444444398</v>
      </c>
      <c r="L71" s="71">
        <v>0.87931034482758597</v>
      </c>
      <c r="M71" s="72">
        <v>0.91666666666666696</v>
      </c>
      <c r="N71" s="71">
        <v>0.92953523238380797</v>
      </c>
      <c r="O71" s="73">
        <v>0.9</v>
      </c>
      <c r="P71" s="71">
        <v>0.94989240700891497</v>
      </c>
      <c r="Q71" s="71">
        <v>0.93243670886075902</v>
      </c>
      <c r="R71" s="71">
        <v>0.952313918704909</v>
      </c>
      <c r="S71" s="71">
        <v>0.95362173186917099</v>
      </c>
      <c r="T71" s="73">
        <v>0.9</v>
      </c>
      <c r="U71" s="71">
        <v>0.87288656624654204</v>
      </c>
      <c r="V71" s="71">
        <v>0.80981012658227802</v>
      </c>
      <c r="W71" s="71">
        <v>0.76983987330635195</v>
      </c>
      <c r="X71" s="71">
        <v>0.82381283161644103</v>
      </c>
      <c r="Y71" s="73">
        <v>0.92</v>
      </c>
      <c r="Z71" s="73">
        <v>0.92684401451027798</v>
      </c>
      <c r="AA71" s="73">
        <v>0.95338467774625002</v>
      </c>
      <c r="AB71" s="73">
        <v>0.92954941498630805</v>
      </c>
      <c r="AC71" s="73">
        <v>0.93783790517477605</v>
      </c>
      <c r="AD71" s="73">
        <v>0.92</v>
      </c>
      <c r="AE71" s="71">
        <v>0.61810084520247599</v>
      </c>
      <c r="AF71" s="71">
        <v>0.86650505587195104</v>
      </c>
      <c r="AG71" s="71">
        <v>0.96776036744829996</v>
      </c>
      <c r="AH71" s="71">
        <v>0.88511331498891699</v>
      </c>
      <c r="AI71" s="73">
        <v>0.92</v>
      </c>
      <c r="AJ71" s="71">
        <v>0.95286224623159399</v>
      </c>
      <c r="AK71" s="71">
        <v>0.97053469852104701</v>
      </c>
      <c r="AL71" s="71">
        <v>0.95124213998556895</v>
      </c>
      <c r="AM71" s="71">
        <v>0.96249443537616897</v>
      </c>
      <c r="AN71" s="70">
        <v>0.99</v>
      </c>
      <c r="AO71" s="75">
        <v>1</v>
      </c>
      <c r="AP71" s="75">
        <v>1</v>
      </c>
      <c r="AQ71" s="75">
        <v>1</v>
      </c>
      <c r="AR71" s="75">
        <v>1</v>
      </c>
      <c r="AS71" s="77">
        <v>8.7218210012826203E-2</v>
      </c>
      <c r="AT71" s="79">
        <v>0.22222222222222199</v>
      </c>
      <c r="AU71" s="79">
        <v>0.186046511627907</v>
      </c>
      <c r="AV71" s="79">
        <v>6.9767441860465101E-2</v>
      </c>
      <c r="AW71" s="79">
        <v>8.9795918367346905E-2</v>
      </c>
      <c r="AX71" s="56"/>
      <c r="AY71" s="54"/>
    </row>
    <row r="72" spans="1:51">
      <c r="A72" s="53"/>
      <c r="B72" s="56"/>
      <c r="C72" s="67" t="s">
        <v>23</v>
      </c>
      <c r="D72" s="229" t="s">
        <v>1757</v>
      </c>
      <c r="E72" s="68" t="s">
        <v>24</v>
      </c>
      <c r="F72" s="80" t="s">
        <v>88</v>
      </c>
      <c r="G72" s="80" t="s">
        <v>88</v>
      </c>
      <c r="H72" s="80" t="s">
        <v>88</v>
      </c>
      <c r="I72" s="80" t="s">
        <v>88</v>
      </c>
      <c r="J72" s="70">
        <v>0.9</v>
      </c>
      <c r="K72" s="71">
        <v>0.82291666666666696</v>
      </c>
      <c r="L72" s="71">
        <v>0.80232558139534904</v>
      </c>
      <c r="M72" s="72">
        <v>0.80487804878048796</v>
      </c>
      <c r="N72" s="71">
        <v>0.83463035019455301</v>
      </c>
      <c r="O72" s="73">
        <v>0.9</v>
      </c>
      <c r="P72" s="71">
        <v>0.43679298642533898</v>
      </c>
      <c r="Q72" s="71">
        <v>0.94434528638649995</v>
      </c>
      <c r="R72" s="71">
        <v>0.90337698139214295</v>
      </c>
      <c r="S72" s="71">
        <v>0.81933476908351299</v>
      </c>
      <c r="T72" s="73">
        <v>0.9</v>
      </c>
      <c r="U72" s="71">
        <v>0.64097850678733004</v>
      </c>
      <c r="V72" s="71">
        <v>0.60652279733895798</v>
      </c>
      <c r="W72" s="71">
        <v>0.58456237077877304</v>
      </c>
      <c r="X72" s="71">
        <v>0.62252364579791197</v>
      </c>
      <c r="Y72" s="73">
        <v>0.92</v>
      </c>
      <c r="Z72" s="73">
        <v>0.83025768911055697</v>
      </c>
      <c r="AA72" s="73">
        <v>0.84249471458773795</v>
      </c>
      <c r="AB72" s="73">
        <v>0.846700692672257</v>
      </c>
      <c r="AC72" s="73">
        <v>0.85384615384615403</v>
      </c>
      <c r="AD72" s="73">
        <v>0.92</v>
      </c>
      <c r="AE72" s="71">
        <v>0.97625986443563995</v>
      </c>
      <c r="AF72" s="71">
        <v>0.72076084242071103</v>
      </c>
      <c r="AG72" s="71">
        <v>0.97671410090556299</v>
      </c>
      <c r="AH72" s="71">
        <v>0.86857335684861303</v>
      </c>
      <c r="AI72" s="73">
        <v>0.92</v>
      </c>
      <c r="AJ72" s="71">
        <v>0.87675733496332497</v>
      </c>
      <c r="AK72" s="71">
        <v>0.873361475227727</v>
      </c>
      <c r="AL72" s="71">
        <v>0.86479912115505297</v>
      </c>
      <c r="AM72" s="71">
        <v>0.88795584678036699</v>
      </c>
      <c r="AN72" s="70">
        <v>0.99</v>
      </c>
      <c r="AO72" s="75">
        <v>1</v>
      </c>
      <c r="AP72" s="75">
        <v>1</v>
      </c>
      <c r="AQ72" s="75">
        <v>1</v>
      </c>
      <c r="AR72" s="75">
        <v>1</v>
      </c>
      <c r="AS72" s="77">
        <v>8.7218210012826203E-2</v>
      </c>
      <c r="AT72" s="79">
        <v>6.25E-2</v>
      </c>
      <c r="AU72" s="79">
        <v>3.125E-2</v>
      </c>
      <c r="AV72" s="79">
        <v>5.2631578947368397E-2</v>
      </c>
      <c r="AW72" s="79">
        <v>6.06741573033708E-2</v>
      </c>
      <c r="AX72" s="56"/>
      <c r="AY72" s="54"/>
    </row>
    <row r="73" spans="1:51">
      <c r="A73" s="53"/>
      <c r="B73" s="56"/>
      <c r="C73" s="67" t="s">
        <v>23</v>
      </c>
      <c r="D73" s="229" t="s">
        <v>1757</v>
      </c>
      <c r="E73" s="68" t="s">
        <v>24</v>
      </c>
      <c r="F73" s="80" t="s">
        <v>89</v>
      </c>
      <c r="G73" s="80" t="s">
        <v>89</v>
      </c>
      <c r="H73" s="80" t="s">
        <v>89</v>
      </c>
      <c r="I73" s="80" t="s">
        <v>89</v>
      </c>
      <c r="J73" s="70">
        <v>0.9</v>
      </c>
      <c r="K73" s="71">
        <v>0.955696202531646</v>
      </c>
      <c r="L73" s="71">
        <v>0.96052631578947401</v>
      </c>
      <c r="M73" s="72">
        <v>0.90322580645161299</v>
      </c>
      <c r="N73" s="71">
        <v>0.91013964784456602</v>
      </c>
      <c r="O73" s="73">
        <v>0.9</v>
      </c>
      <c r="P73" s="71">
        <v>0.87407043636873905</v>
      </c>
      <c r="Q73" s="71">
        <v>0.93888002686592198</v>
      </c>
      <c r="R73" s="71">
        <v>0.82952054794520502</v>
      </c>
      <c r="S73" s="71">
        <v>0.90462408337586298</v>
      </c>
      <c r="T73" s="73">
        <v>0.9</v>
      </c>
      <c r="U73" s="71">
        <v>0.78869089378420099</v>
      </c>
      <c r="V73" s="71">
        <v>0.82495172529594496</v>
      </c>
      <c r="W73" s="71">
        <v>0.69958904109589004</v>
      </c>
      <c r="X73" s="71">
        <v>0.76803701415563097</v>
      </c>
      <c r="Y73" s="73">
        <v>0.92</v>
      </c>
      <c r="Z73" s="73">
        <v>0.92154976386216503</v>
      </c>
      <c r="AA73" s="73">
        <v>0.94685743484925899</v>
      </c>
      <c r="AB73" s="73">
        <v>0.87802272506555301</v>
      </c>
      <c r="AC73" s="73">
        <v>0.93284474245023097</v>
      </c>
      <c r="AD73" s="73">
        <v>0.92</v>
      </c>
      <c r="AE73" s="71">
        <v>0.98467573862939795</v>
      </c>
      <c r="AF73" s="71">
        <v>0.92983678279155502</v>
      </c>
      <c r="AG73" s="71">
        <v>0.98877067501117599</v>
      </c>
      <c r="AH73" s="71">
        <v>0.94916657434838203</v>
      </c>
      <c r="AI73" s="73">
        <v>0.92</v>
      </c>
      <c r="AJ73" s="71">
        <v>0.94493306351183104</v>
      </c>
      <c r="AK73" s="71">
        <v>0.96312327843049095</v>
      </c>
      <c r="AL73" s="71">
        <v>0.91217925551138401</v>
      </c>
      <c r="AM73" s="71">
        <v>0.95350838553902395</v>
      </c>
      <c r="AN73" s="70">
        <v>0.99</v>
      </c>
      <c r="AO73" s="75">
        <v>1</v>
      </c>
      <c r="AP73" s="75">
        <v>1</v>
      </c>
      <c r="AQ73" s="75">
        <v>1</v>
      </c>
      <c r="AR73" s="75">
        <v>0.99973425458410803</v>
      </c>
      <c r="AS73" s="77">
        <v>8.7218210012826203E-2</v>
      </c>
      <c r="AT73" s="79">
        <v>2.9850746268656699E-2</v>
      </c>
      <c r="AU73" s="79">
        <v>5.2631578947368397E-2</v>
      </c>
      <c r="AV73" s="79">
        <v>7.4626865671641798E-2</v>
      </c>
      <c r="AW73" s="79">
        <v>5.4607508532423202E-2</v>
      </c>
      <c r="AX73" s="56"/>
      <c r="AY73" s="54"/>
    </row>
    <row r="74" spans="1:51">
      <c r="A74" s="53"/>
      <c r="B74" s="56"/>
      <c r="C74" s="67" t="s">
        <v>23</v>
      </c>
      <c r="D74" s="229" t="s">
        <v>1757</v>
      </c>
      <c r="E74" s="68" t="s">
        <v>24</v>
      </c>
      <c r="F74" s="80" t="s">
        <v>90</v>
      </c>
      <c r="G74" s="80" t="s">
        <v>90</v>
      </c>
      <c r="H74" s="80" t="s">
        <v>90</v>
      </c>
      <c r="I74" s="80" t="s">
        <v>90</v>
      </c>
      <c r="J74" s="70">
        <v>0.9</v>
      </c>
      <c r="K74" s="71">
        <v>0.88888888888888895</v>
      </c>
      <c r="L74" s="71">
        <v>0.84946236559139798</v>
      </c>
      <c r="M74" s="72">
        <v>0.83516483516483497</v>
      </c>
      <c r="N74" s="71">
        <v>0.85102420856610805</v>
      </c>
      <c r="O74" s="73">
        <v>0.9</v>
      </c>
      <c r="P74" s="71">
        <v>0.95493767976989496</v>
      </c>
      <c r="Q74" s="71">
        <v>0.99039098740887999</v>
      </c>
      <c r="R74" s="71">
        <v>0.92232337225410599</v>
      </c>
      <c r="S74" s="71">
        <v>0.946408314965277</v>
      </c>
      <c r="T74" s="73">
        <v>0.9</v>
      </c>
      <c r="U74" s="71">
        <v>0.81994247363374895</v>
      </c>
      <c r="V74" s="71">
        <v>0.82140490390987397</v>
      </c>
      <c r="W74" s="71">
        <v>0.75282010686720802</v>
      </c>
      <c r="X74" s="71">
        <v>0.77096955667659595</v>
      </c>
      <c r="Y74" s="73">
        <v>0.92</v>
      </c>
      <c r="Z74" s="73">
        <v>0.90435937688684898</v>
      </c>
      <c r="AA74" s="73">
        <v>0.94609961337275394</v>
      </c>
      <c r="AB74" s="73">
        <v>0.76413181242078598</v>
      </c>
      <c r="AC74" s="73">
        <v>0.87333370989606895</v>
      </c>
      <c r="AD74" s="73">
        <v>0.92</v>
      </c>
      <c r="AE74" s="71">
        <v>0.99529879757707296</v>
      </c>
      <c r="AF74" s="71">
        <v>0.982033405146714</v>
      </c>
      <c r="AG74" s="71">
        <v>0.99786426990289101</v>
      </c>
      <c r="AH74" s="71">
        <v>0.98969153766232698</v>
      </c>
      <c r="AI74" s="73">
        <v>0.92</v>
      </c>
      <c r="AJ74" s="71">
        <v>0.93497889619062902</v>
      </c>
      <c r="AK74" s="71">
        <v>0.96240992496842703</v>
      </c>
      <c r="AL74" s="71">
        <v>0.85811861394935596</v>
      </c>
      <c r="AM74" s="71">
        <v>0.92542323734748999</v>
      </c>
      <c r="AN74" s="70">
        <v>0.99</v>
      </c>
      <c r="AO74" s="75">
        <v>1</v>
      </c>
      <c r="AP74" s="75">
        <v>1</v>
      </c>
      <c r="AQ74" s="75">
        <v>1</v>
      </c>
      <c r="AR74" s="75">
        <v>1</v>
      </c>
      <c r="AS74" s="77">
        <v>8.7218210012826203E-2</v>
      </c>
      <c r="AT74" s="79">
        <v>2.4390243902439001E-2</v>
      </c>
      <c r="AU74" s="79">
        <v>8.5714285714285701E-2</v>
      </c>
      <c r="AV74" s="79">
        <v>1.9230769230769201E-2</v>
      </c>
      <c r="AW74" s="79">
        <v>4.6454767726161403E-2</v>
      </c>
      <c r="AX74" s="56"/>
      <c r="AY74" s="54"/>
    </row>
    <row r="75" spans="1:51">
      <c r="A75" s="53"/>
      <c r="B75" s="56"/>
      <c r="C75" s="67" t="s">
        <v>23</v>
      </c>
      <c r="D75" s="229" t="s">
        <v>1757</v>
      </c>
      <c r="E75" s="68" t="s">
        <v>24</v>
      </c>
      <c r="F75" s="80" t="s">
        <v>91</v>
      </c>
      <c r="G75" s="80" t="s">
        <v>91</v>
      </c>
      <c r="H75" s="80" t="s">
        <v>91</v>
      </c>
      <c r="I75" s="80" t="s">
        <v>91</v>
      </c>
      <c r="J75" s="70">
        <v>0.9</v>
      </c>
      <c r="K75" s="71">
        <v>0.96739130434782605</v>
      </c>
      <c r="L75" s="71">
        <v>0.95294117647058796</v>
      </c>
      <c r="M75" s="72">
        <v>0.96470588235294097</v>
      </c>
      <c r="N75" s="71">
        <v>0.95959595959596</v>
      </c>
      <c r="O75" s="73">
        <v>0.9</v>
      </c>
      <c r="P75" s="71">
        <v>0.96525364836692196</v>
      </c>
      <c r="Q75" s="71">
        <v>0.92613741020445794</v>
      </c>
      <c r="R75" s="71">
        <v>0.94282831679838597</v>
      </c>
      <c r="S75" s="71">
        <v>0.96484060568321595</v>
      </c>
      <c r="T75" s="73">
        <v>0.9</v>
      </c>
      <c r="U75" s="71">
        <v>0.87230715774843604</v>
      </c>
      <c r="V75" s="71">
        <v>0.85982685577454399</v>
      </c>
      <c r="W75" s="71">
        <v>0.82074995796199801</v>
      </c>
      <c r="X75" s="71">
        <v>0.85556551189951902</v>
      </c>
      <c r="Y75" s="73">
        <v>0.92</v>
      </c>
      <c r="Z75" s="73">
        <v>0.94768251442212104</v>
      </c>
      <c r="AA75" s="73">
        <v>0.95317156236696499</v>
      </c>
      <c r="AB75" s="73">
        <v>0.93733305937949496</v>
      </c>
      <c r="AC75" s="73">
        <v>0.95344016760648098</v>
      </c>
      <c r="AD75" s="73">
        <v>0.92</v>
      </c>
      <c r="AE75" s="71">
        <v>0.991977645574184</v>
      </c>
      <c r="AF75" s="71">
        <v>0.93694919647485697</v>
      </c>
      <c r="AG75" s="71">
        <v>0.99623329283110595</v>
      </c>
      <c r="AH75" s="71">
        <v>0.94413949834169097</v>
      </c>
      <c r="AI75" s="73">
        <v>0.92</v>
      </c>
      <c r="AJ75" s="71">
        <v>0.95562760537285796</v>
      </c>
      <c r="AK75" s="71">
        <v>0.969786577526356</v>
      </c>
      <c r="AL75" s="71">
        <v>0.94833163878362103</v>
      </c>
      <c r="AM75" s="71">
        <v>0.96653392210513001</v>
      </c>
      <c r="AN75" s="70">
        <v>0.99</v>
      </c>
      <c r="AO75" s="75">
        <v>1</v>
      </c>
      <c r="AP75" s="75">
        <v>1</v>
      </c>
      <c r="AQ75" s="75">
        <v>1</v>
      </c>
      <c r="AR75" s="75">
        <v>1</v>
      </c>
      <c r="AS75" s="77">
        <v>8.7218210012826203E-2</v>
      </c>
      <c r="AT75" s="79">
        <v>6.0606060606060601E-2</v>
      </c>
      <c r="AU75" s="79">
        <v>0.17142857142857101</v>
      </c>
      <c r="AV75" s="79">
        <v>5.7142857142857099E-2</v>
      </c>
      <c r="AW75" s="79">
        <v>5.9701492537313397E-2</v>
      </c>
      <c r="AX75" s="56"/>
      <c r="AY75" s="54"/>
    </row>
    <row r="76" spans="1:51">
      <c r="A76" s="53"/>
      <c r="B76" s="56"/>
      <c r="C76" s="67" t="s">
        <v>23</v>
      </c>
      <c r="D76" s="229" t="s">
        <v>1757</v>
      </c>
      <c r="E76" s="68" t="s">
        <v>24</v>
      </c>
      <c r="F76" s="80" t="s">
        <v>92</v>
      </c>
      <c r="G76" s="80" t="s">
        <v>92</v>
      </c>
      <c r="H76" s="80" t="s">
        <v>92</v>
      </c>
      <c r="I76" s="80" t="s">
        <v>92</v>
      </c>
      <c r="J76" s="70">
        <v>0.9</v>
      </c>
      <c r="K76" s="71">
        <v>0.91011235955056202</v>
      </c>
      <c r="L76" s="71">
        <v>0.93181818181818199</v>
      </c>
      <c r="M76" s="72">
        <v>0.90697674418604601</v>
      </c>
      <c r="N76" s="71">
        <v>0.91463414634146301</v>
      </c>
      <c r="O76" s="73">
        <v>0.9</v>
      </c>
      <c r="P76" s="71">
        <v>0.916471075521193</v>
      </c>
      <c r="Q76" s="71">
        <v>0.94140401146131802</v>
      </c>
      <c r="R76" s="71">
        <v>0.93689384881094695</v>
      </c>
      <c r="S76" s="71">
        <v>0.94013476367705395</v>
      </c>
      <c r="T76" s="73">
        <v>0.9</v>
      </c>
      <c r="U76" s="71">
        <v>0.74775645450780104</v>
      </c>
      <c r="V76" s="71">
        <v>0.74312320916905406</v>
      </c>
      <c r="W76" s="71">
        <v>0.75089677162215995</v>
      </c>
      <c r="X76" s="71">
        <v>0.744569315721618</v>
      </c>
      <c r="Y76" s="73">
        <v>0.92</v>
      </c>
      <c r="Z76" s="73">
        <v>0.92178248675599905</v>
      </c>
      <c r="AA76" s="73">
        <v>0.94140498543217899</v>
      </c>
      <c r="AB76" s="73">
        <v>0.92368784530386705</v>
      </c>
      <c r="AC76" s="73">
        <v>0.93501663730671403</v>
      </c>
      <c r="AD76" s="73">
        <v>0.92</v>
      </c>
      <c r="AE76" s="71">
        <v>0.99671235216258902</v>
      </c>
      <c r="AF76" s="71">
        <v>0.99763898354590597</v>
      </c>
      <c r="AG76" s="71">
        <v>0.99961434631700696</v>
      </c>
      <c r="AH76" s="71">
        <v>0.99404345446324505</v>
      </c>
      <c r="AI76" s="73">
        <v>0.92</v>
      </c>
      <c r="AJ76" s="71">
        <v>0.93664496305508804</v>
      </c>
      <c r="AK76" s="71">
        <v>0.95343526608419404</v>
      </c>
      <c r="AL76" s="71">
        <v>0.93177724407085005</v>
      </c>
      <c r="AM76" s="71">
        <v>0.94859053713427299</v>
      </c>
      <c r="AN76" s="70">
        <v>0.99</v>
      </c>
      <c r="AO76" s="75">
        <v>1</v>
      </c>
      <c r="AP76" s="75">
        <v>1</v>
      </c>
      <c r="AQ76" s="75">
        <v>1</v>
      </c>
      <c r="AR76" s="75">
        <v>1</v>
      </c>
      <c r="AS76" s="77">
        <v>8.7218210012826203E-2</v>
      </c>
      <c r="AT76" s="79">
        <v>0</v>
      </c>
      <c r="AU76" s="79">
        <v>7.4999999999999997E-2</v>
      </c>
      <c r="AV76" s="79">
        <v>2.7027027027027001E-2</v>
      </c>
      <c r="AW76" s="79">
        <v>6.0052219321148799E-2</v>
      </c>
      <c r="AX76" s="56"/>
      <c r="AY76" s="54"/>
    </row>
    <row r="77" spans="1:51">
      <c r="A77" s="53"/>
      <c r="B77" s="56"/>
      <c r="C77" s="67" t="s">
        <v>23</v>
      </c>
      <c r="D77" s="229" t="s">
        <v>1757</v>
      </c>
      <c r="E77" s="68" t="s">
        <v>24</v>
      </c>
      <c r="F77" s="80" t="s">
        <v>93</v>
      </c>
      <c r="G77" s="80" t="s">
        <v>93</v>
      </c>
      <c r="H77" s="80" t="s">
        <v>93</v>
      </c>
      <c r="I77" s="80" t="s">
        <v>93</v>
      </c>
      <c r="J77" s="70">
        <v>0.9</v>
      </c>
      <c r="K77" s="71">
        <v>1</v>
      </c>
      <c r="L77" s="71">
        <v>0.88235294117647101</v>
      </c>
      <c r="M77" s="72">
        <v>1</v>
      </c>
      <c r="N77" s="71">
        <v>0.97311827956989205</v>
      </c>
      <c r="O77" s="73">
        <v>0.9</v>
      </c>
      <c r="P77" s="71">
        <v>0.96846846846846801</v>
      </c>
      <c r="Q77" s="71">
        <v>0.99370503597122295</v>
      </c>
      <c r="R77" s="71">
        <v>0.95767634854771799</v>
      </c>
      <c r="S77" s="71">
        <v>0.96722083866191</v>
      </c>
      <c r="T77" s="73">
        <v>0.9</v>
      </c>
      <c r="U77" s="71">
        <v>0.81756756756756799</v>
      </c>
      <c r="V77" s="71">
        <v>0.85251798561151104</v>
      </c>
      <c r="W77" s="71">
        <v>0.77593360995850602</v>
      </c>
      <c r="X77" s="71">
        <v>0.85340243656188997</v>
      </c>
      <c r="Y77" s="73">
        <v>0.92</v>
      </c>
      <c r="Z77" s="73">
        <v>0.93820224719101097</v>
      </c>
      <c r="AA77" s="73">
        <v>0.94310722100656497</v>
      </c>
      <c r="AB77" s="73">
        <v>0.94915254237288105</v>
      </c>
      <c r="AC77" s="73">
        <v>0.95346877633180405</v>
      </c>
      <c r="AD77" s="73">
        <v>0.92</v>
      </c>
      <c r="AE77" s="71">
        <v>0.66666666666666696</v>
      </c>
      <c r="AF77" s="71" t="s">
        <v>1710</v>
      </c>
      <c r="AG77" s="71">
        <v>1</v>
      </c>
      <c r="AH77" s="71">
        <v>0.418604651162791</v>
      </c>
      <c r="AI77" s="73">
        <v>0.92</v>
      </c>
      <c r="AJ77" s="71">
        <v>0.94375484871993798</v>
      </c>
      <c r="AK77" s="71">
        <v>0.95984703632887203</v>
      </c>
      <c r="AL77" s="71">
        <v>0.95005852516582101</v>
      </c>
      <c r="AM77" s="71">
        <v>0.96754111198120596</v>
      </c>
      <c r="AN77" s="70">
        <v>0.99</v>
      </c>
      <c r="AO77" s="75">
        <v>1</v>
      </c>
      <c r="AP77" s="75" t="s">
        <v>1710</v>
      </c>
      <c r="AQ77" s="75">
        <v>1</v>
      </c>
      <c r="AR77" s="75">
        <v>1</v>
      </c>
      <c r="AS77" s="77">
        <v>8.7218210012826203E-2</v>
      </c>
      <c r="AT77" s="79">
        <v>0</v>
      </c>
      <c r="AU77" s="79">
        <v>0</v>
      </c>
      <c r="AV77" s="79">
        <v>0</v>
      </c>
      <c r="AW77" s="79">
        <v>4.6875E-2</v>
      </c>
      <c r="AX77" s="56"/>
      <c r="AY77" s="54"/>
    </row>
    <row r="78" spans="1:51">
      <c r="A78" s="53"/>
      <c r="B78" s="56"/>
      <c r="C78" s="67" t="s">
        <v>23</v>
      </c>
      <c r="D78" s="229" t="s">
        <v>1757</v>
      </c>
      <c r="E78" s="68" t="s">
        <v>24</v>
      </c>
      <c r="F78" s="80" t="s">
        <v>94</v>
      </c>
      <c r="G78" s="80" t="s">
        <v>94</v>
      </c>
      <c r="H78" s="80" t="s">
        <v>94</v>
      </c>
      <c r="I78" s="80" t="s">
        <v>94</v>
      </c>
      <c r="J78" s="70">
        <v>0.9</v>
      </c>
      <c r="K78" s="71">
        <v>0.97674418604651203</v>
      </c>
      <c r="L78" s="71">
        <v>0.97297297297297303</v>
      </c>
      <c r="M78" s="72">
        <v>0.9375</v>
      </c>
      <c r="N78" s="71">
        <v>0.94925028835063396</v>
      </c>
      <c r="O78" s="73">
        <v>0.9</v>
      </c>
      <c r="P78" s="71">
        <v>0.98833232749949695</v>
      </c>
      <c r="Q78" s="71">
        <v>0.99453416149068297</v>
      </c>
      <c r="R78" s="71">
        <v>0.982872713117945</v>
      </c>
      <c r="S78" s="71">
        <v>0.98971969265794002</v>
      </c>
      <c r="T78" s="73">
        <v>0.9</v>
      </c>
      <c r="U78" s="71">
        <v>0.872460269563468</v>
      </c>
      <c r="V78" s="71">
        <v>0.83428571428571396</v>
      </c>
      <c r="W78" s="71">
        <v>0.80751265083690105</v>
      </c>
      <c r="X78" s="71">
        <v>0.83434120660216304</v>
      </c>
      <c r="Y78" s="73">
        <v>0.92</v>
      </c>
      <c r="Z78" s="73">
        <v>0.95639162035057701</v>
      </c>
      <c r="AA78" s="73">
        <v>0.96324739440482698</v>
      </c>
      <c r="AB78" s="73">
        <v>0.95493465525011301</v>
      </c>
      <c r="AC78" s="73">
        <v>0.95759421393224198</v>
      </c>
      <c r="AD78" s="73">
        <v>0.92</v>
      </c>
      <c r="AE78" s="71">
        <v>0.99611593718676905</v>
      </c>
      <c r="AF78" s="71">
        <v>0.97600147683219496</v>
      </c>
      <c r="AG78" s="71">
        <v>0.99883604921849001</v>
      </c>
      <c r="AH78" s="71">
        <v>0.99617796308865803</v>
      </c>
      <c r="AI78" s="73">
        <v>0.92</v>
      </c>
      <c r="AJ78" s="71">
        <v>0.96673230386568598</v>
      </c>
      <c r="AK78" s="71">
        <v>0.97640218878248997</v>
      </c>
      <c r="AL78" s="71">
        <v>0.95938185235460005</v>
      </c>
      <c r="AM78" s="71">
        <v>0.97085916833091102</v>
      </c>
      <c r="AN78" s="70">
        <v>0.99</v>
      </c>
      <c r="AO78" s="75">
        <v>1</v>
      </c>
      <c r="AP78" s="75">
        <v>1</v>
      </c>
      <c r="AQ78" s="75">
        <v>1</v>
      </c>
      <c r="AR78" s="75">
        <v>1</v>
      </c>
      <c r="AS78" s="77">
        <v>8.7218210012826203E-2</v>
      </c>
      <c r="AT78" s="79">
        <v>0.105263157894737</v>
      </c>
      <c r="AU78" s="79">
        <v>6.25E-2</v>
      </c>
      <c r="AV78" s="79">
        <v>6.6666666666666693E-2</v>
      </c>
      <c r="AW78" s="79">
        <v>7.86163522012579E-2</v>
      </c>
      <c r="AX78" s="56"/>
      <c r="AY78" s="54"/>
    </row>
    <row r="79" spans="1:51">
      <c r="A79" s="53"/>
      <c r="B79" s="56"/>
      <c r="C79" s="81"/>
      <c r="D79" s="229"/>
      <c r="E79" s="82"/>
      <c r="F79" s="82"/>
      <c r="G79" s="83"/>
      <c r="H79" s="83"/>
      <c r="I79" s="83"/>
      <c r="J79" s="84"/>
      <c r="K79" s="85"/>
      <c r="L79" s="85"/>
      <c r="M79" s="72"/>
      <c r="N79" s="85"/>
      <c r="O79" s="84"/>
      <c r="P79" s="86"/>
      <c r="Q79" s="87"/>
      <c r="R79" s="71"/>
      <c r="S79" s="87"/>
      <c r="T79" s="88"/>
      <c r="U79" s="85"/>
      <c r="V79" s="85"/>
      <c r="W79" s="71"/>
      <c r="X79" s="85"/>
      <c r="Y79" s="88"/>
      <c r="Z79" s="88"/>
      <c r="AA79" s="88"/>
      <c r="AB79" s="73"/>
      <c r="AC79" s="88"/>
      <c r="AD79" s="85"/>
      <c r="AE79" s="85"/>
      <c r="AF79" s="85"/>
      <c r="AG79" s="71"/>
      <c r="AH79" s="85"/>
      <c r="AI79" s="88"/>
      <c r="AJ79" s="85"/>
      <c r="AK79" s="85"/>
      <c r="AL79" s="71"/>
      <c r="AM79" s="85"/>
      <c r="AN79" s="84"/>
      <c r="AO79" s="84"/>
      <c r="AP79" s="84"/>
      <c r="AQ79" s="75"/>
      <c r="AR79" s="84"/>
      <c r="AS79" s="89"/>
      <c r="AT79" s="84"/>
      <c r="AU79" s="84"/>
      <c r="AV79" s="79"/>
      <c r="AW79" s="84"/>
      <c r="AX79" s="56"/>
      <c r="AY79" s="54"/>
    </row>
    <row r="80" spans="1:51">
      <c r="A80" s="53"/>
      <c r="B80" s="56"/>
      <c r="C80" s="90" t="s">
        <v>95</v>
      </c>
      <c r="D80" s="230" t="s">
        <v>1757</v>
      </c>
      <c r="E80" s="68" t="s">
        <v>96</v>
      </c>
      <c r="F80" s="91" t="s">
        <v>97</v>
      </c>
      <c r="G80" s="91" t="s">
        <v>97</v>
      </c>
      <c r="H80" s="91" t="s">
        <v>97</v>
      </c>
      <c r="I80" s="91" t="s">
        <v>97</v>
      </c>
      <c r="J80" s="70">
        <v>0.9</v>
      </c>
      <c r="K80" s="71">
        <v>0.90909090909090895</v>
      </c>
      <c r="L80" s="71">
        <v>0.92424242424242398</v>
      </c>
      <c r="M80" s="72">
        <v>0.9375</v>
      </c>
      <c r="N80" s="71">
        <v>0.91633466135458197</v>
      </c>
      <c r="O80" s="73">
        <v>0.9</v>
      </c>
      <c r="P80" s="71">
        <v>0.96962706651288</v>
      </c>
      <c r="Q80" s="71">
        <v>0.95130335147522205</v>
      </c>
      <c r="R80" s="71">
        <v>0.69548081975827603</v>
      </c>
      <c r="S80" s="71">
        <v>0.88508352006518598</v>
      </c>
      <c r="T80" s="73">
        <v>0.9</v>
      </c>
      <c r="U80" s="71">
        <v>0.86389850057670103</v>
      </c>
      <c r="V80" s="71">
        <v>0.84187911773130897</v>
      </c>
      <c r="W80" s="71">
        <v>0.81844456121912801</v>
      </c>
      <c r="X80" s="71">
        <v>0.85172642085964601</v>
      </c>
      <c r="Y80" s="73">
        <v>0.92</v>
      </c>
      <c r="Z80" s="73">
        <v>0.88420780563453105</v>
      </c>
      <c r="AA80" s="73">
        <v>0.86478180700676099</v>
      </c>
      <c r="AB80" s="73">
        <v>0.87618483412322301</v>
      </c>
      <c r="AC80" s="73">
        <v>0.90890166226503</v>
      </c>
      <c r="AD80" s="73">
        <v>0.92</v>
      </c>
      <c r="AE80" s="71">
        <v>0.99567723342939496</v>
      </c>
      <c r="AF80" s="71">
        <v>0.99572790009858703</v>
      </c>
      <c r="AG80" s="71">
        <v>0.99557888919590998</v>
      </c>
      <c r="AH80" s="71">
        <v>0.98163359483156398</v>
      </c>
      <c r="AI80" s="73">
        <v>0.92</v>
      </c>
      <c r="AJ80" s="71">
        <v>0.91537986411365002</v>
      </c>
      <c r="AK80" s="71">
        <v>0.93085937500000004</v>
      </c>
      <c r="AL80" s="71">
        <v>0.91757170704539104</v>
      </c>
      <c r="AM80" s="71">
        <v>0.944228347558416</v>
      </c>
      <c r="AN80" s="70">
        <v>0.99</v>
      </c>
      <c r="AO80" s="75">
        <v>1</v>
      </c>
      <c r="AP80" s="75">
        <v>1</v>
      </c>
      <c r="AQ80" s="75">
        <v>1</v>
      </c>
      <c r="AR80" s="76">
        <v>1</v>
      </c>
      <c r="AS80" s="77">
        <v>0.10526149898194399</v>
      </c>
      <c r="AT80" s="78">
        <v>6.25E-2</v>
      </c>
      <c r="AU80" s="79">
        <v>0.13043478260869601</v>
      </c>
      <c r="AV80" s="79">
        <v>0.105263157894737</v>
      </c>
      <c r="AW80" s="79">
        <v>0.11111111111111099</v>
      </c>
      <c r="AX80" s="56"/>
      <c r="AY80" s="54"/>
    </row>
    <row r="81" spans="1:51">
      <c r="A81" s="53"/>
      <c r="B81" s="56"/>
      <c r="C81" s="90" t="s">
        <v>95</v>
      </c>
      <c r="D81" s="230" t="s">
        <v>1757</v>
      </c>
      <c r="E81" s="68" t="s">
        <v>96</v>
      </c>
      <c r="F81" s="91" t="s">
        <v>98</v>
      </c>
      <c r="G81" s="91" t="s">
        <v>98</v>
      </c>
      <c r="H81" s="91" t="s">
        <v>98</v>
      </c>
      <c r="I81" s="91" t="s">
        <v>98</v>
      </c>
      <c r="J81" s="70">
        <v>0.9</v>
      </c>
      <c r="K81" s="71">
        <v>0.89361702127659604</v>
      </c>
      <c r="L81" s="71">
        <v>0.96153846153846201</v>
      </c>
      <c r="M81" s="72">
        <v>0.86538461538461497</v>
      </c>
      <c r="N81" s="71">
        <v>0.91442953020134199</v>
      </c>
      <c r="O81" s="73">
        <v>0.9</v>
      </c>
      <c r="P81" s="71">
        <v>0.95225872689938396</v>
      </c>
      <c r="Q81" s="71">
        <v>0.93200836820083699</v>
      </c>
      <c r="R81" s="71">
        <v>0.93715469613259705</v>
      </c>
      <c r="S81" s="71">
        <v>0.90173335493277196</v>
      </c>
      <c r="T81" s="73">
        <v>0.9</v>
      </c>
      <c r="U81" s="71">
        <v>0.85574948665297701</v>
      </c>
      <c r="V81" s="71">
        <v>0.88807531380753102</v>
      </c>
      <c r="W81" s="71">
        <v>0.84979281767955805</v>
      </c>
      <c r="X81" s="71">
        <v>0.87947513364652496</v>
      </c>
      <c r="Y81" s="73">
        <v>0.92</v>
      </c>
      <c r="Z81" s="73">
        <v>0.87047405748413598</v>
      </c>
      <c r="AA81" s="73">
        <v>0.95023328149300201</v>
      </c>
      <c r="AB81" s="73">
        <v>0.92864904020282502</v>
      </c>
      <c r="AC81" s="73">
        <v>0.93655541561712896</v>
      </c>
      <c r="AD81" s="73">
        <v>0.92</v>
      </c>
      <c r="AE81" s="71">
        <v>0.99336870026525204</v>
      </c>
      <c r="AF81" s="71">
        <v>0.98023715415019796</v>
      </c>
      <c r="AG81" s="71">
        <v>0.98753894080996896</v>
      </c>
      <c r="AH81" s="71">
        <v>0.98380743982494501</v>
      </c>
      <c r="AI81" s="73">
        <v>0.92</v>
      </c>
      <c r="AJ81" s="71">
        <v>0.91056383668178897</v>
      </c>
      <c r="AK81" s="71">
        <v>0.972797303803563</v>
      </c>
      <c r="AL81" s="71">
        <v>0.950857344882447</v>
      </c>
      <c r="AM81" s="71">
        <v>0.96131703329897999</v>
      </c>
      <c r="AN81" s="70">
        <v>0.99</v>
      </c>
      <c r="AO81" s="75">
        <v>1</v>
      </c>
      <c r="AP81" s="75">
        <v>1</v>
      </c>
      <c r="AQ81" s="75">
        <v>1</v>
      </c>
      <c r="AR81" s="76">
        <v>1</v>
      </c>
      <c r="AS81" s="77">
        <v>0.10526149898194399</v>
      </c>
      <c r="AT81" s="78">
        <v>0.5</v>
      </c>
      <c r="AU81" s="79">
        <v>0.14285714285714299</v>
      </c>
      <c r="AV81" s="79">
        <v>0.25</v>
      </c>
      <c r="AW81" s="79">
        <v>0.17346938775510201</v>
      </c>
      <c r="AX81" s="56"/>
      <c r="AY81" s="54"/>
    </row>
    <row r="82" spans="1:51">
      <c r="A82" s="53"/>
      <c r="B82" s="56"/>
      <c r="C82" s="90" t="s">
        <v>95</v>
      </c>
      <c r="D82" s="230" t="s">
        <v>1757</v>
      </c>
      <c r="E82" s="68" t="s">
        <v>96</v>
      </c>
      <c r="F82" s="91" t="s">
        <v>99</v>
      </c>
      <c r="G82" s="91" t="s">
        <v>99</v>
      </c>
      <c r="H82" s="91" t="s">
        <v>99</v>
      </c>
      <c r="I82" s="91" t="s">
        <v>99</v>
      </c>
      <c r="J82" s="70">
        <v>0.9</v>
      </c>
      <c r="K82" s="71">
        <v>0.94736842105263197</v>
      </c>
      <c r="L82" s="71">
        <v>0.94949494949494995</v>
      </c>
      <c r="M82" s="72">
        <v>0.94897959183673497</v>
      </c>
      <c r="N82" s="71">
        <v>0.94599459945994602</v>
      </c>
      <c r="O82" s="73">
        <v>0.9</v>
      </c>
      <c r="P82" s="71">
        <v>0.97637305699481902</v>
      </c>
      <c r="Q82" s="71">
        <v>0.96910475643052196</v>
      </c>
      <c r="R82" s="71">
        <v>0.97323924910131798</v>
      </c>
      <c r="S82" s="71">
        <v>0.95562754152594898</v>
      </c>
      <c r="T82" s="73">
        <v>0.9</v>
      </c>
      <c r="U82" s="71">
        <v>0.80704663212435201</v>
      </c>
      <c r="V82" s="71">
        <v>0.85313981893950297</v>
      </c>
      <c r="W82" s="71">
        <v>0.85820796165623703</v>
      </c>
      <c r="X82" s="71">
        <v>0.83901026948790403</v>
      </c>
      <c r="Y82" s="73">
        <v>0.92</v>
      </c>
      <c r="Z82" s="73">
        <v>0.91540832049306597</v>
      </c>
      <c r="AA82" s="73">
        <v>0.92505628819556096</v>
      </c>
      <c r="AB82" s="73">
        <v>0.91257337040469599</v>
      </c>
      <c r="AC82" s="73">
        <v>0.94189254124472799</v>
      </c>
      <c r="AD82" s="73">
        <v>0.92</v>
      </c>
      <c r="AE82" s="71">
        <v>0.98406708595387804</v>
      </c>
      <c r="AF82" s="71">
        <v>0.976248976248976</v>
      </c>
      <c r="AG82" s="71">
        <v>0.98802706923477401</v>
      </c>
      <c r="AH82" s="71">
        <v>0.97366843637609202</v>
      </c>
      <c r="AI82" s="73">
        <v>0.92</v>
      </c>
      <c r="AJ82" s="71">
        <v>0.93611945573422894</v>
      </c>
      <c r="AK82" s="71">
        <v>0.96067136756381</v>
      </c>
      <c r="AL82" s="71">
        <v>0.94494100822309601</v>
      </c>
      <c r="AM82" s="71">
        <v>0.96392981693061697</v>
      </c>
      <c r="AN82" s="70">
        <v>0.99</v>
      </c>
      <c r="AO82" s="75">
        <v>1</v>
      </c>
      <c r="AP82" s="75">
        <v>1</v>
      </c>
      <c r="AQ82" s="75">
        <v>1</v>
      </c>
      <c r="AR82" s="75">
        <v>1</v>
      </c>
      <c r="AS82" s="77">
        <v>0.10526149898194399</v>
      </c>
      <c r="AT82" s="79">
        <v>0</v>
      </c>
      <c r="AU82" s="79">
        <v>0.19047619047618999</v>
      </c>
      <c r="AV82" s="79">
        <v>6.6666666666666693E-2</v>
      </c>
      <c r="AW82" s="79">
        <v>0.104602510460251</v>
      </c>
      <c r="AX82" s="56"/>
      <c r="AY82" s="54"/>
    </row>
    <row r="83" spans="1:51">
      <c r="A83" s="53"/>
      <c r="B83" s="56"/>
      <c r="C83" s="90" t="s">
        <v>95</v>
      </c>
      <c r="D83" s="230" t="s">
        <v>1757</v>
      </c>
      <c r="E83" s="68" t="s">
        <v>96</v>
      </c>
      <c r="F83" s="91" t="s">
        <v>100</v>
      </c>
      <c r="G83" s="91" t="s">
        <v>100</v>
      </c>
      <c r="H83" s="91" t="s">
        <v>100</v>
      </c>
      <c r="I83" s="91" t="s">
        <v>100</v>
      </c>
      <c r="J83" s="70">
        <v>0.9</v>
      </c>
      <c r="K83" s="71">
        <v>0.78358208955223896</v>
      </c>
      <c r="L83" s="71">
        <v>0.83823529411764697</v>
      </c>
      <c r="M83" s="72">
        <v>0.89516129032258096</v>
      </c>
      <c r="N83" s="71">
        <v>0.85704607046070502</v>
      </c>
      <c r="O83" s="73">
        <v>0.9</v>
      </c>
      <c r="P83" s="71">
        <v>0.827548609849173</v>
      </c>
      <c r="Q83" s="71">
        <v>0.81713300623259499</v>
      </c>
      <c r="R83" s="71">
        <v>0.82009847241509903</v>
      </c>
      <c r="S83" s="71">
        <v>0.81894098954291805</v>
      </c>
      <c r="T83" s="73">
        <v>0.9</v>
      </c>
      <c r="U83" s="71">
        <v>0.81809921860803203</v>
      </c>
      <c r="V83" s="71">
        <v>0.81514388012200001</v>
      </c>
      <c r="W83" s="71">
        <v>0.79459664183815204</v>
      </c>
      <c r="X83" s="71">
        <v>0.82422495658278805</v>
      </c>
      <c r="Y83" s="73">
        <v>0.92</v>
      </c>
      <c r="Z83" s="73">
        <v>0.90864164551889903</v>
      </c>
      <c r="AA83" s="73">
        <v>0.91064582718961995</v>
      </c>
      <c r="AB83" s="73">
        <v>0.90552635317516705</v>
      </c>
      <c r="AC83" s="73">
        <v>0.93095564700502997</v>
      </c>
      <c r="AD83" s="73">
        <v>0.92</v>
      </c>
      <c r="AE83" s="71">
        <v>0.99486141388975402</v>
      </c>
      <c r="AF83" s="71">
        <v>0.99209486166007899</v>
      </c>
      <c r="AG83" s="71">
        <v>0.99462943071965604</v>
      </c>
      <c r="AH83" s="71">
        <v>0.98965890811201196</v>
      </c>
      <c r="AI83" s="73">
        <v>0.92</v>
      </c>
      <c r="AJ83" s="71">
        <v>0.92627366476835504</v>
      </c>
      <c r="AK83" s="71">
        <v>0.93890057623708001</v>
      </c>
      <c r="AL83" s="71">
        <v>0.92576010691613797</v>
      </c>
      <c r="AM83" s="71">
        <v>0.95268226896251096</v>
      </c>
      <c r="AN83" s="70">
        <v>0.99</v>
      </c>
      <c r="AO83" s="75">
        <v>1</v>
      </c>
      <c r="AP83" s="75">
        <v>1</v>
      </c>
      <c r="AQ83" s="75">
        <v>1</v>
      </c>
      <c r="AR83" s="75">
        <v>1</v>
      </c>
      <c r="AS83" s="77">
        <v>0.10526149898194399</v>
      </c>
      <c r="AT83" s="79">
        <v>0.105263157894737</v>
      </c>
      <c r="AU83" s="79">
        <v>0.230769230769231</v>
      </c>
      <c r="AV83" s="79">
        <v>3.7037037037037E-2</v>
      </c>
      <c r="AW83" s="79">
        <v>0.107558139534884</v>
      </c>
      <c r="AX83" s="56"/>
      <c r="AY83" s="54"/>
    </row>
    <row r="84" spans="1:51">
      <c r="A84" s="53"/>
      <c r="B84" s="56"/>
      <c r="C84" s="90" t="s">
        <v>95</v>
      </c>
      <c r="D84" s="230" t="s">
        <v>1757</v>
      </c>
      <c r="E84" s="68" t="s">
        <v>96</v>
      </c>
      <c r="F84" s="91" t="s">
        <v>101</v>
      </c>
      <c r="G84" s="91" t="s">
        <v>101</v>
      </c>
      <c r="H84" s="91" t="s">
        <v>101</v>
      </c>
      <c r="I84" s="91" t="s">
        <v>101</v>
      </c>
      <c r="J84" s="70">
        <v>0.9</v>
      </c>
      <c r="K84" s="71">
        <v>0.936708860759494</v>
      </c>
      <c r="L84" s="71">
        <v>0.92771084337349397</v>
      </c>
      <c r="M84" s="72">
        <v>0.95061728395061695</v>
      </c>
      <c r="N84" s="71">
        <v>0.93256059009483705</v>
      </c>
      <c r="O84" s="73">
        <v>0.9</v>
      </c>
      <c r="P84" s="71">
        <v>0.92293529721199397</v>
      </c>
      <c r="Q84" s="71">
        <v>0.89214939024390205</v>
      </c>
      <c r="R84" s="71">
        <v>0.90601434614677201</v>
      </c>
      <c r="S84" s="71">
        <v>0.87035552457302201</v>
      </c>
      <c r="T84" s="73">
        <v>0.9</v>
      </c>
      <c r="U84" s="71">
        <v>0.83008942661757001</v>
      </c>
      <c r="V84" s="71">
        <v>0.83860518292682895</v>
      </c>
      <c r="W84" s="71">
        <v>0.83483538716203798</v>
      </c>
      <c r="X84" s="71">
        <v>0.82614151272220304</v>
      </c>
      <c r="Y84" s="73">
        <v>0.92</v>
      </c>
      <c r="Z84" s="73">
        <v>0.90765855604307899</v>
      </c>
      <c r="AA84" s="73">
        <v>0.91774121831925304</v>
      </c>
      <c r="AB84" s="73">
        <v>0.90740299928588397</v>
      </c>
      <c r="AC84" s="73">
        <v>0.914040248400803</v>
      </c>
      <c r="AD84" s="73">
        <v>0.92</v>
      </c>
      <c r="AE84" s="71">
        <v>0.98354143019296303</v>
      </c>
      <c r="AF84" s="71">
        <v>0.96414342629482097</v>
      </c>
      <c r="AG84" s="71">
        <v>0.98385360602798699</v>
      </c>
      <c r="AH84" s="71">
        <v>0.97931129287236196</v>
      </c>
      <c r="AI84" s="73">
        <v>0.92</v>
      </c>
      <c r="AJ84" s="71">
        <v>0.93139033794511195</v>
      </c>
      <c r="AK84" s="71">
        <v>0.94973333333333299</v>
      </c>
      <c r="AL84" s="71">
        <v>0.93941280215790002</v>
      </c>
      <c r="AM84" s="71">
        <v>0.94692782023906896</v>
      </c>
      <c r="AN84" s="70">
        <v>0.99</v>
      </c>
      <c r="AO84" s="75">
        <v>1</v>
      </c>
      <c r="AP84" s="75">
        <v>1</v>
      </c>
      <c r="AQ84" s="75">
        <v>1</v>
      </c>
      <c r="AR84" s="75">
        <v>1</v>
      </c>
      <c r="AS84" s="77">
        <v>0.10526149898194399</v>
      </c>
      <c r="AT84" s="79">
        <v>0.11111111111111099</v>
      </c>
      <c r="AU84" s="79">
        <v>0.1875</v>
      </c>
      <c r="AV84" s="79">
        <v>0.16</v>
      </c>
      <c r="AW84" s="79">
        <v>0.114285714285714</v>
      </c>
      <c r="AX84" s="56"/>
      <c r="AY84" s="54"/>
    </row>
    <row r="85" spans="1:51">
      <c r="A85" s="53"/>
      <c r="B85" s="56"/>
      <c r="C85" s="90" t="s">
        <v>95</v>
      </c>
      <c r="D85" s="230" t="s">
        <v>1757</v>
      </c>
      <c r="E85" s="68" t="s">
        <v>96</v>
      </c>
      <c r="F85" s="91" t="s">
        <v>102</v>
      </c>
      <c r="G85" s="91" t="s">
        <v>102</v>
      </c>
      <c r="H85" s="91" t="s">
        <v>102</v>
      </c>
      <c r="I85" s="91" t="s">
        <v>102</v>
      </c>
      <c r="J85" s="70">
        <v>0.9</v>
      </c>
      <c r="K85" s="71">
        <v>0.94642857142857095</v>
      </c>
      <c r="L85" s="71">
        <v>0.96721311475409799</v>
      </c>
      <c r="M85" s="72">
        <v>0.91666666666666696</v>
      </c>
      <c r="N85" s="71">
        <v>0.94790159189580303</v>
      </c>
      <c r="O85" s="73">
        <v>0.9</v>
      </c>
      <c r="P85" s="71">
        <v>0.5</v>
      </c>
      <c r="Q85" s="71" t="s">
        <v>1710</v>
      </c>
      <c r="R85" s="71" t="s">
        <v>1710</v>
      </c>
      <c r="S85" s="71">
        <v>0.4</v>
      </c>
      <c r="T85" s="73">
        <v>0.9</v>
      </c>
      <c r="U85" s="71">
        <v>0</v>
      </c>
      <c r="V85" s="71" t="s">
        <v>1710</v>
      </c>
      <c r="W85" s="71" t="s">
        <v>1710</v>
      </c>
      <c r="X85" s="71">
        <v>0</v>
      </c>
      <c r="Y85" s="73">
        <v>0.92</v>
      </c>
      <c r="Z85" s="73">
        <v>0</v>
      </c>
      <c r="AA85" s="73" t="s">
        <v>1710</v>
      </c>
      <c r="AB85" s="73" t="s">
        <v>1710</v>
      </c>
      <c r="AC85" s="73">
        <v>0</v>
      </c>
      <c r="AD85" s="73">
        <v>0.92</v>
      </c>
      <c r="AE85" s="71">
        <v>0.92079207920792105</v>
      </c>
      <c r="AF85" s="71">
        <v>0.90217391304347805</v>
      </c>
      <c r="AG85" s="71">
        <v>0.90196078431372595</v>
      </c>
      <c r="AH85" s="71">
        <v>0.866850321395776</v>
      </c>
      <c r="AI85" s="73">
        <v>0.92</v>
      </c>
      <c r="AJ85" s="71">
        <v>0.95468022024565902</v>
      </c>
      <c r="AK85" s="71">
        <v>0.965925728736856</v>
      </c>
      <c r="AL85" s="71">
        <v>0.97230340988169806</v>
      </c>
      <c r="AM85" s="71">
        <v>0.97441170044596404</v>
      </c>
      <c r="AN85" s="70">
        <v>0.99</v>
      </c>
      <c r="AO85" s="75">
        <v>1</v>
      </c>
      <c r="AP85" s="75">
        <v>1</v>
      </c>
      <c r="AQ85" s="75">
        <v>1</v>
      </c>
      <c r="AR85" s="75">
        <v>1</v>
      </c>
      <c r="AS85" s="77">
        <v>0.10526149898194399</v>
      </c>
      <c r="AT85" s="79">
        <v>5.8823529411764698E-2</v>
      </c>
      <c r="AU85" s="79">
        <v>0.1875</v>
      </c>
      <c r="AV85" s="79">
        <v>0.19047619047618999</v>
      </c>
      <c r="AW85" s="79">
        <v>0.10497237569060799</v>
      </c>
      <c r="AX85" s="56"/>
      <c r="AY85" s="54"/>
    </row>
    <row r="86" spans="1:51">
      <c r="A86" s="53"/>
      <c r="B86" s="56"/>
      <c r="C86" s="90" t="s">
        <v>95</v>
      </c>
      <c r="D86" s="230" t="s">
        <v>1757</v>
      </c>
      <c r="E86" s="68" t="s">
        <v>96</v>
      </c>
      <c r="F86" s="91" t="s">
        <v>103</v>
      </c>
      <c r="G86" s="91" t="s">
        <v>103</v>
      </c>
      <c r="H86" s="91" t="s">
        <v>103</v>
      </c>
      <c r="I86" s="91" t="s">
        <v>103</v>
      </c>
      <c r="J86" s="70">
        <v>0.9</v>
      </c>
      <c r="K86" s="71">
        <v>0.786885245901639</v>
      </c>
      <c r="L86" s="71">
        <v>0.89393939393939403</v>
      </c>
      <c r="M86" s="72">
        <v>0.77419354838709697</v>
      </c>
      <c r="N86" s="71">
        <v>0.87207702888583205</v>
      </c>
      <c r="O86" s="73">
        <v>0.9</v>
      </c>
      <c r="P86" s="71">
        <v>0.922136422136422</v>
      </c>
      <c r="Q86" s="71">
        <v>0.93187752195585105</v>
      </c>
      <c r="R86" s="71">
        <v>0.94983277591973203</v>
      </c>
      <c r="S86" s="71">
        <v>0.91879246250480695</v>
      </c>
      <c r="T86" s="73">
        <v>0.9</v>
      </c>
      <c r="U86" s="71">
        <v>0.82303732303732302</v>
      </c>
      <c r="V86" s="71">
        <v>0.88203180631379097</v>
      </c>
      <c r="W86" s="71">
        <v>0.85403726708074501</v>
      </c>
      <c r="X86" s="71">
        <v>0.83792676152629997</v>
      </c>
      <c r="Y86" s="73">
        <v>0.92</v>
      </c>
      <c r="Z86" s="73">
        <v>0.90888066604995399</v>
      </c>
      <c r="AA86" s="73">
        <v>0.93576017130621003</v>
      </c>
      <c r="AB86" s="73">
        <v>0.93756756756756798</v>
      </c>
      <c r="AC86" s="73">
        <v>0.93867844402921696</v>
      </c>
      <c r="AD86" s="73">
        <v>0.92</v>
      </c>
      <c r="AE86" s="71">
        <v>0.98030303030303001</v>
      </c>
      <c r="AF86" s="71">
        <v>0.97228637413394903</v>
      </c>
      <c r="AG86" s="71">
        <v>0.953917050691244</v>
      </c>
      <c r="AH86" s="71">
        <v>0.96909061330730395</v>
      </c>
      <c r="AI86" s="73">
        <v>0.92</v>
      </c>
      <c r="AJ86" s="71">
        <v>0.92291134131575403</v>
      </c>
      <c r="AK86" s="71">
        <v>0.96349284657128798</v>
      </c>
      <c r="AL86" s="71">
        <v>0.95536393608927195</v>
      </c>
      <c r="AM86" s="71">
        <v>0.95876301211420201</v>
      </c>
      <c r="AN86" s="70">
        <v>0.99</v>
      </c>
      <c r="AO86" s="75">
        <v>1</v>
      </c>
      <c r="AP86" s="75">
        <v>1</v>
      </c>
      <c r="AQ86" s="75">
        <v>1</v>
      </c>
      <c r="AR86" s="75">
        <v>1</v>
      </c>
      <c r="AS86" s="77">
        <v>0.10526149898194399</v>
      </c>
      <c r="AT86" s="79">
        <v>0</v>
      </c>
      <c r="AU86" s="79">
        <v>0.25</v>
      </c>
      <c r="AV86" s="79">
        <v>5.8823529411764698E-2</v>
      </c>
      <c r="AW86" s="79">
        <v>9.8837209302325604E-2</v>
      </c>
      <c r="AX86" s="56"/>
      <c r="AY86" s="54"/>
    </row>
    <row r="87" spans="1:51">
      <c r="A87" s="53"/>
      <c r="B87" s="56"/>
      <c r="C87" s="90" t="s">
        <v>95</v>
      </c>
      <c r="D87" s="230" t="s">
        <v>1757</v>
      </c>
      <c r="E87" s="68" t="s">
        <v>96</v>
      </c>
      <c r="F87" s="91" t="s">
        <v>104</v>
      </c>
      <c r="G87" s="91" t="s">
        <v>104</v>
      </c>
      <c r="H87" s="91" t="s">
        <v>104</v>
      </c>
      <c r="I87" s="91" t="s">
        <v>104</v>
      </c>
      <c r="J87" s="70">
        <v>0.9</v>
      </c>
      <c r="K87" s="71">
        <v>0.86666666666666703</v>
      </c>
      <c r="L87" s="71">
        <v>0.94805194805194803</v>
      </c>
      <c r="M87" s="72">
        <v>0.85365853658536595</v>
      </c>
      <c r="N87" s="71">
        <v>0.91574279379157397</v>
      </c>
      <c r="O87" s="73">
        <v>0.9</v>
      </c>
      <c r="P87" s="71">
        <v>0.42857142857142899</v>
      </c>
      <c r="Q87" s="71">
        <v>0.33333333333333298</v>
      </c>
      <c r="R87" s="71" t="s">
        <v>1710</v>
      </c>
      <c r="S87" s="71">
        <v>0.59090909090909105</v>
      </c>
      <c r="T87" s="73">
        <v>0.9</v>
      </c>
      <c r="U87" s="71">
        <v>0.14285714285714299</v>
      </c>
      <c r="V87" s="71">
        <v>0.66666666666666696</v>
      </c>
      <c r="W87" s="71" t="s">
        <v>1710</v>
      </c>
      <c r="X87" s="71">
        <v>0.54545454545454497</v>
      </c>
      <c r="Y87" s="73">
        <v>0.92</v>
      </c>
      <c r="Z87" s="73">
        <v>0.4</v>
      </c>
      <c r="AA87" s="73">
        <v>0.8</v>
      </c>
      <c r="AB87" s="73" t="s">
        <v>1710</v>
      </c>
      <c r="AC87" s="73">
        <v>0.60869565217391297</v>
      </c>
      <c r="AD87" s="73">
        <v>0.92</v>
      </c>
      <c r="AE87" s="71">
        <v>0.98603351955307295</v>
      </c>
      <c r="AF87" s="71">
        <v>0.97651006711409405</v>
      </c>
      <c r="AG87" s="71">
        <v>0.98217821782178205</v>
      </c>
      <c r="AH87" s="71">
        <v>0.98264840182648405</v>
      </c>
      <c r="AI87" s="73">
        <v>0.92</v>
      </c>
      <c r="AJ87" s="71">
        <v>0.97190536544148698</v>
      </c>
      <c r="AK87" s="71">
        <v>0.98300385728061701</v>
      </c>
      <c r="AL87" s="71">
        <v>0.98263332922773705</v>
      </c>
      <c r="AM87" s="71">
        <v>0.98353424756318897</v>
      </c>
      <c r="AN87" s="70">
        <v>0.99</v>
      </c>
      <c r="AO87" s="75">
        <v>1</v>
      </c>
      <c r="AP87" s="75">
        <v>1</v>
      </c>
      <c r="AQ87" s="75">
        <v>1</v>
      </c>
      <c r="AR87" s="75">
        <v>1</v>
      </c>
      <c r="AS87" s="77">
        <v>0.10526149898194399</v>
      </c>
      <c r="AT87" s="79">
        <v>0.105263157894737</v>
      </c>
      <c r="AU87" s="79">
        <v>0</v>
      </c>
      <c r="AV87" s="79">
        <v>6.25E-2</v>
      </c>
      <c r="AW87" s="79">
        <v>5.4298642533936702E-2</v>
      </c>
      <c r="AX87" s="56"/>
      <c r="AY87" s="54"/>
    </row>
    <row r="88" spans="1:51">
      <c r="A88" s="53"/>
      <c r="B88" s="56"/>
      <c r="C88" s="90" t="s">
        <v>95</v>
      </c>
      <c r="D88" s="230" t="s">
        <v>1757</v>
      </c>
      <c r="E88" s="68" t="s">
        <v>96</v>
      </c>
      <c r="F88" s="91" t="s">
        <v>105</v>
      </c>
      <c r="G88" s="91" t="s">
        <v>105</v>
      </c>
      <c r="H88" s="91" t="s">
        <v>105</v>
      </c>
      <c r="I88" s="91" t="s">
        <v>105</v>
      </c>
      <c r="J88" s="70">
        <v>0.9</v>
      </c>
      <c r="K88" s="71">
        <v>0.94736842105263197</v>
      </c>
      <c r="L88" s="71">
        <v>0.97619047619047605</v>
      </c>
      <c r="M88" s="72">
        <v>1</v>
      </c>
      <c r="N88" s="71">
        <v>0.96794871794871795</v>
      </c>
      <c r="O88" s="73">
        <v>0.9</v>
      </c>
      <c r="P88" s="71">
        <v>0.92983230361871105</v>
      </c>
      <c r="Q88" s="71">
        <v>0.93506493506493504</v>
      </c>
      <c r="R88" s="71">
        <v>0.92393133625042101</v>
      </c>
      <c r="S88" s="71">
        <v>0.92538674380581099</v>
      </c>
      <c r="T88" s="73">
        <v>0.9</v>
      </c>
      <c r="U88" s="71">
        <v>0.89099735216240095</v>
      </c>
      <c r="V88" s="71">
        <v>0.90278293135436005</v>
      </c>
      <c r="W88" s="71">
        <v>0.88219454729047497</v>
      </c>
      <c r="X88" s="71">
        <v>0.88608351150798603</v>
      </c>
      <c r="Y88" s="73">
        <v>0.92</v>
      </c>
      <c r="Z88" s="73">
        <v>0.94873727855258205</v>
      </c>
      <c r="AA88" s="73">
        <v>0.95836802664446297</v>
      </c>
      <c r="AB88" s="73">
        <v>0.94332648870636504</v>
      </c>
      <c r="AC88" s="73">
        <v>0.953836930455635</v>
      </c>
      <c r="AD88" s="73">
        <v>0.92</v>
      </c>
      <c r="AE88" s="71">
        <v>0.99259259259259303</v>
      </c>
      <c r="AF88" s="71">
        <v>0.972067039106145</v>
      </c>
      <c r="AG88" s="71">
        <v>0.98666666666666702</v>
      </c>
      <c r="AH88" s="71">
        <v>0.99112717712783405</v>
      </c>
      <c r="AI88" s="73">
        <v>0.92</v>
      </c>
      <c r="AJ88" s="71">
        <v>0.96137426306159801</v>
      </c>
      <c r="AK88" s="71">
        <v>0.97741273100616</v>
      </c>
      <c r="AL88" s="71">
        <v>0.96355900850906395</v>
      </c>
      <c r="AM88" s="71">
        <v>0.96705826897276903</v>
      </c>
      <c r="AN88" s="70">
        <v>0.99</v>
      </c>
      <c r="AO88" s="75">
        <v>1</v>
      </c>
      <c r="AP88" s="75">
        <v>1</v>
      </c>
      <c r="AQ88" s="75">
        <v>1</v>
      </c>
      <c r="AR88" s="75">
        <v>1</v>
      </c>
      <c r="AS88" s="77">
        <v>0.10526149898194399</v>
      </c>
      <c r="AT88" s="79">
        <v>0.2</v>
      </c>
      <c r="AU88" s="79">
        <v>0.14285714285714299</v>
      </c>
      <c r="AV88" s="79">
        <v>0</v>
      </c>
      <c r="AW88" s="79">
        <v>9.6491228070175405E-2</v>
      </c>
      <c r="AX88" s="56"/>
      <c r="AY88" s="54"/>
    </row>
    <row r="89" spans="1:51">
      <c r="A89" s="53"/>
      <c r="B89" s="56"/>
      <c r="C89" s="90" t="s">
        <v>95</v>
      </c>
      <c r="D89" s="230" t="s">
        <v>1757</v>
      </c>
      <c r="E89" s="68" t="s">
        <v>96</v>
      </c>
      <c r="F89" s="91" t="s">
        <v>106</v>
      </c>
      <c r="G89" s="91" t="s">
        <v>106</v>
      </c>
      <c r="H89" s="91" t="s">
        <v>106</v>
      </c>
      <c r="I89" s="91" t="s">
        <v>106</v>
      </c>
      <c r="J89" s="70">
        <v>0.9</v>
      </c>
      <c r="K89" s="71">
        <v>0.83333333333333304</v>
      </c>
      <c r="L89" s="71">
        <v>0.84615384615384603</v>
      </c>
      <c r="M89" s="72">
        <v>0.74</v>
      </c>
      <c r="N89" s="71">
        <v>0.80392156862745101</v>
      </c>
      <c r="O89" s="73">
        <v>0.9</v>
      </c>
      <c r="P89" s="71">
        <v>0.33333333333333298</v>
      </c>
      <c r="Q89" s="71">
        <v>1</v>
      </c>
      <c r="R89" s="71">
        <v>0.5</v>
      </c>
      <c r="S89" s="71">
        <v>0.41666666666666702</v>
      </c>
      <c r="T89" s="73">
        <v>0.9</v>
      </c>
      <c r="U89" s="71">
        <v>0.33333333333333298</v>
      </c>
      <c r="V89" s="71">
        <v>0</v>
      </c>
      <c r="W89" s="71">
        <v>0.5</v>
      </c>
      <c r="X89" s="71">
        <v>0.25</v>
      </c>
      <c r="Y89" s="73">
        <v>0.92</v>
      </c>
      <c r="Z89" s="73">
        <v>0</v>
      </c>
      <c r="AA89" s="73" t="s">
        <v>1710</v>
      </c>
      <c r="AB89" s="73" t="s">
        <v>1710</v>
      </c>
      <c r="AC89" s="73">
        <v>0.14285714285714299</v>
      </c>
      <c r="AD89" s="73">
        <v>0.92</v>
      </c>
      <c r="AE89" s="71">
        <v>0.78873239436619702</v>
      </c>
      <c r="AF89" s="71">
        <v>1</v>
      </c>
      <c r="AG89" s="71">
        <v>0.94285714285714295</v>
      </c>
      <c r="AH89" s="71">
        <v>0.95232419547079905</v>
      </c>
      <c r="AI89" s="73">
        <v>0.92</v>
      </c>
      <c r="AJ89" s="71">
        <v>0.92849659507595605</v>
      </c>
      <c r="AK89" s="71">
        <v>0.92945239269856905</v>
      </c>
      <c r="AL89" s="71">
        <v>0.92220556388472397</v>
      </c>
      <c r="AM89" s="71">
        <v>0.94150697141401896</v>
      </c>
      <c r="AN89" s="70">
        <v>0.99</v>
      </c>
      <c r="AO89" s="75">
        <v>1</v>
      </c>
      <c r="AP89" s="75">
        <v>1</v>
      </c>
      <c r="AQ89" s="75">
        <v>1</v>
      </c>
      <c r="AR89" s="75">
        <v>1</v>
      </c>
      <c r="AS89" s="77">
        <v>0.10526149898194399</v>
      </c>
      <c r="AT89" s="79">
        <v>0</v>
      </c>
      <c r="AU89" s="79">
        <v>9.0909090909090898E-2</v>
      </c>
      <c r="AV89" s="79">
        <v>0.375</v>
      </c>
      <c r="AW89" s="79">
        <v>0.1</v>
      </c>
      <c r="AX89" s="56"/>
      <c r="AY89" s="54"/>
    </row>
    <row r="90" spans="1:51">
      <c r="A90" s="53"/>
      <c r="B90" s="56"/>
      <c r="C90" s="90" t="s">
        <v>95</v>
      </c>
      <c r="D90" s="230" t="s">
        <v>1757</v>
      </c>
      <c r="E90" s="68" t="s">
        <v>96</v>
      </c>
      <c r="F90" s="91" t="s">
        <v>107</v>
      </c>
      <c r="G90" s="91" t="s">
        <v>107</v>
      </c>
      <c r="H90" s="91" t="s">
        <v>107</v>
      </c>
      <c r="I90" s="91" t="s">
        <v>107</v>
      </c>
      <c r="J90" s="70">
        <v>0.9</v>
      </c>
      <c r="K90" s="71">
        <v>0.92727272727272703</v>
      </c>
      <c r="L90" s="71">
        <v>0.88888888888888895</v>
      </c>
      <c r="M90" s="72">
        <v>0.90322580645161299</v>
      </c>
      <c r="N90" s="71">
        <v>0.91791044776119401</v>
      </c>
      <c r="O90" s="73">
        <v>0.9</v>
      </c>
      <c r="P90" s="71">
        <v>0.157894736842105</v>
      </c>
      <c r="Q90" s="71">
        <v>0.6</v>
      </c>
      <c r="R90" s="71">
        <v>0.5</v>
      </c>
      <c r="S90" s="71">
        <v>0.31707317073170699</v>
      </c>
      <c r="T90" s="73">
        <v>0.9</v>
      </c>
      <c r="U90" s="71">
        <v>0.157894736842105</v>
      </c>
      <c r="V90" s="71">
        <v>0</v>
      </c>
      <c r="W90" s="71">
        <v>0</v>
      </c>
      <c r="X90" s="71">
        <v>0.17073170731707299</v>
      </c>
      <c r="Y90" s="73">
        <v>0.92</v>
      </c>
      <c r="Z90" s="73">
        <v>0</v>
      </c>
      <c r="AA90" s="73">
        <v>0</v>
      </c>
      <c r="AB90" s="73">
        <v>0</v>
      </c>
      <c r="AC90" s="73">
        <v>0.133333333333333</v>
      </c>
      <c r="AD90" s="73">
        <v>0.92</v>
      </c>
      <c r="AE90" s="71">
        <v>0.97571428571428598</v>
      </c>
      <c r="AF90" s="71">
        <v>0.66477272727272696</v>
      </c>
      <c r="AG90" s="71">
        <v>0.99259259259259303</v>
      </c>
      <c r="AH90" s="71">
        <v>0.97328055418109805</v>
      </c>
      <c r="AI90" s="73">
        <v>0.92</v>
      </c>
      <c r="AJ90" s="71">
        <v>0.96656916005014604</v>
      </c>
      <c r="AK90" s="71">
        <v>0.98221343873517797</v>
      </c>
      <c r="AL90" s="71">
        <v>0.98623110151187898</v>
      </c>
      <c r="AM90" s="71">
        <v>0.98424078190978603</v>
      </c>
      <c r="AN90" s="70">
        <v>0.99</v>
      </c>
      <c r="AO90" s="75">
        <v>1</v>
      </c>
      <c r="AP90" s="75">
        <v>1</v>
      </c>
      <c r="AQ90" s="75">
        <v>1</v>
      </c>
      <c r="AR90" s="75">
        <v>1</v>
      </c>
      <c r="AS90" s="77">
        <v>0.10526149898194399</v>
      </c>
      <c r="AT90" s="79">
        <v>8.3333333333333301E-2</v>
      </c>
      <c r="AU90" s="79">
        <v>0</v>
      </c>
      <c r="AV90" s="79">
        <v>0.25</v>
      </c>
      <c r="AW90" s="79">
        <v>0.139240506329114</v>
      </c>
      <c r="AX90" s="56"/>
      <c r="AY90" s="54"/>
    </row>
    <row r="91" spans="1:51">
      <c r="A91" s="53"/>
      <c r="B91" s="56"/>
      <c r="C91" s="90" t="s">
        <v>95</v>
      </c>
      <c r="D91" s="230" t="s">
        <v>1757</v>
      </c>
      <c r="E91" s="68" t="s">
        <v>96</v>
      </c>
      <c r="F91" s="91" t="s">
        <v>108</v>
      </c>
      <c r="G91" s="91" t="s">
        <v>108</v>
      </c>
      <c r="H91" s="91" t="s">
        <v>108</v>
      </c>
      <c r="I91" s="91" t="s">
        <v>108</v>
      </c>
      <c r="J91" s="70">
        <v>0.9</v>
      </c>
      <c r="K91" s="71">
        <v>0.95081967213114704</v>
      </c>
      <c r="L91" s="71">
        <v>0.91379310344827602</v>
      </c>
      <c r="M91" s="72">
        <v>0.94736842105263197</v>
      </c>
      <c r="N91" s="71">
        <v>0.95195195195195204</v>
      </c>
      <c r="O91" s="73">
        <v>0.9</v>
      </c>
      <c r="P91" s="71">
        <v>0.97416974169741699</v>
      </c>
      <c r="Q91" s="71">
        <v>0.97331005238213997</v>
      </c>
      <c r="R91" s="71">
        <v>0.97797356828193804</v>
      </c>
      <c r="S91" s="71">
        <v>0.96898633334081397</v>
      </c>
      <c r="T91" s="73">
        <v>0.9</v>
      </c>
      <c r="U91" s="71">
        <v>0.88996980878899701</v>
      </c>
      <c r="V91" s="71">
        <v>0.85333000748316301</v>
      </c>
      <c r="W91" s="71">
        <v>0.85315712187958903</v>
      </c>
      <c r="X91" s="71">
        <v>0.86490428850339995</v>
      </c>
      <c r="Y91" s="73">
        <v>0.92</v>
      </c>
      <c r="Z91" s="73">
        <v>0.94250564900828504</v>
      </c>
      <c r="AA91" s="73">
        <v>0.94353472614342204</v>
      </c>
      <c r="AB91" s="73">
        <v>0.910022148394241</v>
      </c>
      <c r="AC91" s="73">
        <v>0.94214417204803802</v>
      </c>
      <c r="AD91" s="73">
        <v>0.92</v>
      </c>
      <c r="AE91" s="71">
        <v>0.98664688427299696</v>
      </c>
      <c r="AF91" s="71">
        <v>0.98978102189781003</v>
      </c>
      <c r="AG91" s="71">
        <v>0.99301675977653603</v>
      </c>
      <c r="AH91" s="71">
        <v>0.99049942226216503</v>
      </c>
      <c r="AI91" s="73">
        <v>0.92</v>
      </c>
      <c r="AJ91" s="71">
        <v>0.95521102497846699</v>
      </c>
      <c r="AK91" s="71">
        <v>0.96038062283737002</v>
      </c>
      <c r="AL91" s="71">
        <v>0.93909090909090898</v>
      </c>
      <c r="AM91" s="71">
        <v>0.96274206238420301</v>
      </c>
      <c r="AN91" s="70">
        <v>0.99</v>
      </c>
      <c r="AO91" s="75">
        <v>1</v>
      </c>
      <c r="AP91" s="75">
        <v>1</v>
      </c>
      <c r="AQ91" s="75">
        <v>1</v>
      </c>
      <c r="AR91" s="75">
        <v>1</v>
      </c>
      <c r="AS91" s="77">
        <v>0.10526149898194399</v>
      </c>
      <c r="AT91" s="79">
        <v>7.1428571428571397E-2</v>
      </c>
      <c r="AU91" s="79">
        <v>0.27777777777777801</v>
      </c>
      <c r="AV91" s="79">
        <v>0.25</v>
      </c>
      <c r="AW91" s="79">
        <v>0.104545454545455</v>
      </c>
      <c r="AX91" s="56"/>
      <c r="AY91" s="54"/>
    </row>
    <row r="92" spans="1:51">
      <c r="A92" s="53"/>
      <c r="B92" s="56"/>
      <c r="C92" s="90" t="s">
        <v>95</v>
      </c>
      <c r="D92" s="230" t="s">
        <v>1757</v>
      </c>
      <c r="E92" s="68" t="s">
        <v>96</v>
      </c>
      <c r="F92" s="91" t="s">
        <v>109</v>
      </c>
      <c r="G92" s="91" t="s">
        <v>109</v>
      </c>
      <c r="H92" s="91" t="s">
        <v>109</v>
      </c>
      <c r="I92" s="91" t="s">
        <v>109</v>
      </c>
      <c r="J92" s="70">
        <v>0.9</v>
      </c>
      <c r="K92" s="71">
        <v>0.92156862745098</v>
      </c>
      <c r="L92" s="71">
        <v>1</v>
      </c>
      <c r="M92" s="72">
        <v>0.96153846153846201</v>
      </c>
      <c r="N92" s="71">
        <v>0.95883361921097798</v>
      </c>
      <c r="O92" s="73">
        <v>0.9</v>
      </c>
      <c r="P92" s="71">
        <v>1</v>
      </c>
      <c r="Q92" s="71" t="s">
        <v>1710</v>
      </c>
      <c r="R92" s="71">
        <v>1</v>
      </c>
      <c r="S92" s="71">
        <v>0.66666666666666696</v>
      </c>
      <c r="T92" s="73">
        <v>0.9</v>
      </c>
      <c r="U92" s="71">
        <v>0</v>
      </c>
      <c r="V92" s="71" t="s">
        <v>1710</v>
      </c>
      <c r="W92" s="71">
        <v>0</v>
      </c>
      <c r="X92" s="71">
        <v>0.44444444444444398</v>
      </c>
      <c r="Y92" s="73">
        <v>0.92</v>
      </c>
      <c r="Z92" s="73">
        <v>0</v>
      </c>
      <c r="AA92" s="73" t="s">
        <v>1710</v>
      </c>
      <c r="AB92" s="73" t="s">
        <v>1710</v>
      </c>
      <c r="AC92" s="73">
        <v>0</v>
      </c>
      <c r="AD92" s="73">
        <v>0.92</v>
      </c>
      <c r="AE92" s="71">
        <v>0.90666666666666695</v>
      </c>
      <c r="AF92" s="71">
        <v>0.96527777777777801</v>
      </c>
      <c r="AG92" s="71">
        <v>0.96688741721854299</v>
      </c>
      <c r="AH92" s="71">
        <v>0.96645962732919299</v>
      </c>
      <c r="AI92" s="73">
        <v>0.92</v>
      </c>
      <c r="AJ92" s="71">
        <v>0.98221127531472396</v>
      </c>
      <c r="AK92" s="71">
        <v>0.98752598752598797</v>
      </c>
      <c r="AL92" s="71">
        <v>0.98911379486307205</v>
      </c>
      <c r="AM92" s="71">
        <v>0.98937561294540699</v>
      </c>
      <c r="AN92" s="70">
        <v>0.99</v>
      </c>
      <c r="AO92" s="75">
        <v>1</v>
      </c>
      <c r="AP92" s="75">
        <v>1</v>
      </c>
      <c r="AQ92" s="75">
        <v>1</v>
      </c>
      <c r="AR92" s="75">
        <v>1</v>
      </c>
      <c r="AS92" s="77">
        <v>0.10526149898194399</v>
      </c>
      <c r="AT92" s="79">
        <v>0</v>
      </c>
      <c r="AU92" s="79">
        <v>0</v>
      </c>
      <c r="AV92" s="79">
        <v>0</v>
      </c>
      <c r="AW92" s="79">
        <v>0.13888888888888901</v>
      </c>
      <c r="AX92" s="56"/>
      <c r="AY92" s="54"/>
    </row>
    <row r="93" spans="1:51">
      <c r="A93" s="53"/>
      <c r="B93" s="56"/>
      <c r="C93" s="90" t="s">
        <v>95</v>
      </c>
      <c r="D93" s="230" t="s">
        <v>1757</v>
      </c>
      <c r="E93" s="68" t="s">
        <v>96</v>
      </c>
      <c r="F93" s="91" t="s">
        <v>110</v>
      </c>
      <c r="G93" s="91" t="s">
        <v>110</v>
      </c>
      <c r="H93" s="91" t="s">
        <v>110</v>
      </c>
      <c r="I93" s="91" t="s">
        <v>110</v>
      </c>
      <c r="J93" s="70">
        <v>0.9</v>
      </c>
      <c r="K93" s="71">
        <v>0.89655172413793105</v>
      </c>
      <c r="L93" s="71">
        <v>0.929824561403509</v>
      </c>
      <c r="M93" s="72">
        <v>0.94736842105263197</v>
      </c>
      <c r="N93" s="71">
        <v>0.93375394321766603</v>
      </c>
      <c r="O93" s="73">
        <v>0.9</v>
      </c>
      <c r="P93" s="71">
        <v>0.98269147555170899</v>
      </c>
      <c r="Q93" s="71">
        <v>0.95057369814651405</v>
      </c>
      <c r="R93" s="71">
        <v>0.953095684803002</v>
      </c>
      <c r="S93" s="71">
        <v>0.93609439341146705</v>
      </c>
      <c r="T93" s="73">
        <v>0.9</v>
      </c>
      <c r="U93" s="71">
        <v>0.88879273041973195</v>
      </c>
      <c r="V93" s="71">
        <v>0.87849367461017902</v>
      </c>
      <c r="W93" s="71">
        <v>0.86741713570981904</v>
      </c>
      <c r="X93" s="71">
        <v>0.87789040228064597</v>
      </c>
      <c r="Y93" s="73">
        <v>0.92</v>
      </c>
      <c r="Z93" s="73">
        <v>0.93308167467398795</v>
      </c>
      <c r="AA93" s="73">
        <v>0.93928310168251605</v>
      </c>
      <c r="AB93" s="73">
        <v>0.95186827105763105</v>
      </c>
      <c r="AC93" s="73">
        <v>0.94395268833829404</v>
      </c>
      <c r="AD93" s="73">
        <v>0.92</v>
      </c>
      <c r="AE93" s="71">
        <v>0.87301587301587302</v>
      </c>
      <c r="AF93" s="71">
        <v>0.87878787878787901</v>
      </c>
      <c r="AG93" s="71">
        <v>0.971537001897533</v>
      </c>
      <c r="AH93" s="71">
        <v>0.95178114544380998</v>
      </c>
      <c r="AI93" s="73">
        <v>0.92</v>
      </c>
      <c r="AJ93" s="71">
        <v>0.95063145809414495</v>
      </c>
      <c r="AK93" s="71">
        <v>0.96581375838926198</v>
      </c>
      <c r="AL93" s="71">
        <v>0.95864898989898994</v>
      </c>
      <c r="AM93" s="71">
        <v>0.96773030184241504</v>
      </c>
      <c r="AN93" s="70">
        <v>0.99</v>
      </c>
      <c r="AO93" s="75">
        <v>1</v>
      </c>
      <c r="AP93" s="75">
        <v>1</v>
      </c>
      <c r="AQ93" s="75">
        <v>1</v>
      </c>
      <c r="AR93" s="75">
        <v>1</v>
      </c>
      <c r="AS93" s="77">
        <v>0.10526149898194399</v>
      </c>
      <c r="AT93" s="79">
        <v>0.125</v>
      </c>
      <c r="AU93" s="79">
        <v>0.16666666666666699</v>
      </c>
      <c r="AV93" s="79">
        <v>0</v>
      </c>
      <c r="AW93" s="79">
        <v>8.6538461538461495E-2</v>
      </c>
      <c r="AX93" s="56"/>
      <c r="AY93" s="54"/>
    </row>
    <row r="94" spans="1:51">
      <c r="A94" s="53"/>
      <c r="B94" s="56"/>
      <c r="C94" s="90" t="s">
        <v>95</v>
      </c>
      <c r="D94" s="230" t="s">
        <v>1757</v>
      </c>
      <c r="E94" s="68" t="s">
        <v>96</v>
      </c>
      <c r="F94" s="91" t="s">
        <v>111</v>
      </c>
      <c r="G94" s="91" t="s">
        <v>111</v>
      </c>
      <c r="H94" s="91" t="s">
        <v>111</v>
      </c>
      <c r="I94" s="91" t="s">
        <v>111</v>
      </c>
      <c r="J94" s="70">
        <v>0.9</v>
      </c>
      <c r="K94" s="71">
        <v>0.96825396825396803</v>
      </c>
      <c r="L94" s="71">
        <v>0.92424242424242398</v>
      </c>
      <c r="M94" s="72">
        <v>0.90277777777777801</v>
      </c>
      <c r="N94" s="71">
        <v>0.94884910485933505</v>
      </c>
      <c r="O94" s="73">
        <v>0.9</v>
      </c>
      <c r="P94" s="71">
        <v>0.90235478806907399</v>
      </c>
      <c r="Q94" s="71">
        <v>0.86171236171236198</v>
      </c>
      <c r="R94" s="71">
        <v>0.91738505747126398</v>
      </c>
      <c r="S94" s="71">
        <v>0.92451190299535702</v>
      </c>
      <c r="T94" s="73">
        <v>0.9</v>
      </c>
      <c r="U94" s="71">
        <v>0.91145996860282597</v>
      </c>
      <c r="V94" s="71">
        <v>0.84896584896584903</v>
      </c>
      <c r="W94" s="71">
        <v>0.91163793103448298</v>
      </c>
      <c r="X94" s="71">
        <v>0.91512093782460302</v>
      </c>
      <c r="Y94" s="73">
        <v>0.92</v>
      </c>
      <c r="Z94" s="73">
        <v>0.93551637279597</v>
      </c>
      <c r="AA94" s="73">
        <v>0.94727694090382397</v>
      </c>
      <c r="AB94" s="73">
        <v>0.93579198726452595</v>
      </c>
      <c r="AC94" s="73">
        <v>0.94939547286445902</v>
      </c>
      <c r="AD94" s="73">
        <v>0.92</v>
      </c>
      <c r="AE94" s="71">
        <v>0.98039215686274495</v>
      </c>
      <c r="AF94" s="71">
        <v>0.94155844155844204</v>
      </c>
      <c r="AG94" s="71">
        <v>0.96212121212121204</v>
      </c>
      <c r="AH94" s="71">
        <v>0.96096385542168705</v>
      </c>
      <c r="AI94" s="73">
        <v>0.92</v>
      </c>
      <c r="AJ94" s="71">
        <v>0.95541579315164205</v>
      </c>
      <c r="AK94" s="71">
        <v>0.97212780421482003</v>
      </c>
      <c r="AL94" s="71">
        <v>0.96048326201862599</v>
      </c>
      <c r="AM94" s="71">
        <v>0.97175211703228903</v>
      </c>
      <c r="AN94" s="70">
        <v>0.99</v>
      </c>
      <c r="AO94" s="75">
        <v>1</v>
      </c>
      <c r="AP94" s="75">
        <v>1</v>
      </c>
      <c r="AQ94" s="75">
        <v>1</v>
      </c>
      <c r="AR94" s="75">
        <v>1</v>
      </c>
      <c r="AS94" s="77">
        <v>0.10526149898194399</v>
      </c>
      <c r="AT94" s="79">
        <v>5.8823529411764698E-2</v>
      </c>
      <c r="AU94" s="79">
        <v>6.25E-2</v>
      </c>
      <c r="AV94" s="79">
        <v>5.8823529411764698E-2</v>
      </c>
      <c r="AW94" s="79">
        <v>7.9545454545454503E-2</v>
      </c>
      <c r="AX94" s="56"/>
      <c r="AY94" s="54"/>
    </row>
    <row r="95" spans="1:51">
      <c r="A95" s="53"/>
      <c r="B95" s="56"/>
      <c r="C95" s="90" t="s">
        <v>95</v>
      </c>
      <c r="D95" s="230" t="s">
        <v>1757</v>
      </c>
      <c r="E95" s="68" t="s">
        <v>96</v>
      </c>
      <c r="F95" s="91" t="s">
        <v>112</v>
      </c>
      <c r="G95" s="91" t="s">
        <v>112</v>
      </c>
      <c r="H95" s="91" t="s">
        <v>112</v>
      </c>
      <c r="I95" s="91" t="s">
        <v>112</v>
      </c>
      <c r="J95" s="70">
        <v>0.9</v>
      </c>
      <c r="K95" s="71">
        <v>0.90625</v>
      </c>
      <c r="L95" s="71">
        <v>0.93333333333333302</v>
      </c>
      <c r="M95" s="72">
        <v>0.86153846153846203</v>
      </c>
      <c r="N95" s="71">
        <v>0.92360163710777599</v>
      </c>
      <c r="O95" s="73">
        <v>0.9</v>
      </c>
      <c r="P95" s="71">
        <v>0.95932051855163203</v>
      </c>
      <c r="Q95" s="71">
        <v>0.95594855305466198</v>
      </c>
      <c r="R95" s="71">
        <v>0.970677146311971</v>
      </c>
      <c r="S95" s="71">
        <v>0.96218034639543704</v>
      </c>
      <c r="T95" s="73">
        <v>0.9</v>
      </c>
      <c r="U95" s="71">
        <v>0.89584264640143096</v>
      </c>
      <c r="V95" s="71">
        <v>0.89260450160771698</v>
      </c>
      <c r="W95" s="71">
        <v>0.88996372430471604</v>
      </c>
      <c r="X95" s="71">
        <v>0.91150884385923403</v>
      </c>
      <c r="Y95" s="73">
        <v>0.92</v>
      </c>
      <c r="Z95" s="73">
        <v>0.94075587334014299</v>
      </c>
      <c r="AA95" s="73">
        <v>0.92995839112344003</v>
      </c>
      <c r="AB95" s="73">
        <v>0.94569225611800201</v>
      </c>
      <c r="AC95" s="73">
        <v>0.95061680199875098</v>
      </c>
      <c r="AD95" s="73">
        <v>0.92</v>
      </c>
      <c r="AE95" s="71">
        <v>0.99676113360323904</v>
      </c>
      <c r="AF95" s="71">
        <v>0.99046321525885594</v>
      </c>
      <c r="AG95" s="71">
        <v>0.98959236773633996</v>
      </c>
      <c r="AH95" s="71">
        <v>0.98717536383372195</v>
      </c>
      <c r="AI95" s="73">
        <v>0.92</v>
      </c>
      <c r="AJ95" s="71">
        <v>0.95400077309625098</v>
      </c>
      <c r="AK95" s="71">
        <v>0.95738137082601005</v>
      </c>
      <c r="AL95" s="71">
        <v>0.96550627881100004</v>
      </c>
      <c r="AM95" s="71">
        <v>0.97174449103959504</v>
      </c>
      <c r="AN95" s="70">
        <v>0.99</v>
      </c>
      <c r="AO95" s="75">
        <v>1</v>
      </c>
      <c r="AP95" s="75">
        <v>1</v>
      </c>
      <c r="AQ95" s="75">
        <v>1</v>
      </c>
      <c r="AR95" s="75">
        <v>1</v>
      </c>
      <c r="AS95" s="77">
        <v>0.10526149898194399</v>
      </c>
      <c r="AT95" s="79">
        <v>0</v>
      </c>
      <c r="AU95" s="79">
        <v>0.27272727272727298</v>
      </c>
      <c r="AV95" s="79">
        <v>0.2</v>
      </c>
      <c r="AW95" s="79">
        <v>0.11333333333333299</v>
      </c>
      <c r="AX95" s="56"/>
      <c r="AY95" s="54"/>
    </row>
    <row r="96" spans="1:51">
      <c r="A96" s="53"/>
      <c r="B96" s="56"/>
      <c r="C96" s="90" t="s">
        <v>95</v>
      </c>
      <c r="D96" s="230" t="s">
        <v>1757</v>
      </c>
      <c r="E96" s="68" t="s">
        <v>96</v>
      </c>
      <c r="F96" s="91" t="s">
        <v>113</v>
      </c>
      <c r="G96" s="91" t="s">
        <v>113</v>
      </c>
      <c r="H96" s="91" t="s">
        <v>113</v>
      </c>
      <c r="I96" s="91" t="s">
        <v>113</v>
      </c>
      <c r="J96" s="70">
        <v>0.9</v>
      </c>
      <c r="K96" s="71">
        <v>0.87804878048780499</v>
      </c>
      <c r="L96" s="71">
        <v>0.84848484848484895</v>
      </c>
      <c r="M96" s="72">
        <v>0.86567164179104505</v>
      </c>
      <c r="N96" s="71">
        <v>0.90942472460220303</v>
      </c>
      <c r="O96" s="73">
        <v>0.9</v>
      </c>
      <c r="P96" s="71">
        <v>0.86721564590838895</v>
      </c>
      <c r="Q96" s="71">
        <v>0.89504082852021505</v>
      </c>
      <c r="R96" s="71">
        <v>0.86672643059913301</v>
      </c>
      <c r="S96" s="71">
        <v>0.87025516963308602</v>
      </c>
      <c r="T96" s="73">
        <v>0.9</v>
      </c>
      <c r="U96" s="71">
        <v>0.85709384113913201</v>
      </c>
      <c r="V96" s="71">
        <v>0.85500896235809598</v>
      </c>
      <c r="W96" s="71">
        <v>0.82115643209323197</v>
      </c>
      <c r="X96" s="71">
        <v>0.85552387535280205</v>
      </c>
      <c r="Y96" s="73">
        <v>0.92</v>
      </c>
      <c r="Z96" s="73">
        <v>0.90726615816941003</v>
      </c>
      <c r="AA96" s="73">
        <v>0.87637028014616303</v>
      </c>
      <c r="AB96" s="73">
        <v>0.91362443330947296</v>
      </c>
      <c r="AC96" s="73">
        <v>0.92375629113433999</v>
      </c>
      <c r="AD96" s="73">
        <v>0.92</v>
      </c>
      <c r="AE96" s="71">
        <v>0.989205103042198</v>
      </c>
      <c r="AF96" s="71">
        <v>0.82672233820459295</v>
      </c>
      <c r="AG96" s="71">
        <v>0.99321778447626197</v>
      </c>
      <c r="AH96" s="71">
        <v>0.94687518476911203</v>
      </c>
      <c r="AI96" s="73">
        <v>0.92</v>
      </c>
      <c r="AJ96" s="71">
        <v>0.934418647673666</v>
      </c>
      <c r="AK96" s="71">
        <v>0.93562424969988001</v>
      </c>
      <c r="AL96" s="71">
        <v>0.93661001378043196</v>
      </c>
      <c r="AM96" s="71">
        <v>0.95159950895436196</v>
      </c>
      <c r="AN96" s="70">
        <v>0.99</v>
      </c>
      <c r="AO96" s="75">
        <v>1</v>
      </c>
      <c r="AP96" s="75">
        <v>1</v>
      </c>
      <c r="AQ96" s="75">
        <v>1</v>
      </c>
      <c r="AR96" s="75">
        <v>1</v>
      </c>
      <c r="AS96" s="77">
        <v>0.10526149898194399</v>
      </c>
      <c r="AT96" s="79">
        <v>0</v>
      </c>
      <c r="AU96" s="79">
        <v>0.13636363636363599</v>
      </c>
      <c r="AV96" s="79">
        <v>0.125</v>
      </c>
      <c r="AW96" s="79">
        <v>6.9498069498069498E-2</v>
      </c>
      <c r="AX96" s="56"/>
      <c r="AY96" s="54"/>
    </row>
    <row r="97" spans="1:51">
      <c r="A97" s="53"/>
      <c r="B97" s="56"/>
      <c r="C97" s="90" t="s">
        <v>95</v>
      </c>
      <c r="D97" s="230" t="s">
        <v>1757</v>
      </c>
      <c r="E97" s="68" t="s">
        <v>96</v>
      </c>
      <c r="F97" s="91" t="s">
        <v>114</v>
      </c>
      <c r="G97" s="91" t="s">
        <v>114</v>
      </c>
      <c r="H97" s="91" t="s">
        <v>114</v>
      </c>
      <c r="I97" s="91" t="s">
        <v>114</v>
      </c>
      <c r="J97" s="70">
        <v>0.9</v>
      </c>
      <c r="K97" s="71">
        <v>0.86021505376344098</v>
      </c>
      <c r="L97" s="71">
        <v>0.89156626506024095</v>
      </c>
      <c r="M97" s="72">
        <v>0.86250000000000004</v>
      </c>
      <c r="N97" s="71">
        <v>0.883034773445732</v>
      </c>
      <c r="O97" s="73">
        <v>0.9</v>
      </c>
      <c r="P97" s="71">
        <v>0.92532247114731803</v>
      </c>
      <c r="Q97" s="71">
        <v>0.93536607631915303</v>
      </c>
      <c r="R97" s="71">
        <v>0.97605656435802701</v>
      </c>
      <c r="S97" s="71">
        <v>0.90345386463980304</v>
      </c>
      <c r="T97" s="73">
        <v>0.9</v>
      </c>
      <c r="U97" s="71">
        <v>0.87559402579769197</v>
      </c>
      <c r="V97" s="71">
        <v>0.85411721745481095</v>
      </c>
      <c r="W97" s="71">
        <v>0.81038084525148602</v>
      </c>
      <c r="X97" s="71">
        <v>0.83500530933884798</v>
      </c>
      <c r="Y97" s="73">
        <v>0.92</v>
      </c>
      <c r="Z97" s="73">
        <v>0.91901759044142095</v>
      </c>
      <c r="AA97" s="73">
        <v>0.94015080113100802</v>
      </c>
      <c r="AB97" s="73">
        <v>0.87900956668542496</v>
      </c>
      <c r="AC97" s="73">
        <v>0.92207766838568495</v>
      </c>
      <c r="AD97" s="73">
        <v>0.92</v>
      </c>
      <c r="AE97" s="71">
        <v>0.67559055118110201</v>
      </c>
      <c r="AF97" s="71">
        <v>0.96285038838230297</v>
      </c>
      <c r="AG97" s="71">
        <v>0.99459185398005701</v>
      </c>
      <c r="AH97" s="71">
        <v>0.89600697960646203</v>
      </c>
      <c r="AI97" s="73">
        <v>0.92</v>
      </c>
      <c r="AJ97" s="71">
        <v>0.94707263881898995</v>
      </c>
      <c r="AK97" s="71">
        <v>0.97244817633167102</v>
      </c>
      <c r="AL97" s="71">
        <v>0.93301021291327702</v>
      </c>
      <c r="AM97" s="71">
        <v>0.95550524832859696</v>
      </c>
      <c r="AN97" s="70">
        <v>0.99</v>
      </c>
      <c r="AO97" s="75">
        <v>1</v>
      </c>
      <c r="AP97" s="75">
        <v>1</v>
      </c>
      <c r="AQ97" s="75">
        <v>1</v>
      </c>
      <c r="AR97" s="75">
        <v>1</v>
      </c>
      <c r="AS97" s="77">
        <v>0.10526149898194399</v>
      </c>
      <c r="AT97" s="79">
        <v>3.77358490566038E-2</v>
      </c>
      <c r="AU97" s="79">
        <v>0.15151515151515199</v>
      </c>
      <c r="AV97" s="79">
        <v>0</v>
      </c>
      <c r="AW97" s="79">
        <v>7.7647058823529402E-2</v>
      </c>
      <c r="AX97" s="56"/>
      <c r="AY97" s="54"/>
    </row>
    <row r="98" spans="1:51">
      <c r="A98" s="53"/>
      <c r="B98" s="56"/>
      <c r="C98" s="90" t="s">
        <v>95</v>
      </c>
      <c r="D98" s="230" t="s">
        <v>1757</v>
      </c>
      <c r="E98" s="68" t="s">
        <v>96</v>
      </c>
      <c r="F98" s="91" t="s">
        <v>115</v>
      </c>
      <c r="G98" s="91" t="s">
        <v>115</v>
      </c>
      <c r="H98" s="91" t="s">
        <v>115</v>
      </c>
      <c r="I98" s="91" t="s">
        <v>115</v>
      </c>
      <c r="J98" s="70">
        <v>0.9</v>
      </c>
      <c r="K98" s="71">
        <v>0.97222222222222199</v>
      </c>
      <c r="L98" s="71">
        <v>0.90909090909090895</v>
      </c>
      <c r="M98" s="72">
        <v>0.91176470588235303</v>
      </c>
      <c r="N98" s="71">
        <v>0.93208430913348905</v>
      </c>
      <c r="O98" s="73">
        <v>0.9</v>
      </c>
      <c r="P98" s="71">
        <v>0.92268041237113396</v>
      </c>
      <c r="Q98" s="71">
        <v>0.90891023517721103</v>
      </c>
      <c r="R98" s="71">
        <v>0.80779691749773297</v>
      </c>
      <c r="S98" s="71">
        <v>0.89127924153304905</v>
      </c>
      <c r="T98" s="73">
        <v>0.9</v>
      </c>
      <c r="U98" s="71">
        <v>0.80476804123711299</v>
      </c>
      <c r="V98" s="71">
        <v>0.75124213315667399</v>
      </c>
      <c r="W98" s="71">
        <v>0.68570565125415495</v>
      </c>
      <c r="X98" s="71">
        <v>0.78661402519270496</v>
      </c>
      <c r="Y98" s="73">
        <v>0.92</v>
      </c>
      <c r="Z98" s="73">
        <v>0.91932592326998896</v>
      </c>
      <c r="AA98" s="73">
        <v>0.93841642228738997</v>
      </c>
      <c r="AB98" s="73">
        <v>0.9</v>
      </c>
      <c r="AC98" s="73">
        <v>0.93836119390091099</v>
      </c>
      <c r="AD98" s="73">
        <v>0.92</v>
      </c>
      <c r="AE98" s="71">
        <v>0.97289334119033599</v>
      </c>
      <c r="AF98" s="71">
        <v>0.986906710310966</v>
      </c>
      <c r="AG98" s="71">
        <v>0.98619499568593605</v>
      </c>
      <c r="AH98" s="71">
        <v>0.98563887595093902</v>
      </c>
      <c r="AI98" s="73">
        <v>0.92</v>
      </c>
      <c r="AJ98" s="71">
        <v>0.94196504327167796</v>
      </c>
      <c r="AK98" s="71">
        <v>0.96387926768926302</v>
      </c>
      <c r="AL98" s="71">
        <v>0.92611281311948102</v>
      </c>
      <c r="AM98" s="71">
        <v>0.96023846981866401</v>
      </c>
      <c r="AN98" s="70">
        <v>0.99</v>
      </c>
      <c r="AO98" s="75">
        <v>1</v>
      </c>
      <c r="AP98" s="75">
        <v>1</v>
      </c>
      <c r="AQ98" s="75">
        <v>1</v>
      </c>
      <c r="AR98" s="75">
        <v>1</v>
      </c>
      <c r="AS98" s="77">
        <v>0.10526149898194399</v>
      </c>
      <c r="AT98" s="79">
        <v>9.0909090909090898E-2</v>
      </c>
      <c r="AU98" s="79">
        <v>5.8823529411764698E-2</v>
      </c>
      <c r="AV98" s="79">
        <v>0.25</v>
      </c>
      <c r="AW98" s="79">
        <v>7.6363636363636397E-2</v>
      </c>
      <c r="AX98" s="56"/>
      <c r="AY98" s="54"/>
    </row>
    <row r="99" spans="1:51">
      <c r="A99" s="53"/>
      <c r="B99" s="56"/>
      <c r="C99" s="90" t="s">
        <v>95</v>
      </c>
      <c r="D99" s="230" t="s">
        <v>1757</v>
      </c>
      <c r="E99" s="68" t="s">
        <v>96</v>
      </c>
      <c r="F99" s="91" t="s">
        <v>116</v>
      </c>
      <c r="G99" s="91" t="s">
        <v>116</v>
      </c>
      <c r="H99" s="91" t="s">
        <v>116</v>
      </c>
      <c r="I99" s="91" t="s">
        <v>116</v>
      </c>
      <c r="J99" s="70">
        <v>0.9</v>
      </c>
      <c r="K99" s="71">
        <v>0.92</v>
      </c>
      <c r="L99" s="71">
        <v>0.89130434782608703</v>
      </c>
      <c r="M99" s="72">
        <v>0.81818181818181801</v>
      </c>
      <c r="N99" s="71">
        <v>0.908203125</v>
      </c>
      <c r="O99" s="73">
        <v>0.9</v>
      </c>
      <c r="P99" s="71">
        <v>0.91798941798941802</v>
      </c>
      <c r="Q99" s="71">
        <v>0.91943866943866903</v>
      </c>
      <c r="R99" s="71">
        <v>0.85714285714285698</v>
      </c>
      <c r="S99" s="71">
        <v>0.90231099597791298</v>
      </c>
      <c r="T99" s="73">
        <v>0.9</v>
      </c>
      <c r="U99" s="71">
        <v>0.88730158730158704</v>
      </c>
      <c r="V99" s="71">
        <v>0.891891891891892</v>
      </c>
      <c r="W99" s="71">
        <v>0.82906403940886697</v>
      </c>
      <c r="X99" s="71">
        <v>0.85397777626286697</v>
      </c>
      <c r="Y99" s="73">
        <v>0.92</v>
      </c>
      <c r="Z99" s="73">
        <v>0.92865890998162903</v>
      </c>
      <c r="AA99" s="73">
        <v>0.94056224899598395</v>
      </c>
      <c r="AB99" s="73">
        <v>0.89775367931835803</v>
      </c>
      <c r="AC99" s="73">
        <v>0.93546933102956098</v>
      </c>
      <c r="AD99" s="73">
        <v>0.92</v>
      </c>
      <c r="AE99" s="71">
        <v>0.99592904914219205</v>
      </c>
      <c r="AF99" s="71">
        <v>0.99107064694038305</v>
      </c>
      <c r="AG99" s="71">
        <v>0.995269236120774</v>
      </c>
      <c r="AH99" s="71">
        <v>0.98772337494087903</v>
      </c>
      <c r="AI99" s="73">
        <v>0.92</v>
      </c>
      <c r="AJ99" s="71">
        <v>0.95175251880232703</v>
      </c>
      <c r="AK99" s="71">
        <v>0.97114818449460305</v>
      </c>
      <c r="AL99" s="71">
        <v>0.93060364293241005</v>
      </c>
      <c r="AM99" s="71">
        <v>0.96113014183393297</v>
      </c>
      <c r="AN99" s="70">
        <v>0.99</v>
      </c>
      <c r="AO99" s="75">
        <v>1</v>
      </c>
      <c r="AP99" s="75">
        <v>1</v>
      </c>
      <c r="AQ99" s="75">
        <v>1</v>
      </c>
      <c r="AR99" s="75">
        <v>1</v>
      </c>
      <c r="AS99" s="77">
        <v>0.10526149898194399</v>
      </c>
      <c r="AT99" s="79">
        <v>3.7037037037037E-2</v>
      </c>
      <c r="AU99" s="79">
        <v>0.1875</v>
      </c>
      <c r="AV99" s="79">
        <v>0.15</v>
      </c>
      <c r="AW99" s="79">
        <v>0.115830115830116</v>
      </c>
      <c r="AX99" s="56"/>
      <c r="AY99" s="54"/>
    </row>
    <row r="100" spans="1:51">
      <c r="A100" s="53"/>
      <c r="B100" s="56"/>
      <c r="C100" s="90" t="s">
        <v>95</v>
      </c>
      <c r="D100" s="230" t="s">
        <v>1757</v>
      </c>
      <c r="E100" s="68" t="s">
        <v>96</v>
      </c>
      <c r="F100" s="91" t="s">
        <v>117</v>
      </c>
      <c r="G100" s="91" t="s">
        <v>117</v>
      </c>
      <c r="H100" s="91" t="s">
        <v>117</v>
      </c>
      <c r="I100" s="91" t="s">
        <v>117</v>
      </c>
      <c r="J100" s="70">
        <v>0.9</v>
      </c>
      <c r="K100" s="71">
        <v>0.94117647058823495</v>
      </c>
      <c r="L100" s="71">
        <v>0.96875</v>
      </c>
      <c r="M100" s="72">
        <v>1</v>
      </c>
      <c r="N100" s="71">
        <v>0.97877984084880598</v>
      </c>
      <c r="O100" s="73">
        <v>0.9</v>
      </c>
      <c r="P100" s="71">
        <v>0.95411471321695795</v>
      </c>
      <c r="Q100" s="71">
        <v>0.93167701863354002</v>
      </c>
      <c r="R100" s="71">
        <v>0.95732995352767203</v>
      </c>
      <c r="S100" s="71">
        <v>0.95515869921235297</v>
      </c>
      <c r="T100" s="73">
        <v>0.9</v>
      </c>
      <c r="U100" s="71">
        <v>0.91920199501246902</v>
      </c>
      <c r="V100" s="71">
        <v>0.90890269151138703</v>
      </c>
      <c r="W100" s="71">
        <v>0.91972961554710597</v>
      </c>
      <c r="X100" s="71">
        <v>0.92466661467675304</v>
      </c>
      <c r="Y100" s="73">
        <v>0.92</v>
      </c>
      <c r="Z100" s="73">
        <v>0.94792214623882198</v>
      </c>
      <c r="AA100" s="73">
        <v>0.96400625978090804</v>
      </c>
      <c r="AB100" s="73">
        <v>0.96045576407506705</v>
      </c>
      <c r="AC100" s="73">
        <v>0.9653030493161</v>
      </c>
      <c r="AD100" s="73">
        <v>0.92</v>
      </c>
      <c r="AE100" s="71">
        <v>0.993166287015945</v>
      </c>
      <c r="AF100" s="71">
        <v>0.98504983388704304</v>
      </c>
      <c r="AG100" s="71">
        <v>0.99376114081996403</v>
      </c>
      <c r="AH100" s="71">
        <v>0.99047013977128295</v>
      </c>
      <c r="AI100" s="73">
        <v>0.92</v>
      </c>
      <c r="AJ100" s="71">
        <v>0.96134152585765498</v>
      </c>
      <c r="AK100" s="71">
        <v>0.97782963827304503</v>
      </c>
      <c r="AL100" s="71">
        <v>0.97330914744752495</v>
      </c>
      <c r="AM100" s="71">
        <v>0.97681856438619696</v>
      </c>
      <c r="AN100" s="70">
        <v>0.99</v>
      </c>
      <c r="AO100" s="75">
        <v>1</v>
      </c>
      <c r="AP100" s="75">
        <v>1</v>
      </c>
      <c r="AQ100" s="75">
        <v>1</v>
      </c>
      <c r="AR100" s="75">
        <v>1</v>
      </c>
      <c r="AS100" s="77">
        <v>0.10526149898194399</v>
      </c>
      <c r="AT100" s="79">
        <v>0.1</v>
      </c>
      <c r="AU100" s="79">
        <v>0.125</v>
      </c>
      <c r="AV100" s="79">
        <v>7.1428571428571397E-2</v>
      </c>
      <c r="AW100" s="79">
        <v>6.0606060606060601E-2</v>
      </c>
      <c r="AX100" s="56"/>
      <c r="AY100" s="54"/>
    </row>
    <row r="101" spans="1:51">
      <c r="A101" s="53"/>
      <c r="B101" s="56"/>
      <c r="C101" s="90" t="s">
        <v>95</v>
      </c>
      <c r="D101" s="230" t="s">
        <v>1757</v>
      </c>
      <c r="E101" s="68" t="s">
        <v>96</v>
      </c>
      <c r="F101" s="91" t="s">
        <v>118</v>
      </c>
      <c r="G101" s="91" t="s">
        <v>118</v>
      </c>
      <c r="H101" s="91" t="s">
        <v>118</v>
      </c>
      <c r="I101" s="91" t="s">
        <v>118</v>
      </c>
      <c r="J101" s="70">
        <v>0.9</v>
      </c>
      <c r="K101" s="71">
        <v>1</v>
      </c>
      <c r="L101" s="71">
        <v>0.98387096774193505</v>
      </c>
      <c r="M101" s="72">
        <v>0.929824561403509</v>
      </c>
      <c r="N101" s="71">
        <v>0.93428571428571405</v>
      </c>
      <c r="O101" s="73">
        <v>0.9</v>
      </c>
      <c r="P101" s="71">
        <v>0.94556765163296996</v>
      </c>
      <c r="Q101" s="71">
        <v>0.94412489728841398</v>
      </c>
      <c r="R101" s="71">
        <v>0.94091514882274496</v>
      </c>
      <c r="S101" s="71">
        <v>0.95623767258382597</v>
      </c>
      <c r="T101" s="73">
        <v>0.9</v>
      </c>
      <c r="U101" s="71">
        <v>0.91213063763608104</v>
      </c>
      <c r="V101" s="71">
        <v>0.91618734593262097</v>
      </c>
      <c r="W101" s="71">
        <v>0.88627276765881802</v>
      </c>
      <c r="X101" s="71">
        <v>0.90791420118343202</v>
      </c>
      <c r="Y101" s="73">
        <v>0.92</v>
      </c>
      <c r="Z101" s="73">
        <v>0.92756878158337996</v>
      </c>
      <c r="AA101" s="73">
        <v>0.92147435897435903</v>
      </c>
      <c r="AB101" s="73">
        <v>0.93625367767244205</v>
      </c>
      <c r="AC101" s="73">
        <v>0.94928273643436301</v>
      </c>
      <c r="AD101" s="73">
        <v>0.92</v>
      </c>
      <c r="AE101" s="71">
        <v>0.98728070175438598</v>
      </c>
      <c r="AF101" s="71">
        <v>0.98669086509376902</v>
      </c>
      <c r="AG101" s="71">
        <v>0.99728892331525998</v>
      </c>
      <c r="AH101" s="71">
        <v>0.98909368004953102</v>
      </c>
      <c r="AI101" s="73">
        <v>0.92</v>
      </c>
      <c r="AJ101" s="71">
        <v>0.94609164420485203</v>
      </c>
      <c r="AK101" s="71">
        <v>0.96080832823025097</v>
      </c>
      <c r="AL101" s="71">
        <v>0.95397434201825204</v>
      </c>
      <c r="AM101" s="71">
        <v>0.96818256485424403</v>
      </c>
      <c r="AN101" s="70">
        <v>0.99</v>
      </c>
      <c r="AO101" s="75">
        <v>1</v>
      </c>
      <c r="AP101" s="75">
        <v>1</v>
      </c>
      <c r="AQ101" s="75">
        <v>1</v>
      </c>
      <c r="AR101" s="75">
        <v>1</v>
      </c>
      <c r="AS101" s="77">
        <v>0.10526149898194399</v>
      </c>
      <c r="AT101" s="79">
        <v>9.375E-2</v>
      </c>
      <c r="AU101" s="79">
        <v>8.3333333333333301E-2</v>
      </c>
      <c r="AV101" s="79">
        <v>3.7037037037037E-2</v>
      </c>
      <c r="AW101" s="79">
        <v>0.113268608414239</v>
      </c>
      <c r="AX101" s="56"/>
      <c r="AY101" s="54"/>
    </row>
    <row r="102" spans="1:51">
      <c r="A102" s="53"/>
      <c r="B102" s="56"/>
      <c r="C102" s="90" t="s">
        <v>95</v>
      </c>
      <c r="D102" s="230" t="s">
        <v>1757</v>
      </c>
      <c r="E102" s="68" t="s">
        <v>96</v>
      </c>
      <c r="F102" s="91" t="s">
        <v>119</v>
      </c>
      <c r="G102" s="91" t="s">
        <v>119</v>
      </c>
      <c r="H102" s="91" t="s">
        <v>119</v>
      </c>
      <c r="I102" s="91" t="s">
        <v>119</v>
      </c>
      <c r="J102" s="70">
        <v>0.9</v>
      </c>
      <c r="K102" s="71" t="s">
        <v>1710</v>
      </c>
      <c r="L102" s="71" t="s">
        <v>1710</v>
      </c>
      <c r="M102" s="72" t="s">
        <v>1710</v>
      </c>
      <c r="N102" s="71" t="s">
        <v>1710</v>
      </c>
      <c r="O102" s="73">
        <v>0.9</v>
      </c>
      <c r="P102" s="71">
        <v>0</v>
      </c>
      <c r="Q102" s="71">
        <v>0</v>
      </c>
      <c r="R102" s="71">
        <v>0</v>
      </c>
      <c r="S102" s="71">
        <v>0.52873563218390796</v>
      </c>
      <c r="T102" s="73">
        <v>0.9</v>
      </c>
      <c r="U102" s="71">
        <v>1</v>
      </c>
      <c r="V102" s="71">
        <v>0.97727272727272696</v>
      </c>
      <c r="W102" s="71">
        <v>0.96078431372549</v>
      </c>
      <c r="X102" s="71">
        <v>0.97318007662835204</v>
      </c>
      <c r="Y102" s="73">
        <v>0.92</v>
      </c>
      <c r="Z102" s="73">
        <v>1</v>
      </c>
      <c r="AA102" s="73">
        <v>1</v>
      </c>
      <c r="AB102" s="73">
        <v>1</v>
      </c>
      <c r="AC102" s="73">
        <v>0.96869244935543297</v>
      </c>
      <c r="AD102" s="73">
        <v>0.92</v>
      </c>
      <c r="AE102" s="71" t="s">
        <v>1710</v>
      </c>
      <c r="AF102" s="71" t="s">
        <v>1710</v>
      </c>
      <c r="AG102" s="71" t="s">
        <v>1710</v>
      </c>
      <c r="AH102" s="71">
        <v>0.73194748358862105</v>
      </c>
      <c r="AI102" s="73">
        <v>0.92</v>
      </c>
      <c r="AJ102" s="71">
        <v>0.99404761904761896</v>
      </c>
      <c r="AK102" s="71">
        <v>0.981012658227848</v>
      </c>
      <c r="AL102" s="71">
        <v>0.94607843137254899</v>
      </c>
      <c r="AM102" s="71">
        <v>0.96519285042333003</v>
      </c>
      <c r="AN102" s="70">
        <v>0.99</v>
      </c>
      <c r="AO102" s="75" t="s">
        <v>1710</v>
      </c>
      <c r="AP102" s="75" t="s">
        <v>1710</v>
      </c>
      <c r="AQ102" s="75" t="s">
        <v>1710</v>
      </c>
      <c r="AR102" s="75">
        <v>1</v>
      </c>
      <c r="AS102" s="77">
        <v>0.10526149898194399</v>
      </c>
      <c r="AT102" s="79" t="s">
        <v>1710</v>
      </c>
      <c r="AU102" s="79" t="s">
        <v>1710</v>
      </c>
      <c r="AV102" s="79" t="s">
        <v>1710</v>
      </c>
      <c r="AW102" s="79">
        <v>0</v>
      </c>
      <c r="AX102" s="56"/>
      <c r="AY102" s="54"/>
    </row>
    <row r="103" spans="1:51">
      <c r="A103" s="53"/>
      <c r="B103" s="56"/>
      <c r="C103" s="90" t="s">
        <v>95</v>
      </c>
      <c r="D103" s="230" t="s">
        <v>1757</v>
      </c>
      <c r="E103" s="68" t="s">
        <v>96</v>
      </c>
      <c r="F103" s="91" t="s">
        <v>120</v>
      </c>
      <c r="G103" s="91" t="s">
        <v>120</v>
      </c>
      <c r="H103" s="91" t="s">
        <v>120</v>
      </c>
      <c r="I103" s="91" t="s">
        <v>120</v>
      </c>
      <c r="J103" s="70">
        <v>0.9</v>
      </c>
      <c r="K103" s="71">
        <v>0.938271604938272</v>
      </c>
      <c r="L103" s="71">
        <v>0.96250000000000002</v>
      </c>
      <c r="M103" s="72">
        <v>0.93902439024390205</v>
      </c>
      <c r="N103" s="71">
        <v>0.945161290322581</v>
      </c>
      <c r="O103" s="73">
        <v>0.9</v>
      </c>
      <c r="P103" s="71">
        <v>0.95163603180810796</v>
      </c>
      <c r="Q103" s="71">
        <v>0.94311951754386003</v>
      </c>
      <c r="R103" s="71">
        <v>0.88800374882849098</v>
      </c>
      <c r="S103" s="71">
        <v>0.92386221056233597</v>
      </c>
      <c r="T103" s="73">
        <v>0.9</v>
      </c>
      <c r="U103" s="71">
        <v>0.90314170251596904</v>
      </c>
      <c r="V103" s="71">
        <v>0.88665021929824595</v>
      </c>
      <c r="W103" s="71">
        <v>0.85555295220243699</v>
      </c>
      <c r="X103" s="71">
        <v>0.88001596897456402</v>
      </c>
      <c r="Y103" s="73">
        <v>0.92</v>
      </c>
      <c r="Z103" s="73">
        <v>0.92867896123447502</v>
      </c>
      <c r="AA103" s="73">
        <v>0.91639267261625201</v>
      </c>
      <c r="AB103" s="73">
        <v>0.88629671574178903</v>
      </c>
      <c r="AC103" s="73">
        <v>0.91763111474422399</v>
      </c>
      <c r="AD103" s="73">
        <v>0.92</v>
      </c>
      <c r="AE103" s="71">
        <v>0.98115584054438698</v>
      </c>
      <c r="AF103" s="71">
        <v>0.92938217381867405</v>
      </c>
      <c r="AG103" s="71">
        <v>0.81001035448897596</v>
      </c>
      <c r="AH103" s="71">
        <v>0.88043051085231605</v>
      </c>
      <c r="AI103" s="73">
        <v>0.92</v>
      </c>
      <c r="AJ103" s="71">
        <v>0.95229301323484195</v>
      </c>
      <c r="AK103" s="71">
        <v>0.95559088500264999</v>
      </c>
      <c r="AL103" s="71">
        <v>0.93402777777777801</v>
      </c>
      <c r="AM103" s="71">
        <v>0.95133376029549799</v>
      </c>
      <c r="AN103" s="70">
        <v>0.99</v>
      </c>
      <c r="AO103" s="75">
        <v>1</v>
      </c>
      <c r="AP103" s="75">
        <v>1</v>
      </c>
      <c r="AQ103" s="75">
        <v>1</v>
      </c>
      <c r="AR103" s="75">
        <v>1</v>
      </c>
      <c r="AS103" s="77">
        <v>0.10526149898194399</v>
      </c>
      <c r="AT103" s="79">
        <v>0.125</v>
      </c>
      <c r="AU103" s="79">
        <v>7.69230769230769E-2</v>
      </c>
      <c r="AV103" s="79">
        <v>3.8461538461538498E-2</v>
      </c>
      <c r="AW103" s="79">
        <v>8.2926829268292701E-2</v>
      </c>
      <c r="AX103" s="56"/>
      <c r="AY103" s="54"/>
    </row>
    <row r="104" spans="1:51">
      <c r="A104" s="53"/>
      <c r="B104" s="56"/>
      <c r="C104" s="90" t="s">
        <v>95</v>
      </c>
      <c r="D104" s="230" t="s">
        <v>1759</v>
      </c>
      <c r="E104" s="68" t="s">
        <v>96</v>
      </c>
      <c r="F104" s="91" t="s">
        <v>121</v>
      </c>
      <c r="G104" s="91" t="s">
        <v>121</v>
      </c>
      <c r="H104" s="91" t="s">
        <v>121</v>
      </c>
      <c r="I104" s="91" t="s">
        <v>121</v>
      </c>
      <c r="J104" s="70">
        <v>0.9</v>
      </c>
      <c r="K104" s="71" t="s">
        <v>1710</v>
      </c>
      <c r="L104" s="71" t="s">
        <v>1710</v>
      </c>
      <c r="M104" s="72" t="s">
        <v>1710</v>
      </c>
      <c r="N104" s="71" t="s">
        <v>1710</v>
      </c>
      <c r="O104" s="73">
        <v>0.9</v>
      </c>
      <c r="P104" s="71" t="s">
        <v>1710</v>
      </c>
      <c r="Q104" s="71" t="s">
        <v>1710</v>
      </c>
      <c r="R104" s="71" t="s">
        <v>1710</v>
      </c>
      <c r="S104" s="71" t="s">
        <v>1710</v>
      </c>
      <c r="T104" s="73">
        <v>0.9</v>
      </c>
      <c r="U104" s="71" t="s">
        <v>1710</v>
      </c>
      <c r="V104" s="71" t="s">
        <v>1710</v>
      </c>
      <c r="W104" s="71" t="s">
        <v>1710</v>
      </c>
      <c r="X104" s="71" t="s">
        <v>1710</v>
      </c>
      <c r="Y104" s="73">
        <v>0.92</v>
      </c>
      <c r="Z104" s="73" t="s">
        <v>1710</v>
      </c>
      <c r="AA104" s="73" t="s">
        <v>1710</v>
      </c>
      <c r="AB104" s="73" t="s">
        <v>1710</v>
      </c>
      <c r="AC104" s="73" t="s">
        <v>1710</v>
      </c>
      <c r="AD104" s="73">
        <v>0.92</v>
      </c>
      <c r="AE104" s="71">
        <v>1</v>
      </c>
      <c r="AF104" s="71">
        <v>0.90566037735849103</v>
      </c>
      <c r="AG104" s="71">
        <v>0.40151515151515099</v>
      </c>
      <c r="AH104" s="71">
        <v>0.68830731214197505</v>
      </c>
      <c r="AI104" s="73">
        <v>0.92</v>
      </c>
      <c r="AJ104" s="71" t="s">
        <v>1710</v>
      </c>
      <c r="AK104" s="71" t="s">
        <v>1710</v>
      </c>
      <c r="AL104" s="71" t="s">
        <v>1710</v>
      </c>
      <c r="AM104" s="71" t="s">
        <v>1710</v>
      </c>
      <c r="AN104" s="70">
        <v>0.99</v>
      </c>
      <c r="AO104" s="75" t="s">
        <v>1710</v>
      </c>
      <c r="AP104" s="75">
        <v>1</v>
      </c>
      <c r="AQ104" s="75" t="s">
        <v>1710</v>
      </c>
      <c r="AR104" s="75">
        <v>1</v>
      </c>
      <c r="AS104" s="77">
        <v>0.10526149898194399</v>
      </c>
      <c r="AT104" s="79" t="s">
        <v>1710</v>
      </c>
      <c r="AU104" s="79" t="s">
        <v>1710</v>
      </c>
      <c r="AV104" s="79" t="s">
        <v>1710</v>
      </c>
      <c r="AW104" s="79" t="s">
        <v>1710</v>
      </c>
      <c r="AX104" s="56"/>
      <c r="AY104" s="54"/>
    </row>
    <row r="105" spans="1:51">
      <c r="A105" s="53"/>
      <c r="B105" s="56"/>
      <c r="C105" s="90" t="s">
        <v>95</v>
      </c>
      <c r="D105" s="230" t="s">
        <v>1757</v>
      </c>
      <c r="E105" s="68" t="s">
        <v>96</v>
      </c>
      <c r="F105" s="91" t="s">
        <v>122</v>
      </c>
      <c r="G105" s="91" t="s">
        <v>122</v>
      </c>
      <c r="H105" s="91" t="s">
        <v>122</v>
      </c>
      <c r="I105" s="91" t="s">
        <v>122</v>
      </c>
      <c r="J105" s="70">
        <v>0.9</v>
      </c>
      <c r="K105" s="71">
        <v>0.91358024691357997</v>
      </c>
      <c r="L105" s="71">
        <v>0.898876404494382</v>
      </c>
      <c r="M105" s="72">
        <v>0.91358024691357997</v>
      </c>
      <c r="N105" s="71">
        <v>0.91185729275970595</v>
      </c>
      <c r="O105" s="73">
        <v>0.9</v>
      </c>
      <c r="P105" s="71">
        <v>0.96272511517520598</v>
      </c>
      <c r="Q105" s="71">
        <v>0.93799576943416196</v>
      </c>
      <c r="R105" s="71">
        <v>0.937039857831937</v>
      </c>
      <c r="S105" s="71">
        <v>0.95225032771762896</v>
      </c>
      <c r="T105" s="73">
        <v>0.9</v>
      </c>
      <c r="U105" s="71">
        <v>0.89934385034203501</v>
      </c>
      <c r="V105" s="71">
        <v>0.90481226864093101</v>
      </c>
      <c r="W105" s="71">
        <v>0.86684437674536696</v>
      </c>
      <c r="X105" s="71">
        <v>0.86875515851823104</v>
      </c>
      <c r="Y105" s="73">
        <v>0.92</v>
      </c>
      <c r="Z105" s="73">
        <v>0.92432639021593699</v>
      </c>
      <c r="AA105" s="73">
        <v>0.94549763033175405</v>
      </c>
      <c r="AB105" s="73">
        <v>0.91881324747010096</v>
      </c>
      <c r="AC105" s="73">
        <v>0.92902516217368902</v>
      </c>
      <c r="AD105" s="73">
        <v>0.92</v>
      </c>
      <c r="AE105" s="71">
        <v>0.99482253233925999</v>
      </c>
      <c r="AF105" s="71">
        <v>0.99264370148647996</v>
      </c>
      <c r="AG105" s="71">
        <v>0.98776447891149599</v>
      </c>
      <c r="AH105" s="71">
        <v>0.98030065201642103</v>
      </c>
      <c r="AI105" s="73">
        <v>0.92</v>
      </c>
      <c r="AJ105" s="71">
        <v>0.95356711003627603</v>
      </c>
      <c r="AK105" s="71">
        <v>0.97634131855078199</v>
      </c>
      <c r="AL105" s="71">
        <v>0.94883112636913503</v>
      </c>
      <c r="AM105" s="71">
        <v>0.95912471958754797</v>
      </c>
      <c r="AN105" s="70">
        <v>0.99</v>
      </c>
      <c r="AO105" s="75">
        <v>1</v>
      </c>
      <c r="AP105" s="75">
        <v>1</v>
      </c>
      <c r="AQ105" s="75">
        <v>1</v>
      </c>
      <c r="AR105" s="75">
        <v>1</v>
      </c>
      <c r="AS105" s="77">
        <v>0.10526149898194399</v>
      </c>
      <c r="AT105" s="79">
        <v>6.8181818181818205E-2</v>
      </c>
      <c r="AU105" s="79">
        <v>4.1666666666666699E-2</v>
      </c>
      <c r="AV105" s="79">
        <v>4.6511627906976702E-2</v>
      </c>
      <c r="AW105" s="79">
        <v>4.8223350253807098E-2</v>
      </c>
      <c r="AX105" s="56"/>
      <c r="AY105" s="54"/>
    </row>
    <row r="106" spans="1:51">
      <c r="A106" s="53"/>
      <c r="B106" s="56"/>
      <c r="C106" s="90" t="s">
        <v>95</v>
      </c>
      <c r="D106" s="230" t="s">
        <v>1757</v>
      </c>
      <c r="E106" s="68" t="s">
        <v>96</v>
      </c>
      <c r="F106" s="91" t="s">
        <v>123</v>
      </c>
      <c r="G106" s="91" t="s">
        <v>123</v>
      </c>
      <c r="H106" s="91" t="s">
        <v>123</v>
      </c>
      <c r="I106" s="91" t="s">
        <v>123</v>
      </c>
      <c r="J106" s="70">
        <v>0.9</v>
      </c>
      <c r="K106" s="71">
        <v>0.97142857142857097</v>
      </c>
      <c r="L106" s="71">
        <v>0.95652173913043503</v>
      </c>
      <c r="M106" s="72">
        <v>0.97058823529411797</v>
      </c>
      <c r="N106" s="71">
        <v>0.96075949367088598</v>
      </c>
      <c r="O106" s="73">
        <v>0.9</v>
      </c>
      <c r="P106" s="71">
        <v>0.96408558329088101</v>
      </c>
      <c r="Q106" s="71">
        <v>0.91464311994113301</v>
      </c>
      <c r="R106" s="71">
        <v>0.90931625697170004</v>
      </c>
      <c r="S106" s="71">
        <v>0.92365111084988805</v>
      </c>
      <c r="T106" s="73">
        <v>0.9</v>
      </c>
      <c r="U106" s="71">
        <v>0.91263372389200204</v>
      </c>
      <c r="V106" s="71">
        <v>0.90115280843757695</v>
      </c>
      <c r="W106" s="71">
        <v>0.85705432761826095</v>
      </c>
      <c r="X106" s="71">
        <v>0.88246933897574498</v>
      </c>
      <c r="Y106" s="73">
        <v>0.92</v>
      </c>
      <c r="Z106" s="73">
        <v>0.934674679905932</v>
      </c>
      <c r="AA106" s="73">
        <v>0.93073593073593097</v>
      </c>
      <c r="AB106" s="73">
        <v>0.908686730506156</v>
      </c>
      <c r="AC106" s="73">
        <v>0.94104503814357299</v>
      </c>
      <c r="AD106" s="73">
        <v>0.92</v>
      </c>
      <c r="AE106" s="71">
        <v>0.99376947040498398</v>
      </c>
      <c r="AF106" s="71">
        <v>0.92329373867525699</v>
      </c>
      <c r="AG106" s="71">
        <v>0.93005181347150301</v>
      </c>
      <c r="AH106" s="71">
        <v>0.95940693583514802</v>
      </c>
      <c r="AI106" s="73">
        <v>0.92</v>
      </c>
      <c r="AJ106" s="71">
        <v>0.952166064981949</v>
      </c>
      <c r="AK106" s="71">
        <v>0.96339007871133098</v>
      </c>
      <c r="AL106" s="71">
        <v>0.93560849967804205</v>
      </c>
      <c r="AM106" s="71">
        <v>0.96155199825236404</v>
      </c>
      <c r="AN106" s="70">
        <v>0.99</v>
      </c>
      <c r="AO106" s="75">
        <v>1</v>
      </c>
      <c r="AP106" s="75">
        <v>1</v>
      </c>
      <c r="AQ106" s="75">
        <v>1</v>
      </c>
      <c r="AR106" s="75">
        <v>1</v>
      </c>
      <c r="AS106" s="77">
        <v>0.10526149898194399</v>
      </c>
      <c r="AT106" s="79">
        <v>0.2</v>
      </c>
      <c r="AU106" s="79">
        <v>9.6774193548387094E-2</v>
      </c>
      <c r="AV106" s="79">
        <v>8.1081081081081099E-2</v>
      </c>
      <c r="AW106" s="79">
        <v>9.4674556213017694E-2</v>
      </c>
      <c r="AX106" s="56"/>
      <c r="AY106" s="54"/>
    </row>
    <row r="107" spans="1:51">
      <c r="A107" s="53"/>
      <c r="B107" s="56"/>
      <c r="C107" s="90" t="s">
        <v>95</v>
      </c>
      <c r="D107" s="230" t="s">
        <v>1757</v>
      </c>
      <c r="E107" s="68" t="s">
        <v>96</v>
      </c>
      <c r="F107" s="91" t="s">
        <v>124</v>
      </c>
      <c r="G107" s="91" t="s">
        <v>124</v>
      </c>
      <c r="H107" s="91" t="s">
        <v>124</v>
      </c>
      <c r="I107" s="91" t="s">
        <v>124</v>
      </c>
      <c r="J107" s="70">
        <v>0.9</v>
      </c>
      <c r="K107" s="71">
        <v>0.98360655737704905</v>
      </c>
      <c r="L107" s="71">
        <v>1</v>
      </c>
      <c r="M107" s="72">
        <v>1</v>
      </c>
      <c r="N107" s="71">
        <v>0.99678456591639897</v>
      </c>
      <c r="O107" s="73">
        <v>0.9</v>
      </c>
      <c r="P107" s="71">
        <v>0.96469789545146001</v>
      </c>
      <c r="Q107" s="71">
        <v>0.97808619430241095</v>
      </c>
      <c r="R107" s="71">
        <v>0.97586029789419604</v>
      </c>
      <c r="S107" s="71">
        <v>0.97831935432821604</v>
      </c>
      <c r="T107" s="73">
        <v>0.9</v>
      </c>
      <c r="U107" s="71">
        <v>0.86388323150033897</v>
      </c>
      <c r="V107" s="71">
        <v>0.88897005113221295</v>
      </c>
      <c r="W107" s="71">
        <v>0.88803287108371898</v>
      </c>
      <c r="X107" s="71">
        <v>0.88218072479822796</v>
      </c>
      <c r="Y107" s="73">
        <v>0.92</v>
      </c>
      <c r="Z107" s="73">
        <v>0.94424841213832</v>
      </c>
      <c r="AA107" s="73">
        <v>0.94285714285714295</v>
      </c>
      <c r="AB107" s="73">
        <v>0.94102453723633195</v>
      </c>
      <c r="AC107" s="73">
        <v>0.95292051678722201</v>
      </c>
      <c r="AD107" s="73">
        <v>0.92</v>
      </c>
      <c r="AE107" s="71">
        <v>0.99615036231884102</v>
      </c>
      <c r="AF107" s="71">
        <v>0.98615384615384605</v>
      </c>
      <c r="AG107" s="71">
        <v>0.94977341389728098</v>
      </c>
      <c r="AH107" s="71">
        <v>0.98887641237981605</v>
      </c>
      <c r="AI107" s="73">
        <v>0.92</v>
      </c>
      <c r="AJ107" s="71">
        <v>0.95467128027681702</v>
      </c>
      <c r="AK107" s="71">
        <v>0.96885721826339399</v>
      </c>
      <c r="AL107" s="71">
        <v>0.96413637825667398</v>
      </c>
      <c r="AM107" s="71">
        <v>0.97005174644243197</v>
      </c>
      <c r="AN107" s="70">
        <v>0.99</v>
      </c>
      <c r="AO107" s="75">
        <v>1</v>
      </c>
      <c r="AP107" s="75">
        <v>1</v>
      </c>
      <c r="AQ107" s="75">
        <v>1</v>
      </c>
      <c r="AR107" s="75">
        <v>1</v>
      </c>
      <c r="AS107" s="77">
        <v>0.10526149898194399</v>
      </c>
      <c r="AT107" s="79">
        <v>5.8823529411764698E-2</v>
      </c>
      <c r="AU107" s="79">
        <v>0</v>
      </c>
      <c r="AV107" s="79">
        <v>9.0909090909090898E-2</v>
      </c>
      <c r="AW107" s="79">
        <v>6.7796610169491497E-2</v>
      </c>
      <c r="AX107" s="56"/>
      <c r="AY107" s="54"/>
    </row>
    <row r="108" spans="1:51">
      <c r="A108" s="53"/>
      <c r="B108" s="56"/>
      <c r="C108" s="90" t="s">
        <v>95</v>
      </c>
      <c r="D108" s="230" t="s">
        <v>1757</v>
      </c>
      <c r="E108" s="68" t="s">
        <v>96</v>
      </c>
      <c r="F108" s="91" t="s">
        <v>125</v>
      </c>
      <c r="G108" s="91" t="s">
        <v>125</v>
      </c>
      <c r="H108" s="91" t="s">
        <v>125</v>
      </c>
      <c r="I108" s="91" t="s">
        <v>125</v>
      </c>
      <c r="J108" s="70">
        <v>0.9</v>
      </c>
      <c r="K108" s="71">
        <v>0.91111111111111098</v>
      </c>
      <c r="L108" s="71">
        <v>0.95</v>
      </c>
      <c r="M108" s="72">
        <v>0.91666666666666696</v>
      </c>
      <c r="N108" s="71">
        <v>0.94360086767895901</v>
      </c>
      <c r="O108" s="73">
        <v>0.9</v>
      </c>
      <c r="P108" s="71">
        <v>0.94408322496748998</v>
      </c>
      <c r="Q108" s="71">
        <v>0.930708661417323</v>
      </c>
      <c r="R108" s="71">
        <v>0.90655165331690302</v>
      </c>
      <c r="S108" s="71">
        <v>0.93675857964689502</v>
      </c>
      <c r="T108" s="73">
        <v>0.9</v>
      </c>
      <c r="U108" s="71">
        <v>0.92067620286085805</v>
      </c>
      <c r="V108" s="71">
        <v>0.89651293588301495</v>
      </c>
      <c r="W108" s="71">
        <v>0.81228178270692097</v>
      </c>
      <c r="X108" s="71">
        <v>0.88688752231700096</v>
      </c>
      <c r="Y108" s="73">
        <v>0.92</v>
      </c>
      <c r="Z108" s="73">
        <v>0.90990721340915903</v>
      </c>
      <c r="AA108" s="73">
        <v>0.90580204778157003</v>
      </c>
      <c r="AB108" s="73">
        <v>0.84326375711574997</v>
      </c>
      <c r="AC108" s="73">
        <v>0.91006618663175498</v>
      </c>
      <c r="AD108" s="73">
        <v>0.92</v>
      </c>
      <c r="AE108" s="71">
        <v>0.98825417807572502</v>
      </c>
      <c r="AF108" s="71">
        <v>0.987915207250876</v>
      </c>
      <c r="AG108" s="71">
        <v>0.991744275895726</v>
      </c>
      <c r="AH108" s="71">
        <v>0.98547404847577202</v>
      </c>
      <c r="AI108" s="73">
        <v>0.92</v>
      </c>
      <c r="AJ108" s="71">
        <v>0.93955008168907905</v>
      </c>
      <c r="AK108" s="71">
        <v>0.95352374514111904</v>
      </c>
      <c r="AL108" s="71">
        <v>0.89379824327921198</v>
      </c>
      <c r="AM108" s="71">
        <v>0.94417578470734598</v>
      </c>
      <c r="AN108" s="70">
        <v>0.99</v>
      </c>
      <c r="AO108" s="75">
        <v>0.98119122257053304</v>
      </c>
      <c r="AP108" s="75">
        <v>1</v>
      </c>
      <c r="AQ108" s="75">
        <v>1</v>
      </c>
      <c r="AR108" s="75">
        <v>0.99812734082397003</v>
      </c>
      <c r="AS108" s="77">
        <v>0.10526149898194399</v>
      </c>
      <c r="AT108" s="79">
        <v>9.0909090909090898E-2</v>
      </c>
      <c r="AU108" s="79">
        <v>9.0909090909090898E-2</v>
      </c>
      <c r="AV108" s="79">
        <v>7.1428571428571397E-2</v>
      </c>
      <c r="AW108" s="79">
        <v>0.109756097560976</v>
      </c>
      <c r="AX108" s="56"/>
      <c r="AY108" s="54"/>
    </row>
    <row r="109" spans="1:51">
      <c r="A109" s="53"/>
      <c r="B109" s="56"/>
      <c r="C109" s="90" t="s">
        <v>95</v>
      </c>
      <c r="D109" s="230" t="s">
        <v>1757</v>
      </c>
      <c r="E109" s="68" t="s">
        <v>96</v>
      </c>
      <c r="F109" s="91" t="s">
        <v>126</v>
      </c>
      <c r="G109" s="91" t="s">
        <v>126</v>
      </c>
      <c r="H109" s="91" t="s">
        <v>126</v>
      </c>
      <c r="I109" s="91" t="s">
        <v>126</v>
      </c>
      <c r="J109" s="70">
        <v>0.9</v>
      </c>
      <c r="K109" s="71">
        <v>0.98360655737704905</v>
      </c>
      <c r="L109" s="71">
        <v>0.98333333333333295</v>
      </c>
      <c r="M109" s="72">
        <v>0.98181818181818203</v>
      </c>
      <c r="N109" s="71">
        <v>0.98658718330849504</v>
      </c>
      <c r="O109" s="73">
        <v>0.9</v>
      </c>
      <c r="P109" s="71">
        <v>0.91144708423326104</v>
      </c>
      <c r="Q109" s="71">
        <v>0.92918858001502602</v>
      </c>
      <c r="R109" s="71">
        <v>0.89761396011396</v>
      </c>
      <c r="S109" s="71">
        <v>0.91799509762488396</v>
      </c>
      <c r="T109" s="73">
        <v>0.9</v>
      </c>
      <c r="U109" s="71">
        <v>0.88258393873944596</v>
      </c>
      <c r="V109" s="71">
        <v>0.89312546957175099</v>
      </c>
      <c r="W109" s="71">
        <v>0.83636039886039903</v>
      </c>
      <c r="X109" s="71">
        <v>0.87843800185952203</v>
      </c>
      <c r="Y109" s="73">
        <v>0.92</v>
      </c>
      <c r="Z109" s="73">
        <v>0.90944473274519999</v>
      </c>
      <c r="AA109" s="73">
        <v>0.89982321744254601</v>
      </c>
      <c r="AB109" s="73">
        <v>0.87519647909462395</v>
      </c>
      <c r="AC109" s="73">
        <v>0.91043431248873696</v>
      </c>
      <c r="AD109" s="73">
        <v>0.92</v>
      </c>
      <c r="AE109" s="71">
        <v>0.99780427659358895</v>
      </c>
      <c r="AF109" s="71">
        <v>0.83411890315356396</v>
      </c>
      <c r="AG109" s="71">
        <v>0.96814026200182102</v>
      </c>
      <c r="AH109" s="71">
        <v>0.93845858395707704</v>
      </c>
      <c r="AI109" s="73">
        <v>0.92</v>
      </c>
      <c r="AJ109" s="71">
        <v>0.93652212784979905</v>
      </c>
      <c r="AK109" s="71">
        <v>0.95001424095699205</v>
      </c>
      <c r="AL109" s="71">
        <v>0.90258042514493597</v>
      </c>
      <c r="AM109" s="71">
        <v>0.94294583369386498</v>
      </c>
      <c r="AN109" s="70">
        <v>0.99</v>
      </c>
      <c r="AO109" s="75">
        <v>0.99758454106280203</v>
      </c>
      <c r="AP109" s="75">
        <v>1</v>
      </c>
      <c r="AQ109" s="75">
        <v>1</v>
      </c>
      <c r="AR109" s="75">
        <v>0.99936326010824605</v>
      </c>
      <c r="AS109" s="77">
        <v>0.10526149898194399</v>
      </c>
      <c r="AT109" s="79">
        <v>4.1666666666666699E-2</v>
      </c>
      <c r="AU109" s="79">
        <v>0.10344827586206901</v>
      </c>
      <c r="AV109" s="79">
        <v>0.12121212121212099</v>
      </c>
      <c r="AW109" s="79">
        <v>5.7750759878419503E-2</v>
      </c>
      <c r="AX109" s="56"/>
      <c r="AY109" s="54"/>
    </row>
    <row r="110" spans="1:51">
      <c r="A110" s="53"/>
      <c r="B110" s="56"/>
      <c r="C110" s="90" t="s">
        <v>95</v>
      </c>
      <c r="D110" s="230" t="s">
        <v>1757</v>
      </c>
      <c r="E110" s="68" t="s">
        <v>96</v>
      </c>
      <c r="F110" s="91" t="s">
        <v>127</v>
      </c>
      <c r="G110" s="91" t="s">
        <v>127</v>
      </c>
      <c r="H110" s="91" t="s">
        <v>127</v>
      </c>
      <c r="I110" s="91" t="s">
        <v>127</v>
      </c>
      <c r="J110" s="70">
        <v>0.9</v>
      </c>
      <c r="K110" s="71" t="s">
        <v>1710</v>
      </c>
      <c r="L110" s="71" t="s">
        <v>1710</v>
      </c>
      <c r="M110" s="72" t="s">
        <v>1710</v>
      </c>
      <c r="N110" s="71" t="s">
        <v>1710</v>
      </c>
      <c r="O110" s="73">
        <v>0.9</v>
      </c>
      <c r="P110" s="71" t="s">
        <v>1710</v>
      </c>
      <c r="Q110" s="71" t="s">
        <v>1710</v>
      </c>
      <c r="R110" s="71" t="s">
        <v>1710</v>
      </c>
      <c r="S110" s="71" t="s">
        <v>1710</v>
      </c>
      <c r="T110" s="73">
        <v>0.9</v>
      </c>
      <c r="U110" s="71" t="s">
        <v>1710</v>
      </c>
      <c r="V110" s="71" t="s">
        <v>1710</v>
      </c>
      <c r="W110" s="71" t="s">
        <v>1710</v>
      </c>
      <c r="X110" s="71" t="s">
        <v>1710</v>
      </c>
      <c r="Y110" s="73">
        <v>0.92</v>
      </c>
      <c r="Z110" s="73" t="s">
        <v>1710</v>
      </c>
      <c r="AA110" s="73">
        <v>0</v>
      </c>
      <c r="AB110" s="73" t="s">
        <v>1710</v>
      </c>
      <c r="AC110" s="73">
        <v>0.5</v>
      </c>
      <c r="AD110" s="73">
        <v>0.92</v>
      </c>
      <c r="AE110" s="71">
        <v>0.97631578947368403</v>
      </c>
      <c r="AF110" s="71">
        <v>0.6</v>
      </c>
      <c r="AG110" s="71">
        <v>0.97350993377483397</v>
      </c>
      <c r="AH110" s="71">
        <v>0.89314420803782502</v>
      </c>
      <c r="AI110" s="73">
        <v>0.92</v>
      </c>
      <c r="AJ110" s="71" t="s">
        <v>1710</v>
      </c>
      <c r="AK110" s="71">
        <v>0</v>
      </c>
      <c r="AL110" s="71" t="s">
        <v>1710</v>
      </c>
      <c r="AM110" s="71">
        <v>0.5</v>
      </c>
      <c r="AN110" s="70">
        <v>0.99</v>
      </c>
      <c r="AO110" s="75">
        <v>1</v>
      </c>
      <c r="AP110" s="75">
        <v>1</v>
      </c>
      <c r="AQ110" s="75">
        <v>1</v>
      </c>
      <c r="AR110" s="75">
        <v>1</v>
      </c>
      <c r="AS110" s="77">
        <v>0.10526149898194399</v>
      </c>
      <c r="AT110" s="79" t="s">
        <v>1710</v>
      </c>
      <c r="AU110" s="79" t="s">
        <v>1710</v>
      </c>
      <c r="AV110" s="79" t="s">
        <v>1710</v>
      </c>
      <c r="AW110" s="79" t="s">
        <v>1710</v>
      </c>
      <c r="AX110" s="56"/>
      <c r="AY110" s="54"/>
    </row>
    <row r="111" spans="1:51">
      <c r="A111" s="53"/>
      <c r="B111" s="56"/>
      <c r="C111" s="90" t="s">
        <v>95</v>
      </c>
      <c r="D111" s="230" t="s">
        <v>1757</v>
      </c>
      <c r="E111" s="68" t="s">
        <v>96</v>
      </c>
      <c r="F111" s="91" t="s">
        <v>128</v>
      </c>
      <c r="G111" s="91" t="s">
        <v>128</v>
      </c>
      <c r="H111" s="91" t="s">
        <v>128</v>
      </c>
      <c r="I111" s="91" t="s">
        <v>128</v>
      </c>
      <c r="J111" s="70">
        <v>0.9</v>
      </c>
      <c r="K111" s="71">
        <v>0.838095238095238</v>
      </c>
      <c r="L111" s="71">
        <v>0.85849056603773599</v>
      </c>
      <c r="M111" s="72">
        <v>0.84269662921348298</v>
      </c>
      <c r="N111" s="71">
        <v>0.86832740213523096</v>
      </c>
      <c r="O111" s="73">
        <v>0.9</v>
      </c>
      <c r="P111" s="71">
        <v>0.87723002216826795</v>
      </c>
      <c r="Q111" s="71">
        <v>0.89315385424334803</v>
      </c>
      <c r="R111" s="71">
        <v>0.82064297800338404</v>
      </c>
      <c r="S111" s="71">
        <v>0.88082146283858598</v>
      </c>
      <c r="T111" s="73">
        <v>0.9</v>
      </c>
      <c r="U111" s="71">
        <v>0.84746120553151105</v>
      </c>
      <c r="V111" s="71">
        <v>0.85487432958250098</v>
      </c>
      <c r="W111" s="71">
        <v>0.78736604624929496</v>
      </c>
      <c r="X111" s="71">
        <v>0.85039486308952705</v>
      </c>
      <c r="Y111" s="73">
        <v>0.92</v>
      </c>
      <c r="Z111" s="73">
        <v>0.86852533257854503</v>
      </c>
      <c r="AA111" s="73">
        <v>0.90906106369008499</v>
      </c>
      <c r="AB111" s="73">
        <v>0.83058623619371297</v>
      </c>
      <c r="AC111" s="73">
        <v>0.88607278544291102</v>
      </c>
      <c r="AD111" s="73">
        <v>0.92</v>
      </c>
      <c r="AE111" s="71">
        <v>0.99036541653636101</v>
      </c>
      <c r="AF111" s="71">
        <v>0.97739424939397102</v>
      </c>
      <c r="AG111" s="71">
        <v>0.98311276124318803</v>
      </c>
      <c r="AH111" s="71">
        <v>0.98139035978149403</v>
      </c>
      <c r="AI111" s="73">
        <v>0.92</v>
      </c>
      <c r="AJ111" s="71">
        <v>0.90514479172964102</v>
      </c>
      <c r="AK111" s="71">
        <v>0.95652173913043503</v>
      </c>
      <c r="AL111" s="71">
        <v>0.87300338818973899</v>
      </c>
      <c r="AM111" s="71">
        <v>0.92978425295954603</v>
      </c>
      <c r="AN111" s="70">
        <v>0.99</v>
      </c>
      <c r="AO111" s="75">
        <v>1</v>
      </c>
      <c r="AP111" s="75">
        <v>1</v>
      </c>
      <c r="AQ111" s="75">
        <v>1</v>
      </c>
      <c r="AR111" s="75">
        <v>1</v>
      </c>
      <c r="AS111" s="77">
        <v>0.10526149898194399</v>
      </c>
      <c r="AT111" s="79">
        <v>4.4247787610619503E-3</v>
      </c>
      <c r="AU111" s="79">
        <v>9.8522167487684695E-3</v>
      </c>
      <c r="AV111" s="79">
        <v>2.81124497991968E-2</v>
      </c>
      <c r="AW111" s="79">
        <v>1.9672131147540999E-2</v>
      </c>
      <c r="AX111" s="56"/>
      <c r="AY111" s="54"/>
    </row>
    <row r="112" spans="1:51">
      <c r="A112" s="53"/>
      <c r="B112" s="56"/>
      <c r="C112" s="90" t="s">
        <v>95</v>
      </c>
      <c r="D112" s="230" t="s">
        <v>1759</v>
      </c>
      <c r="E112" s="68" t="s">
        <v>96</v>
      </c>
      <c r="F112" s="91" t="s">
        <v>129</v>
      </c>
      <c r="G112" s="91" t="s">
        <v>129</v>
      </c>
      <c r="H112" s="91" t="s">
        <v>129</v>
      </c>
      <c r="I112" s="91" t="s">
        <v>129</v>
      </c>
      <c r="J112" s="70">
        <v>0.9</v>
      </c>
      <c r="K112" s="71" t="s">
        <v>1710</v>
      </c>
      <c r="L112" s="71" t="s">
        <v>1710</v>
      </c>
      <c r="M112" s="72" t="s">
        <v>1710</v>
      </c>
      <c r="N112" s="71" t="s">
        <v>1710</v>
      </c>
      <c r="O112" s="73">
        <v>0.9</v>
      </c>
      <c r="P112" s="71">
        <v>0</v>
      </c>
      <c r="Q112" s="71">
        <v>0</v>
      </c>
      <c r="R112" s="71" t="s">
        <v>1710</v>
      </c>
      <c r="S112" s="71">
        <v>0.25</v>
      </c>
      <c r="T112" s="73">
        <v>0.9</v>
      </c>
      <c r="U112" s="71">
        <v>1</v>
      </c>
      <c r="V112" s="71">
        <v>1</v>
      </c>
      <c r="W112" s="71" t="s">
        <v>1710</v>
      </c>
      <c r="X112" s="71">
        <v>1</v>
      </c>
      <c r="Y112" s="73">
        <v>0.92</v>
      </c>
      <c r="Z112" s="73" t="s">
        <v>1710</v>
      </c>
      <c r="AA112" s="73" t="s">
        <v>1710</v>
      </c>
      <c r="AB112" s="73" t="s">
        <v>1710</v>
      </c>
      <c r="AC112" s="73" t="s">
        <v>1710</v>
      </c>
      <c r="AD112" s="73">
        <v>0.92</v>
      </c>
      <c r="AE112" s="71">
        <v>0.987206235483998</v>
      </c>
      <c r="AF112" s="71">
        <v>0.98474230462166201</v>
      </c>
      <c r="AG112" s="71">
        <v>0.96171183403030502</v>
      </c>
      <c r="AH112" s="71">
        <v>0.94608695652173902</v>
      </c>
      <c r="AI112" s="73">
        <v>0.92</v>
      </c>
      <c r="AJ112" s="71">
        <v>1</v>
      </c>
      <c r="AK112" s="71">
        <v>1</v>
      </c>
      <c r="AL112" s="71" t="s">
        <v>1710</v>
      </c>
      <c r="AM112" s="71">
        <v>1</v>
      </c>
      <c r="AN112" s="70">
        <v>0.99</v>
      </c>
      <c r="AO112" s="75">
        <v>1</v>
      </c>
      <c r="AP112" s="75">
        <v>1</v>
      </c>
      <c r="AQ112" s="75">
        <v>1</v>
      </c>
      <c r="AR112" s="75">
        <v>1</v>
      </c>
      <c r="AS112" s="77">
        <v>0.10526149898194399</v>
      </c>
      <c r="AT112" s="79" t="s">
        <v>1710</v>
      </c>
      <c r="AU112" s="79" t="s">
        <v>1710</v>
      </c>
      <c r="AV112" s="79" t="s">
        <v>1710</v>
      </c>
      <c r="AW112" s="79" t="s">
        <v>1710</v>
      </c>
      <c r="AX112" s="56"/>
      <c r="AY112" s="54"/>
    </row>
    <row r="113" spans="1:51">
      <c r="A113" s="53"/>
      <c r="B113" s="56"/>
      <c r="C113" s="90" t="s">
        <v>95</v>
      </c>
      <c r="D113" s="230" t="s">
        <v>1757</v>
      </c>
      <c r="E113" s="68" t="s">
        <v>96</v>
      </c>
      <c r="F113" s="91" t="s">
        <v>130</v>
      </c>
      <c r="G113" s="91" t="s">
        <v>130</v>
      </c>
      <c r="H113" s="91" t="s">
        <v>130</v>
      </c>
      <c r="I113" s="91" t="s">
        <v>130</v>
      </c>
      <c r="J113" s="70">
        <v>0.9</v>
      </c>
      <c r="K113" s="71">
        <v>0.89230769230769202</v>
      </c>
      <c r="L113" s="71">
        <v>0.86486486486486502</v>
      </c>
      <c r="M113" s="72">
        <v>0.871428571428571</v>
      </c>
      <c r="N113" s="71">
        <v>0.88586251621271095</v>
      </c>
      <c r="O113" s="73">
        <v>0.9</v>
      </c>
      <c r="P113" s="71">
        <v>0.96095369730476898</v>
      </c>
      <c r="Q113" s="71">
        <v>0.92821304515630998</v>
      </c>
      <c r="R113" s="71">
        <v>0.88136343514829596</v>
      </c>
      <c r="S113" s="71">
        <v>0.93421052631578905</v>
      </c>
      <c r="T113" s="73">
        <v>0.9</v>
      </c>
      <c r="U113" s="71">
        <v>0.909986178299931</v>
      </c>
      <c r="V113" s="71">
        <v>0.89116171362408303</v>
      </c>
      <c r="W113" s="71">
        <v>0.87442821307363106</v>
      </c>
      <c r="X113" s="71">
        <v>0.87179005205321003</v>
      </c>
      <c r="Y113" s="73">
        <v>0.92</v>
      </c>
      <c r="Z113" s="73">
        <v>0.91187578682333204</v>
      </c>
      <c r="AA113" s="73">
        <v>0.93624497991967903</v>
      </c>
      <c r="AB113" s="73">
        <v>0.86179044200134602</v>
      </c>
      <c r="AC113" s="73">
        <v>0.89660440247205098</v>
      </c>
      <c r="AD113" s="73">
        <v>0.92</v>
      </c>
      <c r="AE113" s="71">
        <v>0.89367335562987704</v>
      </c>
      <c r="AF113" s="71">
        <v>0.87422691697225097</v>
      </c>
      <c r="AG113" s="71">
        <v>0.98106060606060597</v>
      </c>
      <c r="AH113" s="71">
        <v>0.92480874032871496</v>
      </c>
      <c r="AI113" s="73">
        <v>0.92</v>
      </c>
      <c r="AJ113" s="71">
        <v>0.94277593557555694</v>
      </c>
      <c r="AK113" s="71">
        <v>0.95985503206021705</v>
      </c>
      <c r="AL113" s="71">
        <v>0.90504583073774103</v>
      </c>
      <c r="AM113" s="71">
        <v>0.93491492845447399</v>
      </c>
      <c r="AN113" s="70">
        <v>0.99</v>
      </c>
      <c r="AO113" s="75">
        <v>1</v>
      </c>
      <c r="AP113" s="75">
        <v>1</v>
      </c>
      <c r="AQ113" s="75">
        <v>1</v>
      </c>
      <c r="AR113" s="75">
        <v>1</v>
      </c>
      <c r="AS113" s="77">
        <v>0.10526149898194399</v>
      </c>
      <c r="AT113" s="79">
        <v>0.125</v>
      </c>
      <c r="AU113" s="79">
        <v>5.8823529411764698E-2</v>
      </c>
      <c r="AV113" s="79">
        <v>0.157894736842105</v>
      </c>
      <c r="AW113" s="79">
        <v>8.3743842364532001E-2</v>
      </c>
      <c r="AX113" s="56"/>
      <c r="AY113" s="54"/>
    </row>
    <row r="114" spans="1:51">
      <c r="A114" s="53"/>
      <c r="B114" s="56"/>
      <c r="C114" s="90" t="s">
        <v>95</v>
      </c>
      <c r="D114" s="230" t="s">
        <v>1757</v>
      </c>
      <c r="E114" s="68" t="s">
        <v>96</v>
      </c>
      <c r="F114" s="91" t="s">
        <v>131</v>
      </c>
      <c r="G114" s="91" t="s">
        <v>131</v>
      </c>
      <c r="H114" s="91" t="s">
        <v>131</v>
      </c>
      <c r="I114" s="91" t="s">
        <v>131</v>
      </c>
      <c r="J114" s="70">
        <v>0.9</v>
      </c>
      <c r="K114" s="71">
        <v>0.90816326530612201</v>
      </c>
      <c r="L114" s="71">
        <v>0.86956521739130399</v>
      </c>
      <c r="M114" s="72">
        <v>0.86516853932584303</v>
      </c>
      <c r="N114" s="71">
        <v>0.88867376573088097</v>
      </c>
      <c r="O114" s="73">
        <v>0.9</v>
      </c>
      <c r="P114" s="71">
        <v>0.69715285509782099</v>
      </c>
      <c r="Q114" s="71">
        <v>0.69415724933878298</v>
      </c>
      <c r="R114" s="71">
        <v>0.73691871042864399</v>
      </c>
      <c r="S114" s="71">
        <v>0.74180817553133704</v>
      </c>
      <c r="T114" s="73">
        <v>0.9</v>
      </c>
      <c r="U114" s="71">
        <v>0.96405280738030896</v>
      </c>
      <c r="V114" s="71">
        <v>0.95944537949827702</v>
      </c>
      <c r="W114" s="71">
        <v>0.92329524779855898</v>
      </c>
      <c r="X114" s="71">
        <v>0.93262609073463898</v>
      </c>
      <c r="Y114" s="73">
        <v>0.92</v>
      </c>
      <c r="Z114" s="73">
        <v>0.96070381231671598</v>
      </c>
      <c r="AA114" s="73">
        <v>0.97808459346920895</v>
      </c>
      <c r="AB114" s="73">
        <v>0.95694660812915999</v>
      </c>
      <c r="AC114" s="73">
        <v>0.97223285282986804</v>
      </c>
      <c r="AD114" s="73">
        <v>0.92</v>
      </c>
      <c r="AE114" s="71">
        <v>0.99184451484872704</v>
      </c>
      <c r="AF114" s="71">
        <v>0.92249643075667997</v>
      </c>
      <c r="AG114" s="71">
        <v>0.96618603167005701</v>
      </c>
      <c r="AH114" s="71">
        <v>0.962134742538441</v>
      </c>
      <c r="AI114" s="73">
        <v>0.92</v>
      </c>
      <c r="AJ114" s="71">
        <v>0.97850958565244295</v>
      </c>
      <c r="AK114" s="71">
        <v>0.98827392120074997</v>
      </c>
      <c r="AL114" s="71">
        <v>0.97084113945333095</v>
      </c>
      <c r="AM114" s="71">
        <v>0.98155013363221</v>
      </c>
      <c r="AN114" s="70">
        <v>0.99</v>
      </c>
      <c r="AO114" s="75">
        <v>1</v>
      </c>
      <c r="AP114" s="75">
        <v>1</v>
      </c>
      <c r="AQ114" s="75">
        <v>1</v>
      </c>
      <c r="AR114" s="75">
        <v>1</v>
      </c>
      <c r="AS114" s="77">
        <v>0.10526149898194399</v>
      </c>
      <c r="AT114" s="79">
        <v>0.24</v>
      </c>
      <c r="AU114" s="79">
        <v>9.5238095238095205E-2</v>
      </c>
      <c r="AV114" s="79">
        <v>0.15384615384615399</v>
      </c>
      <c r="AW114" s="79">
        <v>7.7399380804953594E-2</v>
      </c>
      <c r="AX114" s="56"/>
      <c r="AY114" s="54"/>
    </row>
    <row r="115" spans="1:51">
      <c r="A115" s="53"/>
      <c r="B115" s="56"/>
      <c r="C115" s="90" t="s">
        <v>95</v>
      </c>
      <c r="D115" s="230" t="s">
        <v>1757</v>
      </c>
      <c r="E115" s="68" t="s">
        <v>96</v>
      </c>
      <c r="F115" s="91" t="s">
        <v>132</v>
      </c>
      <c r="G115" s="91" t="s">
        <v>132</v>
      </c>
      <c r="H115" s="91" t="s">
        <v>132</v>
      </c>
      <c r="I115" s="91" t="s">
        <v>132</v>
      </c>
      <c r="J115" s="70">
        <v>0.9</v>
      </c>
      <c r="K115" s="71">
        <v>0.89873417721519</v>
      </c>
      <c r="L115" s="71">
        <v>0.86842105263157898</v>
      </c>
      <c r="M115" s="72">
        <v>0.87837837837837796</v>
      </c>
      <c r="N115" s="71">
        <v>0.86833144154370001</v>
      </c>
      <c r="O115" s="73">
        <v>0.9</v>
      </c>
      <c r="P115" s="71">
        <v>0.93887775551102204</v>
      </c>
      <c r="Q115" s="71">
        <v>0.95662602438536903</v>
      </c>
      <c r="R115" s="71">
        <v>0.855302279484638</v>
      </c>
      <c r="S115" s="71">
        <v>0.917954274229006</v>
      </c>
      <c r="T115" s="73">
        <v>0.9</v>
      </c>
      <c r="U115" s="71">
        <v>0.86452905811623204</v>
      </c>
      <c r="V115" s="71">
        <v>0.83729762142714403</v>
      </c>
      <c r="W115" s="71">
        <v>0.81301618764453298</v>
      </c>
      <c r="X115" s="71">
        <v>0.82780604233402399</v>
      </c>
      <c r="Y115" s="73">
        <v>0.92</v>
      </c>
      <c r="Z115" s="73">
        <v>0.92195334641377802</v>
      </c>
      <c r="AA115" s="73">
        <v>0.94393063583814996</v>
      </c>
      <c r="AB115" s="73">
        <v>0.89194971917624999</v>
      </c>
      <c r="AC115" s="73">
        <v>0.926412269874202</v>
      </c>
      <c r="AD115" s="73">
        <v>0.92</v>
      </c>
      <c r="AE115" s="71">
        <v>0.95974349839686501</v>
      </c>
      <c r="AF115" s="71">
        <v>0.99238820171265496</v>
      </c>
      <c r="AG115" s="71">
        <v>0.99170697995853496</v>
      </c>
      <c r="AH115" s="71">
        <v>0.97258146495736197</v>
      </c>
      <c r="AI115" s="73">
        <v>0.92</v>
      </c>
      <c r="AJ115" s="71">
        <v>0.94163099091573599</v>
      </c>
      <c r="AK115" s="71">
        <v>0.96138996138996102</v>
      </c>
      <c r="AL115" s="71">
        <v>0.92619436504695796</v>
      </c>
      <c r="AM115" s="71">
        <v>0.95331152179679901</v>
      </c>
      <c r="AN115" s="70">
        <v>0.99</v>
      </c>
      <c r="AO115" s="75">
        <v>1</v>
      </c>
      <c r="AP115" s="75">
        <v>1</v>
      </c>
      <c r="AQ115" s="75">
        <v>1</v>
      </c>
      <c r="AR115" s="75">
        <v>1</v>
      </c>
      <c r="AS115" s="77">
        <v>0.10526149898194399</v>
      </c>
      <c r="AT115" s="79">
        <v>0.22727272727272699</v>
      </c>
      <c r="AU115" s="79">
        <v>0.17647058823529399</v>
      </c>
      <c r="AV115" s="79">
        <v>4.5454545454545497E-2</v>
      </c>
      <c r="AW115" s="79">
        <v>8.7463556851311894E-2</v>
      </c>
      <c r="AX115" s="56"/>
      <c r="AY115" s="54"/>
    </row>
    <row r="116" spans="1:51">
      <c r="A116" s="53"/>
      <c r="B116" s="56"/>
      <c r="C116" s="90" t="s">
        <v>95</v>
      </c>
      <c r="D116" s="230" t="s">
        <v>1757</v>
      </c>
      <c r="E116" s="68" t="s">
        <v>96</v>
      </c>
      <c r="F116" s="91" t="s">
        <v>133</v>
      </c>
      <c r="G116" s="91" t="s">
        <v>133</v>
      </c>
      <c r="H116" s="91" t="s">
        <v>133</v>
      </c>
      <c r="I116" s="91" t="s">
        <v>133</v>
      </c>
      <c r="J116" s="70">
        <v>0.9</v>
      </c>
      <c r="K116" s="71">
        <v>0.98750000000000004</v>
      </c>
      <c r="L116" s="71">
        <v>0.96511627906976705</v>
      </c>
      <c r="M116" s="72">
        <v>0.96385542168674698</v>
      </c>
      <c r="N116" s="71">
        <v>0.97703549060542805</v>
      </c>
      <c r="O116" s="73">
        <v>0.9</v>
      </c>
      <c r="P116" s="71" t="s">
        <v>1710</v>
      </c>
      <c r="Q116" s="71">
        <v>0</v>
      </c>
      <c r="R116" s="71">
        <v>1</v>
      </c>
      <c r="S116" s="71">
        <v>0.5</v>
      </c>
      <c r="T116" s="73">
        <v>0.9</v>
      </c>
      <c r="U116" s="71" t="s">
        <v>1710</v>
      </c>
      <c r="V116" s="71">
        <v>0</v>
      </c>
      <c r="W116" s="71">
        <v>0</v>
      </c>
      <c r="X116" s="71">
        <v>0.25</v>
      </c>
      <c r="Y116" s="73">
        <v>0.92</v>
      </c>
      <c r="Z116" s="73">
        <v>0</v>
      </c>
      <c r="AA116" s="73" t="s">
        <v>1710</v>
      </c>
      <c r="AB116" s="73" t="s">
        <v>1710</v>
      </c>
      <c r="AC116" s="73">
        <v>0</v>
      </c>
      <c r="AD116" s="73">
        <v>0.92</v>
      </c>
      <c r="AE116" s="71">
        <v>1</v>
      </c>
      <c r="AF116" s="71">
        <v>0.99359720605355095</v>
      </c>
      <c r="AG116" s="71">
        <v>0.99449944994499495</v>
      </c>
      <c r="AH116" s="71">
        <v>0.99597266292409103</v>
      </c>
      <c r="AI116" s="73">
        <v>0.92</v>
      </c>
      <c r="AJ116" s="71">
        <v>0.95967599929565095</v>
      </c>
      <c r="AK116" s="71">
        <v>0.96798182193761595</v>
      </c>
      <c r="AL116" s="71">
        <v>0.96490634168359302</v>
      </c>
      <c r="AM116" s="71">
        <v>0.97713520749665295</v>
      </c>
      <c r="AN116" s="70">
        <v>0.99</v>
      </c>
      <c r="AO116" s="75">
        <v>1</v>
      </c>
      <c r="AP116" s="75">
        <v>1</v>
      </c>
      <c r="AQ116" s="75">
        <v>1</v>
      </c>
      <c r="AR116" s="75">
        <v>1</v>
      </c>
      <c r="AS116" s="77">
        <v>0.10526149898194399</v>
      </c>
      <c r="AT116" s="79">
        <v>0</v>
      </c>
      <c r="AU116" s="79">
        <v>0</v>
      </c>
      <c r="AV116" s="79">
        <v>0.25</v>
      </c>
      <c r="AW116" s="79">
        <v>9.0497737556561098E-2</v>
      </c>
      <c r="AX116" s="56"/>
      <c r="AY116" s="54"/>
    </row>
    <row r="117" spans="1:51">
      <c r="A117" s="53"/>
      <c r="B117" s="56"/>
      <c r="C117" s="90" t="s">
        <v>95</v>
      </c>
      <c r="D117" s="230" t="s">
        <v>1757</v>
      </c>
      <c r="E117" s="68" t="s">
        <v>96</v>
      </c>
      <c r="F117" s="91" t="s">
        <v>134</v>
      </c>
      <c r="G117" s="91" t="s">
        <v>134</v>
      </c>
      <c r="H117" s="91" t="s">
        <v>134</v>
      </c>
      <c r="I117" s="91" t="s">
        <v>134</v>
      </c>
      <c r="J117" s="70">
        <v>0.9</v>
      </c>
      <c r="K117" s="71">
        <v>0.94736842105263197</v>
      </c>
      <c r="L117" s="71">
        <v>0.89795918367346905</v>
      </c>
      <c r="M117" s="72">
        <v>0.91666666666666696</v>
      </c>
      <c r="N117" s="71">
        <v>0.92095914742451201</v>
      </c>
      <c r="O117" s="73">
        <v>0.9</v>
      </c>
      <c r="P117" s="71" t="s">
        <v>1710</v>
      </c>
      <c r="Q117" s="71">
        <v>1</v>
      </c>
      <c r="R117" s="71">
        <v>0</v>
      </c>
      <c r="S117" s="71">
        <v>0.375</v>
      </c>
      <c r="T117" s="73">
        <v>0.9</v>
      </c>
      <c r="U117" s="71" t="s">
        <v>1710</v>
      </c>
      <c r="V117" s="71">
        <v>0.33333333333333298</v>
      </c>
      <c r="W117" s="71">
        <v>0</v>
      </c>
      <c r="X117" s="71">
        <v>0.125</v>
      </c>
      <c r="Y117" s="73">
        <v>0.92</v>
      </c>
      <c r="Z117" s="73">
        <v>0</v>
      </c>
      <c r="AA117" s="73">
        <v>0</v>
      </c>
      <c r="AB117" s="73">
        <v>0</v>
      </c>
      <c r="AC117" s="73">
        <v>0</v>
      </c>
      <c r="AD117" s="73">
        <v>0.92</v>
      </c>
      <c r="AE117" s="71">
        <v>1</v>
      </c>
      <c r="AF117" s="71">
        <v>0.98425196850393704</v>
      </c>
      <c r="AG117" s="71">
        <v>0.66390041493775898</v>
      </c>
      <c r="AH117" s="71">
        <v>0.89508323654665101</v>
      </c>
      <c r="AI117" s="73">
        <v>0.92</v>
      </c>
      <c r="AJ117" s="71">
        <v>0.946938775510204</v>
      </c>
      <c r="AK117" s="71">
        <v>0.95465419747716396</v>
      </c>
      <c r="AL117" s="71">
        <v>0.96539244514815603</v>
      </c>
      <c r="AM117" s="71">
        <v>0.97314239876407505</v>
      </c>
      <c r="AN117" s="70">
        <v>0.99</v>
      </c>
      <c r="AO117" s="75">
        <v>1</v>
      </c>
      <c r="AP117" s="75">
        <v>1</v>
      </c>
      <c r="AQ117" s="75">
        <v>1</v>
      </c>
      <c r="AR117" s="75">
        <v>1</v>
      </c>
      <c r="AS117" s="77">
        <v>0.10526149898194399</v>
      </c>
      <c r="AT117" s="79">
        <v>0</v>
      </c>
      <c r="AU117" s="79">
        <v>0</v>
      </c>
      <c r="AV117" s="79">
        <v>0.1</v>
      </c>
      <c r="AW117" s="79">
        <v>5.3097345132743397E-2</v>
      </c>
      <c r="AX117" s="56"/>
      <c r="AY117" s="54"/>
    </row>
    <row r="118" spans="1:51">
      <c r="A118" s="53"/>
      <c r="B118" s="56"/>
      <c r="C118" s="90" t="s">
        <v>95</v>
      </c>
      <c r="D118" s="230" t="s">
        <v>1757</v>
      </c>
      <c r="E118" s="68" t="s">
        <v>96</v>
      </c>
      <c r="F118" s="91" t="s">
        <v>135</v>
      </c>
      <c r="G118" s="91" t="s">
        <v>135</v>
      </c>
      <c r="H118" s="91" t="s">
        <v>135</v>
      </c>
      <c r="I118" s="91" t="s">
        <v>135</v>
      </c>
      <c r="J118" s="70">
        <v>0.9</v>
      </c>
      <c r="K118" s="71">
        <v>0.96875</v>
      </c>
      <c r="L118" s="71">
        <v>0.96</v>
      </c>
      <c r="M118" s="72">
        <v>0.93243243243243201</v>
      </c>
      <c r="N118" s="71">
        <v>0.96875</v>
      </c>
      <c r="O118" s="73">
        <v>0.9</v>
      </c>
      <c r="P118" s="71">
        <v>0</v>
      </c>
      <c r="Q118" s="71">
        <v>0</v>
      </c>
      <c r="R118" s="71" t="s">
        <v>1710</v>
      </c>
      <c r="S118" s="71">
        <v>0.33333333333333298</v>
      </c>
      <c r="T118" s="73">
        <v>0.9</v>
      </c>
      <c r="U118" s="71">
        <v>0</v>
      </c>
      <c r="V118" s="71">
        <v>0</v>
      </c>
      <c r="W118" s="71" t="s">
        <v>1710</v>
      </c>
      <c r="X118" s="71">
        <v>0</v>
      </c>
      <c r="Y118" s="73">
        <v>0.92</v>
      </c>
      <c r="Z118" s="73">
        <v>0</v>
      </c>
      <c r="AA118" s="73">
        <v>0</v>
      </c>
      <c r="AB118" s="73" t="s">
        <v>1710</v>
      </c>
      <c r="AC118" s="73">
        <v>0</v>
      </c>
      <c r="AD118" s="73">
        <v>0.92</v>
      </c>
      <c r="AE118" s="71">
        <v>0.99047619047619095</v>
      </c>
      <c r="AF118" s="71">
        <v>1</v>
      </c>
      <c r="AG118" s="71">
        <v>0.99300699300699302</v>
      </c>
      <c r="AH118" s="71">
        <v>0.99527310924369705</v>
      </c>
      <c r="AI118" s="73">
        <v>0.92</v>
      </c>
      <c r="AJ118" s="71">
        <v>0.94797687861271696</v>
      </c>
      <c r="AK118" s="71">
        <v>0.97641600618596602</v>
      </c>
      <c r="AL118" s="71">
        <v>0.95392390011890604</v>
      </c>
      <c r="AM118" s="71">
        <v>0.97170445336126998</v>
      </c>
      <c r="AN118" s="70">
        <v>0.99</v>
      </c>
      <c r="AO118" s="75">
        <v>1</v>
      </c>
      <c r="AP118" s="75">
        <v>1</v>
      </c>
      <c r="AQ118" s="75">
        <v>1</v>
      </c>
      <c r="AR118" s="75">
        <v>1</v>
      </c>
      <c r="AS118" s="77">
        <v>0.10526149898194399</v>
      </c>
      <c r="AT118" s="79">
        <v>0.25</v>
      </c>
      <c r="AU118" s="79">
        <v>0</v>
      </c>
      <c r="AV118" s="79">
        <v>8.3333333333333301E-2</v>
      </c>
      <c r="AW118" s="79">
        <v>9.1836734693877597E-2</v>
      </c>
      <c r="AX118" s="56"/>
      <c r="AY118" s="54"/>
    </row>
    <row r="119" spans="1:51">
      <c r="A119" s="53"/>
      <c r="B119" s="56"/>
      <c r="C119" s="90" t="s">
        <v>95</v>
      </c>
      <c r="D119" s="230" t="s">
        <v>1757</v>
      </c>
      <c r="E119" s="68" t="s">
        <v>96</v>
      </c>
      <c r="F119" s="91" t="s">
        <v>136</v>
      </c>
      <c r="G119" s="91" t="s">
        <v>136</v>
      </c>
      <c r="H119" s="91" t="s">
        <v>136</v>
      </c>
      <c r="I119" s="91" t="s">
        <v>136</v>
      </c>
      <c r="J119" s="70">
        <v>0.9</v>
      </c>
      <c r="K119" s="71">
        <v>0.95</v>
      </c>
      <c r="L119" s="71">
        <v>0.934782608695652</v>
      </c>
      <c r="M119" s="72">
        <v>0.94505494505494503</v>
      </c>
      <c r="N119" s="71">
        <v>0.93353474320241703</v>
      </c>
      <c r="O119" s="73">
        <v>0.9</v>
      </c>
      <c r="P119" s="71" t="s">
        <v>1710</v>
      </c>
      <c r="Q119" s="71">
        <v>0.66666666666666696</v>
      </c>
      <c r="R119" s="71">
        <v>0</v>
      </c>
      <c r="S119" s="71">
        <v>0.28571428571428598</v>
      </c>
      <c r="T119" s="73">
        <v>0.9</v>
      </c>
      <c r="U119" s="71" t="s">
        <v>1710</v>
      </c>
      <c r="V119" s="71">
        <v>0</v>
      </c>
      <c r="W119" s="71">
        <v>0</v>
      </c>
      <c r="X119" s="71">
        <v>0</v>
      </c>
      <c r="Y119" s="73">
        <v>0.92</v>
      </c>
      <c r="Z119" s="73">
        <v>0</v>
      </c>
      <c r="AA119" s="73" t="s">
        <v>1710</v>
      </c>
      <c r="AB119" s="73" t="s">
        <v>1710</v>
      </c>
      <c r="AC119" s="73">
        <v>0</v>
      </c>
      <c r="AD119" s="73">
        <v>0.92</v>
      </c>
      <c r="AE119" s="71">
        <v>0.989304812834225</v>
      </c>
      <c r="AF119" s="71">
        <v>0.952380952380952</v>
      </c>
      <c r="AG119" s="71">
        <v>0.97142857142857097</v>
      </c>
      <c r="AH119" s="71">
        <v>0.95523370638577998</v>
      </c>
      <c r="AI119" s="73">
        <v>0.92</v>
      </c>
      <c r="AJ119" s="71">
        <v>0.96856260221697299</v>
      </c>
      <c r="AK119" s="71">
        <v>0.973708068902992</v>
      </c>
      <c r="AL119" s="71">
        <v>0.97645586897179204</v>
      </c>
      <c r="AM119" s="71">
        <v>0.97403081647200795</v>
      </c>
      <c r="AN119" s="70">
        <v>0.99</v>
      </c>
      <c r="AO119" s="75">
        <v>1</v>
      </c>
      <c r="AP119" s="75">
        <v>1</v>
      </c>
      <c r="AQ119" s="75">
        <v>1</v>
      </c>
      <c r="AR119" s="75">
        <v>1</v>
      </c>
      <c r="AS119" s="77">
        <v>0.10526149898194399</v>
      </c>
      <c r="AT119" s="79">
        <v>0</v>
      </c>
      <c r="AU119" s="79">
        <v>0.14285714285714299</v>
      </c>
      <c r="AV119" s="79">
        <v>0.3</v>
      </c>
      <c r="AW119" s="79">
        <v>6.9767441860465101E-2</v>
      </c>
      <c r="AX119" s="56"/>
      <c r="AY119" s="54"/>
    </row>
    <row r="120" spans="1:51">
      <c r="A120" s="53"/>
      <c r="B120" s="56"/>
      <c r="C120" s="90" t="s">
        <v>95</v>
      </c>
      <c r="D120" s="230" t="s">
        <v>1757</v>
      </c>
      <c r="E120" s="68" t="s">
        <v>96</v>
      </c>
      <c r="F120" s="91" t="s">
        <v>137</v>
      </c>
      <c r="G120" s="91" t="s">
        <v>137</v>
      </c>
      <c r="H120" s="91" t="s">
        <v>137</v>
      </c>
      <c r="I120" s="91" t="s">
        <v>137</v>
      </c>
      <c r="J120" s="70">
        <v>0.9</v>
      </c>
      <c r="K120" s="71">
        <v>0.90540540540540504</v>
      </c>
      <c r="L120" s="71">
        <v>0.90816326530612201</v>
      </c>
      <c r="M120" s="72">
        <v>0.87096774193548399</v>
      </c>
      <c r="N120" s="71">
        <v>0.925777331995988</v>
      </c>
      <c r="O120" s="73">
        <v>0.9</v>
      </c>
      <c r="P120" s="71">
        <v>1</v>
      </c>
      <c r="Q120" s="71" t="s">
        <v>1710</v>
      </c>
      <c r="R120" s="71">
        <v>0</v>
      </c>
      <c r="S120" s="71">
        <v>0.33333333333333298</v>
      </c>
      <c r="T120" s="73">
        <v>0.9</v>
      </c>
      <c r="U120" s="71">
        <v>1</v>
      </c>
      <c r="V120" s="71" t="s">
        <v>1710</v>
      </c>
      <c r="W120" s="71">
        <v>0</v>
      </c>
      <c r="X120" s="71">
        <v>0.33333333333333298</v>
      </c>
      <c r="Y120" s="73">
        <v>0.92</v>
      </c>
      <c r="Z120" s="73">
        <v>0</v>
      </c>
      <c r="AA120" s="73" t="s">
        <v>1710</v>
      </c>
      <c r="AB120" s="73" t="s">
        <v>1710</v>
      </c>
      <c r="AC120" s="73">
        <v>0</v>
      </c>
      <c r="AD120" s="73">
        <v>0.92</v>
      </c>
      <c r="AE120" s="71">
        <v>0.97222222222222199</v>
      </c>
      <c r="AF120" s="71">
        <v>0.97959183673469397</v>
      </c>
      <c r="AG120" s="71">
        <v>0.98630136986301398</v>
      </c>
      <c r="AH120" s="71">
        <v>0.94098360655737701</v>
      </c>
      <c r="AI120" s="73">
        <v>0.92</v>
      </c>
      <c r="AJ120" s="71">
        <v>0.89153687370988899</v>
      </c>
      <c r="AK120" s="71">
        <v>0.95102266445549999</v>
      </c>
      <c r="AL120" s="71">
        <v>0.96173820879703198</v>
      </c>
      <c r="AM120" s="71">
        <v>0.94798645088445599</v>
      </c>
      <c r="AN120" s="70">
        <v>0.99</v>
      </c>
      <c r="AO120" s="75">
        <v>1</v>
      </c>
      <c r="AP120" s="75">
        <v>1</v>
      </c>
      <c r="AQ120" s="75">
        <v>1</v>
      </c>
      <c r="AR120" s="75">
        <v>1</v>
      </c>
      <c r="AS120" s="77">
        <v>0.10526149898194399</v>
      </c>
      <c r="AT120" s="79">
        <v>0</v>
      </c>
      <c r="AU120" s="79">
        <v>0</v>
      </c>
      <c r="AV120" s="79">
        <v>5.8823529411764698E-2</v>
      </c>
      <c r="AW120" s="79">
        <v>8.8082901554404097E-2</v>
      </c>
      <c r="AX120" s="56"/>
      <c r="AY120" s="54"/>
    </row>
    <row r="121" spans="1:51">
      <c r="A121" s="53"/>
      <c r="B121" s="56"/>
      <c r="C121" s="90" t="s">
        <v>95</v>
      </c>
      <c r="D121" s="230" t="s">
        <v>1757</v>
      </c>
      <c r="E121" s="68" t="s">
        <v>96</v>
      </c>
      <c r="F121" s="91" t="s">
        <v>138</v>
      </c>
      <c r="G121" s="91" t="s">
        <v>138</v>
      </c>
      <c r="H121" s="91" t="s">
        <v>138</v>
      </c>
      <c r="I121" s="91" t="s">
        <v>138</v>
      </c>
      <c r="J121" s="70">
        <v>0.9</v>
      </c>
      <c r="K121" s="71">
        <v>1</v>
      </c>
      <c r="L121" s="71">
        <v>0.96428571428571397</v>
      </c>
      <c r="M121" s="72">
        <v>0.96875</v>
      </c>
      <c r="N121" s="71">
        <v>0.98802395209580796</v>
      </c>
      <c r="O121" s="73">
        <v>0.9</v>
      </c>
      <c r="P121" s="71" t="s">
        <v>1710</v>
      </c>
      <c r="Q121" s="71">
        <v>0</v>
      </c>
      <c r="R121" s="71">
        <v>0</v>
      </c>
      <c r="S121" s="71">
        <v>0</v>
      </c>
      <c r="T121" s="73">
        <v>0.9</v>
      </c>
      <c r="U121" s="71" t="s">
        <v>1710</v>
      </c>
      <c r="V121" s="71">
        <v>0</v>
      </c>
      <c r="W121" s="71">
        <v>0</v>
      </c>
      <c r="X121" s="71">
        <v>0</v>
      </c>
      <c r="Y121" s="73">
        <v>0.92</v>
      </c>
      <c r="Z121" s="73" t="s">
        <v>1710</v>
      </c>
      <c r="AA121" s="73" t="s">
        <v>1710</v>
      </c>
      <c r="AB121" s="73" t="s">
        <v>1710</v>
      </c>
      <c r="AC121" s="73" t="s">
        <v>1710</v>
      </c>
      <c r="AD121" s="73">
        <v>0.92</v>
      </c>
      <c r="AE121" s="71">
        <v>0.993534482758621</v>
      </c>
      <c r="AF121" s="71">
        <v>0.991513437057992</v>
      </c>
      <c r="AG121" s="71">
        <v>0.99735449735449699</v>
      </c>
      <c r="AH121" s="71">
        <v>0.994767333208746</v>
      </c>
      <c r="AI121" s="73">
        <v>0.92</v>
      </c>
      <c r="AJ121" s="71">
        <v>0.94859565447800698</v>
      </c>
      <c r="AK121" s="71">
        <v>0.95517774343122097</v>
      </c>
      <c r="AL121" s="71">
        <v>0.97970360824742297</v>
      </c>
      <c r="AM121" s="71">
        <v>0.97608734885399795</v>
      </c>
      <c r="AN121" s="70">
        <v>0.99</v>
      </c>
      <c r="AO121" s="75">
        <v>1</v>
      </c>
      <c r="AP121" s="75">
        <v>1</v>
      </c>
      <c r="AQ121" s="75">
        <v>1</v>
      </c>
      <c r="AR121" s="75">
        <v>1</v>
      </c>
      <c r="AS121" s="77">
        <v>0.10526149898194399</v>
      </c>
      <c r="AT121" s="79">
        <v>0</v>
      </c>
      <c r="AU121" s="79">
        <v>0</v>
      </c>
      <c r="AV121" s="79">
        <v>0</v>
      </c>
      <c r="AW121" s="79">
        <v>0.17073170731707299</v>
      </c>
      <c r="AX121" s="56"/>
      <c r="AY121" s="54"/>
    </row>
    <row r="122" spans="1:51">
      <c r="A122" s="53"/>
      <c r="B122" s="56"/>
      <c r="C122" s="90" t="s">
        <v>95</v>
      </c>
      <c r="D122" s="230" t="s">
        <v>1757</v>
      </c>
      <c r="E122" s="68" t="s">
        <v>96</v>
      </c>
      <c r="F122" s="91" t="s">
        <v>139</v>
      </c>
      <c r="G122" s="91" t="s">
        <v>139</v>
      </c>
      <c r="H122" s="91" t="s">
        <v>139</v>
      </c>
      <c r="I122" s="91" t="s">
        <v>139</v>
      </c>
      <c r="J122" s="70">
        <v>0.9</v>
      </c>
      <c r="K122" s="71">
        <v>0.96666666666666701</v>
      </c>
      <c r="L122" s="71">
        <v>0.98529411764705899</v>
      </c>
      <c r="M122" s="72">
        <v>1</v>
      </c>
      <c r="N122" s="71">
        <v>0.99591280653950998</v>
      </c>
      <c r="O122" s="73">
        <v>0.9</v>
      </c>
      <c r="P122" s="71" t="s">
        <v>1710</v>
      </c>
      <c r="Q122" s="71" t="s">
        <v>1710</v>
      </c>
      <c r="R122" s="71" t="s">
        <v>1710</v>
      </c>
      <c r="S122" s="71">
        <v>0</v>
      </c>
      <c r="T122" s="73">
        <v>0.9</v>
      </c>
      <c r="U122" s="71" t="s">
        <v>1710</v>
      </c>
      <c r="V122" s="71" t="s">
        <v>1710</v>
      </c>
      <c r="W122" s="71" t="s">
        <v>1710</v>
      </c>
      <c r="X122" s="71">
        <v>0.66666666666666696</v>
      </c>
      <c r="Y122" s="73">
        <v>0.92</v>
      </c>
      <c r="Z122" s="73">
        <v>0.14285714285714299</v>
      </c>
      <c r="AA122" s="73" t="s">
        <v>1710</v>
      </c>
      <c r="AB122" s="73" t="s">
        <v>1710</v>
      </c>
      <c r="AC122" s="73">
        <v>0.25</v>
      </c>
      <c r="AD122" s="73">
        <v>0.92</v>
      </c>
      <c r="AE122" s="71">
        <v>0.99591836734693895</v>
      </c>
      <c r="AF122" s="71">
        <v>0.97734627831715204</v>
      </c>
      <c r="AG122" s="71">
        <v>0.98564593301435399</v>
      </c>
      <c r="AH122" s="71">
        <v>0.98117811084001405</v>
      </c>
      <c r="AI122" s="73">
        <v>0.92</v>
      </c>
      <c r="AJ122" s="71">
        <v>0.96815149558855196</v>
      </c>
      <c r="AK122" s="71">
        <v>0.97769095034030795</v>
      </c>
      <c r="AL122" s="71">
        <v>0.98236647073856398</v>
      </c>
      <c r="AM122" s="71">
        <v>0.98758390118163497</v>
      </c>
      <c r="AN122" s="70">
        <v>0.99</v>
      </c>
      <c r="AO122" s="75">
        <v>1</v>
      </c>
      <c r="AP122" s="75">
        <v>1</v>
      </c>
      <c r="AQ122" s="75">
        <v>1</v>
      </c>
      <c r="AR122" s="75">
        <v>1</v>
      </c>
      <c r="AS122" s="77">
        <v>0.10526149898194399</v>
      </c>
      <c r="AT122" s="79">
        <v>2</v>
      </c>
      <c r="AU122" s="79">
        <v>0.22222222222222199</v>
      </c>
      <c r="AV122" s="79">
        <v>0.133333333333333</v>
      </c>
      <c r="AW122" s="79">
        <v>0.22549019607843099</v>
      </c>
      <c r="AX122" s="56"/>
      <c r="AY122" s="54"/>
    </row>
    <row r="123" spans="1:51">
      <c r="A123" s="53"/>
      <c r="B123" s="56"/>
      <c r="C123" s="90" t="s">
        <v>95</v>
      </c>
      <c r="D123" s="230" t="s">
        <v>1757</v>
      </c>
      <c r="E123" s="68" t="s">
        <v>96</v>
      </c>
      <c r="F123" s="91" t="s">
        <v>140</v>
      </c>
      <c r="G123" s="91" t="s">
        <v>140</v>
      </c>
      <c r="H123" s="91" t="s">
        <v>140</v>
      </c>
      <c r="I123" s="91" t="s">
        <v>140</v>
      </c>
      <c r="J123" s="70">
        <v>0.9</v>
      </c>
      <c r="K123" s="71">
        <v>0.95522388059701502</v>
      </c>
      <c r="L123" s="71">
        <v>1</v>
      </c>
      <c r="M123" s="72">
        <v>0.98750000000000004</v>
      </c>
      <c r="N123" s="71">
        <v>0.98306997742663704</v>
      </c>
      <c r="O123" s="73">
        <v>0.9</v>
      </c>
      <c r="P123" s="71" t="s">
        <v>1710</v>
      </c>
      <c r="Q123" s="71" t="s">
        <v>1710</v>
      </c>
      <c r="R123" s="71" t="s">
        <v>1710</v>
      </c>
      <c r="S123" s="71" t="s">
        <v>1710</v>
      </c>
      <c r="T123" s="73">
        <v>0.9</v>
      </c>
      <c r="U123" s="71" t="s">
        <v>1710</v>
      </c>
      <c r="V123" s="71" t="s">
        <v>1710</v>
      </c>
      <c r="W123" s="71" t="s">
        <v>1710</v>
      </c>
      <c r="X123" s="71" t="s">
        <v>1710</v>
      </c>
      <c r="Y123" s="73">
        <v>0.92</v>
      </c>
      <c r="Z123" s="73">
        <v>0</v>
      </c>
      <c r="AA123" s="73" t="s">
        <v>1710</v>
      </c>
      <c r="AB123" s="73" t="s">
        <v>1710</v>
      </c>
      <c r="AC123" s="73">
        <v>0</v>
      </c>
      <c r="AD123" s="73">
        <v>0.92</v>
      </c>
      <c r="AE123" s="71">
        <v>0.99514563106796095</v>
      </c>
      <c r="AF123" s="71">
        <v>0.98835274542429297</v>
      </c>
      <c r="AG123" s="71">
        <v>0.97881355932203395</v>
      </c>
      <c r="AH123" s="71">
        <v>0.99216417910447796</v>
      </c>
      <c r="AI123" s="73">
        <v>0.92</v>
      </c>
      <c r="AJ123" s="71">
        <v>0.96643678160919499</v>
      </c>
      <c r="AK123" s="71">
        <v>0.98213009292351705</v>
      </c>
      <c r="AL123" s="71">
        <v>0.98371929824561399</v>
      </c>
      <c r="AM123" s="71">
        <v>0.98338577551131101</v>
      </c>
      <c r="AN123" s="70">
        <v>0.99</v>
      </c>
      <c r="AO123" s="75">
        <v>1</v>
      </c>
      <c r="AP123" s="75">
        <v>1</v>
      </c>
      <c r="AQ123" s="75">
        <v>1</v>
      </c>
      <c r="AR123" s="75">
        <v>1</v>
      </c>
      <c r="AS123" s="77">
        <v>0.10526149898194399</v>
      </c>
      <c r="AT123" s="79">
        <v>0</v>
      </c>
      <c r="AU123" s="79">
        <v>0</v>
      </c>
      <c r="AV123" s="79">
        <v>0.2</v>
      </c>
      <c r="AW123" s="79">
        <v>0.15476190476190499</v>
      </c>
      <c r="AX123" s="56"/>
      <c r="AY123" s="54"/>
    </row>
    <row r="124" spans="1:51">
      <c r="A124" s="53"/>
      <c r="B124" s="56"/>
      <c r="C124" s="90" t="s">
        <v>95</v>
      </c>
      <c r="D124" s="230" t="s">
        <v>1757</v>
      </c>
      <c r="E124" s="68" t="s">
        <v>96</v>
      </c>
      <c r="F124" s="91" t="s">
        <v>141</v>
      </c>
      <c r="G124" s="91" t="s">
        <v>141</v>
      </c>
      <c r="H124" s="91" t="s">
        <v>141</v>
      </c>
      <c r="I124" s="91" t="s">
        <v>141</v>
      </c>
      <c r="J124" s="70">
        <v>0.9</v>
      </c>
      <c r="K124" s="71">
        <v>0.98181818181818203</v>
      </c>
      <c r="L124" s="71">
        <v>0.98529411764705899</v>
      </c>
      <c r="M124" s="72">
        <v>0.98550724637681197</v>
      </c>
      <c r="N124" s="71">
        <v>0.98881118881118901</v>
      </c>
      <c r="O124" s="73">
        <v>0.9</v>
      </c>
      <c r="P124" s="71" t="s">
        <v>1710</v>
      </c>
      <c r="Q124" s="71">
        <v>0</v>
      </c>
      <c r="R124" s="71">
        <v>0</v>
      </c>
      <c r="S124" s="71">
        <v>0</v>
      </c>
      <c r="T124" s="73">
        <v>0.9</v>
      </c>
      <c r="U124" s="71" t="s">
        <v>1710</v>
      </c>
      <c r="V124" s="71">
        <v>0.25</v>
      </c>
      <c r="W124" s="71">
        <v>0</v>
      </c>
      <c r="X124" s="71">
        <v>0.125</v>
      </c>
      <c r="Y124" s="73">
        <v>0.92</v>
      </c>
      <c r="Z124" s="73" t="s">
        <v>1710</v>
      </c>
      <c r="AA124" s="73">
        <v>0.33333333333333298</v>
      </c>
      <c r="AB124" s="73">
        <v>0</v>
      </c>
      <c r="AC124" s="73">
        <v>0.25</v>
      </c>
      <c r="AD124" s="73">
        <v>0.92</v>
      </c>
      <c r="AE124" s="71">
        <v>0.99082568807339499</v>
      </c>
      <c r="AF124" s="71">
        <v>0.98066298342541403</v>
      </c>
      <c r="AG124" s="71">
        <v>0.898412698412698</v>
      </c>
      <c r="AH124" s="71">
        <v>0.90953281123413399</v>
      </c>
      <c r="AI124" s="73">
        <v>0.92</v>
      </c>
      <c r="AJ124" s="71">
        <v>0.92328767123287703</v>
      </c>
      <c r="AK124" s="71">
        <v>0.95948616600790504</v>
      </c>
      <c r="AL124" s="71">
        <v>0.95016237821633798</v>
      </c>
      <c r="AM124" s="71">
        <v>0.95472899030176495</v>
      </c>
      <c r="AN124" s="70">
        <v>0.99</v>
      </c>
      <c r="AO124" s="75">
        <v>1</v>
      </c>
      <c r="AP124" s="75">
        <v>1</v>
      </c>
      <c r="AQ124" s="75">
        <v>1</v>
      </c>
      <c r="AR124" s="75">
        <v>1</v>
      </c>
      <c r="AS124" s="77">
        <v>0.10526149898194399</v>
      </c>
      <c r="AT124" s="79">
        <v>0</v>
      </c>
      <c r="AU124" s="79">
        <v>0.33333333333333298</v>
      </c>
      <c r="AV124" s="79">
        <v>0</v>
      </c>
      <c r="AW124" s="79">
        <v>0.110236220472441</v>
      </c>
      <c r="AX124" s="56"/>
      <c r="AY124" s="54"/>
    </row>
    <row r="125" spans="1:51">
      <c r="A125" s="53"/>
      <c r="B125" s="56"/>
      <c r="C125" s="90" t="s">
        <v>95</v>
      </c>
      <c r="D125" s="230" t="s">
        <v>1757</v>
      </c>
      <c r="E125" s="68" t="s">
        <v>96</v>
      </c>
      <c r="F125" s="91" t="s">
        <v>142</v>
      </c>
      <c r="G125" s="91" t="s">
        <v>142</v>
      </c>
      <c r="H125" s="91" t="s">
        <v>142</v>
      </c>
      <c r="I125" s="91" t="s">
        <v>142</v>
      </c>
      <c r="J125" s="70">
        <v>0.9</v>
      </c>
      <c r="K125" s="71">
        <v>0.92</v>
      </c>
      <c r="L125" s="71">
        <v>1</v>
      </c>
      <c r="M125" s="72">
        <v>0.96428571428571397</v>
      </c>
      <c r="N125" s="71">
        <v>0.97763578274760399</v>
      </c>
      <c r="O125" s="73">
        <v>0.9</v>
      </c>
      <c r="P125" s="71" t="s">
        <v>1710</v>
      </c>
      <c r="Q125" s="71" t="s">
        <v>1710</v>
      </c>
      <c r="R125" s="71" t="s">
        <v>1710</v>
      </c>
      <c r="S125" s="71" t="s">
        <v>1710</v>
      </c>
      <c r="T125" s="73">
        <v>0.9</v>
      </c>
      <c r="U125" s="71" t="s">
        <v>1710</v>
      </c>
      <c r="V125" s="71" t="s">
        <v>1710</v>
      </c>
      <c r="W125" s="71" t="s">
        <v>1710</v>
      </c>
      <c r="X125" s="71" t="s">
        <v>1710</v>
      </c>
      <c r="Y125" s="73">
        <v>0.92</v>
      </c>
      <c r="Z125" s="73" t="s">
        <v>1710</v>
      </c>
      <c r="AA125" s="73" t="s">
        <v>1710</v>
      </c>
      <c r="AB125" s="73" t="s">
        <v>1710</v>
      </c>
      <c r="AC125" s="73" t="s">
        <v>1710</v>
      </c>
      <c r="AD125" s="73">
        <v>0.92</v>
      </c>
      <c r="AE125" s="71">
        <v>1</v>
      </c>
      <c r="AF125" s="71">
        <v>0.98770491803278704</v>
      </c>
      <c r="AG125" s="71">
        <v>0.99574468085106405</v>
      </c>
      <c r="AH125" s="71">
        <v>0.98491027732463299</v>
      </c>
      <c r="AI125" s="73">
        <v>0.92</v>
      </c>
      <c r="AJ125" s="71">
        <v>0.96257853045615904</v>
      </c>
      <c r="AK125" s="71">
        <v>0.97513682564503501</v>
      </c>
      <c r="AL125" s="71">
        <v>0.98250682073503404</v>
      </c>
      <c r="AM125" s="71">
        <v>0.98116299394469098</v>
      </c>
      <c r="AN125" s="70">
        <v>0.99</v>
      </c>
      <c r="AO125" s="75">
        <v>1</v>
      </c>
      <c r="AP125" s="75">
        <v>1</v>
      </c>
      <c r="AQ125" s="75">
        <v>1</v>
      </c>
      <c r="AR125" s="75">
        <v>1</v>
      </c>
      <c r="AS125" s="77">
        <v>0.10526149898194399</v>
      </c>
      <c r="AT125" s="79">
        <v>0.5</v>
      </c>
      <c r="AU125" s="79">
        <v>0</v>
      </c>
      <c r="AV125" s="79">
        <v>0</v>
      </c>
      <c r="AW125" s="79">
        <v>5.6603773584905703E-2</v>
      </c>
      <c r="AX125" s="56"/>
      <c r="AY125" s="54"/>
    </row>
    <row r="126" spans="1:51">
      <c r="A126" s="53"/>
      <c r="B126" s="56"/>
      <c r="C126" s="90" t="s">
        <v>95</v>
      </c>
      <c r="D126" s="230" t="s">
        <v>1757</v>
      </c>
      <c r="E126" s="68" t="s">
        <v>96</v>
      </c>
      <c r="F126" s="91" t="s">
        <v>143</v>
      </c>
      <c r="G126" s="91" t="s">
        <v>143</v>
      </c>
      <c r="H126" s="91" t="s">
        <v>143</v>
      </c>
      <c r="I126" s="91" t="s">
        <v>143</v>
      </c>
      <c r="J126" s="70">
        <v>0.9</v>
      </c>
      <c r="K126" s="71">
        <v>0.939393939393939</v>
      </c>
      <c r="L126" s="71">
        <v>1</v>
      </c>
      <c r="M126" s="72">
        <v>1</v>
      </c>
      <c r="N126" s="71">
        <v>0.98232323232323204</v>
      </c>
      <c r="O126" s="73">
        <v>0.9</v>
      </c>
      <c r="P126" s="71" t="s">
        <v>1710</v>
      </c>
      <c r="Q126" s="71" t="s">
        <v>1710</v>
      </c>
      <c r="R126" s="71" t="s">
        <v>1710</v>
      </c>
      <c r="S126" s="71" t="s">
        <v>1710</v>
      </c>
      <c r="T126" s="73">
        <v>0.9</v>
      </c>
      <c r="U126" s="71" t="s">
        <v>1710</v>
      </c>
      <c r="V126" s="71" t="s">
        <v>1710</v>
      </c>
      <c r="W126" s="71" t="s">
        <v>1710</v>
      </c>
      <c r="X126" s="71" t="s">
        <v>1710</v>
      </c>
      <c r="Y126" s="73">
        <v>0.92</v>
      </c>
      <c r="Z126" s="73">
        <v>0</v>
      </c>
      <c r="AA126" s="73" t="s">
        <v>1710</v>
      </c>
      <c r="AB126" s="73" t="s">
        <v>1710</v>
      </c>
      <c r="AC126" s="73">
        <v>0</v>
      </c>
      <c r="AD126" s="73">
        <v>0.92</v>
      </c>
      <c r="AE126" s="71">
        <v>1</v>
      </c>
      <c r="AF126" s="71">
        <v>1</v>
      </c>
      <c r="AG126" s="71">
        <v>1</v>
      </c>
      <c r="AH126" s="71">
        <v>0.99845916795069301</v>
      </c>
      <c r="AI126" s="73">
        <v>0.92</v>
      </c>
      <c r="AJ126" s="71">
        <v>0.97970479704797098</v>
      </c>
      <c r="AK126" s="71">
        <v>0.98740554156171301</v>
      </c>
      <c r="AL126" s="71">
        <v>0.99166218396987604</v>
      </c>
      <c r="AM126" s="71">
        <v>0.98655448321372596</v>
      </c>
      <c r="AN126" s="70">
        <v>0.99</v>
      </c>
      <c r="AO126" s="75">
        <v>1</v>
      </c>
      <c r="AP126" s="75">
        <v>1</v>
      </c>
      <c r="AQ126" s="75">
        <v>1</v>
      </c>
      <c r="AR126" s="75">
        <v>1</v>
      </c>
      <c r="AS126" s="77">
        <v>0.10526149898194399</v>
      </c>
      <c r="AT126" s="79">
        <v>0</v>
      </c>
      <c r="AU126" s="79">
        <v>0.4</v>
      </c>
      <c r="AV126" s="79">
        <v>0</v>
      </c>
      <c r="AW126" s="79">
        <v>4.08163265306122E-2</v>
      </c>
      <c r="AX126" s="56"/>
      <c r="AY126" s="54"/>
    </row>
    <row r="127" spans="1:51">
      <c r="A127" s="53"/>
      <c r="B127" s="56"/>
      <c r="C127" s="90" t="s">
        <v>95</v>
      </c>
      <c r="D127" s="230" t="s">
        <v>1757</v>
      </c>
      <c r="E127" s="68" t="s">
        <v>96</v>
      </c>
      <c r="F127" s="91" t="s">
        <v>144</v>
      </c>
      <c r="G127" s="91" t="s">
        <v>144</v>
      </c>
      <c r="H127" s="91" t="s">
        <v>144</v>
      </c>
      <c r="I127" s="91" t="s">
        <v>144</v>
      </c>
      <c r="J127" s="70">
        <v>0.9</v>
      </c>
      <c r="K127" s="71">
        <v>0.98979591836734704</v>
      </c>
      <c r="L127" s="71">
        <v>0.98076923076923095</v>
      </c>
      <c r="M127" s="72">
        <v>0.99</v>
      </c>
      <c r="N127" s="71">
        <v>0.98422436459246299</v>
      </c>
      <c r="O127" s="73">
        <v>0.9</v>
      </c>
      <c r="P127" s="71">
        <v>0</v>
      </c>
      <c r="Q127" s="71" t="s">
        <v>1710</v>
      </c>
      <c r="R127" s="71" t="s">
        <v>1710</v>
      </c>
      <c r="S127" s="71">
        <v>0</v>
      </c>
      <c r="T127" s="73">
        <v>0.9</v>
      </c>
      <c r="U127" s="71">
        <v>0</v>
      </c>
      <c r="V127" s="71" t="s">
        <v>1710</v>
      </c>
      <c r="W127" s="71" t="s">
        <v>1710</v>
      </c>
      <c r="X127" s="71">
        <v>0</v>
      </c>
      <c r="Y127" s="73">
        <v>0.92</v>
      </c>
      <c r="Z127" s="73">
        <v>0</v>
      </c>
      <c r="AA127" s="73">
        <v>1</v>
      </c>
      <c r="AB127" s="73" t="s">
        <v>1710</v>
      </c>
      <c r="AC127" s="73">
        <v>0.33333333333333298</v>
      </c>
      <c r="AD127" s="73">
        <v>0.92</v>
      </c>
      <c r="AE127" s="71">
        <v>0.98915009041591295</v>
      </c>
      <c r="AF127" s="71">
        <v>0.96306245802552004</v>
      </c>
      <c r="AG127" s="71">
        <v>0.986175115207373</v>
      </c>
      <c r="AH127" s="71">
        <v>0.98541341653666104</v>
      </c>
      <c r="AI127" s="73">
        <v>0.92</v>
      </c>
      <c r="AJ127" s="71">
        <v>0.96184279936697703</v>
      </c>
      <c r="AK127" s="71">
        <v>0.98062463851937498</v>
      </c>
      <c r="AL127" s="71">
        <v>0.98154278262614103</v>
      </c>
      <c r="AM127" s="71">
        <v>0.98405582955611903</v>
      </c>
      <c r="AN127" s="70">
        <v>0.99</v>
      </c>
      <c r="AO127" s="75">
        <v>1</v>
      </c>
      <c r="AP127" s="75">
        <v>1</v>
      </c>
      <c r="AQ127" s="75">
        <v>1</v>
      </c>
      <c r="AR127" s="75">
        <v>1</v>
      </c>
      <c r="AS127" s="77">
        <v>0.10526149898194399</v>
      </c>
      <c r="AT127" s="79">
        <v>0.11111111111111099</v>
      </c>
      <c r="AU127" s="79">
        <v>0</v>
      </c>
      <c r="AV127" s="79">
        <v>6.25E-2</v>
      </c>
      <c r="AW127" s="79">
        <v>4.08163265306122E-2</v>
      </c>
      <c r="AX127" s="56"/>
      <c r="AY127" s="54"/>
    </row>
    <row r="128" spans="1:51">
      <c r="A128" s="53"/>
      <c r="B128" s="56"/>
      <c r="C128" s="90" t="s">
        <v>95</v>
      </c>
      <c r="D128" s="230" t="s">
        <v>1757</v>
      </c>
      <c r="E128" s="68" t="s">
        <v>96</v>
      </c>
      <c r="F128" s="91" t="s">
        <v>145</v>
      </c>
      <c r="G128" s="91" t="s">
        <v>145</v>
      </c>
      <c r="H128" s="91" t="s">
        <v>145</v>
      </c>
      <c r="I128" s="91" t="s">
        <v>145</v>
      </c>
      <c r="J128" s="70">
        <v>0.9</v>
      </c>
      <c r="K128" s="71">
        <v>0.97872340425531901</v>
      </c>
      <c r="L128" s="71">
        <v>0.94339622641509402</v>
      </c>
      <c r="M128" s="72">
        <v>0.96078431372549</v>
      </c>
      <c r="N128" s="71">
        <v>0.97316636851520599</v>
      </c>
      <c r="O128" s="73">
        <v>0.9</v>
      </c>
      <c r="P128" s="71" t="s">
        <v>1710</v>
      </c>
      <c r="Q128" s="71" t="s">
        <v>1710</v>
      </c>
      <c r="R128" s="71" t="s">
        <v>1710</v>
      </c>
      <c r="S128" s="71">
        <v>0.4</v>
      </c>
      <c r="T128" s="73">
        <v>0.9</v>
      </c>
      <c r="U128" s="71" t="s">
        <v>1710</v>
      </c>
      <c r="V128" s="71" t="s">
        <v>1710</v>
      </c>
      <c r="W128" s="71" t="s">
        <v>1710</v>
      </c>
      <c r="X128" s="71">
        <v>0.2</v>
      </c>
      <c r="Y128" s="73">
        <v>0.92</v>
      </c>
      <c r="Z128" s="73" t="s">
        <v>1710</v>
      </c>
      <c r="AA128" s="73" t="s">
        <v>1710</v>
      </c>
      <c r="AB128" s="73" t="s">
        <v>1710</v>
      </c>
      <c r="AC128" s="73" t="s">
        <v>1710</v>
      </c>
      <c r="AD128" s="73">
        <v>0.92</v>
      </c>
      <c r="AE128" s="71">
        <v>0.99733333333333296</v>
      </c>
      <c r="AF128" s="71">
        <v>0.92993630573248398</v>
      </c>
      <c r="AG128" s="71">
        <v>0.90909090909090895</v>
      </c>
      <c r="AH128" s="71">
        <v>0.97134909596662</v>
      </c>
      <c r="AI128" s="73">
        <v>0.92</v>
      </c>
      <c r="AJ128" s="71">
        <v>0.90628050764724999</v>
      </c>
      <c r="AK128" s="71">
        <v>0.975991066443328</v>
      </c>
      <c r="AL128" s="71">
        <v>0.96567980388459396</v>
      </c>
      <c r="AM128" s="71">
        <v>0.970813266696956</v>
      </c>
      <c r="AN128" s="70">
        <v>0.99</v>
      </c>
      <c r="AO128" s="75">
        <v>1</v>
      </c>
      <c r="AP128" s="75">
        <v>1</v>
      </c>
      <c r="AQ128" s="75">
        <v>1</v>
      </c>
      <c r="AR128" s="75">
        <v>1</v>
      </c>
      <c r="AS128" s="77">
        <v>0.10526149898194399</v>
      </c>
      <c r="AT128" s="79" t="s">
        <v>1710</v>
      </c>
      <c r="AU128" s="79">
        <v>0.2</v>
      </c>
      <c r="AV128" s="79">
        <v>0</v>
      </c>
      <c r="AW128" s="79">
        <v>3.94736842105263E-2</v>
      </c>
      <c r="AX128" s="56"/>
      <c r="AY128" s="54"/>
    </row>
    <row r="129" spans="1:51">
      <c r="A129" s="53"/>
      <c r="B129" s="56"/>
      <c r="C129" s="90" t="s">
        <v>95</v>
      </c>
      <c r="D129" s="230" t="s">
        <v>1757</v>
      </c>
      <c r="E129" s="68" t="s">
        <v>96</v>
      </c>
      <c r="F129" s="91" t="s">
        <v>146</v>
      </c>
      <c r="G129" s="91" t="s">
        <v>146</v>
      </c>
      <c r="H129" s="91" t="s">
        <v>146</v>
      </c>
      <c r="I129" s="91" t="s">
        <v>146</v>
      </c>
      <c r="J129" s="70">
        <v>0.9</v>
      </c>
      <c r="K129" s="71">
        <v>1</v>
      </c>
      <c r="L129" s="71">
        <v>1</v>
      </c>
      <c r="M129" s="72">
        <v>0.98214285714285698</v>
      </c>
      <c r="N129" s="71">
        <v>0.99178981937602595</v>
      </c>
      <c r="O129" s="73">
        <v>0.9</v>
      </c>
      <c r="P129" s="71">
        <v>0</v>
      </c>
      <c r="Q129" s="71">
        <v>0.33333333333333298</v>
      </c>
      <c r="R129" s="71" t="s">
        <v>1710</v>
      </c>
      <c r="S129" s="71">
        <v>0.25</v>
      </c>
      <c r="T129" s="73">
        <v>0.9</v>
      </c>
      <c r="U129" s="71">
        <v>0</v>
      </c>
      <c r="V129" s="71">
        <v>0</v>
      </c>
      <c r="W129" s="71" t="s">
        <v>1710</v>
      </c>
      <c r="X129" s="71">
        <v>0</v>
      </c>
      <c r="Y129" s="73">
        <v>0.92</v>
      </c>
      <c r="Z129" s="73" t="s">
        <v>1710</v>
      </c>
      <c r="AA129" s="73" t="s">
        <v>1710</v>
      </c>
      <c r="AB129" s="73" t="s">
        <v>1710</v>
      </c>
      <c r="AC129" s="73" t="s">
        <v>1710</v>
      </c>
      <c r="AD129" s="73">
        <v>0.92</v>
      </c>
      <c r="AE129" s="71">
        <v>0.99741602067183499</v>
      </c>
      <c r="AF129" s="71">
        <v>0.99182763744427904</v>
      </c>
      <c r="AG129" s="71">
        <v>0.99173553719008301</v>
      </c>
      <c r="AH129" s="71">
        <v>0.99456577463344598</v>
      </c>
      <c r="AI129" s="73">
        <v>0.92</v>
      </c>
      <c r="AJ129" s="71">
        <v>0.97505422993492397</v>
      </c>
      <c r="AK129" s="71">
        <v>0.97979222997011495</v>
      </c>
      <c r="AL129" s="71">
        <v>0.98248876491554304</v>
      </c>
      <c r="AM129" s="71">
        <v>0.98474955211063198</v>
      </c>
      <c r="AN129" s="70">
        <v>0.99</v>
      </c>
      <c r="AO129" s="75">
        <v>1</v>
      </c>
      <c r="AP129" s="75">
        <v>1</v>
      </c>
      <c r="AQ129" s="75">
        <v>1</v>
      </c>
      <c r="AR129" s="75">
        <v>1</v>
      </c>
      <c r="AS129" s="77">
        <v>0.10526149898194399</v>
      </c>
      <c r="AT129" s="79">
        <v>0</v>
      </c>
      <c r="AU129" s="79">
        <v>0.22222222222222199</v>
      </c>
      <c r="AV129" s="79">
        <v>0.18181818181818199</v>
      </c>
      <c r="AW129" s="79">
        <v>7.0000000000000007E-2</v>
      </c>
      <c r="AX129" s="56"/>
      <c r="AY129" s="54"/>
    </row>
    <row r="130" spans="1:51">
      <c r="A130" s="53"/>
      <c r="B130" s="56"/>
      <c r="C130" s="90" t="s">
        <v>95</v>
      </c>
      <c r="D130" s="230" t="s">
        <v>1757</v>
      </c>
      <c r="E130" s="68" t="s">
        <v>96</v>
      </c>
      <c r="F130" s="91" t="s">
        <v>147</v>
      </c>
      <c r="G130" s="91" t="s">
        <v>147</v>
      </c>
      <c r="H130" s="91" t="s">
        <v>147</v>
      </c>
      <c r="I130" s="91" t="s">
        <v>147</v>
      </c>
      <c r="J130" s="70">
        <v>0.9</v>
      </c>
      <c r="K130" s="71">
        <v>1</v>
      </c>
      <c r="L130" s="71">
        <v>1</v>
      </c>
      <c r="M130" s="72">
        <v>0.95</v>
      </c>
      <c r="N130" s="71">
        <v>0.99233128834355799</v>
      </c>
      <c r="O130" s="73">
        <v>0.9</v>
      </c>
      <c r="P130" s="71" t="s">
        <v>1710</v>
      </c>
      <c r="Q130" s="71" t="s">
        <v>1710</v>
      </c>
      <c r="R130" s="71">
        <v>1</v>
      </c>
      <c r="S130" s="71">
        <v>0.5</v>
      </c>
      <c r="T130" s="73">
        <v>0.9</v>
      </c>
      <c r="U130" s="71" t="s">
        <v>1710</v>
      </c>
      <c r="V130" s="71" t="s">
        <v>1710</v>
      </c>
      <c r="W130" s="71">
        <v>0</v>
      </c>
      <c r="X130" s="71">
        <v>0.5</v>
      </c>
      <c r="Y130" s="73">
        <v>0.92</v>
      </c>
      <c r="Z130" s="73" t="s">
        <v>1710</v>
      </c>
      <c r="AA130" s="73" t="s">
        <v>1710</v>
      </c>
      <c r="AB130" s="73" t="s">
        <v>1710</v>
      </c>
      <c r="AC130" s="73" t="s">
        <v>1710</v>
      </c>
      <c r="AD130" s="73">
        <v>0.92</v>
      </c>
      <c r="AE130" s="71">
        <v>0.99778761061946897</v>
      </c>
      <c r="AF130" s="71">
        <v>0.99673735725937995</v>
      </c>
      <c r="AG130" s="71">
        <v>0.98684210526315796</v>
      </c>
      <c r="AH130" s="71">
        <v>0.99264409512293394</v>
      </c>
      <c r="AI130" s="73">
        <v>0.92</v>
      </c>
      <c r="AJ130" s="71">
        <v>0.971925884334643</v>
      </c>
      <c r="AK130" s="71">
        <v>0.97329888027562494</v>
      </c>
      <c r="AL130" s="71">
        <v>0.97850799289520396</v>
      </c>
      <c r="AM130" s="71">
        <v>0.98282843557303001</v>
      </c>
      <c r="AN130" s="70">
        <v>0.99</v>
      </c>
      <c r="AO130" s="75">
        <v>1</v>
      </c>
      <c r="AP130" s="75">
        <v>1</v>
      </c>
      <c r="AQ130" s="75">
        <v>1</v>
      </c>
      <c r="AR130" s="75">
        <v>1</v>
      </c>
      <c r="AS130" s="77">
        <v>0.10526149898194399</v>
      </c>
      <c r="AT130" s="79">
        <v>0</v>
      </c>
      <c r="AU130" s="79">
        <v>0</v>
      </c>
      <c r="AV130" s="79">
        <v>0</v>
      </c>
      <c r="AW130" s="79">
        <v>4.49438202247191E-2</v>
      </c>
      <c r="AX130" s="56"/>
      <c r="AY130" s="54"/>
    </row>
    <row r="131" spans="1:51">
      <c r="A131" s="53"/>
      <c r="B131" s="56"/>
      <c r="C131" s="90" t="s">
        <v>95</v>
      </c>
      <c r="D131" s="230" t="s">
        <v>1757</v>
      </c>
      <c r="E131" s="68" t="s">
        <v>96</v>
      </c>
      <c r="F131" s="91" t="s">
        <v>148</v>
      </c>
      <c r="G131" s="91" t="s">
        <v>148</v>
      </c>
      <c r="H131" s="91" t="s">
        <v>148</v>
      </c>
      <c r="I131" s="91" t="s">
        <v>148</v>
      </c>
      <c r="J131" s="70">
        <v>0.9</v>
      </c>
      <c r="K131" s="71">
        <v>0.98</v>
      </c>
      <c r="L131" s="71">
        <v>0.98214285714285698</v>
      </c>
      <c r="M131" s="72">
        <v>0.96610169491525399</v>
      </c>
      <c r="N131" s="71">
        <v>0.99047619047619095</v>
      </c>
      <c r="O131" s="73">
        <v>0.9</v>
      </c>
      <c r="P131" s="71">
        <v>0</v>
      </c>
      <c r="Q131" s="71" t="s">
        <v>1710</v>
      </c>
      <c r="R131" s="71" t="s">
        <v>1710</v>
      </c>
      <c r="S131" s="71">
        <v>0.66666666666666696</v>
      </c>
      <c r="T131" s="73">
        <v>0.9</v>
      </c>
      <c r="U131" s="71">
        <v>0</v>
      </c>
      <c r="V131" s="71" t="s">
        <v>1710</v>
      </c>
      <c r="W131" s="71" t="s">
        <v>1710</v>
      </c>
      <c r="X131" s="71">
        <v>0.66666666666666696</v>
      </c>
      <c r="Y131" s="73">
        <v>0.92</v>
      </c>
      <c r="Z131" s="73" t="s">
        <v>1710</v>
      </c>
      <c r="AA131" s="73" t="s">
        <v>1710</v>
      </c>
      <c r="AB131" s="73">
        <v>0</v>
      </c>
      <c r="AC131" s="73">
        <v>0</v>
      </c>
      <c r="AD131" s="73">
        <v>0.92</v>
      </c>
      <c r="AE131" s="71">
        <v>1</v>
      </c>
      <c r="AF131" s="71">
        <v>0.99645390070922002</v>
      </c>
      <c r="AG131" s="71">
        <v>0.99778761061946897</v>
      </c>
      <c r="AH131" s="71">
        <v>0.98408779149519898</v>
      </c>
      <c r="AI131" s="73">
        <v>0.92</v>
      </c>
      <c r="AJ131" s="71">
        <v>0.94791666666666696</v>
      </c>
      <c r="AK131" s="71">
        <v>0.97112955611692497</v>
      </c>
      <c r="AL131" s="71">
        <v>0.97401908801696702</v>
      </c>
      <c r="AM131" s="71">
        <v>0.96998381736240402</v>
      </c>
      <c r="AN131" s="70">
        <v>0.99</v>
      </c>
      <c r="AO131" s="75">
        <v>1</v>
      </c>
      <c r="AP131" s="75">
        <v>1</v>
      </c>
      <c r="AQ131" s="75">
        <v>1</v>
      </c>
      <c r="AR131" s="75">
        <v>1</v>
      </c>
      <c r="AS131" s="77">
        <v>0.10526149898194399</v>
      </c>
      <c r="AT131" s="79">
        <v>0</v>
      </c>
      <c r="AU131" s="79">
        <v>0</v>
      </c>
      <c r="AV131" s="79">
        <v>0</v>
      </c>
      <c r="AW131" s="79">
        <v>0.11111111111111099</v>
      </c>
      <c r="AX131" s="56"/>
      <c r="AY131" s="54"/>
    </row>
    <row r="132" spans="1:51">
      <c r="A132" s="53"/>
      <c r="B132" s="56"/>
      <c r="C132" s="90" t="s">
        <v>95</v>
      </c>
      <c r="D132" s="230" t="s">
        <v>1757</v>
      </c>
      <c r="E132" s="68" t="s">
        <v>96</v>
      </c>
      <c r="F132" s="91" t="s">
        <v>149</v>
      </c>
      <c r="G132" s="91" t="s">
        <v>149</v>
      </c>
      <c r="H132" s="91" t="s">
        <v>149</v>
      </c>
      <c r="I132" s="91" t="s">
        <v>149</v>
      </c>
      <c r="J132" s="70">
        <v>0.9</v>
      </c>
      <c r="K132" s="71">
        <v>0.92857142857142905</v>
      </c>
      <c r="L132" s="71">
        <v>0.90909090909090895</v>
      </c>
      <c r="M132" s="72">
        <v>0.96875</v>
      </c>
      <c r="N132" s="71">
        <v>0.96619718309859204</v>
      </c>
      <c r="O132" s="73">
        <v>0.9</v>
      </c>
      <c r="P132" s="71" t="s">
        <v>1710</v>
      </c>
      <c r="Q132" s="71" t="s">
        <v>1710</v>
      </c>
      <c r="R132" s="71" t="s">
        <v>1710</v>
      </c>
      <c r="S132" s="71" t="s">
        <v>1710</v>
      </c>
      <c r="T132" s="73">
        <v>0.9</v>
      </c>
      <c r="U132" s="71" t="s">
        <v>1710</v>
      </c>
      <c r="V132" s="71" t="s">
        <v>1710</v>
      </c>
      <c r="W132" s="71" t="s">
        <v>1710</v>
      </c>
      <c r="X132" s="71" t="s">
        <v>1710</v>
      </c>
      <c r="Y132" s="73">
        <v>0.92</v>
      </c>
      <c r="Z132" s="73" t="s">
        <v>1710</v>
      </c>
      <c r="AA132" s="73">
        <v>0</v>
      </c>
      <c r="AB132" s="73" t="s">
        <v>1710</v>
      </c>
      <c r="AC132" s="73">
        <v>0</v>
      </c>
      <c r="AD132" s="73">
        <v>0.92</v>
      </c>
      <c r="AE132" s="71">
        <v>1</v>
      </c>
      <c r="AF132" s="71">
        <v>1</v>
      </c>
      <c r="AG132" s="71">
        <v>1</v>
      </c>
      <c r="AH132" s="71">
        <v>0.99315068493150704</v>
      </c>
      <c r="AI132" s="73">
        <v>0.92</v>
      </c>
      <c r="AJ132" s="71">
        <v>0.96840775063184503</v>
      </c>
      <c r="AK132" s="71">
        <v>0.98436736687835902</v>
      </c>
      <c r="AL132" s="71">
        <v>0.97609868928296095</v>
      </c>
      <c r="AM132" s="71">
        <v>0.98192740800321698</v>
      </c>
      <c r="AN132" s="70">
        <v>0.99</v>
      </c>
      <c r="AO132" s="75">
        <v>1</v>
      </c>
      <c r="AP132" s="75">
        <v>1</v>
      </c>
      <c r="AQ132" s="75">
        <v>1</v>
      </c>
      <c r="AR132" s="75">
        <v>1</v>
      </c>
      <c r="AS132" s="77">
        <v>0.10526149898194399</v>
      </c>
      <c r="AT132" s="79">
        <v>0</v>
      </c>
      <c r="AU132" s="79">
        <v>0</v>
      </c>
      <c r="AV132" s="79">
        <v>0</v>
      </c>
      <c r="AW132" s="79">
        <v>4.7619047619047603E-2</v>
      </c>
      <c r="AX132" s="56"/>
      <c r="AY132" s="54"/>
    </row>
    <row r="133" spans="1:51">
      <c r="A133" s="53"/>
      <c r="B133" s="56"/>
      <c r="C133" s="90" t="s">
        <v>95</v>
      </c>
      <c r="D133" s="230" t="s">
        <v>1757</v>
      </c>
      <c r="E133" s="68" t="s">
        <v>96</v>
      </c>
      <c r="F133" s="91" t="s">
        <v>150</v>
      </c>
      <c r="G133" s="91" t="s">
        <v>150</v>
      </c>
      <c r="H133" s="91" t="s">
        <v>150</v>
      </c>
      <c r="I133" s="91" t="s">
        <v>150</v>
      </c>
      <c r="J133" s="70">
        <v>0.9</v>
      </c>
      <c r="K133" s="71">
        <v>1</v>
      </c>
      <c r="L133" s="71">
        <v>1</v>
      </c>
      <c r="M133" s="72">
        <v>0.94736842105263197</v>
      </c>
      <c r="N133" s="71">
        <v>0.97309417040358703</v>
      </c>
      <c r="O133" s="73">
        <v>0.9</v>
      </c>
      <c r="P133" s="71" t="s">
        <v>1710</v>
      </c>
      <c r="Q133" s="71" t="s">
        <v>1710</v>
      </c>
      <c r="R133" s="71" t="s">
        <v>1710</v>
      </c>
      <c r="S133" s="71" t="s">
        <v>1710</v>
      </c>
      <c r="T133" s="73">
        <v>0.9</v>
      </c>
      <c r="U133" s="71" t="s">
        <v>1710</v>
      </c>
      <c r="V133" s="71" t="s">
        <v>1710</v>
      </c>
      <c r="W133" s="71" t="s">
        <v>1710</v>
      </c>
      <c r="X133" s="71" t="s">
        <v>1710</v>
      </c>
      <c r="Y133" s="73">
        <v>0.92</v>
      </c>
      <c r="Z133" s="73" t="s">
        <v>1710</v>
      </c>
      <c r="AA133" s="73" t="s">
        <v>1710</v>
      </c>
      <c r="AB133" s="73" t="s">
        <v>1710</v>
      </c>
      <c r="AC133" s="73" t="s">
        <v>1710</v>
      </c>
      <c r="AD133" s="73">
        <v>0.92</v>
      </c>
      <c r="AE133" s="71">
        <v>0.98591549295774605</v>
      </c>
      <c r="AF133" s="71">
        <v>1</v>
      </c>
      <c r="AG133" s="71">
        <v>0.969387755102041</v>
      </c>
      <c r="AH133" s="71">
        <v>0.98639455782312901</v>
      </c>
      <c r="AI133" s="73">
        <v>0.92</v>
      </c>
      <c r="AJ133" s="71">
        <v>0.98776978417266204</v>
      </c>
      <c r="AK133" s="71">
        <v>0.99180647678501799</v>
      </c>
      <c r="AL133" s="71">
        <v>0.99054745962977597</v>
      </c>
      <c r="AM133" s="71">
        <v>0.99214669813145595</v>
      </c>
      <c r="AN133" s="70">
        <v>0.99</v>
      </c>
      <c r="AO133" s="75">
        <v>1</v>
      </c>
      <c r="AP133" s="75">
        <v>1</v>
      </c>
      <c r="AQ133" s="75">
        <v>1</v>
      </c>
      <c r="AR133" s="75">
        <v>1</v>
      </c>
      <c r="AS133" s="77">
        <v>0.10526149898194399</v>
      </c>
      <c r="AT133" s="79">
        <v>0</v>
      </c>
      <c r="AU133" s="79">
        <v>0</v>
      </c>
      <c r="AV133" s="79">
        <v>0</v>
      </c>
      <c r="AW133" s="79">
        <v>3.3333333333333298E-2</v>
      </c>
      <c r="AX133" s="56"/>
      <c r="AY133" s="54"/>
    </row>
    <row r="134" spans="1:51">
      <c r="A134" s="53"/>
      <c r="B134" s="56"/>
      <c r="C134" s="90" t="s">
        <v>95</v>
      </c>
      <c r="D134" s="230" t="s">
        <v>1757</v>
      </c>
      <c r="E134" s="68" t="s">
        <v>96</v>
      </c>
      <c r="F134" s="91" t="s">
        <v>151</v>
      </c>
      <c r="G134" s="91" t="s">
        <v>151</v>
      </c>
      <c r="H134" s="91" t="s">
        <v>151</v>
      </c>
      <c r="I134" s="91" t="s">
        <v>151</v>
      </c>
      <c r="J134" s="70">
        <v>0.9</v>
      </c>
      <c r="K134" s="71">
        <v>0.98571428571428599</v>
      </c>
      <c r="L134" s="71">
        <v>0.971830985915493</v>
      </c>
      <c r="M134" s="72">
        <v>0.98630136986301398</v>
      </c>
      <c r="N134" s="71">
        <v>0.98138957816377204</v>
      </c>
      <c r="O134" s="73">
        <v>0.9</v>
      </c>
      <c r="P134" s="71">
        <v>0</v>
      </c>
      <c r="Q134" s="71" t="s">
        <v>1710</v>
      </c>
      <c r="R134" s="71" t="s">
        <v>1710</v>
      </c>
      <c r="S134" s="71">
        <v>0</v>
      </c>
      <c r="T134" s="73">
        <v>0.9</v>
      </c>
      <c r="U134" s="71">
        <v>0</v>
      </c>
      <c r="V134" s="71" t="s">
        <v>1710</v>
      </c>
      <c r="W134" s="71" t="s">
        <v>1710</v>
      </c>
      <c r="X134" s="71">
        <v>0.5</v>
      </c>
      <c r="Y134" s="73">
        <v>0.92</v>
      </c>
      <c r="Z134" s="73">
        <v>0</v>
      </c>
      <c r="AA134" s="73" t="s">
        <v>1710</v>
      </c>
      <c r="AB134" s="73" t="s">
        <v>1710</v>
      </c>
      <c r="AC134" s="73">
        <v>0</v>
      </c>
      <c r="AD134" s="73">
        <v>0.92</v>
      </c>
      <c r="AE134" s="71">
        <v>0.99795918367346903</v>
      </c>
      <c r="AF134" s="71">
        <v>0.99719101123595499</v>
      </c>
      <c r="AG134" s="71">
        <v>0.99093655589123897</v>
      </c>
      <c r="AH134" s="71">
        <v>0.99344364658133</v>
      </c>
      <c r="AI134" s="73">
        <v>0.92</v>
      </c>
      <c r="AJ134" s="71">
        <v>0.96710970939400798</v>
      </c>
      <c r="AK134" s="71">
        <v>0.98097826086956497</v>
      </c>
      <c r="AL134" s="71">
        <v>0.986675824175824</v>
      </c>
      <c r="AM134" s="71">
        <v>0.98719908787022903</v>
      </c>
      <c r="AN134" s="70">
        <v>0.99</v>
      </c>
      <c r="AO134" s="75">
        <v>1</v>
      </c>
      <c r="AP134" s="75">
        <v>1</v>
      </c>
      <c r="AQ134" s="75">
        <v>1</v>
      </c>
      <c r="AR134" s="75">
        <v>1</v>
      </c>
      <c r="AS134" s="77">
        <v>0.10526149898194399</v>
      </c>
      <c r="AT134" s="79">
        <v>0</v>
      </c>
      <c r="AU134" s="79">
        <v>0</v>
      </c>
      <c r="AV134" s="79">
        <v>0.2</v>
      </c>
      <c r="AW134" s="79">
        <v>4.1666666666666699E-2</v>
      </c>
      <c r="AX134" s="56"/>
      <c r="AY134" s="54"/>
    </row>
    <row r="135" spans="1:51">
      <c r="A135" s="53"/>
      <c r="B135" s="56"/>
      <c r="C135" s="90" t="s">
        <v>95</v>
      </c>
      <c r="D135" s="230" t="s">
        <v>1757</v>
      </c>
      <c r="E135" s="68" t="s">
        <v>96</v>
      </c>
      <c r="F135" s="91" t="s">
        <v>152</v>
      </c>
      <c r="G135" s="91" t="s">
        <v>152</v>
      </c>
      <c r="H135" s="91" t="s">
        <v>152</v>
      </c>
      <c r="I135" s="91" t="s">
        <v>152</v>
      </c>
      <c r="J135" s="70">
        <v>0.9</v>
      </c>
      <c r="K135" s="71">
        <v>0.96721311475409799</v>
      </c>
      <c r="L135" s="71">
        <v>0.96969696969696995</v>
      </c>
      <c r="M135" s="72">
        <v>0.98507462686567204</v>
      </c>
      <c r="N135" s="71">
        <v>0.97233201581027695</v>
      </c>
      <c r="O135" s="73">
        <v>0.9</v>
      </c>
      <c r="P135" s="71">
        <v>0</v>
      </c>
      <c r="Q135" s="71">
        <v>0</v>
      </c>
      <c r="R135" s="71" t="s">
        <v>1710</v>
      </c>
      <c r="S135" s="71">
        <v>0</v>
      </c>
      <c r="T135" s="73">
        <v>0.9</v>
      </c>
      <c r="U135" s="71">
        <v>0</v>
      </c>
      <c r="V135" s="71">
        <v>0</v>
      </c>
      <c r="W135" s="71" t="s">
        <v>1710</v>
      </c>
      <c r="X135" s="71">
        <v>0.25</v>
      </c>
      <c r="Y135" s="73">
        <v>0.92</v>
      </c>
      <c r="Z135" s="73" t="s">
        <v>1710</v>
      </c>
      <c r="AA135" s="73" t="s">
        <v>1710</v>
      </c>
      <c r="AB135" s="73" t="s">
        <v>1710</v>
      </c>
      <c r="AC135" s="73">
        <v>0</v>
      </c>
      <c r="AD135" s="73">
        <v>0.92</v>
      </c>
      <c r="AE135" s="71">
        <v>1</v>
      </c>
      <c r="AF135" s="71">
        <v>0.99224806201550397</v>
      </c>
      <c r="AG135" s="71">
        <v>0.99319727891156495</v>
      </c>
      <c r="AH135" s="71">
        <v>0.99454812329628794</v>
      </c>
      <c r="AI135" s="73">
        <v>0.92</v>
      </c>
      <c r="AJ135" s="71">
        <v>0.98048192771084297</v>
      </c>
      <c r="AK135" s="71">
        <v>0.98294117647058799</v>
      </c>
      <c r="AL135" s="71">
        <v>0.98566084788029895</v>
      </c>
      <c r="AM135" s="71">
        <v>0.98886878884252905</v>
      </c>
      <c r="AN135" s="70">
        <v>0.99</v>
      </c>
      <c r="AO135" s="75">
        <v>1</v>
      </c>
      <c r="AP135" s="75">
        <v>1</v>
      </c>
      <c r="AQ135" s="75">
        <v>1</v>
      </c>
      <c r="AR135" s="75">
        <v>1</v>
      </c>
      <c r="AS135" s="77">
        <v>0.10526149898194399</v>
      </c>
      <c r="AT135" s="79">
        <v>0</v>
      </c>
      <c r="AU135" s="79">
        <v>6.6666666666666693E-2</v>
      </c>
      <c r="AV135" s="79">
        <v>3.125E-2</v>
      </c>
      <c r="AW135" s="79">
        <v>3.9156626506024098E-2</v>
      </c>
      <c r="AX135" s="56"/>
      <c r="AY135" s="54"/>
    </row>
    <row r="136" spans="1:51">
      <c r="A136" s="53"/>
      <c r="B136" s="56"/>
      <c r="C136" s="90" t="s">
        <v>95</v>
      </c>
      <c r="D136" s="230" t="s">
        <v>1757</v>
      </c>
      <c r="E136" s="68" t="s">
        <v>96</v>
      </c>
      <c r="F136" s="91" t="s">
        <v>153</v>
      </c>
      <c r="G136" s="91" t="s">
        <v>153</v>
      </c>
      <c r="H136" s="91" t="s">
        <v>153</v>
      </c>
      <c r="I136" s="91" t="s">
        <v>153</v>
      </c>
      <c r="J136" s="70">
        <v>0.9</v>
      </c>
      <c r="K136" s="71">
        <v>0.95121951219512202</v>
      </c>
      <c r="L136" s="71">
        <v>1</v>
      </c>
      <c r="M136" s="72">
        <v>1</v>
      </c>
      <c r="N136" s="71">
        <v>0.98619329388560195</v>
      </c>
      <c r="O136" s="73">
        <v>0.9</v>
      </c>
      <c r="P136" s="71">
        <v>0</v>
      </c>
      <c r="Q136" s="71" t="s">
        <v>1710</v>
      </c>
      <c r="R136" s="71" t="s">
        <v>1710</v>
      </c>
      <c r="S136" s="71">
        <v>0</v>
      </c>
      <c r="T136" s="73">
        <v>0.9</v>
      </c>
      <c r="U136" s="71">
        <v>0</v>
      </c>
      <c r="V136" s="71" t="s">
        <v>1710</v>
      </c>
      <c r="W136" s="71" t="s">
        <v>1710</v>
      </c>
      <c r="X136" s="71">
        <v>0</v>
      </c>
      <c r="Y136" s="73">
        <v>0.92</v>
      </c>
      <c r="Z136" s="73">
        <v>0</v>
      </c>
      <c r="AA136" s="73" t="s">
        <v>1710</v>
      </c>
      <c r="AB136" s="73" t="s">
        <v>1710</v>
      </c>
      <c r="AC136" s="73">
        <v>0</v>
      </c>
      <c r="AD136" s="73">
        <v>0.92</v>
      </c>
      <c r="AE136" s="71">
        <v>0.99371069182389904</v>
      </c>
      <c r="AF136" s="71">
        <v>0.99481865284974103</v>
      </c>
      <c r="AG136" s="71">
        <v>0.98989898989898994</v>
      </c>
      <c r="AH136" s="71">
        <v>0.99533735600658302</v>
      </c>
      <c r="AI136" s="73">
        <v>0.92</v>
      </c>
      <c r="AJ136" s="71">
        <v>0.97823458282950404</v>
      </c>
      <c r="AK136" s="71">
        <v>0.98692060578246898</v>
      </c>
      <c r="AL136" s="71">
        <v>0.993677042801556</v>
      </c>
      <c r="AM136" s="71">
        <v>0.99176451955926603</v>
      </c>
      <c r="AN136" s="70">
        <v>0.99</v>
      </c>
      <c r="AO136" s="75">
        <v>1</v>
      </c>
      <c r="AP136" s="75">
        <v>1</v>
      </c>
      <c r="AQ136" s="75">
        <v>1</v>
      </c>
      <c r="AR136" s="75">
        <v>1</v>
      </c>
      <c r="AS136" s="77">
        <v>0.10526149898194399</v>
      </c>
      <c r="AT136" s="79">
        <v>0</v>
      </c>
      <c r="AU136" s="79">
        <v>0</v>
      </c>
      <c r="AV136" s="79">
        <v>0.25</v>
      </c>
      <c r="AW136" s="79">
        <v>0.11111111111111099</v>
      </c>
      <c r="AX136" s="56"/>
      <c r="AY136" s="54"/>
    </row>
    <row r="137" spans="1:51">
      <c r="A137" s="53"/>
      <c r="B137" s="56"/>
      <c r="C137" s="90" t="s">
        <v>95</v>
      </c>
      <c r="D137" s="230" t="s">
        <v>1757</v>
      </c>
      <c r="E137" s="68" t="s">
        <v>96</v>
      </c>
      <c r="F137" s="91" t="s">
        <v>154</v>
      </c>
      <c r="G137" s="91" t="s">
        <v>154</v>
      </c>
      <c r="H137" s="91" t="s">
        <v>154</v>
      </c>
      <c r="I137" s="91" t="s">
        <v>154</v>
      </c>
      <c r="J137" s="70">
        <v>0.9</v>
      </c>
      <c r="K137" s="71">
        <v>0.96428571428571397</v>
      </c>
      <c r="L137" s="71">
        <v>0.96428571428571397</v>
      </c>
      <c r="M137" s="72">
        <v>1</v>
      </c>
      <c r="N137" s="71">
        <v>0.99120234604105595</v>
      </c>
      <c r="O137" s="73">
        <v>0.9</v>
      </c>
      <c r="P137" s="71" t="s">
        <v>1710</v>
      </c>
      <c r="Q137" s="71" t="s">
        <v>1710</v>
      </c>
      <c r="R137" s="71" t="s">
        <v>1710</v>
      </c>
      <c r="S137" s="71">
        <v>0</v>
      </c>
      <c r="T137" s="73">
        <v>0.9</v>
      </c>
      <c r="U137" s="71" t="s">
        <v>1710</v>
      </c>
      <c r="V137" s="71" t="s">
        <v>1710</v>
      </c>
      <c r="W137" s="71" t="s">
        <v>1710</v>
      </c>
      <c r="X137" s="71">
        <v>0</v>
      </c>
      <c r="Y137" s="73">
        <v>0.92</v>
      </c>
      <c r="Z137" s="73" t="s">
        <v>1710</v>
      </c>
      <c r="AA137" s="73" t="s">
        <v>1710</v>
      </c>
      <c r="AB137" s="73">
        <v>0</v>
      </c>
      <c r="AC137" s="73">
        <v>0</v>
      </c>
      <c r="AD137" s="73">
        <v>0.92</v>
      </c>
      <c r="AE137" s="71">
        <v>0.99425287356321801</v>
      </c>
      <c r="AF137" s="71">
        <v>0.98802395209580796</v>
      </c>
      <c r="AG137" s="71">
        <v>0.96250000000000002</v>
      </c>
      <c r="AH137" s="71">
        <v>0.97888975762314301</v>
      </c>
      <c r="AI137" s="73">
        <v>0.92</v>
      </c>
      <c r="AJ137" s="71">
        <v>0.976011288805268</v>
      </c>
      <c r="AK137" s="71">
        <v>0.97802197802197799</v>
      </c>
      <c r="AL137" s="71">
        <v>0.98887171561051002</v>
      </c>
      <c r="AM137" s="71">
        <v>0.99009235445405697</v>
      </c>
      <c r="AN137" s="70">
        <v>0.99</v>
      </c>
      <c r="AO137" s="75">
        <v>1</v>
      </c>
      <c r="AP137" s="75">
        <v>1</v>
      </c>
      <c r="AQ137" s="75">
        <v>1</v>
      </c>
      <c r="AR137" s="75">
        <v>1</v>
      </c>
      <c r="AS137" s="77">
        <v>0.10526149898194399</v>
      </c>
      <c r="AT137" s="79" t="s">
        <v>1710</v>
      </c>
      <c r="AU137" s="79" t="s">
        <v>1710</v>
      </c>
      <c r="AV137" s="79">
        <v>0.33333333333333298</v>
      </c>
      <c r="AW137" s="79">
        <v>0.214285714285714</v>
      </c>
      <c r="AX137" s="56"/>
      <c r="AY137" s="54"/>
    </row>
    <row r="138" spans="1:51">
      <c r="A138" s="53"/>
      <c r="B138" s="56"/>
      <c r="C138" s="90" t="s">
        <v>95</v>
      </c>
      <c r="D138" s="230" t="s">
        <v>1757</v>
      </c>
      <c r="E138" s="68" t="s">
        <v>96</v>
      </c>
      <c r="F138" s="91" t="s">
        <v>155</v>
      </c>
      <c r="G138" s="91" t="s">
        <v>155</v>
      </c>
      <c r="H138" s="91" t="s">
        <v>155</v>
      </c>
      <c r="I138" s="91" t="s">
        <v>155</v>
      </c>
      <c r="J138" s="70">
        <v>0.9</v>
      </c>
      <c r="K138" s="71">
        <v>0.98360655737704905</v>
      </c>
      <c r="L138" s="71">
        <v>0.98550724637681197</v>
      </c>
      <c r="M138" s="72">
        <v>1</v>
      </c>
      <c r="N138" s="71">
        <v>0.98569157392686801</v>
      </c>
      <c r="O138" s="73">
        <v>0.9</v>
      </c>
      <c r="P138" s="71">
        <v>0</v>
      </c>
      <c r="Q138" s="71">
        <v>0</v>
      </c>
      <c r="R138" s="71" t="s">
        <v>1710</v>
      </c>
      <c r="S138" s="71">
        <v>7.69230769230769E-2</v>
      </c>
      <c r="T138" s="73">
        <v>0.9</v>
      </c>
      <c r="U138" s="71">
        <v>0</v>
      </c>
      <c r="V138" s="71">
        <v>0</v>
      </c>
      <c r="W138" s="71" t="s">
        <v>1710</v>
      </c>
      <c r="X138" s="71">
        <v>7.69230769230769E-2</v>
      </c>
      <c r="Y138" s="73">
        <v>0.92</v>
      </c>
      <c r="Z138" s="73">
        <v>0</v>
      </c>
      <c r="AA138" s="73">
        <v>0</v>
      </c>
      <c r="AB138" s="73" t="s">
        <v>1710</v>
      </c>
      <c r="AC138" s="73">
        <v>0</v>
      </c>
      <c r="AD138" s="73">
        <v>0.92</v>
      </c>
      <c r="AE138" s="71">
        <v>1</v>
      </c>
      <c r="AF138" s="71">
        <v>0.99680170575692995</v>
      </c>
      <c r="AG138" s="71">
        <v>0.998046875</v>
      </c>
      <c r="AH138" s="71">
        <v>0.99782443163276402</v>
      </c>
      <c r="AI138" s="73">
        <v>0.92</v>
      </c>
      <c r="AJ138" s="71">
        <v>0.96885245901639305</v>
      </c>
      <c r="AK138" s="71">
        <v>0.98416506717850305</v>
      </c>
      <c r="AL138" s="71">
        <v>0.98642753271934103</v>
      </c>
      <c r="AM138" s="71">
        <v>0.985784713470235</v>
      </c>
      <c r="AN138" s="70">
        <v>0.99</v>
      </c>
      <c r="AO138" s="75">
        <v>1</v>
      </c>
      <c r="AP138" s="75">
        <v>1</v>
      </c>
      <c r="AQ138" s="75">
        <v>1</v>
      </c>
      <c r="AR138" s="75">
        <v>1</v>
      </c>
      <c r="AS138" s="77">
        <v>0.10526149898194399</v>
      </c>
      <c r="AT138" s="79">
        <v>0</v>
      </c>
      <c r="AU138" s="79">
        <v>0.22222222222222199</v>
      </c>
      <c r="AV138" s="79">
        <v>0</v>
      </c>
      <c r="AW138" s="79">
        <v>7.2164948453608199E-2</v>
      </c>
      <c r="AX138" s="56"/>
      <c r="AY138" s="54"/>
    </row>
    <row r="139" spans="1:51">
      <c r="A139" s="53"/>
      <c r="B139" s="56"/>
      <c r="C139" s="90" t="s">
        <v>95</v>
      </c>
      <c r="D139" s="230" t="s">
        <v>1757</v>
      </c>
      <c r="E139" s="68" t="s">
        <v>96</v>
      </c>
      <c r="F139" s="91" t="s">
        <v>156</v>
      </c>
      <c r="G139" s="91" t="s">
        <v>156</v>
      </c>
      <c r="H139" s="91" t="s">
        <v>156</v>
      </c>
      <c r="I139" s="91" t="s">
        <v>156</v>
      </c>
      <c r="J139" s="70">
        <v>0.9</v>
      </c>
      <c r="K139" s="71">
        <v>0.98863636363636398</v>
      </c>
      <c r="L139" s="71">
        <v>0.94252873563218398</v>
      </c>
      <c r="M139" s="72">
        <v>0.96629213483146104</v>
      </c>
      <c r="N139" s="71">
        <v>0.95341922695738401</v>
      </c>
      <c r="O139" s="73">
        <v>0.9</v>
      </c>
      <c r="P139" s="71">
        <v>0.956209297103077</v>
      </c>
      <c r="Q139" s="71">
        <v>0.95735967236810404</v>
      </c>
      <c r="R139" s="71">
        <v>0.88080604534005003</v>
      </c>
      <c r="S139" s="71">
        <v>0.94613516913205897</v>
      </c>
      <c r="T139" s="73">
        <v>0.9</v>
      </c>
      <c r="U139" s="71">
        <v>0.90860094318437001</v>
      </c>
      <c r="V139" s="71">
        <v>0.93736449048422099</v>
      </c>
      <c r="W139" s="71">
        <v>0.89521410579345095</v>
      </c>
      <c r="X139" s="71">
        <v>0.92435131102941903</v>
      </c>
      <c r="Y139" s="73">
        <v>0.92</v>
      </c>
      <c r="Z139" s="73">
        <v>0.95524930318984203</v>
      </c>
      <c r="AA139" s="73">
        <v>0.96129575094657105</v>
      </c>
      <c r="AB139" s="73">
        <v>0.95169946332736999</v>
      </c>
      <c r="AC139" s="73">
        <v>0.96172994269340994</v>
      </c>
      <c r="AD139" s="73">
        <v>0.92</v>
      </c>
      <c r="AE139" s="71">
        <v>0.98444950837658796</v>
      </c>
      <c r="AF139" s="71">
        <v>0.959325642783182</v>
      </c>
      <c r="AG139" s="71">
        <v>0.99231004987322702</v>
      </c>
      <c r="AH139" s="71">
        <v>0.98061237641080401</v>
      </c>
      <c r="AI139" s="73">
        <v>0.92</v>
      </c>
      <c r="AJ139" s="71">
        <v>0.97324915386618105</v>
      </c>
      <c r="AK139" s="71">
        <v>0.98408537727017398</v>
      </c>
      <c r="AL139" s="71">
        <v>0.97074176709415505</v>
      </c>
      <c r="AM139" s="71">
        <v>0.97788886995272295</v>
      </c>
      <c r="AN139" s="70">
        <v>0.99</v>
      </c>
      <c r="AO139" s="75">
        <v>1</v>
      </c>
      <c r="AP139" s="75">
        <v>1</v>
      </c>
      <c r="AQ139" s="75">
        <v>1</v>
      </c>
      <c r="AR139" s="75">
        <v>1</v>
      </c>
      <c r="AS139" s="77">
        <v>0.10526149898194399</v>
      </c>
      <c r="AT139" s="79">
        <v>0.105263157894737</v>
      </c>
      <c r="AU139" s="79">
        <v>0.42857142857142899</v>
      </c>
      <c r="AV139" s="79">
        <v>0.157894736842105</v>
      </c>
      <c r="AW139" s="79">
        <v>8.4905660377358499E-2</v>
      </c>
      <c r="AX139" s="56"/>
      <c r="AY139" s="54"/>
    </row>
    <row r="140" spans="1:51">
      <c r="A140" s="53"/>
      <c r="B140" s="56"/>
      <c r="C140" s="90" t="s">
        <v>95</v>
      </c>
      <c r="D140" s="230" t="s">
        <v>1757</v>
      </c>
      <c r="E140" s="68" t="s">
        <v>96</v>
      </c>
      <c r="F140" s="91" t="s">
        <v>157</v>
      </c>
      <c r="G140" s="91" t="s">
        <v>157</v>
      </c>
      <c r="H140" s="91" t="s">
        <v>157</v>
      </c>
      <c r="I140" s="91" t="s">
        <v>157</v>
      </c>
      <c r="J140" s="70">
        <v>0.9</v>
      </c>
      <c r="K140" s="71">
        <v>0.98684210526315796</v>
      </c>
      <c r="L140" s="71">
        <v>0.94805194805194803</v>
      </c>
      <c r="M140" s="72">
        <v>0.94666666666666699</v>
      </c>
      <c r="N140" s="71">
        <v>0.97206053550640303</v>
      </c>
      <c r="O140" s="73">
        <v>0.9</v>
      </c>
      <c r="P140" s="71">
        <v>0.96893232205367597</v>
      </c>
      <c r="Q140" s="71">
        <v>0.97182614671018697</v>
      </c>
      <c r="R140" s="71">
        <v>0.95812350914391697</v>
      </c>
      <c r="S140" s="71">
        <v>0.97084502446982102</v>
      </c>
      <c r="T140" s="73">
        <v>0.9</v>
      </c>
      <c r="U140" s="71">
        <v>0.94136522753792296</v>
      </c>
      <c r="V140" s="71">
        <v>0.945542003092252</v>
      </c>
      <c r="W140" s="71">
        <v>0.92433077126954699</v>
      </c>
      <c r="X140" s="71">
        <v>0.93892332789559496</v>
      </c>
      <c r="Y140" s="73">
        <v>0.92</v>
      </c>
      <c r="Z140" s="73">
        <v>0.95489767534273795</v>
      </c>
      <c r="AA140" s="73">
        <v>0.95930232558139505</v>
      </c>
      <c r="AB140" s="73">
        <v>0.957149300857014</v>
      </c>
      <c r="AC140" s="73">
        <v>0.96373212594423496</v>
      </c>
      <c r="AD140" s="73">
        <v>0.92</v>
      </c>
      <c r="AE140" s="71">
        <v>0.99842930946388397</v>
      </c>
      <c r="AF140" s="71">
        <v>0.95262855792281498</v>
      </c>
      <c r="AG140" s="71">
        <v>0.99167173413002696</v>
      </c>
      <c r="AH140" s="71">
        <v>0.98235905763040199</v>
      </c>
      <c r="AI140" s="73">
        <v>0.92</v>
      </c>
      <c r="AJ140" s="71">
        <v>0.97241843255970395</v>
      </c>
      <c r="AK140" s="71">
        <v>0.97899922219341495</v>
      </c>
      <c r="AL140" s="71">
        <v>0.97579500876387604</v>
      </c>
      <c r="AM140" s="71">
        <v>0.98031318791274802</v>
      </c>
      <c r="AN140" s="70">
        <v>0.99</v>
      </c>
      <c r="AO140" s="75">
        <v>1</v>
      </c>
      <c r="AP140" s="75">
        <v>1</v>
      </c>
      <c r="AQ140" s="75">
        <v>1</v>
      </c>
      <c r="AR140" s="75">
        <v>1</v>
      </c>
      <c r="AS140" s="77">
        <v>0.10526149898194399</v>
      </c>
      <c r="AT140" s="79">
        <v>0.15384615384615399</v>
      </c>
      <c r="AU140" s="79">
        <v>0</v>
      </c>
      <c r="AV140" s="79">
        <v>5.8823529411764698E-2</v>
      </c>
      <c r="AW140" s="79">
        <v>0.11340206185567001</v>
      </c>
      <c r="AX140" s="56"/>
      <c r="AY140" s="54"/>
    </row>
    <row r="141" spans="1:51">
      <c r="A141" s="53"/>
      <c r="B141" s="56"/>
      <c r="C141" s="90" t="s">
        <v>95</v>
      </c>
      <c r="D141" s="230" t="s">
        <v>1757</v>
      </c>
      <c r="E141" s="68" t="s">
        <v>96</v>
      </c>
      <c r="F141" s="91" t="s">
        <v>158</v>
      </c>
      <c r="G141" s="91" t="s">
        <v>158</v>
      </c>
      <c r="H141" s="91" t="s">
        <v>158</v>
      </c>
      <c r="I141" s="91" t="s">
        <v>158</v>
      </c>
      <c r="J141" s="70">
        <v>0.9</v>
      </c>
      <c r="K141" s="71">
        <v>0.97916666666666696</v>
      </c>
      <c r="L141" s="71">
        <v>0.9375</v>
      </c>
      <c r="M141" s="72">
        <v>0.93877551020408201</v>
      </c>
      <c r="N141" s="71">
        <v>0.96067917783735501</v>
      </c>
      <c r="O141" s="73">
        <v>0.9</v>
      </c>
      <c r="P141" s="71">
        <v>0.88262387638362705</v>
      </c>
      <c r="Q141" s="71">
        <v>0.91753669238916602</v>
      </c>
      <c r="R141" s="71">
        <v>0.87806086341118195</v>
      </c>
      <c r="S141" s="71">
        <v>0.91269803184962295</v>
      </c>
      <c r="T141" s="73">
        <v>0.9</v>
      </c>
      <c r="U141" s="71">
        <v>0.93559170938266101</v>
      </c>
      <c r="V141" s="71">
        <v>0.92464820699046801</v>
      </c>
      <c r="W141" s="71">
        <v>0.88874734607218697</v>
      </c>
      <c r="X141" s="71">
        <v>0.92043764096165803</v>
      </c>
      <c r="Y141" s="73">
        <v>0.92</v>
      </c>
      <c r="Z141" s="73">
        <v>0.89919204474829095</v>
      </c>
      <c r="AA141" s="73">
        <v>0.91773504273504303</v>
      </c>
      <c r="AB141" s="73">
        <v>0.87729454956227104</v>
      </c>
      <c r="AC141" s="73">
        <v>0.91203231351940595</v>
      </c>
      <c r="AD141" s="73">
        <v>0.92</v>
      </c>
      <c r="AE141" s="71">
        <v>0.99484712356022598</v>
      </c>
      <c r="AF141" s="71">
        <v>0.98702537551756797</v>
      </c>
      <c r="AG141" s="71">
        <v>0.98960595001616802</v>
      </c>
      <c r="AH141" s="71">
        <v>0.98880413369765197</v>
      </c>
      <c r="AI141" s="73">
        <v>0.92</v>
      </c>
      <c r="AJ141" s="71">
        <v>0.94519847541136004</v>
      </c>
      <c r="AK141" s="71">
        <v>0.96039137097724903</v>
      </c>
      <c r="AL141" s="71">
        <v>0.91769915673434799</v>
      </c>
      <c r="AM141" s="71">
        <v>0.95102348592132102</v>
      </c>
      <c r="AN141" s="70">
        <v>0.99</v>
      </c>
      <c r="AO141" s="75">
        <v>1</v>
      </c>
      <c r="AP141" s="75">
        <v>1</v>
      </c>
      <c r="AQ141" s="75">
        <v>1</v>
      </c>
      <c r="AR141" s="75">
        <v>1</v>
      </c>
      <c r="AS141" s="77">
        <v>0.10526149898194399</v>
      </c>
      <c r="AT141" s="79">
        <v>0.16666666666666699</v>
      </c>
      <c r="AU141" s="79">
        <v>0</v>
      </c>
      <c r="AV141" s="79">
        <v>0.375</v>
      </c>
      <c r="AW141" s="79">
        <v>0.110671936758893</v>
      </c>
      <c r="AX141" s="56"/>
      <c r="AY141" s="54"/>
    </row>
    <row r="142" spans="1:51">
      <c r="A142" s="53"/>
      <c r="B142" s="56"/>
      <c r="C142" s="90" t="s">
        <v>95</v>
      </c>
      <c r="D142" s="230" t="s">
        <v>1758</v>
      </c>
      <c r="E142" s="68" t="s">
        <v>96</v>
      </c>
      <c r="F142" s="91" t="s">
        <v>159</v>
      </c>
      <c r="G142" s="91" t="s">
        <v>159</v>
      </c>
      <c r="H142" s="91" t="s">
        <v>159</v>
      </c>
      <c r="I142" s="91" t="s">
        <v>159</v>
      </c>
      <c r="J142" s="70">
        <v>0.9</v>
      </c>
      <c r="K142" s="71">
        <v>0.98837209302325602</v>
      </c>
      <c r="L142" s="71">
        <v>0.94252873563218398</v>
      </c>
      <c r="M142" s="72">
        <v>0.93975903614457801</v>
      </c>
      <c r="N142" s="71">
        <v>0.88049029622063302</v>
      </c>
      <c r="O142" s="73">
        <v>0.9</v>
      </c>
      <c r="P142" s="71">
        <v>0.94535852122689401</v>
      </c>
      <c r="Q142" s="71">
        <v>0.87773189646490102</v>
      </c>
      <c r="R142" s="71">
        <v>0.94587981992562098</v>
      </c>
      <c r="S142" s="71">
        <v>0.94866742248375902</v>
      </c>
      <c r="T142" s="73">
        <v>0.9</v>
      </c>
      <c r="U142" s="71">
        <v>0.93428803575055897</v>
      </c>
      <c r="V142" s="71">
        <v>0.95447678517474099</v>
      </c>
      <c r="W142" s="71">
        <v>0.95468780583284396</v>
      </c>
      <c r="X142" s="71">
        <v>0.93891378286454696</v>
      </c>
      <c r="Y142" s="73">
        <v>0.92</v>
      </c>
      <c r="Z142" s="73">
        <v>0.93920247121595102</v>
      </c>
      <c r="AA142" s="73">
        <v>0.95619116582186803</v>
      </c>
      <c r="AB142" s="73">
        <v>0.936347315162396</v>
      </c>
      <c r="AC142" s="73">
        <v>0.9472458252682</v>
      </c>
      <c r="AD142" s="73">
        <v>0.92</v>
      </c>
      <c r="AE142" s="71">
        <v>0.99185079851236102</v>
      </c>
      <c r="AF142" s="71">
        <v>0.907219672580314</v>
      </c>
      <c r="AG142" s="71">
        <v>0.99427694426116597</v>
      </c>
      <c r="AH142" s="71">
        <v>0.959024356768574</v>
      </c>
      <c r="AI142" s="73">
        <v>0.92</v>
      </c>
      <c r="AJ142" s="71">
        <v>0.96123026160735303</v>
      </c>
      <c r="AK142" s="71">
        <v>0.97865133133764004</v>
      </c>
      <c r="AL142" s="71">
        <v>0.97150892638787001</v>
      </c>
      <c r="AM142" s="71">
        <v>0.97297171728904097</v>
      </c>
      <c r="AN142" s="70">
        <v>0.99</v>
      </c>
      <c r="AO142" s="75">
        <v>1</v>
      </c>
      <c r="AP142" s="75">
        <v>1</v>
      </c>
      <c r="AQ142" s="75">
        <v>1</v>
      </c>
      <c r="AR142" s="75">
        <v>1</v>
      </c>
      <c r="AS142" s="77">
        <v>0.10526149898194399</v>
      </c>
      <c r="AT142" s="79">
        <v>0.125</v>
      </c>
      <c r="AU142" s="79">
        <v>0.17647058823529399</v>
      </c>
      <c r="AV142" s="79">
        <v>6.25E-2</v>
      </c>
      <c r="AW142" s="79">
        <v>0.11111111111111099</v>
      </c>
      <c r="AX142" s="56"/>
      <c r="AY142" s="54"/>
    </row>
    <row r="143" spans="1:51">
      <c r="A143" s="53"/>
      <c r="B143" s="56"/>
      <c r="C143" s="90" t="s">
        <v>95</v>
      </c>
      <c r="D143" s="230" t="s">
        <v>1757</v>
      </c>
      <c r="E143" s="68" t="s">
        <v>96</v>
      </c>
      <c r="F143" s="91" t="s">
        <v>160</v>
      </c>
      <c r="G143" s="91" t="s">
        <v>160</v>
      </c>
      <c r="H143" s="91" t="s">
        <v>160</v>
      </c>
      <c r="I143" s="91" t="s">
        <v>160</v>
      </c>
      <c r="J143" s="70">
        <v>0.9</v>
      </c>
      <c r="K143" s="71">
        <v>1</v>
      </c>
      <c r="L143" s="71">
        <v>1</v>
      </c>
      <c r="M143" s="72">
        <v>1</v>
      </c>
      <c r="N143" s="71">
        <v>0.99748533109807203</v>
      </c>
      <c r="O143" s="73">
        <v>0.9</v>
      </c>
      <c r="P143" s="71">
        <v>0.97657956829502801</v>
      </c>
      <c r="Q143" s="71">
        <v>0.98109693640003703</v>
      </c>
      <c r="R143" s="71">
        <v>0.97452229299363102</v>
      </c>
      <c r="S143" s="71">
        <v>0.97250852134393795</v>
      </c>
      <c r="T143" s="73">
        <v>0.9</v>
      </c>
      <c r="U143" s="71">
        <v>0.97692912697719103</v>
      </c>
      <c r="V143" s="71">
        <v>0.97942080268181397</v>
      </c>
      <c r="W143" s="71">
        <v>0.95734902846085601</v>
      </c>
      <c r="X143" s="71">
        <v>0.96584023156414001</v>
      </c>
      <c r="Y143" s="73">
        <v>0.92</v>
      </c>
      <c r="Z143" s="73">
        <v>0.96608682941090496</v>
      </c>
      <c r="AA143" s="73">
        <v>0.97862545215389696</v>
      </c>
      <c r="AB143" s="73">
        <v>0.96485148514851504</v>
      </c>
      <c r="AC143" s="73">
        <v>0.94755700325732894</v>
      </c>
      <c r="AD143" s="73">
        <v>0.92</v>
      </c>
      <c r="AE143" s="71">
        <v>0.99274015898860302</v>
      </c>
      <c r="AF143" s="71">
        <v>0.97506013035198102</v>
      </c>
      <c r="AG143" s="71">
        <v>0.989725158216189</v>
      </c>
      <c r="AH143" s="71">
        <v>0.977996000165549</v>
      </c>
      <c r="AI143" s="73">
        <v>0.92</v>
      </c>
      <c r="AJ143" s="71">
        <v>0.98102580927384098</v>
      </c>
      <c r="AK143" s="71">
        <v>0.99020816711394799</v>
      </c>
      <c r="AL143" s="71">
        <v>0.98338025119099204</v>
      </c>
      <c r="AM143" s="71">
        <v>0.97703825003496103</v>
      </c>
      <c r="AN143" s="70">
        <v>0.99</v>
      </c>
      <c r="AO143" s="75">
        <v>1</v>
      </c>
      <c r="AP143" s="75">
        <v>1</v>
      </c>
      <c r="AQ143" s="75">
        <v>1</v>
      </c>
      <c r="AR143" s="75">
        <v>1</v>
      </c>
      <c r="AS143" s="77">
        <v>0.10526149898194399</v>
      </c>
      <c r="AT143" s="79">
        <v>0.173913043478261</v>
      </c>
      <c r="AU143" s="79">
        <v>5.2631578947368397E-2</v>
      </c>
      <c r="AV143" s="79">
        <v>6.6666666666666693E-2</v>
      </c>
      <c r="AW143" s="79">
        <v>6.4000000000000001E-2</v>
      </c>
      <c r="AX143" s="56"/>
      <c r="AY143" s="54"/>
    </row>
    <row r="144" spans="1:51">
      <c r="A144" s="53"/>
      <c r="B144" s="56"/>
      <c r="C144" s="90" t="s">
        <v>95</v>
      </c>
      <c r="D144" s="230" t="s">
        <v>1757</v>
      </c>
      <c r="E144" s="68" t="s">
        <v>96</v>
      </c>
      <c r="F144" s="91" t="s">
        <v>161</v>
      </c>
      <c r="G144" s="91" t="s">
        <v>161</v>
      </c>
      <c r="H144" s="91" t="s">
        <v>161</v>
      </c>
      <c r="I144" s="91" t="s">
        <v>161</v>
      </c>
      <c r="J144" s="70">
        <v>0.9</v>
      </c>
      <c r="K144" s="71">
        <v>1</v>
      </c>
      <c r="L144" s="71">
        <v>1</v>
      </c>
      <c r="M144" s="72">
        <v>1</v>
      </c>
      <c r="N144" s="71">
        <v>1</v>
      </c>
      <c r="O144" s="73">
        <v>0.9</v>
      </c>
      <c r="P144" s="71">
        <v>0.97439759036144602</v>
      </c>
      <c r="Q144" s="71">
        <v>0.98012646793134595</v>
      </c>
      <c r="R144" s="71">
        <v>0.98456295108259795</v>
      </c>
      <c r="S144" s="71">
        <v>0.96584838845207399</v>
      </c>
      <c r="T144" s="73">
        <v>0.9</v>
      </c>
      <c r="U144" s="71">
        <v>0.96213425129087804</v>
      </c>
      <c r="V144" s="71">
        <v>0.96973803071364095</v>
      </c>
      <c r="W144" s="71">
        <v>0.95429029671210897</v>
      </c>
      <c r="X144" s="71">
        <v>0.96642858571914403</v>
      </c>
      <c r="Y144" s="73">
        <v>0.92</v>
      </c>
      <c r="Z144" s="73">
        <v>0.95313001605136405</v>
      </c>
      <c r="AA144" s="73">
        <v>0.96733481811432798</v>
      </c>
      <c r="AB144" s="73">
        <v>0.95820783132530096</v>
      </c>
      <c r="AC144" s="73">
        <v>0.96547134935305001</v>
      </c>
      <c r="AD144" s="73">
        <v>0.92</v>
      </c>
      <c r="AE144" s="71">
        <v>0.98900340768925199</v>
      </c>
      <c r="AF144" s="71">
        <v>0.98382012229860605</v>
      </c>
      <c r="AG144" s="71">
        <v>0.993037334293701</v>
      </c>
      <c r="AH144" s="71">
        <v>0.97422096272631098</v>
      </c>
      <c r="AI144" s="73">
        <v>0.92</v>
      </c>
      <c r="AJ144" s="71">
        <v>0.97295208655332299</v>
      </c>
      <c r="AK144" s="71">
        <v>0.98598373421007102</v>
      </c>
      <c r="AL144" s="71">
        <v>0.98169216686282201</v>
      </c>
      <c r="AM144" s="71">
        <v>0.98338935101675296</v>
      </c>
      <c r="AN144" s="70">
        <v>0.99</v>
      </c>
      <c r="AO144" s="75">
        <v>1</v>
      </c>
      <c r="AP144" s="75">
        <v>1</v>
      </c>
      <c r="AQ144" s="75">
        <v>1</v>
      </c>
      <c r="AR144" s="75">
        <v>1</v>
      </c>
      <c r="AS144" s="77">
        <v>0.10526149898194399</v>
      </c>
      <c r="AT144" s="79">
        <v>0</v>
      </c>
      <c r="AU144" s="79">
        <v>0.25</v>
      </c>
      <c r="AV144" s="79">
        <v>0.33333333333333298</v>
      </c>
      <c r="AW144" s="79">
        <v>0.12121212121212099</v>
      </c>
      <c r="AX144" s="56"/>
      <c r="AY144" s="54"/>
    </row>
    <row r="145" spans="1:51">
      <c r="A145" s="53"/>
      <c r="B145" s="56"/>
      <c r="C145" s="90" t="s">
        <v>95</v>
      </c>
      <c r="D145" s="230" t="s">
        <v>1757</v>
      </c>
      <c r="E145" s="68" t="s">
        <v>96</v>
      </c>
      <c r="F145" s="91" t="s">
        <v>162</v>
      </c>
      <c r="G145" s="91" t="s">
        <v>162</v>
      </c>
      <c r="H145" s="91" t="s">
        <v>162</v>
      </c>
      <c r="I145" s="91" t="s">
        <v>162</v>
      </c>
      <c r="J145" s="70">
        <v>0.9</v>
      </c>
      <c r="K145" s="71">
        <v>0.89090909090909098</v>
      </c>
      <c r="L145" s="71">
        <v>0.93333333333333302</v>
      </c>
      <c r="M145" s="72">
        <v>0.90825688073394495</v>
      </c>
      <c r="N145" s="71">
        <v>0.924267100977199</v>
      </c>
      <c r="O145" s="73">
        <v>0.9</v>
      </c>
      <c r="P145" s="71">
        <v>0.94046706169396999</v>
      </c>
      <c r="Q145" s="71">
        <v>0.94696632547099802</v>
      </c>
      <c r="R145" s="71">
        <v>0.91608027104508705</v>
      </c>
      <c r="S145" s="71">
        <v>0.90091528240289398</v>
      </c>
      <c r="T145" s="73">
        <v>0.9</v>
      </c>
      <c r="U145" s="71">
        <v>0.92812826768908996</v>
      </c>
      <c r="V145" s="71">
        <v>0.92367601246105902</v>
      </c>
      <c r="W145" s="71">
        <v>0.884414907479802</v>
      </c>
      <c r="X145" s="71">
        <v>0.88593317587946296</v>
      </c>
      <c r="Y145" s="73">
        <v>0.92</v>
      </c>
      <c r="Z145" s="73">
        <v>0.92843326885880095</v>
      </c>
      <c r="AA145" s="73">
        <v>0.95810129939008204</v>
      </c>
      <c r="AB145" s="73">
        <v>0.91760904684975797</v>
      </c>
      <c r="AC145" s="73">
        <v>0.94160840142644497</v>
      </c>
      <c r="AD145" s="73">
        <v>0.92</v>
      </c>
      <c r="AE145" s="71">
        <v>0.99895963577707603</v>
      </c>
      <c r="AF145" s="71">
        <v>0.99778430221178305</v>
      </c>
      <c r="AG145" s="71">
        <v>0.99843136450782799</v>
      </c>
      <c r="AH145" s="71">
        <v>0.98453535935006797</v>
      </c>
      <c r="AI145" s="73">
        <v>0.92</v>
      </c>
      <c r="AJ145" s="71">
        <v>0.95539542902612595</v>
      </c>
      <c r="AK145" s="71">
        <v>0.97415691273612204</v>
      </c>
      <c r="AL145" s="71">
        <v>0.94930208058993903</v>
      </c>
      <c r="AM145" s="71">
        <v>0.96289404992972405</v>
      </c>
      <c r="AN145" s="70">
        <v>0.99</v>
      </c>
      <c r="AO145" s="75">
        <v>1</v>
      </c>
      <c r="AP145" s="75">
        <v>1</v>
      </c>
      <c r="AQ145" s="75">
        <v>1</v>
      </c>
      <c r="AR145" s="75">
        <v>1</v>
      </c>
      <c r="AS145" s="77">
        <v>0.10526149898194399</v>
      </c>
      <c r="AT145" s="79">
        <v>0.05</v>
      </c>
      <c r="AU145" s="79">
        <v>9.5238095238095205E-2</v>
      </c>
      <c r="AV145" s="79">
        <v>0.15384615384615399</v>
      </c>
      <c r="AW145" s="79">
        <v>7.6666666666666702E-2</v>
      </c>
      <c r="AX145" s="56"/>
      <c r="AY145" s="54"/>
    </row>
    <row r="146" spans="1:51">
      <c r="A146" s="53"/>
      <c r="B146" s="56"/>
      <c r="C146" s="90" t="s">
        <v>95</v>
      </c>
      <c r="D146" s="230" t="s">
        <v>1757</v>
      </c>
      <c r="E146" s="68" t="s">
        <v>96</v>
      </c>
      <c r="F146" s="91" t="s">
        <v>163</v>
      </c>
      <c r="G146" s="91" t="s">
        <v>163</v>
      </c>
      <c r="H146" s="91" t="s">
        <v>163</v>
      </c>
      <c r="I146" s="91" t="s">
        <v>163</v>
      </c>
      <c r="J146" s="70">
        <v>0.9</v>
      </c>
      <c r="K146" s="71">
        <v>0.90350877192982504</v>
      </c>
      <c r="L146" s="71">
        <v>0.95744680851063801</v>
      </c>
      <c r="M146" s="72">
        <v>0.91836734693877597</v>
      </c>
      <c r="N146" s="71">
        <v>0.93551160791057597</v>
      </c>
      <c r="O146" s="73">
        <v>0.9</v>
      </c>
      <c r="P146" s="71">
        <v>0.97485840585716299</v>
      </c>
      <c r="Q146" s="71">
        <v>0.98231132075471705</v>
      </c>
      <c r="R146" s="71">
        <v>0.97910946639608498</v>
      </c>
      <c r="S146" s="71">
        <v>0.97587398254962798</v>
      </c>
      <c r="T146" s="73">
        <v>0.9</v>
      </c>
      <c r="U146" s="71">
        <v>0.92830501450476599</v>
      </c>
      <c r="V146" s="71">
        <v>0.92570754716981096</v>
      </c>
      <c r="W146" s="71">
        <v>0.93673152679956995</v>
      </c>
      <c r="X146" s="71">
        <v>0.93858406043216003</v>
      </c>
      <c r="Y146" s="73">
        <v>0.92</v>
      </c>
      <c r="Z146" s="73">
        <v>0.94083786376718903</v>
      </c>
      <c r="AA146" s="73">
        <v>0.92060660124888505</v>
      </c>
      <c r="AB146" s="73">
        <v>0.94257777777777796</v>
      </c>
      <c r="AC146" s="73">
        <v>0.94808551992225498</v>
      </c>
      <c r="AD146" s="73">
        <v>0.92</v>
      </c>
      <c r="AE146" s="71">
        <v>0.89265441937197698</v>
      </c>
      <c r="AF146" s="71">
        <v>0.96493231120534995</v>
      </c>
      <c r="AG146" s="71">
        <v>0.99442216383165105</v>
      </c>
      <c r="AH146" s="71">
        <v>0.97583436964339698</v>
      </c>
      <c r="AI146" s="73">
        <v>0.92</v>
      </c>
      <c r="AJ146" s="71">
        <v>0.95768803260466795</v>
      </c>
      <c r="AK146" s="71">
        <v>0.964772349617813</v>
      </c>
      <c r="AL146" s="71">
        <v>0.96872545519457298</v>
      </c>
      <c r="AM146" s="71">
        <v>0.97175132986496804</v>
      </c>
      <c r="AN146" s="70">
        <v>0.99</v>
      </c>
      <c r="AO146" s="75">
        <v>1</v>
      </c>
      <c r="AP146" s="75">
        <v>1</v>
      </c>
      <c r="AQ146" s="75">
        <v>1</v>
      </c>
      <c r="AR146" s="75">
        <v>1</v>
      </c>
      <c r="AS146" s="77">
        <v>0.10526149898194399</v>
      </c>
      <c r="AT146" s="79">
        <v>0.5</v>
      </c>
      <c r="AU146" s="79">
        <v>0.25</v>
      </c>
      <c r="AV146" s="79">
        <v>0.46153846153846201</v>
      </c>
      <c r="AW146" s="79">
        <v>0.15151515151515199</v>
      </c>
      <c r="AX146" s="56"/>
      <c r="AY146" s="54"/>
    </row>
    <row r="147" spans="1:51">
      <c r="A147" s="53"/>
      <c r="B147" s="56"/>
      <c r="C147" s="90" t="s">
        <v>95</v>
      </c>
      <c r="D147" s="230" t="s">
        <v>1757</v>
      </c>
      <c r="E147" s="68" t="s">
        <v>96</v>
      </c>
      <c r="F147" s="91" t="s">
        <v>164</v>
      </c>
      <c r="G147" s="91" t="s">
        <v>164</v>
      </c>
      <c r="H147" s="91" t="s">
        <v>164</v>
      </c>
      <c r="I147" s="91" t="s">
        <v>164</v>
      </c>
      <c r="J147" s="70">
        <v>0.9</v>
      </c>
      <c r="K147" s="71">
        <v>0.96511627906976705</v>
      </c>
      <c r="L147" s="71">
        <v>0.98795180722891596</v>
      </c>
      <c r="M147" s="72">
        <v>0.987341772151899</v>
      </c>
      <c r="N147" s="71">
        <v>0.95918367346938804</v>
      </c>
      <c r="O147" s="73">
        <v>0.9</v>
      </c>
      <c r="P147" s="71">
        <v>0.977099236641221</v>
      </c>
      <c r="Q147" s="71">
        <v>0.98402681916781698</v>
      </c>
      <c r="R147" s="71">
        <v>0.97274536824376101</v>
      </c>
      <c r="S147" s="71">
        <v>0.98167474604007798</v>
      </c>
      <c r="T147" s="73">
        <v>0.9</v>
      </c>
      <c r="U147" s="71">
        <v>0.93613852169056</v>
      </c>
      <c r="V147" s="71">
        <v>0.95089725892328902</v>
      </c>
      <c r="W147" s="71">
        <v>0.95130914101975195</v>
      </c>
      <c r="X147" s="71">
        <v>0.94917713897551503</v>
      </c>
      <c r="Y147" s="73">
        <v>0.92</v>
      </c>
      <c r="Z147" s="73">
        <v>0.93061138142585198</v>
      </c>
      <c r="AA147" s="73">
        <v>0.94305239179954403</v>
      </c>
      <c r="AB147" s="73">
        <v>0.94238584747788701</v>
      </c>
      <c r="AC147" s="73">
        <v>0.94852659288982</v>
      </c>
      <c r="AD147" s="73">
        <v>0.92</v>
      </c>
      <c r="AE147" s="71">
        <v>0.99605931763973898</v>
      </c>
      <c r="AF147" s="71">
        <v>0.993602971522905</v>
      </c>
      <c r="AG147" s="71">
        <v>0.56623711340206195</v>
      </c>
      <c r="AH147" s="71">
        <v>0.93755734195465101</v>
      </c>
      <c r="AI147" s="73">
        <v>0.92</v>
      </c>
      <c r="AJ147" s="71">
        <v>0.95475247524752505</v>
      </c>
      <c r="AK147" s="71">
        <v>0.97759226713532499</v>
      </c>
      <c r="AL147" s="71">
        <v>0.97070075580852899</v>
      </c>
      <c r="AM147" s="71">
        <v>0.97404834301989895</v>
      </c>
      <c r="AN147" s="70">
        <v>0.99</v>
      </c>
      <c r="AO147" s="75">
        <v>1</v>
      </c>
      <c r="AP147" s="75">
        <v>1</v>
      </c>
      <c r="AQ147" s="75">
        <v>1</v>
      </c>
      <c r="AR147" s="75">
        <v>1</v>
      </c>
      <c r="AS147" s="77">
        <v>0.10526149898194399</v>
      </c>
      <c r="AT147" s="79">
        <v>0.16666666666666699</v>
      </c>
      <c r="AU147" s="79">
        <v>0.16666666666666699</v>
      </c>
      <c r="AV147" s="79">
        <v>5.8823529411764698E-2</v>
      </c>
      <c r="AW147" s="79">
        <v>0.13970588235294101</v>
      </c>
      <c r="AX147" s="56"/>
      <c r="AY147" s="54"/>
    </row>
    <row r="148" spans="1:51">
      <c r="A148" s="53"/>
      <c r="B148" s="56"/>
      <c r="C148" s="90" t="s">
        <v>95</v>
      </c>
      <c r="D148" s="230" t="s">
        <v>1757</v>
      </c>
      <c r="E148" s="68" t="s">
        <v>96</v>
      </c>
      <c r="F148" s="91" t="s">
        <v>165</v>
      </c>
      <c r="G148" s="91" t="s">
        <v>165</v>
      </c>
      <c r="H148" s="91" t="s">
        <v>165</v>
      </c>
      <c r="I148" s="91" t="s">
        <v>165</v>
      </c>
      <c r="J148" s="70">
        <v>0.9</v>
      </c>
      <c r="K148" s="71">
        <v>1</v>
      </c>
      <c r="L148" s="71">
        <v>1</v>
      </c>
      <c r="M148" s="72">
        <v>1</v>
      </c>
      <c r="N148" s="71">
        <v>0.99571734475374696</v>
      </c>
      <c r="O148" s="73">
        <v>0.9</v>
      </c>
      <c r="P148" s="71">
        <v>0.92716199756394602</v>
      </c>
      <c r="Q148" s="71">
        <v>0.93967644639429704</v>
      </c>
      <c r="R148" s="71">
        <v>0.90763573437162004</v>
      </c>
      <c r="S148" s="71">
        <v>0.94284591357590597</v>
      </c>
      <c r="T148" s="73">
        <v>0.9</v>
      </c>
      <c r="U148" s="71">
        <v>0.91425091352009702</v>
      </c>
      <c r="V148" s="71">
        <v>0.88401425829448899</v>
      </c>
      <c r="W148" s="71">
        <v>0.90958252217174995</v>
      </c>
      <c r="X148" s="71">
        <v>0.91916099538712903</v>
      </c>
      <c r="Y148" s="73">
        <v>0.92</v>
      </c>
      <c r="Z148" s="73">
        <v>0.95663514835343999</v>
      </c>
      <c r="AA148" s="73">
        <v>0.95954692556634302</v>
      </c>
      <c r="AB148" s="73">
        <v>0.93071672354948798</v>
      </c>
      <c r="AC148" s="73">
        <v>0.95412158314350803</v>
      </c>
      <c r="AD148" s="73">
        <v>0.92</v>
      </c>
      <c r="AE148" s="71">
        <v>0.99273953066251797</v>
      </c>
      <c r="AF148" s="71">
        <v>0.93039932508436396</v>
      </c>
      <c r="AG148" s="71">
        <v>0.98429693076374003</v>
      </c>
      <c r="AH148" s="71">
        <v>0.964498848994643</v>
      </c>
      <c r="AI148" s="73">
        <v>0.92</v>
      </c>
      <c r="AJ148" s="71">
        <v>0.96989127404516295</v>
      </c>
      <c r="AK148" s="71">
        <v>0.97849682572189201</v>
      </c>
      <c r="AL148" s="71">
        <v>0.96412496690495098</v>
      </c>
      <c r="AM148" s="71">
        <v>0.97585223556497402</v>
      </c>
      <c r="AN148" s="70">
        <v>0.99</v>
      </c>
      <c r="AO148" s="75">
        <v>1</v>
      </c>
      <c r="AP148" s="75">
        <v>1</v>
      </c>
      <c r="AQ148" s="75">
        <v>1</v>
      </c>
      <c r="AR148" s="75">
        <v>1</v>
      </c>
      <c r="AS148" s="77">
        <v>0.10526149898194399</v>
      </c>
      <c r="AT148" s="79">
        <v>7.1428571428571397E-2</v>
      </c>
      <c r="AU148" s="79">
        <v>0</v>
      </c>
      <c r="AV148" s="79">
        <v>0</v>
      </c>
      <c r="AW148" s="79">
        <v>0.104477611940299</v>
      </c>
      <c r="AX148" s="56"/>
      <c r="AY148" s="54"/>
    </row>
    <row r="149" spans="1:51">
      <c r="A149" s="53"/>
      <c r="B149" s="56"/>
      <c r="C149" s="90" t="s">
        <v>95</v>
      </c>
      <c r="D149" s="230" t="s">
        <v>1757</v>
      </c>
      <c r="E149" s="68" t="s">
        <v>96</v>
      </c>
      <c r="F149" s="91" t="s">
        <v>166</v>
      </c>
      <c r="G149" s="91" t="s">
        <v>166</v>
      </c>
      <c r="H149" s="91" t="s">
        <v>166</v>
      </c>
      <c r="I149" s="91" t="s">
        <v>166</v>
      </c>
      <c r="J149" s="70">
        <v>0.9</v>
      </c>
      <c r="K149" s="71">
        <v>0.96296296296296302</v>
      </c>
      <c r="L149" s="71">
        <v>0.94871794871794901</v>
      </c>
      <c r="M149" s="72">
        <v>0.97499999999999998</v>
      </c>
      <c r="N149" s="71">
        <v>0.975169300225734</v>
      </c>
      <c r="O149" s="73">
        <v>0.9</v>
      </c>
      <c r="P149" s="71">
        <v>0.952557755775578</v>
      </c>
      <c r="Q149" s="71">
        <v>0.950472416946053</v>
      </c>
      <c r="R149" s="71">
        <v>0.91893883566691204</v>
      </c>
      <c r="S149" s="71">
        <v>0.91896066247668395</v>
      </c>
      <c r="T149" s="73">
        <v>0.9</v>
      </c>
      <c r="U149" s="71">
        <v>0.91034103410341005</v>
      </c>
      <c r="V149" s="71">
        <v>0.90765010667479396</v>
      </c>
      <c r="W149" s="71">
        <v>0.88921640874478003</v>
      </c>
      <c r="X149" s="71">
        <v>0.89094559754779101</v>
      </c>
      <c r="Y149" s="73">
        <v>0.92</v>
      </c>
      <c r="Z149" s="73">
        <v>0.92032762472077401</v>
      </c>
      <c r="AA149" s="73">
        <v>0.93105022831050199</v>
      </c>
      <c r="AB149" s="73">
        <v>0.86033643204957899</v>
      </c>
      <c r="AC149" s="73">
        <v>0.91043319890724606</v>
      </c>
      <c r="AD149" s="73">
        <v>0.92</v>
      </c>
      <c r="AE149" s="71">
        <v>0.99625157828282795</v>
      </c>
      <c r="AF149" s="71">
        <v>0.98971078198056905</v>
      </c>
      <c r="AG149" s="71">
        <v>0.98501290725130597</v>
      </c>
      <c r="AH149" s="71">
        <v>0.98950317661840803</v>
      </c>
      <c r="AI149" s="73">
        <v>0.92</v>
      </c>
      <c r="AJ149" s="71">
        <v>0.95215500197706604</v>
      </c>
      <c r="AK149" s="71">
        <v>0.96973503883051604</v>
      </c>
      <c r="AL149" s="71">
        <v>0.92014848748124201</v>
      </c>
      <c r="AM149" s="71">
        <v>0.95017495932962903</v>
      </c>
      <c r="AN149" s="70">
        <v>0.99</v>
      </c>
      <c r="AO149" s="75">
        <v>1</v>
      </c>
      <c r="AP149" s="75">
        <v>1</v>
      </c>
      <c r="AQ149" s="75">
        <v>1</v>
      </c>
      <c r="AR149" s="75">
        <v>1</v>
      </c>
      <c r="AS149" s="77">
        <v>0.10526149898194399</v>
      </c>
      <c r="AT149" s="79">
        <v>0</v>
      </c>
      <c r="AU149" s="79">
        <v>0.375</v>
      </c>
      <c r="AV149" s="79">
        <v>0.2</v>
      </c>
      <c r="AW149" s="79">
        <v>9.8039215686274495E-2</v>
      </c>
      <c r="AX149" s="56"/>
      <c r="AY149" s="54"/>
    </row>
    <row r="150" spans="1:51">
      <c r="A150" s="53"/>
      <c r="B150" s="56"/>
      <c r="C150" s="90" t="s">
        <v>95</v>
      </c>
      <c r="D150" s="230" t="s">
        <v>1757</v>
      </c>
      <c r="E150" s="68" t="s">
        <v>96</v>
      </c>
      <c r="F150" s="91" t="s">
        <v>167</v>
      </c>
      <c r="G150" s="91" t="s">
        <v>167</v>
      </c>
      <c r="H150" s="91" t="s">
        <v>167</v>
      </c>
      <c r="I150" s="91" t="s">
        <v>167</v>
      </c>
      <c r="J150" s="70">
        <v>0.9</v>
      </c>
      <c r="K150" s="71">
        <v>1</v>
      </c>
      <c r="L150" s="71">
        <v>1</v>
      </c>
      <c r="M150" s="72">
        <v>1</v>
      </c>
      <c r="N150" s="71">
        <v>0.69026548672566401</v>
      </c>
      <c r="O150" s="73">
        <v>0.9</v>
      </c>
      <c r="P150" s="71">
        <v>0.89381767376877397</v>
      </c>
      <c r="Q150" s="71">
        <v>0.84940411700975105</v>
      </c>
      <c r="R150" s="71">
        <v>0.90621978730260999</v>
      </c>
      <c r="S150" s="71">
        <v>0.81553640564506102</v>
      </c>
      <c r="T150" s="73">
        <v>0.9</v>
      </c>
      <c r="U150" s="71">
        <v>0.86657352427523604</v>
      </c>
      <c r="V150" s="71">
        <v>0.86240520043336899</v>
      </c>
      <c r="W150" s="71">
        <v>0.76990009668063197</v>
      </c>
      <c r="X150" s="71">
        <v>0.78490695641313801</v>
      </c>
      <c r="Y150" s="73">
        <v>0.92</v>
      </c>
      <c r="Z150" s="73">
        <v>0.92525773195876304</v>
      </c>
      <c r="AA150" s="73">
        <v>0.91687041564792204</v>
      </c>
      <c r="AB150" s="73">
        <v>0.92656716417910401</v>
      </c>
      <c r="AC150" s="73">
        <v>0.93563363328939098</v>
      </c>
      <c r="AD150" s="73">
        <v>0.92</v>
      </c>
      <c r="AE150" s="71">
        <v>0.97539030548739303</v>
      </c>
      <c r="AF150" s="71">
        <v>0.96794047758170698</v>
      </c>
      <c r="AG150" s="71">
        <v>0.98881543386969395</v>
      </c>
      <c r="AH150" s="71">
        <v>0.98006902445866695</v>
      </c>
      <c r="AI150" s="73">
        <v>0.92</v>
      </c>
      <c r="AJ150" s="71">
        <v>0.93970333269119599</v>
      </c>
      <c r="AK150" s="71">
        <v>0.94899665551839496</v>
      </c>
      <c r="AL150" s="71">
        <v>0.94453746337379696</v>
      </c>
      <c r="AM150" s="71">
        <v>0.951658212243083</v>
      </c>
      <c r="AN150" s="70">
        <v>0.99</v>
      </c>
      <c r="AO150" s="75">
        <v>1</v>
      </c>
      <c r="AP150" s="75">
        <v>1</v>
      </c>
      <c r="AQ150" s="75">
        <v>1</v>
      </c>
      <c r="AR150" s="75">
        <v>1</v>
      </c>
      <c r="AS150" s="77">
        <v>0.10526149898194399</v>
      </c>
      <c r="AT150" s="79">
        <v>6.6666666666666693E-2</v>
      </c>
      <c r="AU150" s="79">
        <v>0.30769230769230799</v>
      </c>
      <c r="AV150" s="79">
        <v>0.18181818181818199</v>
      </c>
      <c r="AW150" s="79">
        <v>0.128205128205128</v>
      </c>
      <c r="AX150" s="56"/>
      <c r="AY150" s="54"/>
    </row>
    <row r="151" spans="1:51">
      <c r="A151" s="53"/>
      <c r="B151" s="56"/>
      <c r="C151" s="90" t="s">
        <v>95</v>
      </c>
      <c r="D151" s="230" t="s">
        <v>1757</v>
      </c>
      <c r="E151" s="68" t="s">
        <v>96</v>
      </c>
      <c r="F151" s="91" t="s">
        <v>168</v>
      </c>
      <c r="G151" s="91" t="s">
        <v>168</v>
      </c>
      <c r="H151" s="91" t="s">
        <v>168</v>
      </c>
      <c r="I151" s="91" t="s">
        <v>168</v>
      </c>
      <c r="J151" s="70">
        <v>0.9</v>
      </c>
      <c r="K151" s="71">
        <v>1</v>
      </c>
      <c r="L151" s="71">
        <v>0.98412698412698396</v>
      </c>
      <c r="M151" s="72">
        <v>1</v>
      </c>
      <c r="N151" s="71">
        <v>0.99718309859154897</v>
      </c>
      <c r="O151" s="73">
        <v>0.9</v>
      </c>
      <c r="P151" s="71">
        <v>0.97467972871137898</v>
      </c>
      <c r="Q151" s="71">
        <v>0.92500700869077701</v>
      </c>
      <c r="R151" s="71">
        <v>0.96546699694011395</v>
      </c>
      <c r="S151" s="71">
        <v>0.96818893350575097</v>
      </c>
      <c r="T151" s="73">
        <v>0.9</v>
      </c>
      <c r="U151" s="71">
        <v>0.94197437829691</v>
      </c>
      <c r="V151" s="71">
        <v>0.92963274460330803</v>
      </c>
      <c r="W151" s="71">
        <v>0.94273641264753005</v>
      </c>
      <c r="X151" s="71">
        <v>0.93345130334172699</v>
      </c>
      <c r="Y151" s="73">
        <v>0.92</v>
      </c>
      <c r="Z151" s="73">
        <v>0.93956043956044</v>
      </c>
      <c r="AA151" s="73">
        <v>0.92679493195682805</v>
      </c>
      <c r="AB151" s="73">
        <v>0.95914987579354105</v>
      </c>
      <c r="AC151" s="73">
        <v>0.92974452554744502</v>
      </c>
      <c r="AD151" s="73">
        <v>0.92</v>
      </c>
      <c r="AE151" s="71">
        <v>0.99412779971035803</v>
      </c>
      <c r="AF151" s="71">
        <v>0.96596889598486202</v>
      </c>
      <c r="AG151" s="71">
        <v>0.996574029095186</v>
      </c>
      <c r="AH151" s="71">
        <v>0.987851544595856</v>
      </c>
      <c r="AI151" s="73">
        <v>0.92</v>
      </c>
      <c r="AJ151" s="71">
        <v>0.96528850522489795</v>
      </c>
      <c r="AK151" s="71">
        <v>0.96568468760116499</v>
      </c>
      <c r="AL151" s="71">
        <v>0.97635843660629196</v>
      </c>
      <c r="AM151" s="71">
        <v>0.963084158106018</v>
      </c>
      <c r="AN151" s="70">
        <v>0.99</v>
      </c>
      <c r="AO151" s="75">
        <v>1</v>
      </c>
      <c r="AP151" s="75">
        <v>1</v>
      </c>
      <c r="AQ151" s="75">
        <v>1</v>
      </c>
      <c r="AR151" s="75">
        <v>1</v>
      </c>
      <c r="AS151" s="77">
        <v>0.10526149898194399</v>
      </c>
      <c r="AT151" s="79">
        <v>3.125E-2</v>
      </c>
      <c r="AU151" s="79">
        <v>3.8461538461538498E-2</v>
      </c>
      <c r="AV151" s="79">
        <v>6.8965517241379296E-2</v>
      </c>
      <c r="AW151" s="79">
        <v>5.1724137931034503E-2</v>
      </c>
      <c r="AX151" s="56"/>
      <c r="AY151" s="54"/>
    </row>
    <row r="152" spans="1:51">
      <c r="A152" s="53"/>
      <c r="B152" s="56"/>
      <c r="C152" s="90" t="s">
        <v>95</v>
      </c>
      <c r="D152" s="230" t="s">
        <v>1757</v>
      </c>
      <c r="E152" s="68" t="s">
        <v>96</v>
      </c>
      <c r="F152" s="91" t="s">
        <v>169</v>
      </c>
      <c r="G152" s="91" t="s">
        <v>169</v>
      </c>
      <c r="H152" s="91" t="s">
        <v>169</v>
      </c>
      <c r="I152" s="91" t="s">
        <v>169</v>
      </c>
      <c r="J152" s="70">
        <v>0.9</v>
      </c>
      <c r="K152" s="71" t="s">
        <v>1710</v>
      </c>
      <c r="L152" s="71" t="s">
        <v>1710</v>
      </c>
      <c r="M152" s="72" t="s">
        <v>1710</v>
      </c>
      <c r="N152" s="71" t="s">
        <v>1710</v>
      </c>
      <c r="O152" s="73">
        <v>0.9</v>
      </c>
      <c r="P152" s="71" t="s">
        <v>1710</v>
      </c>
      <c r="Q152" s="71" t="s">
        <v>1710</v>
      </c>
      <c r="R152" s="71" t="s">
        <v>1710</v>
      </c>
      <c r="S152" s="71" t="s">
        <v>1710</v>
      </c>
      <c r="T152" s="73">
        <v>0.9</v>
      </c>
      <c r="U152" s="71" t="s">
        <v>1710</v>
      </c>
      <c r="V152" s="71" t="s">
        <v>1710</v>
      </c>
      <c r="W152" s="71" t="s">
        <v>1710</v>
      </c>
      <c r="X152" s="71" t="s">
        <v>1710</v>
      </c>
      <c r="Y152" s="73">
        <v>0.92</v>
      </c>
      <c r="Z152" s="73" t="s">
        <v>1710</v>
      </c>
      <c r="AA152" s="73" t="s">
        <v>1710</v>
      </c>
      <c r="AB152" s="73" t="s">
        <v>1710</v>
      </c>
      <c r="AC152" s="73" t="s">
        <v>1710</v>
      </c>
      <c r="AD152" s="73">
        <v>0.92</v>
      </c>
      <c r="AE152" s="71" t="s">
        <v>1710</v>
      </c>
      <c r="AF152" s="71" t="s">
        <v>1710</v>
      </c>
      <c r="AG152" s="71" t="s">
        <v>1710</v>
      </c>
      <c r="AH152" s="71" t="s">
        <v>1710</v>
      </c>
      <c r="AI152" s="73">
        <v>0.92</v>
      </c>
      <c r="AJ152" s="71" t="s">
        <v>1710</v>
      </c>
      <c r="AK152" s="71" t="s">
        <v>1710</v>
      </c>
      <c r="AL152" s="71" t="s">
        <v>1710</v>
      </c>
      <c r="AM152" s="71" t="s">
        <v>1710</v>
      </c>
      <c r="AN152" s="70">
        <v>0.99</v>
      </c>
      <c r="AO152" s="75" t="s">
        <v>1710</v>
      </c>
      <c r="AP152" s="75" t="s">
        <v>1710</v>
      </c>
      <c r="AQ152" s="75" t="s">
        <v>1710</v>
      </c>
      <c r="AR152" s="75" t="s">
        <v>1710</v>
      </c>
      <c r="AS152" s="77">
        <v>0.10526149898194399</v>
      </c>
      <c r="AT152" s="79" t="s">
        <v>1710</v>
      </c>
      <c r="AU152" s="79" t="s">
        <v>1710</v>
      </c>
      <c r="AV152" s="79" t="s">
        <v>1710</v>
      </c>
      <c r="AW152" s="79" t="s">
        <v>1710</v>
      </c>
      <c r="AX152" s="56"/>
      <c r="AY152" s="54"/>
    </row>
    <row r="153" spans="1:51">
      <c r="A153" s="53"/>
      <c r="B153" s="56"/>
      <c r="C153" s="90" t="s">
        <v>95</v>
      </c>
      <c r="D153" s="230" t="s">
        <v>1757</v>
      </c>
      <c r="E153" s="68" t="s">
        <v>96</v>
      </c>
      <c r="F153" s="91" t="s">
        <v>170</v>
      </c>
      <c r="G153" s="91" t="s">
        <v>170</v>
      </c>
      <c r="H153" s="91" t="s">
        <v>170</v>
      </c>
      <c r="I153" s="91" t="s">
        <v>170</v>
      </c>
      <c r="J153" s="70">
        <v>0.9</v>
      </c>
      <c r="K153" s="71">
        <v>0.98809523809523803</v>
      </c>
      <c r="L153" s="71">
        <v>0.97260273972602695</v>
      </c>
      <c r="M153" s="72">
        <v>0.97560975609756095</v>
      </c>
      <c r="N153" s="71">
        <v>0.96048298572996704</v>
      </c>
      <c r="O153" s="73">
        <v>0.9</v>
      </c>
      <c r="P153" s="71">
        <v>0.94856111501052798</v>
      </c>
      <c r="Q153" s="71">
        <v>0.92812777284826997</v>
      </c>
      <c r="R153" s="71">
        <v>0.91592454275591295</v>
      </c>
      <c r="S153" s="71">
        <v>0.938832252085264</v>
      </c>
      <c r="T153" s="73">
        <v>0.9</v>
      </c>
      <c r="U153" s="71">
        <v>0.93853404191316603</v>
      </c>
      <c r="V153" s="71">
        <v>0.93400621118012395</v>
      </c>
      <c r="W153" s="71">
        <v>0.91008330939385196</v>
      </c>
      <c r="X153" s="71">
        <v>0.93155037733350998</v>
      </c>
      <c r="Y153" s="73">
        <v>0.92</v>
      </c>
      <c r="Z153" s="73">
        <v>0.95668374476012996</v>
      </c>
      <c r="AA153" s="73">
        <v>0.96566196108355595</v>
      </c>
      <c r="AB153" s="73">
        <v>0.96399655469422896</v>
      </c>
      <c r="AC153" s="73">
        <v>0.96643522682303895</v>
      </c>
      <c r="AD153" s="73">
        <v>0.92</v>
      </c>
      <c r="AE153" s="71">
        <v>0.99257674886764002</v>
      </c>
      <c r="AF153" s="71">
        <v>0.98996684163516002</v>
      </c>
      <c r="AG153" s="71">
        <v>0.967650916370414</v>
      </c>
      <c r="AH153" s="71">
        <v>0.98716674232689805</v>
      </c>
      <c r="AI153" s="73">
        <v>0.92</v>
      </c>
      <c r="AJ153" s="71">
        <v>0.97259606601303195</v>
      </c>
      <c r="AK153" s="71">
        <v>0.97956028856063204</v>
      </c>
      <c r="AL153" s="71">
        <v>0.97889880036911703</v>
      </c>
      <c r="AM153" s="71">
        <v>0.98017299065652197</v>
      </c>
      <c r="AN153" s="70">
        <v>0.99</v>
      </c>
      <c r="AO153" s="75">
        <v>1</v>
      </c>
      <c r="AP153" s="75">
        <v>1</v>
      </c>
      <c r="AQ153" s="75">
        <v>1</v>
      </c>
      <c r="AR153" s="75">
        <v>1</v>
      </c>
      <c r="AS153" s="77">
        <v>0.10526149898194399</v>
      </c>
      <c r="AT153" s="79">
        <v>4.3478260869565202E-2</v>
      </c>
      <c r="AU153" s="79">
        <v>0</v>
      </c>
      <c r="AV153" s="79">
        <v>0.1</v>
      </c>
      <c r="AW153" s="79">
        <v>5.0420168067226899E-2</v>
      </c>
      <c r="AX153" s="56"/>
      <c r="AY153" s="54"/>
    </row>
    <row r="154" spans="1:51">
      <c r="A154" s="53"/>
      <c r="B154" s="56"/>
      <c r="C154" s="90" t="s">
        <v>95</v>
      </c>
      <c r="D154" s="230" t="s">
        <v>1757</v>
      </c>
      <c r="E154" s="68" t="s">
        <v>96</v>
      </c>
      <c r="F154" s="91" t="s">
        <v>171</v>
      </c>
      <c r="G154" s="91" t="s">
        <v>171</v>
      </c>
      <c r="H154" s="91" t="s">
        <v>171</v>
      </c>
      <c r="I154" s="91" t="s">
        <v>171</v>
      </c>
      <c r="J154" s="70">
        <v>0.9</v>
      </c>
      <c r="K154" s="71">
        <v>0.96747967479674801</v>
      </c>
      <c r="L154" s="71">
        <v>0.97413793103448298</v>
      </c>
      <c r="M154" s="72">
        <v>0.99173553719008301</v>
      </c>
      <c r="N154" s="71">
        <v>0.97293233082706798</v>
      </c>
      <c r="O154" s="73">
        <v>0.9</v>
      </c>
      <c r="P154" s="71">
        <v>0.89603815113719698</v>
      </c>
      <c r="Q154" s="71">
        <v>0.89752407152682301</v>
      </c>
      <c r="R154" s="71">
        <v>0.90835220460903199</v>
      </c>
      <c r="S154" s="71">
        <v>0.91131640630115096</v>
      </c>
      <c r="T154" s="73">
        <v>0.9</v>
      </c>
      <c r="U154" s="71">
        <v>0.95209097578870105</v>
      </c>
      <c r="V154" s="71">
        <v>0.94956441999082997</v>
      </c>
      <c r="W154" s="71">
        <v>0.92780071932862695</v>
      </c>
      <c r="X154" s="71">
        <v>0.940995456152527</v>
      </c>
      <c r="Y154" s="73">
        <v>0.92</v>
      </c>
      <c r="Z154" s="73">
        <v>0.939017567416359</v>
      </c>
      <c r="AA154" s="73">
        <v>0.92987641053197201</v>
      </c>
      <c r="AB154" s="73">
        <v>0.91015295676261598</v>
      </c>
      <c r="AC154" s="73">
        <v>0.94571966966397303</v>
      </c>
      <c r="AD154" s="73">
        <v>0.92</v>
      </c>
      <c r="AE154" s="71">
        <v>0.84331044912057596</v>
      </c>
      <c r="AF154" s="71">
        <v>0.96734853263644804</v>
      </c>
      <c r="AG154" s="71">
        <v>0.97270368088042602</v>
      </c>
      <c r="AH154" s="71">
        <v>0.93861479631075195</v>
      </c>
      <c r="AI154" s="73">
        <v>0.92</v>
      </c>
      <c r="AJ154" s="71">
        <v>0.96291537439078401</v>
      </c>
      <c r="AK154" s="71">
        <v>0.97353081132524399</v>
      </c>
      <c r="AL154" s="71">
        <v>0.95247694617199197</v>
      </c>
      <c r="AM154" s="71">
        <v>0.97182910259451805</v>
      </c>
      <c r="AN154" s="70">
        <v>0.99</v>
      </c>
      <c r="AO154" s="75">
        <v>1</v>
      </c>
      <c r="AP154" s="75">
        <v>1</v>
      </c>
      <c r="AQ154" s="75">
        <v>1</v>
      </c>
      <c r="AR154" s="75">
        <v>1</v>
      </c>
      <c r="AS154" s="77">
        <v>0.10526149898194399</v>
      </c>
      <c r="AT154" s="79">
        <v>3.77358490566038E-2</v>
      </c>
      <c r="AU154" s="79">
        <v>3.4883720930232599E-2</v>
      </c>
      <c r="AV154" s="79">
        <v>2.9411764705882401E-2</v>
      </c>
      <c r="AW154" s="79">
        <v>2.4118738404452701E-2</v>
      </c>
      <c r="AX154" s="56"/>
      <c r="AY154" s="54"/>
    </row>
    <row r="155" spans="1:51">
      <c r="A155" s="53"/>
      <c r="B155" s="56"/>
      <c r="C155" s="90" t="s">
        <v>95</v>
      </c>
      <c r="D155" s="230" t="s">
        <v>1757</v>
      </c>
      <c r="E155" s="68" t="s">
        <v>96</v>
      </c>
      <c r="F155" s="91" t="s">
        <v>172</v>
      </c>
      <c r="G155" s="91" t="s">
        <v>172</v>
      </c>
      <c r="H155" s="91" t="s">
        <v>172</v>
      </c>
      <c r="I155" s="91" t="s">
        <v>172</v>
      </c>
      <c r="J155" s="70">
        <v>0.9</v>
      </c>
      <c r="K155" s="71">
        <v>0.97101449275362295</v>
      </c>
      <c r="L155" s="71">
        <v>0.92537313432835799</v>
      </c>
      <c r="M155" s="72">
        <v>0.94029850746268695</v>
      </c>
      <c r="N155" s="71">
        <v>0.95244565217391297</v>
      </c>
      <c r="O155" s="73">
        <v>0.9</v>
      </c>
      <c r="P155" s="71">
        <v>0.90935059988573597</v>
      </c>
      <c r="Q155" s="71">
        <v>0.91848058045241099</v>
      </c>
      <c r="R155" s="71">
        <v>0.88712035082020502</v>
      </c>
      <c r="S155" s="71">
        <v>0.88270967946784396</v>
      </c>
      <c r="T155" s="73">
        <v>0.9</v>
      </c>
      <c r="U155" s="71">
        <v>0.88554561035993096</v>
      </c>
      <c r="V155" s="71">
        <v>0.89863422962014505</v>
      </c>
      <c r="W155" s="71">
        <v>0.87022900763358801</v>
      </c>
      <c r="X155" s="71">
        <v>0.85975329025702896</v>
      </c>
      <c r="Y155" s="73">
        <v>0.92</v>
      </c>
      <c r="Z155" s="73">
        <v>0.96210241371531702</v>
      </c>
      <c r="AA155" s="73">
        <v>0.94555873925501399</v>
      </c>
      <c r="AB155" s="73">
        <v>0.91542416452442199</v>
      </c>
      <c r="AC155" s="73">
        <v>0.933930300096805</v>
      </c>
      <c r="AD155" s="73">
        <v>0.92</v>
      </c>
      <c r="AE155" s="71">
        <v>0.99787820920857195</v>
      </c>
      <c r="AF155" s="71">
        <v>0.98565279770444802</v>
      </c>
      <c r="AG155" s="71">
        <v>0.99788583509513695</v>
      </c>
      <c r="AH155" s="71">
        <v>0.99184948719690302</v>
      </c>
      <c r="AI155" s="73">
        <v>0.92</v>
      </c>
      <c r="AJ155" s="71">
        <v>0.96108186228966697</v>
      </c>
      <c r="AK155" s="71">
        <v>0.96735582154515798</v>
      </c>
      <c r="AL155" s="71">
        <v>0.93332006369426801</v>
      </c>
      <c r="AM155" s="71">
        <v>0.95669401361358997</v>
      </c>
      <c r="AN155" s="70">
        <v>0.99</v>
      </c>
      <c r="AO155" s="75">
        <v>1</v>
      </c>
      <c r="AP155" s="75">
        <v>1</v>
      </c>
      <c r="AQ155" s="75">
        <v>1</v>
      </c>
      <c r="AR155" s="75">
        <v>1</v>
      </c>
      <c r="AS155" s="77">
        <v>0.10526149898194399</v>
      </c>
      <c r="AT155" s="79">
        <v>0.17647058823529399</v>
      </c>
      <c r="AU155" s="79">
        <v>0.19047619047618999</v>
      </c>
      <c r="AV155" s="79">
        <v>0.157894736842105</v>
      </c>
      <c r="AW155" s="79">
        <v>9.7560975609756101E-2</v>
      </c>
      <c r="AX155" s="56"/>
      <c r="AY155" s="54"/>
    </row>
    <row r="156" spans="1:51">
      <c r="A156" s="53"/>
      <c r="B156" s="56"/>
      <c r="C156" s="90" t="s">
        <v>95</v>
      </c>
      <c r="D156" s="230" t="s">
        <v>1757</v>
      </c>
      <c r="E156" s="68" t="s">
        <v>96</v>
      </c>
      <c r="F156" s="91" t="s">
        <v>173</v>
      </c>
      <c r="G156" s="91" t="s">
        <v>173</v>
      </c>
      <c r="H156" s="91" t="s">
        <v>173</v>
      </c>
      <c r="I156" s="91" t="s">
        <v>173</v>
      </c>
      <c r="J156" s="70">
        <v>0.9</v>
      </c>
      <c r="K156" s="71">
        <v>0.94827586206896597</v>
      </c>
      <c r="L156" s="71">
        <v>0.96078431372549</v>
      </c>
      <c r="M156" s="72">
        <v>0.98076923076923095</v>
      </c>
      <c r="N156" s="71">
        <v>0.96910569105691102</v>
      </c>
      <c r="O156" s="73">
        <v>0.9</v>
      </c>
      <c r="P156" s="71">
        <v>0.94257877280265301</v>
      </c>
      <c r="Q156" s="71">
        <v>0.89755058572949897</v>
      </c>
      <c r="R156" s="71">
        <v>0.90769493260535705</v>
      </c>
      <c r="S156" s="71">
        <v>0.93636093502377205</v>
      </c>
      <c r="T156" s="73">
        <v>0.9</v>
      </c>
      <c r="U156" s="71">
        <v>0.934494195688226</v>
      </c>
      <c r="V156" s="71">
        <v>0.89861554845580405</v>
      </c>
      <c r="W156" s="71">
        <v>0.92100324176761605</v>
      </c>
      <c r="X156" s="71">
        <v>0.93319136291600602</v>
      </c>
      <c r="Y156" s="73">
        <v>0.92</v>
      </c>
      <c r="Z156" s="73">
        <v>0.96474592754680299</v>
      </c>
      <c r="AA156" s="73">
        <v>0.95997239475500296</v>
      </c>
      <c r="AB156" s="73">
        <v>0.956662180349933</v>
      </c>
      <c r="AC156" s="73">
        <v>0.96801076808522801</v>
      </c>
      <c r="AD156" s="73">
        <v>0.92</v>
      </c>
      <c r="AE156" s="71">
        <v>0.975258659469186</v>
      </c>
      <c r="AF156" s="71">
        <v>0.99414146635650902</v>
      </c>
      <c r="AG156" s="71">
        <v>0.99795554623610805</v>
      </c>
      <c r="AH156" s="71">
        <v>0.98691689435791097</v>
      </c>
      <c r="AI156" s="73">
        <v>0.92</v>
      </c>
      <c r="AJ156" s="71">
        <v>0.97336913953228199</v>
      </c>
      <c r="AK156" s="71">
        <v>0.97381688079362505</v>
      </c>
      <c r="AL156" s="71">
        <v>0.97284878863826196</v>
      </c>
      <c r="AM156" s="71">
        <v>0.97962559678365002</v>
      </c>
      <c r="AN156" s="70">
        <v>0.99</v>
      </c>
      <c r="AO156" s="75">
        <v>1</v>
      </c>
      <c r="AP156" s="75">
        <v>1</v>
      </c>
      <c r="AQ156" s="75">
        <v>1</v>
      </c>
      <c r="AR156" s="75">
        <v>1</v>
      </c>
      <c r="AS156" s="77">
        <v>0.10526149898194399</v>
      </c>
      <c r="AT156" s="79">
        <v>5.5555555555555601E-2</v>
      </c>
      <c r="AU156" s="79">
        <v>0.11111111111111099</v>
      </c>
      <c r="AV156" s="79">
        <v>5.5555555555555601E-2</v>
      </c>
      <c r="AW156" s="79">
        <v>8.3769633507853394E-2</v>
      </c>
      <c r="AX156" s="56"/>
      <c r="AY156" s="54"/>
    </row>
    <row r="157" spans="1:51">
      <c r="A157" s="53"/>
      <c r="B157" s="56"/>
      <c r="C157" s="90" t="s">
        <v>95</v>
      </c>
      <c r="D157" s="230" t="s">
        <v>1757</v>
      </c>
      <c r="E157" s="68" t="s">
        <v>96</v>
      </c>
      <c r="F157" s="91" t="s">
        <v>174</v>
      </c>
      <c r="G157" s="91" t="s">
        <v>174</v>
      </c>
      <c r="H157" s="91" t="s">
        <v>174</v>
      </c>
      <c r="I157" s="91" t="s">
        <v>174</v>
      </c>
      <c r="J157" s="70">
        <v>0.9</v>
      </c>
      <c r="K157" s="71">
        <v>0.97222222222222199</v>
      </c>
      <c r="L157" s="71">
        <v>0.94339622641509402</v>
      </c>
      <c r="M157" s="72">
        <v>0.94285714285714295</v>
      </c>
      <c r="N157" s="71">
        <v>0.96327924850555102</v>
      </c>
      <c r="O157" s="73">
        <v>0.9</v>
      </c>
      <c r="P157" s="71">
        <v>0.96263600903305302</v>
      </c>
      <c r="Q157" s="71">
        <v>0.95114781634938395</v>
      </c>
      <c r="R157" s="71">
        <v>0.93314763231197795</v>
      </c>
      <c r="S157" s="71">
        <v>0.95766261147041198</v>
      </c>
      <c r="T157" s="73">
        <v>0.9</v>
      </c>
      <c r="U157" s="71">
        <v>0.88154383083555699</v>
      </c>
      <c r="V157" s="71">
        <v>0.85302351623740202</v>
      </c>
      <c r="W157" s="71">
        <v>0.87544767210505403</v>
      </c>
      <c r="X157" s="71">
        <v>0.88902817744095297</v>
      </c>
      <c r="Y157" s="73">
        <v>0.92</v>
      </c>
      <c r="Z157" s="73">
        <v>0.94933022714036097</v>
      </c>
      <c r="AA157" s="73">
        <v>0.94552770040235201</v>
      </c>
      <c r="AB157" s="73">
        <v>0.93454833597464304</v>
      </c>
      <c r="AC157" s="73">
        <v>0.94851342887668999</v>
      </c>
      <c r="AD157" s="73">
        <v>0.92</v>
      </c>
      <c r="AE157" s="71">
        <v>0.98862461220268905</v>
      </c>
      <c r="AF157" s="71">
        <v>0.96975425330812903</v>
      </c>
      <c r="AG157" s="71">
        <v>0.97101449275362295</v>
      </c>
      <c r="AH157" s="71">
        <v>0.97690841833875097</v>
      </c>
      <c r="AI157" s="73">
        <v>0.92</v>
      </c>
      <c r="AJ157" s="71">
        <v>0.95698833148794804</v>
      </c>
      <c r="AK157" s="71">
        <v>0.96781033153430995</v>
      </c>
      <c r="AL157" s="71">
        <v>0.96043035598238102</v>
      </c>
      <c r="AM157" s="71">
        <v>0.968070237444976</v>
      </c>
      <c r="AN157" s="70">
        <v>0.99</v>
      </c>
      <c r="AO157" s="75">
        <v>1</v>
      </c>
      <c r="AP157" s="75">
        <v>1</v>
      </c>
      <c r="AQ157" s="75">
        <v>1</v>
      </c>
      <c r="AR157" s="75">
        <v>1</v>
      </c>
      <c r="AS157" s="77">
        <v>0.10526149898194399</v>
      </c>
      <c r="AT157" s="79">
        <v>0.13043478260869601</v>
      </c>
      <c r="AU157" s="79">
        <v>0</v>
      </c>
      <c r="AV157" s="79">
        <v>0.05</v>
      </c>
      <c r="AW157" s="79">
        <v>0.112903225806452</v>
      </c>
      <c r="AX157" s="56"/>
      <c r="AY157" s="54"/>
    </row>
    <row r="158" spans="1:51">
      <c r="A158" s="53"/>
      <c r="B158" s="56"/>
      <c r="C158" s="90" t="s">
        <v>95</v>
      </c>
      <c r="D158" s="230" t="s">
        <v>1757</v>
      </c>
      <c r="E158" s="68" t="s">
        <v>96</v>
      </c>
      <c r="F158" s="91" t="s">
        <v>175</v>
      </c>
      <c r="G158" s="91" t="s">
        <v>175</v>
      </c>
      <c r="H158" s="91" t="s">
        <v>175</v>
      </c>
      <c r="I158" s="91" t="s">
        <v>175</v>
      </c>
      <c r="J158" s="70">
        <v>0.9</v>
      </c>
      <c r="K158" s="71">
        <v>0.97619047619047605</v>
      </c>
      <c r="L158" s="71">
        <v>0.96385542168674698</v>
      </c>
      <c r="M158" s="72">
        <v>0.974683544303797</v>
      </c>
      <c r="N158" s="71">
        <v>0.97465681098204904</v>
      </c>
      <c r="O158" s="73">
        <v>0.9</v>
      </c>
      <c r="P158" s="71">
        <v>0.98446808510638295</v>
      </c>
      <c r="Q158" s="71">
        <v>0.96743119266055</v>
      </c>
      <c r="R158" s="71">
        <v>0.88911704312115003</v>
      </c>
      <c r="S158" s="71">
        <v>0.93608155901430401</v>
      </c>
      <c r="T158" s="73">
        <v>0.9</v>
      </c>
      <c r="U158" s="71">
        <v>0.94659574468085095</v>
      </c>
      <c r="V158" s="71">
        <v>0.936238532110092</v>
      </c>
      <c r="W158" s="71">
        <v>0.93414491053094795</v>
      </c>
      <c r="X158" s="71">
        <v>0.94657712739300404</v>
      </c>
      <c r="Y158" s="73">
        <v>0.92</v>
      </c>
      <c r="Z158" s="73">
        <v>0.95548375516065298</v>
      </c>
      <c r="AA158" s="73">
        <v>0.95471841704718396</v>
      </c>
      <c r="AB158" s="73">
        <v>0.95199146514935995</v>
      </c>
      <c r="AC158" s="73">
        <v>0.96195525518527103</v>
      </c>
      <c r="AD158" s="73">
        <v>0.92</v>
      </c>
      <c r="AE158" s="71">
        <v>0.99289325225291203</v>
      </c>
      <c r="AF158" s="71">
        <v>0.972520064205457</v>
      </c>
      <c r="AG158" s="71">
        <v>0.669929245283019</v>
      </c>
      <c r="AH158" s="71">
        <v>0.82017874133875002</v>
      </c>
      <c r="AI158" s="73">
        <v>0.92</v>
      </c>
      <c r="AJ158" s="71">
        <v>0.96622213569551296</v>
      </c>
      <c r="AK158" s="71">
        <v>0.97252507631923202</v>
      </c>
      <c r="AL158" s="71">
        <v>0.96833815493410502</v>
      </c>
      <c r="AM158" s="71">
        <v>0.97629976349207703</v>
      </c>
      <c r="AN158" s="70">
        <v>0.99</v>
      </c>
      <c r="AO158" s="75">
        <v>1</v>
      </c>
      <c r="AP158" s="75">
        <v>1</v>
      </c>
      <c r="AQ158" s="75">
        <v>1</v>
      </c>
      <c r="AR158" s="75">
        <v>1</v>
      </c>
      <c r="AS158" s="77">
        <v>0.10526149898194399</v>
      </c>
      <c r="AT158" s="79">
        <v>0</v>
      </c>
      <c r="AU158" s="79">
        <v>0.42857142857142899</v>
      </c>
      <c r="AV158" s="79">
        <v>0.1</v>
      </c>
      <c r="AW158" s="79">
        <v>5.1948051948052E-2</v>
      </c>
      <c r="AX158" s="56"/>
      <c r="AY158" s="54"/>
    </row>
    <row r="159" spans="1:51">
      <c r="A159" s="53"/>
      <c r="B159" s="56"/>
      <c r="C159" s="90" t="s">
        <v>95</v>
      </c>
      <c r="D159" s="230" t="s">
        <v>1757</v>
      </c>
      <c r="E159" s="68" t="s">
        <v>96</v>
      </c>
      <c r="F159" s="91" t="s">
        <v>176</v>
      </c>
      <c r="G159" s="91" t="s">
        <v>176</v>
      </c>
      <c r="H159" s="91" t="s">
        <v>176</v>
      </c>
      <c r="I159" s="91" t="s">
        <v>176</v>
      </c>
      <c r="J159" s="70">
        <v>0.9</v>
      </c>
      <c r="K159" s="71">
        <v>1</v>
      </c>
      <c r="L159" s="71">
        <v>1</v>
      </c>
      <c r="M159" s="72">
        <v>0.97014925373134298</v>
      </c>
      <c r="N159" s="71">
        <v>0.972074468085106</v>
      </c>
      <c r="O159" s="73">
        <v>0.9</v>
      </c>
      <c r="P159" s="71">
        <v>0</v>
      </c>
      <c r="Q159" s="71">
        <v>0</v>
      </c>
      <c r="R159" s="71" t="s">
        <v>1710</v>
      </c>
      <c r="S159" s="71">
        <v>8.3333333333333301E-2</v>
      </c>
      <c r="T159" s="73">
        <v>0.9</v>
      </c>
      <c r="U159" s="71">
        <v>0</v>
      </c>
      <c r="V159" s="71">
        <v>0</v>
      </c>
      <c r="W159" s="71" t="s">
        <v>1710</v>
      </c>
      <c r="X159" s="71">
        <v>0.25</v>
      </c>
      <c r="Y159" s="73">
        <v>0.92</v>
      </c>
      <c r="Z159" s="73">
        <v>0</v>
      </c>
      <c r="AA159" s="73">
        <v>0</v>
      </c>
      <c r="AB159" s="73" t="s">
        <v>1710</v>
      </c>
      <c r="AC159" s="73">
        <v>4.5454545454545497E-2</v>
      </c>
      <c r="AD159" s="73">
        <v>0.92</v>
      </c>
      <c r="AE159" s="71">
        <v>0.99775280898876395</v>
      </c>
      <c r="AF159" s="71">
        <v>0.91176470588235303</v>
      </c>
      <c r="AG159" s="71">
        <v>0.997361477572559</v>
      </c>
      <c r="AH159" s="71">
        <v>0.98447297700806202</v>
      </c>
      <c r="AI159" s="73">
        <v>0.92</v>
      </c>
      <c r="AJ159" s="71">
        <v>0.98331479421579504</v>
      </c>
      <c r="AK159" s="71">
        <v>0.98406374501992</v>
      </c>
      <c r="AL159" s="71">
        <v>0.99086757990867602</v>
      </c>
      <c r="AM159" s="71">
        <v>0.99121978959340395</v>
      </c>
      <c r="AN159" s="70">
        <v>0.99</v>
      </c>
      <c r="AO159" s="75">
        <v>1</v>
      </c>
      <c r="AP159" s="75">
        <v>1</v>
      </c>
      <c r="AQ159" s="75">
        <v>1</v>
      </c>
      <c r="AR159" s="75">
        <v>1</v>
      </c>
      <c r="AS159" s="77">
        <v>0.10526149898194399</v>
      </c>
      <c r="AT159" s="79">
        <v>0</v>
      </c>
      <c r="AU159" s="79">
        <v>0</v>
      </c>
      <c r="AV159" s="79">
        <v>0</v>
      </c>
      <c r="AW159" s="79">
        <v>6.5420560747663503E-2</v>
      </c>
      <c r="AX159" s="56"/>
      <c r="AY159" s="54"/>
    </row>
    <row r="160" spans="1:51">
      <c r="A160" s="53"/>
      <c r="B160" s="56"/>
      <c r="C160" s="90" t="s">
        <v>95</v>
      </c>
      <c r="D160" s="230" t="s">
        <v>1757</v>
      </c>
      <c r="E160" s="68" t="s">
        <v>96</v>
      </c>
      <c r="F160" s="91" t="s">
        <v>177</v>
      </c>
      <c r="G160" s="91" t="s">
        <v>177</v>
      </c>
      <c r="H160" s="91" t="s">
        <v>177</v>
      </c>
      <c r="I160" s="91" t="s">
        <v>177</v>
      </c>
      <c r="J160" s="70">
        <v>0.9</v>
      </c>
      <c r="K160" s="71">
        <v>0.97142857142857097</v>
      </c>
      <c r="L160" s="71">
        <v>0.9375</v>
      </c>
      <c r="M160" s="72">
        <v>0.90322580645161299</v>
      </c>
      <c r="N160" s="71">
        <v>0.95945945945945899</v>
      </c>
      <c r="O160" s="73">
        <v>0.9</v>
      </c>
      <c r="P160" s="71">
        <v>0.97195357833655704</v>
      </c>
      <c r="Q160" s="71">
        <v>0.960812772133527</v>
      </c>
      <c r="R160" s="71">
        <v>0.95846994535519103</v>
      </c>
      <c r="S160" s="71">
        <v>0.96904455869751505</v>
      </c>
      <c r="T160" s="73">
        <v>0.9</v>
      </c>
      <c r="U160" s="71">
        <v>0.960348162475822</v>
      </c>
      <c r="V160" s="71">
        <v>0.94146105466860197</v>
      </c>
      <c r="W160" s="71">
        <v>0.93588342440801497</v>
      </c>
      <c r="X160" s="71">
        <v>0.94655098543273397</v>
      </c>
      <c r="Y160" s="73">
        <v>0.92</v>
      </c>
      <c r="Z160" s="73">
        <v>0.98492950899368004</v>
      </c>
      <c r="AA160" s="73">
        <v>0.96761133603238902</v>
      </c>
      <c r="AB160" s="73">
        <v>0.97562358276644001</v>
      </c>
      <c r="AC160" s="73">
        <v>0.97955198161975898</v>
      </c>
      <c r="AD160" s="73">
        <v>0.92</v>
      </c>
      <c r="AE160" s="71">
        <v>0.99287410926365804</v>
      </c>
      <c r="AF160" s="71">
        <v>0.99068322981366497</v>
      </c>
      <c r="AG160" s="71">
        <v>0.98445595854922296</v>
      </c>
      <c r="AH160" s="71">
        <v>0.98714711957769097</v>
      </c>
      <c r="AI160" s="73">
        <v>0.92</v>
      </c>
      <c r="AJ160" s="71">
        <v>0.98763636363636398</v>
      </c>
      <c r="AK160" s="71">
        <v>0.98433048433048398</v>
      </c>
      <c r="AL160" s="71">
        <v>0.982926829268293</v>
      </c>
      <c r="AM160" s="71">
        <v>0.987956847203875</v>
      </c>
      <c r="AN160" s="70">
        <v>0.99</v>
      </c>
      <c r="AO160" s="75">
        <v>1</v>
      </c>
      <c r="AP160" s="75">
        <v>1</v>
      </c>
      <c r="AQ160" s="75">
        <v>1</v>
      </c>
      <c r="AR160" s="75">
        <v>1</v>
      </c>
      <c r="AS160" s="77">
        <v>0.10526149898194399</v>
      </c>
      <c r="AT160" s="79">
        <v>0.11111111111111099</v>
      </c>
      <c r="AU160" s="79">
        <v>0.14285714285714299</v>
      </c>
      <c r="AV160" s="79">
        <v>0</v>
      </c>
      <c r="AW160" s="79">
        <v>9.5890410958904104E-2</v>
      </c>
      <c r="AX160" s="56"/>
      <c r="AY160" s="54"/>
    </row>
    <row r="161" spans="1:51">
      <c r="A161" s="53"/>
      <c r="B161" s="56"/>
      <c r="C161" s="90" t="s">
        <v>95</v>
      </c>
      <c r="D161" s="230" t="s">
        <v>1757</v>
      </c>
      <c r="E161" s="68" t="s">
        <v>96</v>
      </c>
      <c r="F161" s="91" t="s">
        <v>178</v>
      </c>
      <c r="G161" s="91" t="s">
        <v>178</v>
      </c>
      <c r="H161" s="91" t="s">
        <v>178</v>
      </c>
      <c r="I161" s="91" t="s">
        <v>178</v>
      </c>
      <c r="J161" s="70">
        <v>0.9</v>
      </c>
      <c r="K161" s="71">
        <v>0.88775510204081598</v>
      </c>
      <c r="L161" s="71">
        <v>0.89108910891089099</v>
      </c>
      <c r="M161" s="72">
        <v>0.94</v>
      </c>
      <c r="N161" s="71">
        <v>0.92541196877710297</v>
      </c>
      <c r="O161" s="73">
        <v>0.9</v>
      </c>
      <c r="P161" s="71">
        <v>0.125</v>
      </c>
      <c r="Q161" s="71">
        <v>5.5555555555555601E-2</v>
      </c>
      <c r="R161" s="71">
        <v>0.25</v>
      </c>
      <c r="S161" s="71">
        <v>0.13043478260869601</v>
      </c>
      <c r="T161" s="73">
        <v>0.9</v>
      </c>
      <c r="U161" s="71">
        <v>0.125</v>
      </c>
      <c r="V161" s="71">
        <v>0</v>
      </c>
      <c r="W161" s="71">
        <v>0</v>
      </c>
      <c r="X161" s="71">
        <v>0.15217391304347799</v>
      </c>
      <c r="Y161" s="73">
        <v>0.92</v>
      </c>
      <c r="Z161" s="73">
        <v>0.5</v>
      </c>
      <c r="AA161" s="73">
        <v>0.25</v>
      </c>
      <c r="AB161" s="73">
        <v>0</v>
      </c>
      <c r="AC161" s="73">
        <v>0.61224489795918402</v>
      </c>
      <c r="AD161" s="73">
        <v>0.92</v>
      </c>
      <c r="AE161" s="71">
        <v>0.96263736263736299</v>
      </c>
      <c r="AF161" s="71">
        <v>0.96421663442939998</v>
      </c>
      <c r="AG161" s="71">
        <v>0.987354085603113</v>
      </c>
      <c r="AH161" s="71">
        <v>0.96444100879312</v>
      </c>
      <c r="AI161" s="73">
        <v>0.92</v>
      </c>
      <c r="AJ161" s="71">
        <v>0.95694531741043398</v>
      </c>
      <c r="AK161" s="71">
        <v>0.96684350132625996</v>
      </c>
      <c r="AL161" s="71">
        <v>0.95986655883542304</v>
      </c>
      <c r="AM161" s="71">
        <v>0.97014230422256498</v>
      </c>
      <c r="AN161" s="70">
        <v>0.99</v>
      </c>
      <c r="AO161" s="75">
        <v>1</v>
      </c>
      <c r="AP161" s="75">
        <v>1</v>
      </c>
      <c r="AQ161" s="75">
        <v>1</v>
      </c>
      <c r="AR161" s="75">
        <v>1</v>
      </c>
      <c r="AS161" s="77">
        <v>0.10526149898194399</v>
      </c>
      <c r="AT161" s="79">
        <v>0</v>
      </c>
      <c r="AU161" s="79">
        <v>0</v>
      </c>
      <c r="AV161" s="79">
        <v>5.5555555555555601E-2</v>
      </c>
      <c r="AW161" s="79">
        <v>0.100671140939597</v>
      </c>
      <c r="AX161" s="56"/>
      <c r="AY161" s="54"/>
    </row>
    <row r="162" spans="1:51">
      <c r="A162" s="53"/>
      <c r="B162" s="56"/>
      <c r="C162" s="90" t="s">
        <v>95</v>
      </c>
      <c r="D162" s="230" t="s">
        <v>1757</v>
      </c>
      <c r="E162" s="68" t="s">
        <v>96</v>
      </c>
      <c r="F162" s="91" t="s">
        <v>179</v>
      </c>
      <c r="G162" s="91" t="s">
        <v>179</v>
      </c>
      <c r="H162" s="91" t="s">
        <v>179</v>
      </c>
      <c r="I162" s="91" t="s">
        <v>179</v>
      </c>
      <c r="J162" s="70">
        <v>0.9</v>
      </c>
      <c r="K162" s="71">
        <v>0.931034482758621</v>
      </c>
      <c r="L162" s="71">
        <v>0.94642857142857095</v>
      </c>
      <c r="M162" s="72">
        <v>0.84482758620689702</v>
      </c>
      <c r="N162" s="71">
        <v>0.89506172839506204</v>
      </c>
      <c r="O162" s="73">
        <v>0.9</v>
      </c>
      <c r="P162" s="71">
        <v>0.97722772277227699</v>
      </c>
      <c r="Q162" s="71">
        <v>0.98361823361823397</v>
      </c>
      <c r="R162" s="71">
        <v>0.98224299065420595</v>
      </c>
      <c r="S162" s="71">
        <v>0.97496251517243004</v>
      </c>
      <c r="T162" s="73">
        <v>0.9</v>
      </c>
      <c r="U162" s="71">
        <v>0.88910891089108901</v>
      </c>
      <c r="V162" s="71">
        <v>0.83523266856600198</v>
      </c>
      <c r="W162" s="71">
        <v>0.88714953271027996</v>
      </c>
      <c r="X162" s="71">
        <v>0.89949306233191295</v>
      </c>
      <c r="Y162" s="73">
        <v>0.92</v>
      </c>
      <c r="Z162" s="73">
        <v>0.933812211390457</v>
      </c>
      <c r="AA162" s="73">
        <v>0.92991631799163199</v>
      </c>
      <c r="AB162" s="73">
        <v>0.93416927899686497</v>
      </c>
      <c r="AC162" s="73">
        <v>0.94927400175240995</v>
      </c>
      <c r="AD162" s="73">
        <v>0.92</v>
      </c>
      <c r="AE162" s="71">
        <v>0.98487544483985801</v>
      </c>
      <c r="AF162" s="71">
        <v>0.98546674119619904</v>
      </c>
      <c r="AG162" s="71">
        <v>0.97122302158273399</v>
      </c>
      <c r="AH162" s="71">
        <v>0.97664720600500399</v>
      </c>
      <c r="AI162" s="73">
        <v>0.92</v>
      </c>
      <c r="AJ162" s="71">
        <v>0.94935064935064895</v>
      </c>
      <c r="AK162" s="71">
        <v>0.96261224489795905</v>
      </c>
      <c r="AL162" s="71">
        <v>0.95485939812530796</v>
      </c>
      <c r="AM162" s="71">
        <v>0.96938320334148897</v>
      </c>
      <c r="AN162" s="70">
        <v>0.99</v>
      </c>
      <c r="AO162" s="75">
        <v>1</v>
      </c>
      <c r="AP162" s="75">
        <v>1</v>
      </c>
      <c r="AQ162" s="75">
        <v>1</v>
      </c>
      <c r="AR162" s="75">
        <v>1</v>
      </c>
      <c r="AS162" s="77">
        <v>0.10526149898194399</v>
      </c>
      <c r="AT162" s="79">
        <v>0</v>
      </c>
      <c r="AU162" s="79">
        <v>0.2</v>
      </c>
      <c r="AV162" s="79">
        <v>8.3333333333333301E-2</v>
      </c>
      <c r="AW162" s="79">
        <v>0.08</v>
      </c>
      <c r="AX162" s="56"/>
      <c r="AY162" s="54"/>
    </row>
    <row r="163" spans="1:51">
      <c r="A163" s="53"/>
      <c r="B163" s="56"/>
      <c r="C163" s="90" t="s">
        <v>95</v>
      </c>
      <c r="D163" s="230" t="s">
        <v>1757</v>
      </c>
      <c r="E163" s="68" t="s">
        <v>96</v>
      </c>
      <c r="F163" s="91" t="s">
        <v>180</v>
      </c>
      <c r="G163" s="91" t="s">
        <v>180</v>
      </c>
      <c r="H163" s="91" t="s">
        <v>180</v>
      </c>
      <c r="I163" s="91" t="s">
        <v>180</v>
      </c>
      <c r="J163" s="70">
        <v>0.9</v>
      </c>
      <c r="K163" s="71">
        <v>0.96078431372549</v>
      </c>
      <c r="L163" s="71">
        <v>0.95348837209302295</v>
      </c>
      <c r="M163" s="72">
        <v>0.934782608695652</v>
      </c>
      <c r="N163" s="71">
        <v>0.97126436781609204</v>
      </c>
      <c r="O163" s="73">
        <v>0.9</v>
      </c>
      <c r="P163" s="71">
        <v>0.95325000000000004</v>
      </c>
      <c r="Q163" s="71">
        <v>0.94489383215369105</v>
      </c>
      <c r="R163" s="71">
        <v>0.82245108135942302</v>
      </c>
      <c r="S163" s="71">
        <v>0.91862414412958704</v>
      </c>
      <c r="T163" s="73">
        <v>0.9</v>
      </c>
      <c r="U163" s="71">
        <v>0.91349999999999998</v>
      </c>
      <c r="V163" s="71">
        <v>0.90091001011122296</v>
      </c>
      <c r="W163" s="71">
        <v>0.91081359423274999</v>
      </c>
      <c r="X163" s="71">
        <v>0.90426369897598502</v>
      </c>
      <c r="Y163" s="73">
        <v>0.92</v>
      </c>
      <c r="Z163" s="73">
        <v>0.94626957322689598</v>
      </c>
      <c r="AA163" s="73">
        <v>0.94568690095846597</v>
      </c>
      <c r="AB163" s="73">
        <v>0.95110957004160901</v>
      </c>
      <c r="AC163" s="73">
        <v>0.96089870472618699</v>
      </c>
      <c r="AD163" s="73">
        <v>0.92</v>
      </c>
      <c r="AE163" s="71">
        <v>0.96146916952403105</v>
      </c>
      <c r="AF163" s="71">
        <v>0.99333142119604201</v>
      </c>
      <c r="AG163" s="71">
        <v>0.99521848851108996</v>
      </c>
      <c r="AH163" s="71">
        <v>0.98226217676817096</v>
      </c>
      <c r="AI163" s="73">
        <v>0.92</v>
      </c>
      <c r="AJ163" s="71">
        <v>0.958126721763085</v>
      </c>
      <c r="AK163" s="71">
        <v>0.96870800537531199</v>
      </c>
      <c r="AL163" s="71">
        <v>0.96808785529715802</v>
      </c>
      <c r="AM163" s="71">
        <v>0.97388917262512797</v>
      </c>
      <c r="AN163" s="70">
        <v>0.99</v>
      </c>
      <c r="AO163" s="75">
        <v>1</v>
      </c>
      <c r="AP163" s="75">
        <v>1</v>
      </c>
      <c r="AQ163" s="75">
        <v>1</v>
      </c>
      <c r="AR163" s="75">
        <v>1</v>
      </c>
      <c r="AS163" s="77">
        <v>0.10526149898194399</v>
      </c>
      <c r="AT163" s="79">
        <v>0</v>
      </c>
      <c r="AU163" s="79">
        <v>0</v>
      </c>
      <c r="AV163" s="79">
        <v>0.1875</v>
      </c>
      <c r="AW163" s="79">
        <v>7.7419354838709695E-2</v>
      </c>
      <c r="AX163" s="56"/>
      <c r="AY163" s="54"/>
    </row>
    <row r="164" spans="1:51">
      <c r="A164" s="53"/>
      <c r="B164" s="56"/>
      <c r="C164" s="90" t="s">
        <v>95</v>
      </c>
      <c r="D164" s="230" t="s">
        <v>1757</v>
      </c>
      <c r="E164" s="68" t="s">
        <v>96</v>
      </c>
      <c r="F164" s="91" t="s">
        <v>181</v>
      </c>
      <c r="G164" s="91" t="s">
        <v>181</v>
      </c>
      <c r="H164" s="91" t="s">
        <v>181</v>
      </c>
      <c r="I164" s="91" t="s">
        <v>181</v>
      </c>
      <c r="J164" s="70">
        <v>0.9</v>
      </c>
      <c r="K164" s="71">
        <v>1</v>
      </c>
      <c r="L164" s="71">
        <v>1</v>
      </c>
      <c r="M164" s="72">
        <v>1</v>
      </c>
      <c r="N164" s="71">
        <v>0.98432055749128899</v>
      </c>
      <c r="O164" s="73">
        <v>0.9</v>
      </c>
      <c r="P164" s="71">
        <v>0.97085427135678404</v>
      </c>
      <c r="Q164" s="71">
        <v>0.982124352331606</v>
      </c>
      <c r="R164" s="71">
        <v>0.97760887428101895</v>
      </c>
      <c r="S164" s="71">
        <v>0.97898055701523901</v>
      </c>
      <c r="T164" s="73">
        <v>0.9</v>
      </c>
      <c r="U164" s="71">
        <v>0.94849246231155804</v>
      </c>
      <c r="V164" s="71">
        <v>0.95388601036269405</v>
      </c>
      <c r="W164" s="71">
        <v>0.93816762530813502</v>
      </c>
      <c r="X164" s="71">
        <v>0.94989692388536295</v>
      </c>
      <c r="Y164" s="73">
        <v>0.92</v>
      </c>
      <c r="Z164" s="73">
        <v>0.96349009900990101</v>
      </c>
      <c r="AA164" s="73">
        <v>0.96349745331069603</v>
      </c>
      <c r="AB164" s="73">
        <v>0.96828478964401299</v>
      </c>
      <c r="AC164" s="73">
        <v>0.97524666178572705</v>
      </c>
      <c r="AD164" s="73">
        <v>0.92</v>
      </c>
      <c r="AE164" s="71">
        <v>0.99851742031134205</v>
      </c>
      <c r="AF164" s="71">
        <v>0.98638132295719805</v>
      </c>
      <c r="AG164" s="71">
        <v>0.99555950266429805</v>
      </c>
      <c r="AH164" s="71">
        <v>0.97203787275462294</v>
      </c>
      <c r="AI164" s="73">
        <v>0.92</v>
      </c>
      <c r="AJ164" s="71">
        <v>0.96852904478025803</v>
      </c>
      <c r="AK164" s="71">
        <v>0.97777777777777797</v>
      </c>
      <c r="AL164" s="71">
        <v>0.97989697198140502</v>
      </c>
      <c r="AM164" s="71">
        <v>0.98369064674580398</v>
      </c>
      <c r="AN164" s="70">
        <v>0.99</v>
      </c>
      <c r="AO164" s="75">
        <v>1</v>
      </c>
      <c r="AP164" s="75">
        <v>1</v>
      </c>
      <c r="AQ164" s="75">
        <v>1</v>
      </c>
      <c r="AR164" s="75">
        <v>1</v>
      </c>
      <c r="AS164" s="77">
        <v>0.10526149898194399</v>
      </c>
      <c r="AT164" s="79">
        <v>6.6666666666666693E-2</v>
      </c>
      <c r="AU164" s="79">
        <v>0</v>
      </c>
      <c r="AV164" s="79">
        <v>0</v>
      </c>
      <c r="AW164" s="79">
        <v>6.3492063492063502E-2</v>
      </c>
      <c r="AX164" s="56"/>
      <c r="AY164" s="54"/>
    </row>
    <row r="165" spans="1:51">
      <c r="A165" s="53"/>
      <c r="B165" s="56"/>
      <c r="C165" s="90" t="s">
        <v>95</v>
      </c>
      <c r="D165" s="230" t="s">
        <v>1757</v>
      </c>
      <c r="E165" s="68" t="s">
        <v>96</v>
      </c>
      <c r="F165" s="91" t="s">
        <v>182</v>
      </c>
      <c r="G165" s="91" t="s">
        <v>182</v>
      </c>
      <c r="H165" s="91" t="s">
        <v>182</v>
      </c>
      <c r="I165" s="91" t="s">
        <v>182</v>
      </c>
      <c r="J165" s="70">
        <v>0.9</v>
      </c>
      <c r="K165" s="71">
        <v>0.99074074074074103</v>
      </c>
      <c r="L165" s="71">
        <v>0.97826086956521696</v>
      </c>
      <c r="M165" s="72">
        <v>0.95049504950495001</v>
      </c>
      <c r="N165" s="71">
        <v>0.96863799283154095</v>
      </c>
      <c r="O165" s="73">
        <v>0.9</v>
      </c>
      <c r="P165" s="71">
        <v>0.97640953054965796</v>
      </c>
      <c r="Q165" s="71">
        <v>0.97513121719570095</v>
      </c>
      <c r="R165" s="71">
        <v>0.97374313047018102</v>
      </c>
      <c r="S165" s="71">
        <v>0.97125613951361101</v>
      </c>
      <c r="T165" s="73">
        <v>0.9</v>
      </c>
      <c r="U165" s="71">
        <v>0.96414248643547995</v>
      </c>
      <c r="V165" s="71">
        <v>0.93976505873531602</v>
      </c>
      <c r="W165" s="71">
        <v>0.916547934052514</v>
      </c>
      <c r="X165" s="71">
        <v>0.94203503748334605</v>
      </c>
      <c r="Y165" s="73">
        <v>0.92</v>
      </c>
      <c r="Z165" s="73">
        <v>0.94464039257782595</v>
      </c>
      <c r="AA165" s="73">
        <v>0.91567744576340604</v>
      </c>
      <c r="AB165" s="73">
        <v>0.94377579092159603</v>
      </c>
      <c r="AC165" s="73">
        <v>0.95319148936170195</v>
      </c>
      <c r="AD165" s="73">
        <v>0.92</v>
      </c>
      <c r="AE165" s="71">
        <v>0.98963737533937302</v>
      </c>
      <c r="AF165" s="71">
        <v>0.99433962264150899</v>
      </c>
      <c r="AG165" s="71">
        <v>0.99136972045788896</v>
      </c>
      <c r="AH165" s="71">
        <v>0.99350003907165696</v>
      </c>
      <c r="AI165" s="73">
        <v>0.92</v>
      </c>
      <c r="AJ165" s="71">
        <v>0.96420477269697402</v>
      </c>
      <c r="AK165" s="71">
        <v>0.96736217457886697</v>
      </c>
      <c r="AL165" s="71">
        <v>0.96861416517514698</v>
      </c>
      <c r="AM165" s="71">
        <v>0.97481597017480504</v>
      </c>
      <c r="AN165" s="70">
        <v>0.99</v>
      </c>
      <c r="AO165" s="75">
        <v>1</v>
      </c>
      <c r="AP165" s="75">
        <v>1</v>
      </c>
      <c r="AQ165" s="75">
        <v>1</v>
      </c>
      <c r="AR165" s="75">
        <v>1</v>
      </c>
      <c r="AS165" s="77">
        <v>0.10526149898194399</v>
      </c>
      <c r="AT165" s="79">
        <v>0.15</v>
      </c>
      <c r="AU165" s="79">
        <v>0.16666666666666699</v>
      </c>
      <c r="AV165" s="79">
        <v>5.8823529411764698E-2</v>
      </c>
      <c r="AW165" s="79">
        <v>9.12408759124088E-2</v>
      </c>
      <c r="AX165" s="56"/>
      <c r="AY165" s="54"/>
    </row>
    <row r="166" spans="1:51">
      <c r="A166" s="53"/>
      <c r="B166" s="56"/>
      <c r="C166" s="90" t="s">
        <v>95</v>
      </c>
      <c r="D166" s="230" t="s">
        <v>1757</v>
      </c>
      <c r="E166" s="68" t="s">
        <v>96</v>
      </c>
      <c r="F166" s="91" t="s">
        <v>183</v>
      </c>
      <c r="G166" s="91" t="s">
        <v>183</v>
      </c>
      <c r="H166" s="91" t="s">
        <v>183</v>
      </c>
      <c r="I166" s="91" t="s">
        <v>183</v>
      </c>
      <c r="J166" s="70">
        <v>0.9</v>
      </c>
      <c r="K166" s="71">
        <v>1</v>
      </c>
      <c r="L166" s="71">
        <v>0.95652173913043503</v>
      </c>
      <c r="M166" s="72">
        <v>1</v>
      </c>
      <c r="N166" s="71">
        <v>0.98366606170598903</v>
      </c>
      <c r="O166" s="73">
        <v>0.9</v>
      </c>
      <c r="P166" s="71">
        <v>0.66666666666666696</v>
      </c>
      <c r="Q166" s="71" t="s">
        <v>1710</v>
      </c>
      <c r="R166" s="71" t="s">
        <v>1710</v>
      </c>
      <c r="S166" s="71">
        <v>0.66666666666666696</v>
      </c>
      <c r="T166" s="73">
        <v>0.9</v>
      </c>
      <c r="U166" s="71">
        <v>0.33333333333333298</v>
      </c>
      <c r="V166" s="71" t="s">
        <v>1710</v>
      </c>
      <c r="W166" s="71" t="s">
        <v>1710</v>
      </c>
      <c r="X166" s="71">
        <v>0.33333333333333298</v>
      </c>
      <c r="Y166" s="73">
        <v>0.92</v>
      </c>
      <c r="Z166" s="73" t="s">
        <v>1710</v>
      </c>
      <c r="AA166" s="73" t="s">
        <v>1710</v>
      </c>
      <c r="AB166" s="73">
        <v>0</v>
      </c>
      <c r="AC166" s="73">
        <v>0</v>
      </c>
      <c r="AD166" s="73">
        <v>0.92</v>
      </c>
      <c r="AE166" s="71">
        <v>0.99768652400231395</v>
      </c>
      <c r="AF166" s="71">
        <v>0.96631205673758902</v>
      </c>
      <c r="AG166" s="71">
        <v>0.99508901166359698</v>
      </c>
      <c r="AH166" s="71">
        <v>0.99028833847775399</v>
      </c>
      <c r="AI166" s="73">
        <v>0.92</v>
      </c>
      <c r="AJ166" s="71">
        <v>0.97836606888699096</v>
      </c>
      <c r="AK166" s="71">
        <v>0.99077396207073298</v>
      </c>
      <c r="AL166" s="71">
        <v>0.98860195903828996</v>
      </c>
      <c r="AM166" s="71">
        <v>0.99008959847911404</v>
      </c>
      <c r="AN166" s="70">
        <v>0.99</v>
      </c>
      <c r="AO166" s="75">
        <v>1</v>
      </c>
      <c r="AP166" s="75">
        <v>1</v>
      </c>
      <c r="AQ166" s="75">
        <v>1</v>
      </c>
      <c r="AR166" s="75">
        <v>1</v>
      </c>
      <c r="AS166" s="77">
        <v>0.10526149898194399</v>
      </c>
      <c r="AT166" s="79">
        <v>0</v>
      </c>
      <c r="AU166" s="79">
        <v>0.5</v>
      </c>
      <c r="AV166" s="79">
        <v>0</v>
      </c>
      <c r="AW166" s="79">
        <v>7.5757575757575801E-2</v>
      </c>
      <c r="AX166" s="56"/>
      <c r="AY166" s="54"/>
    </row>
    <row r="167" spans="1:51">
      <c r="A167" s="53"/>
      <c r="B167" s="56"/>
      <c r="C167" s="90" t="s">
        <v>95</v>
      </c>
      <c r="D167" s="230" t="s">
        <v>1757</v>
      </c>
      <c r="E167" s="68" t="s">
        <v>96</v>
      </c>
      <c r="F167" s="91" t="s">
        <v>184</v>
      </c>
      <c r="G167" s="91" t="s">
        <v>184</v>
      </c>
      <c r="H167" s="91" t="s">
        <v>184</v>
      </c>
      <c r="I167" s="91" t="s">
        <v>184</v>
      </c>
      <c r="J167" s="70">
        <v>0.9</v>
      </c>
      <c r="K167" s="71">
        <v>1</v>
      </c>
      <c r="L167" s="71">
        <v>0.95744680851063801</v>
      </c>
      <c r="M167" s="72">
        <v>0.98113207547169801</v>
      </c>
      <c r="N167" s="71">
        <v>0.98160535117056902</v>
      </c>
      <c r="O167" s="73">
        <v>0.9</v>
      </c>
      <c r="P167" s="71">
        <v>0.964782413638403</v>
      </c>
      <c r="Q167" s="71">
        <v>0.96882793017456403</v>
      </c>
      <c r="R167" s="71">
        <v>0.94591975188990096</v>
      </c>
      <c r="S167" s="71">
        <v>0.95856115646768003</v>
      </c>
      <c r="T167" s="73">
        <v>0.9</v>
      </c>
      <c r="U167" s="71">
        <v>0.94324809331538795</v>
      </c>
      <c r="V167" s="71">
        <v>0.93765586034912696</v>
      </c>
      <c r="W167" s="71">
        <v>0.93196355882922999</v>
      </c>
      <c r="X167" s="71">
        <v>0.94427383716575497</v>
      </c>
      <c r="Y167" s="73">
        <v>0.92</v>
      </c>
      <c r="Z167" s="73">
        <v>0.95509138381200998</v>
      </c>
      <c r="AA167" s="73">
        <v>0.95571095571095599</v>
      </c>
      <c r="AB167" s="73">
        <v>0.968088279152997</v>
      </c>
      <c r="AC167" s="73">
        <v>0.96905175302324198</v>
      </c>
      <c r="AD167" s="73">
        <v>0.92</v>
      </c>
      <c r="AE167" s="71">
        <v>0.997247247247247</v>
      </c>
      <c r="AF167" s="71">
        <v>0.99792638672887501</v>
      </c>
      <c r="AG167" s="71">
        <v>0.99909665763324296</v>
      </c>
      <c r="AH167" s="71">
        <v>0.99556842051334604</v>
      </c>
      <c r="AI167" s="73">
        <v>0.92</v>
      </c>
      <c r="AJ167" s="71">
        <v>0.96621621621621601</v>
      </c>
      <c r="AK167" s="71">
        <v>0.97923744809362001</v>
      </c>
      <c r="AL167" s="71">
        <v>0.98214285714285698</v>
      </c>
      <c r="AM167" s="71">
        <v>0.98221263668092895</v>
      </c>
      <c r="AN167" s="70">
        <v>0.99</v>
      </c>
      <c r="AO167" s="75">
        <v>1</v>
      </c>
      <c r="AP167" s="75">
        <v>1</v>
      </c>
      <c r="AQ167" s="75">
        <v>1</v>
      </c>
      <c r="AR167" s="75">
        <v>1</v>
      </c>
      <c r="AS167" s="77">
        <v>0.10526149898194399</v>
      </c>
      <c r="AT167" s="79">
        <v>0.1</v>
      </c>
      <c r="AU167" s="79">
        <v>0.11111111111111099</v>
      </c>
      <c r="AV167" s="79">
        <v>0</v>
      </c>
      <c r="AW167" s="79">
        <v>0.10344827586206901</v>
      </c>
      <c r="AX167" s="56"/>
      <c r="AY167" s="54"/>
    </row>
    <row r="168" spans="1:51">
      <c r="A168" s="53"/>
      <c r="B168" s="56"/>
      <c r="C168" s="90" t="s">
        <v>95</v>
      </c>
      <c r="D168" s="230" t="s">
        <v>1757</v>
      </c>
      <c r="E168" s="68" t="s">
        <v>96</v>
      </c>
      <c r="F168" s="91" t="s">
        <v>185</v>
      </c>
      <c r="G168" s="91" t="s">
        <v>185</v>
      </c>
      <c r="H168" s="91" t="s">
        <v>185</v>
      </c>
      <c r="I168" s="91" t="s">
        <v>185</v>
      </c>
      <c r="J168" s="70">
        <v>0.9</v>
      </c>
      <c r="K168" s="71">
        <v>0.934782608695652</v>
      </c>
      <c r="L168" s="71">
        <v>0.97560975609756095</v>
      </c>
      <c r="M168" s="72">
        <v>0.92682926829268297</v>
      </c>
      <c r="N168" s="71">
        <v>0.94860813704496805</v>
      </c>
      <c r="O168" s="73">
        <v>0.9</v>
      </c>
      <c r="P168" s="71">
        <v>0.95322180916976496</v>
      </c>
      <c r="Q168" s="71">
        <v>0.95947756195579403</v>
      </c>
      <c r="R168" s="71">
        <v>0.94917509313464599</v>
      </c>
      <c r="S168" s="71">
        <v>0.94961974784608005</v>
      </c>
      <c r="T168" s="73">
        <v>0.9</v>
      </c>
      <c r="U168" s="71">
        <v>0.92998760842627004</v>
      </c>
      <c r="V168" s="71">
        <v>0.92933690555927695</v>
      </c>
      <c r="W168" s="71">
        <v>0.90952634379989405</v>
      </c>
      <c r="X168" s="71">
        <v>0.92137244498345106</v>
      </c>
      <c r="Y168" s="73">
        <v>0.92</v>
      </c>
      <c r="Z168" s="73">
        <v>0.94472876151484098</v>
      </c>
      <c r="AA168" s="73">
        <v>0.92502434274586198</v>
      </c>
      <c r="AB168" s="73">
        <v>0.94989733059548298</v>
      </c>
      <c r="AC168" s="73">
        <v>0.95056050589249796</v>
      </c>
      <c r="AD168" s="73">
        <v>0.92</v>
      </c>
      <c r="AE168" s="71">
        <v>0.98833819241982501</v>
      </c>
      <c r="AF168" s="71">
        <v>0.97222222222222199</v>
      </c>
      <c r="AG168" s="71">
        <v>0.94897959183673497</v>
      </c>
      <c r="AH168" s="71">
        <v>0.94359702021993597</v>
      </c>
      <c r="AI168" s="73">
        <v>0.92</v>
      </c>
      <c r="AJ168" s="71">
        <v>0.95666287940269401</v>
      </c>
      <c r="AK168" s="71">
        <v>0.96237229005731395</v>
      </c>
      <c r="AL168" s="71">
        <v>0.96512191183594398</v>
      </c>
      <c r="AM168" s="71">
        <v>0.96778179202051995</v>
      </c>
      <c r="AN168" s="70">
        <v>0.99</v>
      </c>
      <c r="AO168" s="75">
        <v>1</v>
      </c>
      <c r="AP168" s="75">
        <v>1</v>
      </c>
      <c r="AQ168" s="75">
        <v>1</v>
      </c>
      <c r="AR168" s="75">
        <v>1</v>
      </c>
      <c r="AS168" s="77">
        <v>0.10526149898194399</v>
      </c>
      <c r="AT168" s="79">
        <v>7.1428571428571397E-2</v>
      </c>
      <c r="AU168" s="79">
        <v>0</v>
      </c>
      <c r="AV168" s="79">
        <v>0</v>
      </c>
      <c r="AW168" s="79">
        <v>4.8000000000000001E-2</v>
      </c>
      <c r="AX168" s="56"/>
      <c r="AY168" s="54"/>
    </row>
    <row r="169" spans="1:51">
      <c r="A169" s="53"/>
      <c r="B169" s="56"/>
      <c r="C169" s="90" t="s">
        <v>95</v>
      </c>
      <c r="D169" s="230" t="s">
        <v>1757</v>
      </c>
      <c r="E169" s="68" t="s">
        <v>96</v>
      </c>
      <c r="F169" s="91" t="s">
        <v>186</v>
      </c>
      <c r="G169" s="91" t="s">
        <v>186</v>
      </c>
      <c r="H169" s="91" t="s">
        <v>186</v>
      </c>
      <c r="I169" s="91" t="s">
        <v>186</v>
      </c>
      <c r="J169" s="70">
        <v>0.9</v>
      </c>
      <c r="K169" s="71">
        <v>0.98630136986301398</v>
      </c>
      <c r="L169" s="71">
        <v>0.97101449275362295</v>
      </c>
      <c r="M169" s="72">
        <v>0.92647058823529405</v>
      </c>
      <c r="N169" s="71">
        <v>0.95442708333333304</v>
      </c>
      <c r="O169" s="73">
        <v>0.9</v>
      </c>
      <c r="P169" s="71">
        <v>0.91729826125724501</v>
      </c>
      <c r="Q169" s="71">
        <v>0.94797819173103104</v>
      </c>
      <c r="R169" s="71">
        <v>0.94673847995212401</v>
      </c>
      <c r="S169" s="71">
        <v>0.92988810205957095</v>
      </c>
      <c r="T169" s="73">
        <v>0.9</v>
      </c>
      <c r="U169" s="71">
        <v>0.87761925991974998</v>
      </c>
      <c r="V169" s="71">
        <v>0.90208995910949596</v>
      </c>
      <c r="W169" s="71">
        <v>0.89986036305605399</v>
      </c>
      <c r="X169" s="71">
        <v>0.89376002306431002</v>
      </c>
      <c r="Y169" s="73">
        <v>0.92</v>
      </c>
      <c r="Z169" s="73">
        <v>0.95959079283887505</v>
      </c>
      <c r="AA169" s="73">
        <v>0.86454957874270899</v>
      </c>
      <c r="AB169" s="73">
        <v>0.92746417081017796</v>
      </c>
      <c r="AC169" s="73">
        <v>0.937210439987338</v>
      </c>
      <c r="AD169" s="73">
        <v>0.92</v>
      </c>
      <c r="AE169" s="71">
        <v>0.99573742540494503</v>
      </c>
      <c r="AF169" s="71">
        <v>0.97909156452775803</v>
      </c>
      <c r="AG169" s="71">
        <v>0.99658022228555099</v>
      </c>
      <c r="AH169" s="71">
        <v>0.99022462070108197</v>
      </c>
      <c r="AI169" s="73">
        <v>0.92</v>
      </c>
      <c r="AJ169" s="71">
        <v>0.95795616960457397</v>
      </c>
      <c r="AK169" s="71">
        <v>0.94936921783010897</v>
      </c>
      <c r="AL169" s="71">
        <v>0.95873354678050504</v>
      </c>
      <c r="AM169" s="71">
        <v>0.96315830295509197</v>
      </c>
      <c r="AN169" s="70">
        <v>0.99</v>
      </c>
      <c r="AO169" s="75">
        <v>1</v>
      </c>
      <c r="AP169" s="75">
        <v>1</v>
      </c>
      <c r="AQ169" s="75">
        <v>1</v>
      </c>
      <c r="AR169" s="75">
        <v>1</v>
      </c>
      <c r="AS169" s="77">
        <v>0.10526149898194399</v>
      </c>
      <c r="AT169" s="79">
        <v>2.7777777777777801E-2</v>
      </c>
      <c r="AU169" s="79">
        <v>5.1282051282051301E-2</v>
      </c>
      <c r="AV169" s="79">
        <v>7.69230769230769E-2</v>
      </c>
      <c r="AW169" s="79">
        <v>8.1081081081081099E-2</v>
      </c>
      <c r="AX169" s="56"/>
      <c r="AY169" s="54"/>
    </row>
    <row r="170" spans="1:51">
      <c r="A170" s="53"/>
      <c r="B170" s="56"/>
      <c r="C170" s="90" t="s">
        <v>95</v>
      </c>
      <c r="D170" s="230" t="s">
        <v>1757</v>
      </c>
      <c r="E170" s="68" t="s">
        <v>96</v>
      </c>
      <c r="F170" s="91" t="s">
        <v>187</v>
      </c>
      <c r="G170" s="91" t="s">
        <v>187</v>
      </c>
      <c r="H170" s="91" t="s">
        <v>187</v>
      </c>
      <c r="I170" s="91" t="s">
        <v>187</v>
      </c>
      <c r="J170" s="70">
        <v>0.9</v>
      </c>
      <c r="K170" s="71">
        <v>0.94252873563218398</v>
      </c>
      <c r="L170" s="71">
        <v>0.95890410958904104</v>
      </c>
      <c r="M170" s="72">
        <v>0.870588235294118</v>
      </c>
      <c r="N170" s="71">
        <v>0.92469545957918098</v>
      </c>
      <c r="O170" s="73">
        <v>0.9</v>
      </c>
      <c r="P170" s="71">
        <v>0.95018450184501801</v>
      </c>
      <c r="Q170" s="71">
        <v>0.96541666666666703</v>
      </c>
      <c r="R170" s="71">
        <v>0.94151637191385096</v>
      </c>
      <c r="S170" s="71">
        <v>0.93693650102417703</v>
      </c>
      <c r="T170" s="73">
        <v>0.9</v>
      </c>
      <c r="U170" s="71">
        <v>0.92804428044280396</v>
      </c>
      <c r="V170" s="71">
        <v>0.89979166666666699</v>
      </c>
      <c r="W170" s="71">
        <v>0.917702679040448</v>
      </c>
      <c r="X170" s="71">
        <v>0.90004999919356099</v>
      </c>
      <c r="Y170" s="73">
        <v>0.92</v>
      </c>
      <c r="Z170" s="73">
        <v>0.93014789533560904</v>
      </c>
      <c r="AA170" s="73">
        <v>0.92764705882352905</v>
      </c>
      <c r="AB170" s="73">
        <v>0.92715060707827401</v>
      </c>
      <c r="AC170" s="73">
        <v>0.93906358470675999</v>
      </c>
      <c r="AD170" s="73">
        <v>0.92</v>
      </c>
      <c r="AE170" s="71">
        <v>0.99670774945129204</v>
      </c>
      <c r="AF170" s="71">
        <v>0.39314484283683498</v>
      </c>
      <c r="AG170" s="71">
        <v>0.97875457875457905</v>
      </c>
      <c r="AH170" s="71">
        <v>0.95110067447345603</v>
      </c>
      <c r="AI170" s="73">
        <v>0.92</v>
      </c>
      <c r="AJ170" s="71">
        <v>0.95116429495472199</v>
      </c>
      <c r="AK170" s="71">
        <v>0.960621442854945</v>
      </c>
      <c r="AL170" s="71">
        <v>0.95419926969222701</v>
      </c>
      <c r="AM170" s="71">
        <v>0.96324702478274205</v>
      </c>
      <c r="AN170" s="70">
        <v>0.99</v>
      </c>
      <c r="AO170" s="75">
        <v>1</v>
      </c>
      <c r="AP170" s="75">
        <v>1</v>
      </c>
      <c r="AQ170" s="75">
        <v>1</v>
      </c>
      <c r="AR170" s="75">
        <v>1</v>
      </c>
      <c r="AS170" s="77">
        <v>0.10526149898194399</v>
      </c>
      <c r="AT170" s="79">
        <v>3.6363636363636397E-2</v>
      </c>
      <c r="AU170" s="79">
        <v>4.7619047619047603E-2</v>
      </c>
      <c r="AV170" s="79">
        <v>0</v>
      </c>
      <c r="AW170" s="79">
        <v>5.0880626223092001E-2</v>
      </c>
      <c r="AX170" s="56"/>
      <c r="AY170" s="54"/>
    </row>
    <row r="171" spans="1:51">
      <c r="A171" s="53"/>
      <c r="B171" s="56"/>
      <c r="C171" s="90" t="s">
        <v>95</v>
      </c>
      <c r="D171" s="230" t="s">
        <v>1757</v>
      </c>
      <c r="E171" s="68" t="s">
        <v>96</v>
      </c>
      <c r="F171" s="91" t="s">
        <v>188</v>
      </c>
      <c r="G171" s="91" t="s">
        <v>188</v>
      </c>
      <c r="H171" s="91" t="s">
        <v>188</v>
      </c>
      <c r="I171" s="91" t="s">
        <v>188</v>
      </c>
      <c r="J171" s="70">
        <v>0.9</v>
      </c>
      <c r="K171" s="71">
        <v>0.92957746478873204</v>
      </c>
      <c r="L171" s="71">
        <v>0.91780821917808197</v>
      </c>
      <c r="M171" s="72">
        <v>0.95588235294117696</v>
      </c>
      <c r="N171" s="71">
        <v>0.93849938499384999</v>
      </c>
      <c r="O171" s="73">
        <v>0.9</v>
      </c>
      <c r="P171" s="71">
        <v>0.93789969707169296</v>
      </c>
      <c r="Q171" s="71">
        <v>0.93148535564853596</v>
      </c>
      <c r="R171" s="71">
        <v>0.94948086161475298</v>
      </c>
      <c r="S171" s="71">
        <v>0.93664027259904803</v>
      </c>
      <c r="T171" s="73">
        <v>0.9</v>
      </c>
      <c r="U171" s="71">
        <v>0.90121171322786897</v>
      </c>
      <c r="V171" s="71">
        <v>0.87953277545327802</v>
      </c>
      <c r="W171" s="71">
        <v>0.89090345575701202</v>
      </c>
      <c r="X171" s="71">
        <v>0.87953691678187895</v>
      </c>
      <c r="Y171" s="73">
        <v>0.92</v>
      </c>
      <c r="Z171" s="73">
        <v>0.92370098512652099</v>
      </c>
      <c r="AA171" s="73">
        <v>0.92596401028277597</v>
      </c>
      <c r="AB171" s="73">
        <v>0.91217430368373797</v>
      </c>
      <c r="AC171" s="73">
        <v>0.92439397635787002</v>
      </c>
      <c r="AD171" s="73">
        <v>0.92</v>
      </c>
      <c r="AE171" s="71">
        <v>0.99715909090909105</v>
      </c>
      <c r="AF171" s="71">
        <v>0.98344827586206895</v>
      </c>
      <c r="AG171" s="71">
        <v>0.99736611062335401</v>
      </c>
      <c r="AH171" s="71">
        <v>0.99153923428954105</v>
      </c>
      <c r="AI171" s="73">
        <v>0.92</v>
      </c>
      <c r="AJ171" s="71">
        <v>0.94803092968890501</v>
      </c>
      <c r="AK171" s="71">
        <v>0.949368736170767</v>
      </c>
      <c r="AL171" s="71">
        <v>0.94406235671710204</v>
      </c>
      <c r="AM171" s="71">
        <v>0.95169872756094398</v>
      </c>
      <c r="AN171" s="70">
        <v>0.99</v>
      </c>
      <c r="AO171" s="75">
        <v>1</v>
      </c>
      <c r="AP171" s="75">
        <v>1</v>
      </c>
      <c r="AQ171" s="75">
        <v>1</v>
      </c>
      <c r="AR171" s="75">
        <v>1</v>
      </c>
      <c r="AS171" s="77">
        <v>0.10526149898194399</v>
      </c>
      <c r="AT171" s="79">
        <v>0.14285714285714299</v>
      </c>
      <c r="AU171" s="79">
        <v>0.14583333333333301</v>
      </c>
      <c r="AV171" s="79">
        <v>7.8125E-2</v>
      </c>
      <c r="AW171" s="79">
        <v>9.44444444444444E-2</v>
      </c>
      <c r="AX171" s="56"/>
      <c r="AY171" s="54"/>
    </row>
    <row r="172" spans="1:51">
      <c r="A172" s="53"/>
      <c r="B172" s="56"/>
      <c r="C172" s="90" t="s">
        <v>95</v>
      </c>
      <c r="D172" s="230" t="s">
        <v>1757</v>
      </c>
      <c r="E172" s="68" t="s">
        <v>96</v>
      </c>
      <c r="F172" s="91" t="s">
        <v>189</v>
      </c>
      <c r="G172" s="91" t="s">
        <v>189</v>
      </c>
      <c r="H172" s="91" t="s">
        <v>189</v>
      </c>
      <c r="I172" s="91" t="s">
        <v>189</v>
      </c>
      <c r="J172" s="70">
        <v>0.9</v>
      </c>
      <c r="K172" s="71">
        <v>0.96226415094339601</v>
      </c>
      <c r="L172" s="71">
        <v>0.87755102040816302</v>
      </c>
      <c r="M172" s="72">
        <v>0.95918367346938804</v>
      </c>
      <c r="N172" s="71">
        <v>0.95532646048110004</v>
      </c>
      <c r="O172" s="73">
        <v>0.9</v>
      </c>
      <c r="P172" s="71">
        <v>0.94402985074626899</v>
      </c>
      <c r="Q172" s="71">
        <v>0.96552814674256804</v>
      </c>
      <c r="R172" s="71">
        <v>0.94464534075104301</v>
      </c>
      <c r="S172" s="71">
        <v>0.95871271979331296</v>
      </c>
      <c r="T172" s="73">
        <v>0.9</v>
      </c>
      <c r="U172" s="71">
        <v>0.91946517412935302</v>
      </c>
      <c r="V172" s="71">
        <v>0.89784946236559104</v>
      </c>
      <c r="W172" s="71">
        <v>0.908205841446453</v>
      </c>
      <c r="X172" s="71">
        <v>0.91832844206988196</v>
      </c>
      <c r="Y172" s="73">
        <v>0.92</v>
      </c>
      <c r="Z172" s="73">
        <v>0.94234659474039095</v>
      </c>
      <c r="AA172" s="73">
        <v>0.94144981412639395</v>
      </c>
      <c r="AB172" s="73">
        <v>0.95246038365304397</v>
      </c>
      <c r="AC172" s="73">
        <v>0.95622715887159704</v>
      </c>
      <c r="AD172" s="73">
        <v>0.92</v>
      </c>
      <c r="AE172" s="71">
        <v>0.74598572702943799</v>
      </c>
      <c r="AF172" s="71">
        <v>0.95552147239263796</v>
      </c>
      <c r="AG172" s="71">
        <v>0.988893960139967</v>
      </c>
      <c r="AH172" s="71">
        <v>0.95179823363379801</v>
      </c>
      <c r="AI172" s="73">
        <v>0.92</v>
      </c>
      <c r="AJ172" s="71">
        <v>0.958596150735889</v>
      </c>
      <c r="AK172" s="71">
        <v>0.97169143665959001</v>
      </c>
      <c r="AL172" s="71">
        <v>0.96762890038378102</v>
      </c>
      <c r="AM172" s="71">
        <v>0.973110159595173</v>
      </c>
      <c r="AN172" s="70">
        <v>0.99</v>
      </c>
      <c r="AO172" s="75">
        <v>1</v>
      </c>
      <c r="AP172" s="75">
        <v>1</v>
      </c>
      <c r="AQ172" s="75">
        <v>1</v>
      </c>
      <c r="AR172" s="75">
        <v>1</v>
      </c>
      <c r="AS172" s="77">
        <v>0.10526149898194399</v>
      </c>
      <c r="AT172" s="79">
        <v>0.19047619047618999</v>
      </c>
      <c r="AU172" s="79">
        <v>0</v>
      </c>
      <c r="AV172" s="79">
        <v>9.0909090909090898E-2</v>
      </c>
      <c r="AW172" s="79">
        <v>8.04597701149425E-2</v>
      </c>
      <c r="AX172" s="56"/>
      <c r="AY172" s="54"/>
    </row>
    <row r="173" spans="1:51">
      <c r="A173" s="53"/>
      <c r="B173" s="56"/>
      <c r="C173" s="90" t="s">
        <v>95</v>
      </c>
      <c r="D173" s="230" t="s">
        <v>1757</v>
      </c>
      <c r="E173" s="68" t="s">
        <v>96</v>
      </c>
      <c r="F173" s="91" t="s">
        <v>190</v>
      </c>
      <c r="G173" s="91" t="s">
        <v>190</v>
      </c>
      <c r="H173" s="91" t="s">
        <v>190</v>
      </c>
      <c r="I173" s="91" t="s">
        <v>190</v>
      </c>
      <c r="J173" s="70">
        <v>0.9</v>
      </c>
      <c r="K173" s="71">
        <v>0.936708860759494</v>
      </c>
      <c r="L173" s="71">
        <v>0.875</v>
      </c>
      <c r="M173" s="72">
        <v>0.97142857142857097</v>
      </c>
      <c r="N173" s="71">
        <v>0.93269230769230804</v>
      </c>
      <c r="O173" s="73">
        <v>0.9</v>
      </c>
      <c r="P173" s="71">
        <v>0.96373056994818695</v>
      </c>
      <c r="Q173" s="71">
        <v>0.97039398770211804</v>
      </c>
      <c r="R173" s="71">
        <v>0.96168263223656802</v>
      </c>
      <c r="S173" s="71">
        <v>0.96733078047246401</v>
      </c>
      <c r="T173" s="73">
        <v>0.9</v>
      </c>
      <c r="U173" s="71">
        <v>0.91093017517887998</v>
      </c>
      <c r="V173" s="71">
        <v>0.90685493053973998</v>
      </c>
      <c r="W173" s="71">
        <v>0.89712619741774302</v>
      </c>
      <c r="X173" s="71">
        <v>0.90510017204062398</v>
      </c>
      <c r="Y173" s="73">
        <v>0.92</v>
      </c>
      <c r="Z173" s="73">
        <v>0.92787132445338005</v>
      </c>
      <c r="AA173" s="73">
        <v>0.92607003891050599</v>
      </c>
      <c r="AB173" s="73">
        <v>0.91968834282289502</v>
      </c>
      <c r="AC173" s="73">
        <v>0.93557275178801702</v>
      </c>
      <c r="AD173" s="73">
        <v>0.92</v>
      </c>
      <c r="AE173" s="71">
        <v>0.97415852334419095</v>
      </c>
      <c r="AF173" s="71">
        <v>0.46486190866830701</v>
      </c>
      <c r="AG173" s="71">
        <v>0.952632905013857</v>
      </c>
      <c r="AH173" s="71">
        <v>0.68431036875954299</v>
      </c>
      <c r="AI173" s="73">
        <v>0.92</v>
      </c>
      <c r="AJ173" s="71">
        <v>0.947866119198706</v>
      </c>
      <c r="AK173" s="71">
        <v>0.95972362655881405</v>
      </c>
      <c r="AL173" s="71">
        <v>0.94622467771638996</v>
      </c>
      <c r="AM173" s="71">
        <v>0.96030837254123902</v>
      </c>
      <c r="AN173" s="70">
        <v>0.99</v>
      </c>
      <c r="AO173" s="75">
        <v>1</v>
      </c>
      <c r="AP173" s="75">
        <v>1</v>
      </c>
      <c r="AQ173" s="75">
        <v>1</v>
      </c>
      <c r="AR173" s="75">
        <v>1</v>
      </c>
      <c r="AS173" s="77">
        <v>0.10526149898194399</v>
      </c>
      <c r="AT173" s="79">
        <v>0.157894736842105</v>
      </c>
      <c r="AU173" s="79">
        <v>0.2</v>
      </c>
      <c r="AV173" s="79">
        <v>3.2258064516128997E-2</v>
      </c>
      <c r="AW173" s="79">
        <v>9.8461538461538503E-2</v>
      </c>
      <c r="AX173" s="56"/>
      <c r="AY173" s="54"/>
    </row>
    <row r="174" spans="1:51">
      <c r="A174" s="53"/>
      <c r="B174" s="56"/>
      <c r="C174" s="90" t="s">
        <v>95</v>
      </c>
      <c r="D174" s="230" t="s">
        <v>1757</v>
      </c>
      <c r="E174" s="68" t="s">
        <v>96</v>
      </c>
      <c r="F174" s="91" t="s">
        <v>191</v>
      </c>
      <c r="G174" s="91" t="s">
        <v>191</v>
      </c>
      <c r="H174" s="91" t="s">
        <v>191</v>
      </c>
      <c r="I174" s="91" t="s">
        <v>191</v>
      </c>
      <c r="J174" s="70">
        <v>0.9</v>
      </c>
      <c r="K174" s="71">
        <v>0.96969696969696995</v>
      </c>
      <c r="L174" s="71">
        <v>0.91304347826086996</v>
      </c>
      <c r="M174" s="72">
        <v>0.90163934426229497</v>
      </c>
      <c r="N174" s="71">
        <v>0.91920529801324502</v>
      </c>
      <c r="O174" s="73">
        <v>0.9</v>
      </c>
      <c r="P174" s="71">
        <v>0.94680045437334304</v>
      </c>
      <c r="Q174" s="71">
        <v>0.92614617302896596</v>
      </c>
      <c r="R174" s="71">
        <v>0.88483915126625601</v>
      </c>
      <c r="S174" s="71">
        <v>0.91228545906973801</v>
      </c>
      <c r="T174" s="73">
        <v>0.9</v>
      </c>
      <c r="U174" s="71">
        <v>0.86577054146156796</v>
      </c>
      <c r="V174" s="71">
        <v>0.89775561097256895</v>
      </c>
      <c r="W174" s="71">
        <v>0.87046543463381199</v>
      </c>
      <c r="X174" s="71">
        <v>0.87468895552861603</v>
      </c>
      <c r="Y174" s="73">
        <v>0.92</v>
      </c>
      <c r="Z174" s="73">
        <v>0.860171510242973</v>
      </c>
      <c r="AA174" s="73">
        <v>0.88291941206284796</v>
      </c>
      <c r="AB174" s="73">
        <v>0.88685101580135395</v>
      </c>
      <c r="AC174" s="73">
        <v>0.90569717613449097</v>
      </c>
      <c r="AD174" s="73">
        <v>0.92</v>
      </c>
      <c r="AE174" s="71">
        <v>0.98421470444553005</v>
      </c>
      <c r="AF174" s="71">
        <v>0.99122531135991998</v>
      </c>
      <c r="AG174" s="71">
        <v>0.958228420169152</v>
      </c>
      <c r="AH174" s="71">
        <v>0.98109791217848197</v>
      </c>
      <c r="AI174" s="73">
        <v>0.92</v>
      </c>
      <c r="AJ174" s="71">
        <v>0.89561366512020202</v>
      </c>
      <c r="AK174" s="71">
        <v>0.94544948510993598</v>
      </c>
      <c r="AL174" s="71">
        <v>0.918726033233916</v>
      </c>
      <c r="AM174" s="71">
        <v>0.94114560736159203</v>
      </c>
      <c r="AN174" s="70">
        <v>0.99</v>
      </c>
      <c r="AO174" s="75">
        <v>1</v>
      </c>
      <c r="AP174" s="75">
        <v>1</v>
      </c>
      <c r="AQ174" s="75">
        <v>1</v>
      </c>
      <c r="AR174" s="75">
        <v>1</v>
      </c>
      <c r="AS174" s="77">
        <v>0.10526149898194399</v>
      </c>
      <c r="AT174" s="79">
        <v>0.114285714285714</v>
      </c>
      <c r="AU174" s="79">
        <v>9.0909090909090898E-2</v>
      </c>
      <c r="AV174" s="79">
        <v>0</v>
      </c>
      <c r="AW174" s="79">
        <v>6.7055393586005804E-2</v>
      </c>
      <c r="AX174" s="56"/>
      <c r="AY174" s="54"/>
    </row>
    <row r="175" spans="1:51">
      <c r="A175" s="53"/>
      <c r="B175" s="56"/>
      <c r="C175" s="90" t="s">
        <v>95</v>
      </c>
      <c r="D175" s="230" t="s">
        <v>1757</v>
      </c>
      <c r="E175" s="68" t="s">
        <v>96</v>
      </c>
      <c r="F175" s="91" t="s">
        <v>192</v>
      </c>
      <c r="G175" s="91" t="s">
        <v>192</v>
      </c>
      <c r="H175" s="91" t="s">
        <v>192</v>
      </c>
      <c r="I175" s="91" t="s">
        <v>192</v>
      </c>
      <c r="J175" s="70">
        <v>0.9</v>
      </c>
      <c r="K175" s="71">
        <v>0.90476190476190499</v>
      </c>
      <c r="L175" s="71">
        <v>0.9375</v>
      </c>
      <c r="M175" s="72">
        <v>0.94594594594594605</v>
      </c>
      <c r="N175" s="71">
        <v>0.93222222222222195</v>
      </c>
      <c r="O175" s="73">
        <v>0.9</v>
      </c>
      <c r="P175" s="71">
        <v>0.93439173680183596</v>
      </c>
      <c r="Q175" s="71">
        <v>0.95338753387533903</v>
      </c>
      <c r="R175" s="71">
        <v>0.91271989174560197</v>
      </c>
      <c r="S175" s="71">
        <v>0.93014752437634496</v>
      </c>
      <c r="T175" s="73">
        <v>0.9</v>
      </c>
      <c r="U175" s="71">
        <v>0.92597551644988496</v>
      </c>
      <c r="V175" s="71">
        <v>0.92592592592592604</v>
      </c>
      <c r="W175" s="71">
        <v>0.89157645466847102</v>
      </c>
      <c r="X175" s="71">
        <v>0.89739774597948596</v>
      </c>
      <c r="Y175" s="73">
        <v>0.92</v>
      </c>
      <c r="Z175" s="73">
        <v>0.95670489117715896</v>
      </c>
      <c r="AA175" s="73">
        <v>0.95434782608695701</v>
      </c>
      <c r="AB175" s="73">
        <v>0.91897289586305297</v>
      </c>
      <c r="AC175" s="73">
        <v>0.947753743760399</v>
      </c>
      <c r="AD175" s="73">
        <v>0.92</v>
      </c>
      <c r="AE175" s="71">
        <v>0.99483516114967996</v>
      </c>
      <c r="AF175" s="71">
        <v>0.96813987614097097</v>
      </c>
      <c r="AG175" s="71">
        <v>0.97036647378572705</v>
      </c>
      <c r="AH175" s="71">
        <v>0.94646442845941803</v>
      </c>
      <c r="AI175" s="73">
        <v>0.92</v>
      </c>
      <c r="AJ175" s="71">
        <v>0.97210819913693303</v>
      </c>
      <c r="AK175" s="71">
        <v>0.97911864406779703</v>
      </c>
      <c r="AL175" s="71">
        <v>0.95306859205776195</v>
      </c>
      <c r="AM175" s="71">
        <v>0.97044836272040302</v>
      </c>
      <c r="AN175" s="70">
        <v>0.99</v>
      </c>
      <c r="AO175" s="75">
        <v>0.99555555555555597</v>
      </c>
      <c r="AP175" s="75">
        <v>1</v>
      </c>
      <c r="AQ175" s="75">
        <v>1</v>
      </c>
      <c r="AR175" s="75">
        <v>0.99955849889624704</v>
      </c>
      <c r="AS175" s="77">
        <v>0.10526149898194399</v>
      </c>
      <c r="AT175" s="79">
        <v>0</v>
      </c>
      <c r="AU175" s="79">
        <v>0.233333333333333</v>
      </c>
      <c r="AV175" s="79">
        <v>0</v>
      </c>
      <c r="AW175" s="79">
        <v>9.7178683385579903E-2</v>
      </c>
      <c r="AX175" s="56"/>
      <c r="AY175" s="54"/>
    </row>
    <row r="176" spans="1:51">
      <c r="A176" s="53"/>
      <c r="B176" s="56"/>
      <c r="C176" s="90" t="s">
        <v>95</v>
      </c>
      <c r="D176" s="230" t="s">
        <v>1757</v>
      </c>
      <c r="E176" s="68" t="s">
        <v>96</v>
      </c>
      <c r="F176" s="91" t="s">
        <v>193</v>
      </c>
      <c r="G176" s="91" t="s">
        <v>193</v>
      </c>
      <c r="H176" s="91" t="s">
        <v>193</v>
      </c>
      <c r="I176" s="91" t="s">
        <v>193</v>
      </c>
      <c r="J176" s="70">
        <v>0.9</v>
      </c>
      <c r="K176" s="71">
        <v>0.97674418604651203</v>
      </c>
      <c r="L176" s="71">
        <v>0.95454545454545503</v>
      </c>
      <c r="M176" s="72">
        <v>1</v>
      </c>
      <c r="N176" s="71">
        <v>0.95019920318725104</v>
      </c>
      <c r="O176" s="73">
        <v>0.9</v>
      </c>
      <c r="P176" s="71">
        <v>0.92100192678227399</v>
      </c>
      <c r="Q176" s="71">
        <v>0.93723363037582297</v>
      </c>
      <c r="R176" s="71">
        <v>0.970491803278689</v>
      </c>
      <c r="S176" s="71">
        <v>0.95617960191328499</v>
      </c>
      <c r="T176" s="73">
        <v>0.9</v>
      </c>
      <c r="U176" s="71">
        <v>0.91136801541425805</v>
      </c>
      <c r="V176" s="71">
        <v>0.92444788841534298</v>
      </c>
      <c r="W176" s="71">
        <v>0.92098360655737699</v>
      </c>
      <c r="X176" s="71">
        <v>0.91269865761456603</v>
      </c>
      <c r="Y176" s="73">
        <v>0.92</v>
      </c>
      <c r="Z176" s="73">
        <v>0.95979899497487398</v>
      </c>
      <c r="AA176" s="73">
        <v>0.941769316909295</v>
      </c>
      <c r="AB176" s="73">
        <v>0.96097560975609797</v>
      </c>
      <c r="AC176" s="73">
        <v>0.959857921370183</v>
      </c>
      <c r="AD176" s="73">
        <v>0.92</v>
      </c>
      <c r="AE176" s="71">
        <v>0.91818436536845005</v>
      </c>
      <c r="AF176" s="71">
        <v>0.98472385428907205</v>
      </c>
      <c r="AG176" s="71">
        <v>0.98266730861819895</v>
      </c>
      <c r="AH176" s="71">
        <v>0.96623763327250001</v>
      </c>
      <c r="AI176" s="73">
        <v>0.92</v>
      </c>
      <c r="AJ176" s="71">
        <v>0.96087479935794495</v>
      </c>
      <c r="AK176" s="71">
        <v>0.96977547495682204</v>
      </c>
      <c r="AL176" s="71">
        <v>0.97411764705882398</v>
      </c>
      <c r="AM176" s="71">
        <v>0.97530304746799601</v>
      </c>
      <c r="AN176" s="70">
        <v>0.99</v>
      </c>
      <c r="AO176" s="75">
        <v>1</v>
      </c>
      <c r="AP176" s="75">
        <v>1</v>
      </c>
      <c r="AQ176" s="75">
        <v>1</v>
      </c>
      <c r="AR176" s="75">
        <v>1</v>
      </c>
      <c r="AS176" s="77">
        <v>0.10526149898194399</v>
      </c>
      <c r="AT176" s="79">
        <v>0</v>
      </c>
      <c r="AU176" s="79">
        <v>0</v>
      </c>
      <c r="AV176" s="79">
        <v>0.157894736842105</v>
      </c>
      <c r="AW176" s="79">
        <v>8.1521739130434798E-2</v>
      </c>
      <c r="AX176" s="56"/>
      <c r="AY176" s="54"/>
    </row>
    <row r="177" spans="1:51">
      <c r="A177" s="53"/>
      <c r="B177" s="56"/>
      <c r="C177" s="90" t="s">
        <v>95</v>
      </c>
      <c r="D177" s="230" t="s">
        <v>1757</v>
      </c>
      <c r="E177" s="68" t="s">
        <v>96</v>
      </c>
      <c r="F177" s="91" t="s">
        <v>194</v>
      </c>
      <c r="G177" s="91" t="s">
        <v>194</v>
      </c>
      <c r="H177" s="91" t="s">
        <v>194</v>
      </c>
      <c r="I177" s="91" t="s">
        <v>194</v>
      </c>
      <c r="J177" s="70">
        <v>0.9</v>
      </c>
      <c r="K177" s="71">
        <v>0.97402597402597402</v>
      </c>
      <c r="L177" s="71">
        <v>0.96875</v>
      </c>
      <c r="M177" s="72">
        <v>0.94366197183098599</v>
      </c>
      <c r="N177" s="71">
        <v>0.97420147420147396</v>
      </c>
      <c r="O177" s="73">
        <v>0.9</v>
      </c>
      <c r="P177" s="71">
        <v>0.92330383480825995</v>
      </c>
      <c r="Q177" s="71">
        <v>0.91501680986178602</v>
      </c>
      <c r="R177" s="71">
        <v>0.86785596299967005</v>
      </c>
      <c r="S177" s="71">
        <v>0.91573320148942405</v>
      </c>
      <c r="T177" s="73">
        <v>0.9</v>
      </c>
      <c r="U177" s="71">
        <v>0.92920353982300896</v>
      </c>
      <c r="V177" s="71">
        <v>0.90586477400074705</v>
      </c>
      <c r="W177" s="71">
        <v>0.90122233234225302</v>
      </c>
      <c r="X177" s="71">
        <v>0.92423095344776995</v>
      </c>
      <c r="Y177" s="73">
        <v>0.92</v>
      </c>
      <c r="Z177" s="73">
        <v>0.94765723934149404</v>
      </c>
      <c r="AA177" s="73">
        <v>0.98075865860362799</v>
      </c>
      <c r="AB177" s="73">
        <v>0.98640968618729896</v>
      </c>
      <c r="AC177" s="73">
        <v>0.98301748719372195</v>
      </c>
      <c r="AD177" s="73">
        <v>0.92</v>
      </c>
      <c r="AE177" s="71">
        <v>0.99369860691175205</v>
      </c>
      <c r="AF177" s="71">
        <v>0.93202288862986105</v>
      </c>
      <c r="AG177" s="71">
        <v>0.97321845270148999</v>
      </c>
      <c r="AH177" s="71">
        <v>0.92807771391066696</v>
      </c>
      <c r="AI177" s="73">
        <v>0.92</v>
      </c>
      <c r="AJ177" s="71">
        <v>0.95976389572061005</v>
      </c>
      <c r="AK177" s="71">
        <v>0.98926829268292704</v>
      </c>
      <c r="AL177" s="71">
        <v>0.98673792557402995</v>
      </c>
      <c r="AM177" s="71">
        <v>0.98950070889374298</v>
      </c>
      <c r="AN177" s="70">
        <v>0.99</v>
      </c>
      <c r="AO177" s="75">
        <v>1</v>
      </c>
      <c r="AP177" s="75">
        <v>1</v>
      </c>
      <c r="AQ177" s="75">
        <v>1</v>
      </c>
      <c r="AR177" s="75">
        <v>1</v>
      </c>
      <c r="AS177" s="77">
        <v>0.10526149898194399</v>
      </c>
      <c r="AT177" s="79">
        <v>0.157894736842105</v>
      </c>
      <c r="AU177" s="79">
        <v>9.5238095238095205E-2</v>
      </c>
      <c r="AV177" s="79">
        <v>0.17948717948717899</v>
      </c>
      <c r="AW177" s="79">
        <v>0.14873417721519</v>
      </c>
      <c r="AX177" s="56"/>
      <c r="AY177" s="54"/>
    </row>
    <row r="178" spans="1:51">
      <c r="A178" s="53"/>
      <c r="B178" s="56"/>
      <c r="C178" s="90" t="s">
        <v>95</v>
      </c>
      <c r="D178" s="230" t="s">
        <v>1757</v>
      </c>
      <c r="E178" s="68" t="s">
        <v>96</v>
      </c>
      <c r="F178" s="91" t="s">
        <v>195</v>
      </c>
      <c r="G178" s="91" t="s">
        <v>195</v>
      </c>
      <c r="H178" s="91" t="s">
        <v>195</v>
      </c>
      <c r="I178" s="91" t="s">
        <v>195</v>
      </c>
      <c r="J178" s="70">
        <v>0.9</v>
      </c>
      <c r="K178" s="71">
        <v>0.93220338983050799</v>
      </c>
      <c r="L178" s="71">
        <v>0.92857142857142905</v>
      </c>
      <c r="M178" s="72">
        <v>0.88888888888888895</v>
      </c>
      <c r="N178" s="71">
        <v>0.94372990353697706</v>
      </c>
      <c r="O178" s="73">
        <v>0.9</v>
      </c>
      <c r="P178" s="71">
        <v>0.93619193466054096</v>
      </c>
      <c r="Q178" s="71">
        <v>0.95529612756264204</v>
      </c>
      <c r="R178" s="71">
        <v>0.95051456098095</v>
      </c>
      <c r="S178" s="71">
        <v>0.94224892632969903</v>
      </c>
      <c r="T178" s="73">
        <v>0.9</v>
      </c>
      <c r="U178" s="71">
        <v>0.90811638591117905</v>
      </c>
      <c r="V178" s="71">
        <v>0.917710706150342</v>
      </c>
      <c r="W178" s="71">
        <v>0.91985986424348598</v>
      </c>
      <c r="X178" s="71">
        <v>0.92734142715559997</v>
      </c>
      <c r="Y178" s="73">
        <v>0.92</v>
      </c>
      <c r="Z178" s="73">
        <v>0.93946587537091997</v>
      </c>
      <c r="AA178" s="73">
        <v>0.93852459016393397</v>
      </c>
      <c r="AB178" s="73">
        <v>0.95485871812543099</v>
      </c>
      <c r="AC178" s="73">
        <v>0.95601448770634501</v>
      </c>
      <c r="AD178" s="73">
        <v>0.92</v>
      </c>
      <c r="AE178" s="71">
        <v>0.98145352598662905</v>
      </c>
      <c r="AF178" s="71">
        <v>0.90973871733966705</v>
      </c>
      <c r="AG178" s="71">
        <v>0.95652173913043503</v>
      </c>
      <c r="AH178" s="71">
        <v>0.97138611264897001</v>
      </c>
      <c r="AI178" s="73">
        <v>0.92</v>
      </c>
      <c r="AJ178" s="71">
        <v>0.94883401920439003</v>
      </c>
      <c r="AK178" s="71">
        <v>0.96408197760405701</v>
      </c>
      <c r="AL178" s="71">
        <v>0.97201767304860098</v>
      </c>
      <c r="AM178" s="71">
        <v>0.97315932036444197</v>
      </c>
      <c r="AN178" s="70">
        <v>0.99</v>
      </c>
      <c r="AO178" s="75">
        <v>1</v>
      </c>
      <c r="AP178" s="75">
        <v>1</v>
      </c>
      <c r="AQ178" s="75">
        <v>1</v>
      </c>
      <c r="AR178" s="75">
        <v>1</v>
      </c>
      <c r="AS178" s="77">
        <v>0.10526149898194399</v>
      </c>
      <c r="AT178" s="79">
        <v>7.1428571428571397E-2</v>
      </c>
      <c r="AU178" s="79">
        <v>0</v>
      </c>
      <c r="AV178" s="79">
        <v>0.36363636363636398</v>
      </c>
      <c r="AW178" s="79">
        <v>0.104166666666667</v>
      </c>
      <c r="AX178" s="56"/>
      <c r="AY178" s="54"/>
    </row>
    <row r="179" spans="1:51">
      <c r="A179" s="53"/>
      <c r="B179" s="56"/>
      <c r="C179" s="90" t="s">
        <v>95</v>
      </c>
      <c r="D179" s="230" t="s">
        <v>1757</v>
      </c>
      <c r="E179" s="68" t="s">
        <v>96</v>
      </c>
      <c r="F179" s="91" t="s">
        <v>196</v>
      </c>
      <c r="G179" s="91" t="s">
        <v>196</v>
      </c>
      <c r="H179" s="91" t="s">
        <v>196</v>
      </c>
      <c r="I179" s="91" t="s">
        <v>196</v>
      </c>
      <c r="J179" s="70">
        <v>0.9</v>
      </c>
      <c r="K179" s="71">
        <v>0.92</v>
      </c>
      <c r="L179" s="71">
        <v>0.871428571428571</v>
      </c>
      <c r="M179" s="72">
        <v>0.94444444444444398</v>
      </c>
      <c r="N179" s="71">
        <v>0.92222222222222205</v>
      </c>
      <c r="O179" s="73">
        <v>0.9</v>
      </c>
      <c r="P179" s="71">
        <v>0.88161943319838099</v>
      </c>
      <c r="Q179" s="71">
        <v>0.93322475570032604</v>
      </c>
      <c r="R179" s="71">
        <v>0.94415014378689299</v>
      </c>
      <c r="S179" s="71">
        <v>0.91983485049178504</v>
      </c>
      <c r="T179" s="73">
        <v>0.9</v>
      </c>
      <c r="U179" s="71">
        <v>0.906558704453441</v>
      </c>
      <c r="V179" s="71">
        <v>0.87730727470141101</v>
      </c>
      <c r="W179" s="71">
        <v>0.90873316179809305</v>
      </c>
      <c r="X179" s="71">
        <v>0.90299580080602004</v>
      </c>
      <c r="Y179" s="73">
        <v>0.92</v>
      </c>
      <c r="Z179" s="73">
        <v>0.91795085381091202</v>
      </c>
      <c r="AA179" s="73">
        <v>0.90320665083135399</v>
      </c>
      <c r="AB179" s="73">
        <v>0.90829694323144095</v>
      </c>
      <c r="AC179" s="73">
        <v>0.92044382663952695</v>
      </c>
      <c r="AD179" s="73">
        <v>0.92</v>
      </c>
      <c r="AE179" s="71">
        <v>0.99780701754386003</v>
      </c>
      <c r="AF179" s="71">
        <v>0.99261127074415101</v>
      </c>
      <c r="AG179" s="71">
        <v>0.77451757864129001</v>
      </c>
      <c r="AH179" s="71">
        <v>0.97775264337697199</v>
      </c>
      <c r="AI179" s="73">
        <v>0.92</v>
      </c>
      <c r="AJ179" s="71">
        <v>0.94589178356713399</v>
      </c>
      <c r="AK179" s="71">
        <v>0.95866851595006897</v>
      </c>
      <c r="AL179" s="71">
        <v>0.94981430339967599</v>
      </c>
      <c r="AM179" s="71">
        <v>0.95706017686390099</v>
      </c>
      <c r="AN179" s="70">
        <v>0.99</v>
      </c>
      <c r="AO179" s="75">
        <v>1</v>
      </c>
      <c r="AP179" s="75">
        <v>1</v>
      </c>
      <c r="AQ179" s="75">
        <v>1</v>
      </c>
      <c r="AR179" s="75">
        <v>1</v>
      </c>
      <c r="AS179" s="77">
        <v>0.10526149898194399</v>
      </c>
      <c r="AT179" s="79">
        <v>0.162162162162162</v>
      </c>
      <c r="AU179" s="79">
        <v>0</v>
      </c>
      <c r="AV179" s="79">
        <v>0.15384615384615399</v>
      </c>
      <c r="AW179" s="79">
        <v>0.14501510574018101</v>
      </c>
      <c r="AX179" s="56"/>
      <c r="AY179" s="54"/>
    </row>
    <row r="180" spans="1:51">
      <c r="A180" s="53"/>
      <c r="B180" s="56"/>
      <c r="C180" s="90" t="s">
        <v>95</v>
      </c>
      <c r="D180" s="230" t="s">
        <v>1757</v>
      </c>
      <c r="E180" s="68" t="s">
        <v>96</v>
      </c>
      <c r="F180" s="91" t="s">
        <v>197</v>
      </c>
      <c r="G180" s="91" t="s">
        <v>197</v>
      </c>
      <c r="H180" s="91" t="s">
        <v>197</v>
      </c>
      <c r="I180" s="91" t="s">
        <v>197</v>
      </c>
      <c r="J180" s="70">
        <v>0.9</v>
      </c>
      <c r="K180" s="71" t="s">
        <v>1710</v>
      </c>
      <c r="L180" s="71" t="s">
        <v>1710</v>
      </c>
      <c r="M180" s="72" t="s">
        <v>1710</v>
      </c>
      <c r="N180" s="71">
        <v>0.83304042179261895</v>
      </c>
      <c r="O180" s="73">
        <v>0.9</v>
      </c>
      <c r="P180" s="71">
        <v>0.9609375</v>
      </c>
      <c r="Q180" s="71">
        <v>0.84962406015037595</v>
      </c>
      <c r="R180" s="71">
        <v>0.94</v>
      </c>
      <c r="S180" s="71">
        <v>0.76793200701273001</v>
      </c>
      <c r="T180" s="73">
        <v>0.9</v>
      </c>
      <c r="U180" s="71">
        <v>0.96875</v>
      </c>
      <c r="V180" s="71">
        <v>0.95488721804511301</v>
      </c>
      <c r="W180" s="71">
        <v>0.95</v>
      </c>
      <c r="X180" s="71">
        <v>0.83703026145285497</v>
      </c>
      <c r="Y180" s="73">
        <v>0.92</v>
      </c>
      <c r="Z180" s="73">
        <v>1</v>
      </c>
      <c r="AA180" s="73">
        <v>1</v>
      </c>
      <c r="AB180" s="73">
        <v>0.92105263157894701</v>
      </c>
      <c r="AC180" s="73">
        <v>0.94849950357108503</v>
      </c>
      <c r="AD180" s="73">
        <v>0.92</v>
      </c>
      <c r="AE180" s="71">
        <v>0.95945945945945899</v>
      </c>
      <c r="AF180" s="71" t="s">
        <v>1710</v>
      </c>
      <c r="AG180" s="71">
        <v>0.16666666666666699</v>
      </c>
      <c r="AH180" s="71">
        <v>0.913260688556638</v>
      </c>
      <c r="AI180" s="73">
        <v>0.92</v>
      </c>
      <c r="AJ180" s="71">
        <v>0.98275862068965503</v>
      </c>
      <c r="AK180" s="71">
        <v>0.96875</v>
      </c>
      <c r="AL180" s="71">
        <v>0.93525179856115104</v>
      </c>
      <c r="AM180" s="71">
        <v>0.96412017779467996</v>
      </c>
      <c r="AN180" s="70">
        <v>0.99</v>
      </c>
      <c r="AO180" s="75" t="s">
        <v>1710</v>
      </c>
      <c r="AP180" s="75" t="s">
        <v>1710</v>
      </c>
      <c r="AQ180" s="75">
        <v>1</v>
      </c>
      <c r="AR180" s="75">
        <v>1</v>
      </c>
      <c r="AS180" s="77">
        <v>0.10526149898194399</v>
      </c>
      <c r="AT180" s="79">
        <v>0</v>
      </c>
      <c r="AU180" s="79" t="s">
        <v>1710</v>
      </c>
      <c r="AV180" s="79" t="s">
        <v>1710</v>
      </c>
      <c r="AW180" s="79">
        <v>8.7452471482889704E-2</v>
      </c>
      <c r="AX180" s="56"/>
      <c r="AY180" s="54"/>
    </row>
    <row r="181" spans="1:51">
      <c r="A181" s="53"/>
      <c r="B181" s="56"/>
      <c r="C181" s="90" t="s">
        <v>95</v>
      </c>
      <c r="D181" s="230" t="s">
        <v>1757</v>
      </c>
      <c r="E181" s="68" t="s">
        <v>96</v>
      </c>
      <c r="F181" s="91" t="s">
        <v>198</v>
      </c>
      <c r="G181" s="91" t="s">
        <v>198</v>
      </c>
      <c r="H181" s="91" t="s">
        <v>198</v>
      </c>
      <c r="I181" s="91" t="s">
        <v>198</v>
      </c>
      <c r="J181" s="70">
        <v>0.9</v>
      </c>
      <c r="K181" s="71">
        <v>0.96428571428571397</v>
      </c>
      <c r="L181" s="71">
        <v>0.96491228070175405</v>
      </c>
      <c r="M181" s="72">
        <v>0.94444444444444398</v>
      </c>
      <c r="N181" s="71">
        <v>0.94435351882160401</v>
      </c>
      <c r="O181" s="73">
        <v>0.9</v>
      </c>
      <c r="P181" s="71">
        <v>0.88134110787172004</v>
      </c>
      <c r="Q181" s="71">
        <v>0.92319555829734701</v>
      </c>
      <c r="R181" s="71">
        <v>0.92137449039021502</v>
      </c>
      <c r="S181" s="71">
        <v>0.84630063791505405</v>
      </c>
      <c r="T181" s="73">
        <v>0.9</v>
      </c>
      <c r="U181" s="71">
        <v>0.91166180758017501</v>
      </c>
      <c r="V181" s="71">
        <v>0.92874768661320195</v>
      </c>
      <c r="W181" s="71">
        <v>0.89618520675597002</v>
      </c>
      <c r="X181" s="71">
        <v>0.89898315249986405</v>
      </c>
      <c r="Y181" s="73">
        <v>0.92</v>
      </c>
      <c r="Z181" s="73">
        <v>0.91710367083501398</v>
      </c>
      <c r="AA181" s="73">
        <v>0.95636732623034004</v>
      </c>
      <c r="AB181" s="73">
        <v>0.88607911867801703</v>
      </c>
      <c r="AC181" s="73">
        <v>0.93740970198594398</v>
      </c>
      <c r="AD181" s="73">
        <v>0.92</v>
      </c>
      <c r="AE181" s="71">
        <v>0.99637083470801702</v>
      </c>
      <c r="AF181" s="71">
        <v>0.99306995449548396</v>
      </c>
      <c r="AG181" s="71">
        <v>0.99511574074074105</v>
      </c>
      <c r="AH181" s="71">
        <v>0.96985715228894898</v>
      </c>
      <c r="AI181" s="73">
        <v>0.92</v>
      </c>
      <c r="AJ181" s="71">
        <v>0.94949238578680195</v>
      </c>
      <c r="AK181" s="71">
        <v>0.97351932852583001</v>
      </c>
      <c r="AL181" s="71">
        <v>0.93059646539027996</v>
      </c>
      <c r="AM181" s="71">
        <v>0.96212923497028602</v>
      </c>
      <c r="AN181" s="70">
        <v>0.99</v>
      </c>
      <c r="AO181" s="75">
        <v>1</v>
      </c>
      <c r="AP181" s="75">
        <v>1</v>
      </c>
      <c r="AQ181" s="75">
        <v>1</v>
      </c>
      <c r="AR181" s="75">
        <v>1</v>
      </c>
      <c r="AS181" s="77">
        <v>0.10526149898194399</v>
      </c>
      <c r="AT181" s="79">
        <v>0.15384615384615399</v>
      </c>
      <c r="AU181" s="79">
        <v>9.0909090909090898E-2</v>
      </c>
      <c r="AV181" s="79">
        <v>0.16666666666666699</v>
      </c>
      <c r="AW181" s="79">
        <v>7.7120822622107996E-2</v>
      </c>
      <c r="AX181" s="56"/>
      <c r="AY181" s="54"/>
    </row>
    <row r="182" spans="1:51">
      <c r="A182" s="53"/>
      <c r="B182" s="56"/>
      <c r="C182" s="90" t="s">
        <v>95</v>
      </c>
      <c r="D182" s="230" t="s">
        <v>1757</v>
      </c>
      <c r="E182" s="68" t="s">
        <v>96</v>
      </c>
      <c r="F182" s="91" t="s">
        <v>199</v>
      </c>
      <c r="G182" s="91" t="s">
        <v>199</v>
      </c>
      <c r="H182" s="91" t="s">
        <v>199</v>
      </c>
      <c r="I182" s="91" t="s">
        <v>199</v>
      </c>
      <c r="J182" s="70">
        <v>0.9</v>
      </c>
      <c r="K182" s="71">
        <v>0.88235294117647101</v>
      </c>
      <c r="L182" s="71">
        <v>0.89361702127659604</v>
      </c>
      <c r="M182" s="72">
        <v>0.85106382978723405</v>
      </c>
      <c r="N182" s="71">
        <v>0.92307692307692302</v>
      </c>
      <c r="O182" s="73">
        <v>0.9</v>
      </c>
      <c r="P182" s="71">
        <v>0.92484691037298195</v>
      </c>
      <c r="Q182" s="71">
        <v>0.94899978017146602</v>
      </c>
      <c r="R182" s="71">
        <v>0.77197190337502097</v>
      </c>
      <c r="S182" s="71">
        <v>0.92220172201721995</v>
      </c>
      <c r="T182" s="73">
        <v>0.9</v>
      </c>
      <c r="U182" s="71">
        <v>0.92280571534607503</v>
      </c>
      <c r="V182" s="71">
        <v>0.92833589799955996</v>
      </c>
      <c r="W182" s="71">
        <v>0.88401576152132899</v>
      </c>
      <c r="X182" s="71">
        <v>0.919547484948534</v>
      </c>
      <c r="Y182" s="73">
        <v>0.92</v>
      </c>
      <c r="Z182" s="73">
        <v>0.92950819672131102</v>
      </c>
      <c r="AA182" s="73">
        <v>0.91197183098591506</v>
      </c>
      <c r="AB182" s="73">
        <v>0.92735158579560895</v>
      </c>
      <c r="AC182" s="73">
        <v>0.94861757459622198</v>
      </c>
      <c r="AD182" s="73">
        <v>0.92</v>
      </c>
      <c r="AE182" s="71">
        <v>0.97976643128734398</v>
      </c>
      <c r="AF182" s="71">
        <v>0.96495426959569197</v>
      </c>
      <c r="AG182" s="71">
        <v>0.97953861584754298</v>
      </c>
      <c r="AH182" s="71">
        <v>0.97079973088920102</v>
      </c>
      <c r="AI182" s="73">
        <v>0.92</v>
      </c>
      <c r="AJ182" s="71">
        <v>0.94451920091087904</v>
      </c>
      <c r="AK182" s="71">
        <v>0.95494891977893104</v>
      </c>
      <c r="AL182" s="71">
        <v>0.95171110644551704</v>
      </c>
      <c r="AM182" s="71">
        <v>0.96749753383978598</v>
      </c>
      <c r="AN182" s="70">
        <v>0.99</v>
      </c>
      <c r="AO182" s="75">
        <v>1</v>
      </c>
      <c r="AP182" s="75">
        <v>1</v>
      </c>
      <c r="AQ182" s="75">
        <v>1</v>
      </c>
      <c r="AR182" s="75">
        <v>1</v>
      </c>
      <c r="AS182" s="77">
        <v>0.10526149898194399</v>
      </c>
      <c r="AT182" s="79">
        <v>0.19047619047618999</v>
      </c>
      <c r="AU182" s="79">
        <v>0.11764705882352899</v>
      </c>
      <c r="AV182" s="79">
        <v>8.3333333333333301E-2</v>
      </c>
      <c r="AW182" s="79">
        <v>6.9868995633187797E-2</v>
      </c>
      <c r="AX182" s="56"/>
      <c r="AY182" s="54"/>
    </row>
    <row r="183" spans="1:51">
      <c r="A183" s="53"/>
      <c r="B183" s="56"/>
      <c r="C183" s="90" t="s">
        <v>95</v>
      </c>
      <c r="D183" s="230" t="s">
        <v>1757</v>
      </c>
      <c r="E183" s="68" t="s">
        <v>96</v>
      </c>
      <c r="F183" s="91" t="s">
        <v>200</v>
      </c>
      <c r="G183" s="91" t="s">
        <v>200</v>
      </c>
      <c r="H183" s="91" t="s">
        <v>200</v>
      </c>
      <c r="I183" s="91" t="s">
        <v>200</v>
      </c>
      <c r="J183" s="70">
        <v>0.9</v>
      </c>
      <c r="K183" s="71">
        <v>0.97826086956521696</v>
      </c>
      <c r="L183" s="71">
        <v>0.97674418604651203</v>
      </c>
      <c r="M183" s="72">
        <v>0.97619047619047605</v>
      </c>
      <c r="N183" s="71">
        <v>0.97684210526315796</v>
      </c>
      <c r="O183" s="73">
        <v>0.9</v>
      </c>
      <c r="P183" s="71">
        <v>0.93514644351464404</v>
      </c>
      <c r="Q183" s="71">
        <v>0.92936708860759498</v>
      </c>
      <c r="R183" s="71">
        <v>0.87915764613265102</v>
      </c>
      <c r="S183" s="71">
        <v>0.909349448986847</v>
      </c>
      <c r="T183" s="73">
        <v>0.9</v>
      </c>
      <c r="U183" s="71">
        <v>0.93793584379358397</v>
      </c>
      <c r="V183" s="71">
        <v>0.93518987341772197</v>
      </c>
      <c r="W183" s="71">
        <v>0.88643967722889205</v>
      </c>
      <c r="X183" s="71">
        <v>0.91586057215559302</v>
      </c>
      <c r="Y183" s="73">
        <v>0.92</v>
      </c>
      <c r="Z183" s="73">
        <v>0.95114093959731505</v>
      </c>
      <c r="AA183" s="73">
        <v>0.95627530364372504</v>
      </c>
      <c r="AB183" s="73">
        <v>0.92930633919681405</v>
      </c>
      <c r="AC183" s="73">
        <v>0.95603817045080597</v>
      </c>
      <c r="AD183" s="73">
        <v>0.92</v>
      </c>
      <c r="AE183" s="71">
        <v>0.97589658858975603</v>
      </c>
      <c r="AF183" s="71">
        <v>0.96882494004796205</v>
      </c>
      <c r="AG183" s="71">
        <v>0.97114572014970402</v>
      </c>
      <c r="AH183" s="71">
        <v>0.96593461290988303</v>
      </c>
      <c r="AI183" s="73">
        <v>0.92</v>
      </c>
      <c r="AJ183" s="71">
        <v>0.96412556053811704</v>
      </c>
      <c r="AK183" s="71">
        <v>0.97531340405014499</v>
      </c>
      <c r="AL183" s="71">
        <v>0.94910438542310105</v>
      </c>
      <c r="AM183" s="71">
        <v>0.97158121951510401</v>
      </c>
      <c r="AN183" s="70">
        <v>0.99</v>
      </c>
      <c r="AO183" s="75">
        <v>1</v>
      </c>
      <c r="AP183" s="75">
        <v>1</v>
      </c>
      <c r="AQ183" s="75">
        <v>1</v>
      </c>
      <c r="AR183" s="75">
        <v>1</v>
      </c>
      <c r="AS183" s="77">
        <v>0.10526149898194399</v>
      </c>
      <c r="AT183" s="79">
        <v>4.1666666666666699E-2</v>
      </c>
      <c r="AU183" s="79">
        <v>4.5454545454545497E-2</v>
      </c>
      <c r="AV183" s="79">
        <v>4.1666666666666699E-2</v>
      </c>
      <c r="AW183" s="79">
        <v>6.7264573991031404E-2</v>
      </c>
      <c r="AX183" s="56"/>
      <c r="AY183" s="54"/>
    </row>
    <row r="184" spans="1:51">
      <c r="A184" s="53"/>
      <c r="B184" s="56"/>
      <c r="C184" s="90" t="s">
        <v>95</v>
      </c>
      <c r="D184" s="230" t="s">
        <v>1757</v>
      </c>
      <c r="E184" s="68" t="s">
        <v>96</v>
      </c>
      <c r="F184" s="91" t="s">
        <v>201</v>
      </c>
      <c r="G184" s="91" t="s">
        <v>201</v>
      </c>
      <c r="H184" s="91" t="s">
        <v>201</v>
      </c>
      <c r="I184" s="91" t="s">
        <v>201</v>
      </c>
      <c r="J184" s="70">
        <v>0.9</v>
      </c>
      <c r="K184" s="71">
        <v>0.95833333333333304</v>
      </c>
      <c r="L184" s="71">
        <v>0.93055555555555602</v>
      </c>
      <c r="M184" s="72">
        <v>0.91549295774647899</v>
      </c>
      <c r="N184" s="71">
        <v>0.93928128872366801</v>
      </c>
      <c r="O184" s="73">
        <v>0.9</v>
      </c>
      <c r="P184" s="71">
        <v>0.89438349435074505</v>
      </c>
      <c r="Q184" s="71">
        <v>0.90092081031307503</v>
      </c>
      <c r="R184" s="71">
        <v>0.91587235806050604</v>
      </c>
      <c r="S184" s="71">
        <v>0.89590377025552603</v>
      </c>
      <c r="T184" s="73">
        <v>0.9</v>
      </c>
      <c r="U184" s="71">
        <v>0.87047650237432495</v>
      </c>
      <c r="V184" s="71">
        <v>0.91473296500920798</v>
      </c>
      <c r="W184" s="71">
        <v>0.87221991987843595</v>
      </c>
      <c r="X184" s="71">
        <v>0.89237462789100097</v>
      </c>
      <c r="Y184" s="73">
        <v>0.92</v>
      </c>
      <c r="Z184" s="73">
        <v>0.90929612148573802</v>
      </c>
      <c r="AA184" s="73">
        <v>0.90484234234234195</v>
      </c>
      <c r="AB184" s="73">
        <v>0.90200138026224996</v>
      </c>
      <c r="AC184" s="73">
        <v>0.92533202623532396</v>
      </c>
      <c r="AD184" s="73">
        <v>0.92</v>
      </c>
      <c r="AE184" s="71">
        <v>0.96999142612174905</v>
      </c>
      <c r="AF184" s="71">
        <v>0.96731054977711695</v>
      </c>
      <c r="AG184" s="71">
        <v>0.99283795881826298</v>
      </c>
      <c r="AH184" s="71">
        <v>0.96317566669325505</v>
      </c>
      <c r="AI184" s="73">
        <v>0.92</v>
      </c>
      <c r="AJ184" s="71">
        <v>0.92604735883424405</v>
      </c>
      <c r="AK184" s="71">
        <v>0.94602469821007396</v>
      </c>
      <c r="AL184" s="71">
        <v>0.93751078888313499</v>
      </c>
      <c r="AM184" s="71">
        <v>0.95161069927919895</v>
      </c>
      <c r="AN184" s="70">
        <v>0.99</v>
      </c>
      <c r="AO184" s="75">
        <v>1</v>
      </c>
      <c r="AP184" s="75">
        <v>1</v>
      </c>
      <c r="AQ184" s="75">
        <v>1</v>
      </c>
      <c r="AR184" s="75">
        <v>1</v>
      </c>
      <c r="AS184" s="77">
        <v>0.10526149898194399</v>
      </c>
      <c r="AT184" s="79">
        <v>0.225806451612903</v>
      </c>
      <c r="AU184" s="79">
        <v>0.20833333333333301</v>
      </c>
      <c r="AV184" s="79">
        <v>0.17241379310344801</v>
      </c>
      <c r="AW184" s="79">
        <v>0.124567474048443</v>
      </c>
      <c r="AX184" s="56"/>
      <c r="AY184" s="54"/>
    </row>
    <row r="185" spans="1:51">
      <c r="A185" s="53"/>
      <c r="B185" s="56"/>
      <c r="C185" s="90" t="s">
        <v>95</v>
      </c>
      <c r="D185" s="230" t="s">
        <v>1757</v>
      </c>
      <c r="E185" s="68" t="s">
        <v>96</v>
      </c>
      <c r="F185" s="91" t="s">
        <v>202</v>
      </c>
      <c r="G185" s="91" t="s">
        <v>202</v>
      </c>
      <c r="H185" s="91" t="s">
        <v>202</v>
      </c>
      <c r="I185" s="91" t="s">
        <v>202</v>
      </c>
      <c r="J185" s="70">
        <v>0.9</v>
      </c>
      <c r="K185" s="71">
        <v>0.95283018867924496</v>
      </c>
      <c r="L185" s="71">
        <v>0.97169811320754695</v>
      </c>
      <c r="M185" s="72">
        <v>0.95049504950495001</v>
      </c>
      <c r="N185" s="71">
        <v>0.95053003533568903</v>
      </c>
      <c r="O185" s="73">
        <v>0.9</v>
      </c>
      <c r="P185" s="71">
        <v>0.90301881289193497</v>
      </c>
      <c r="Q185" s="71">
        <v>0.92663128317202603</v>
      </c>
      <c r="R185" s="71">
        <v>0.899049012435991</v>
      </c>
      <c r="S185" s="71">
        <v>0.91695230181537002</v>
      </c>
      <c r="T185" s="73">
        <v>0.9</v>
      </c>
      <c r="U185" s="71">
        <v>0.89310193962374196</v>
      </c>
      <c r="V185" s="71">
        <v>0.91461130190446505</v>
      </c>
      <c r="W185" s="71">
        <v>0.88905145086564297</v>
      </c>
      <c r="X185" s="71">
        <v>0.90678484460293796</v>
      </c>
      <c r="Y185" s="73">
        <v>0.92</v>
      </c>
      <c r="Z185" s="73">
        <v>0.925968863862206</v>
      </c>
      <c r="AA185" s="73">
        <v>0.91988821611550997</v>
      </c>
      <c r="AB185" s="73">
        <v>0.92917642818525903</v>
      </c>
      <c r="AC185" s="73">
        <v>0.94227960956114099</v>
      </c>
      <c r="AD185" s="73">
        <v>0.92</v>
      </c>
      <c r="AE185" s="71">
        <v>0.99641641282924198</v>
      </c>
      <c r="AF185" s="71">
        <v>0.93960923623445802</v>
      </c>
      <c r="AG185" s="71">
        <v>0.99583007557988001</v>
      </c>
      <c r="AH185" s="71">
        <v>0.99201717152228397</v>
      </c>
      <c r="AI185" s="73">
        <v>0.92</v>
      </c>
      <c r="AJ185" s="71">
        <v>0.93728682170542599</v>
      </c>
      <c r="AK185" s="71">
        <v>0.95814334151759595</v>
      </c>
      <c r="AL185" s="71">
        <v>0.94895659128917298</v>
      </c>
      <c r="AM185" s="71">
        <v>0.96341313954913499</v>
      </c>
      <c r="AN185" s="70">
        <v>0.99</v>
      </c>
      <c r="AO185" s="75">
        <v>1</v>
      </c>
      <c r="AP185" s="75">
        <v>1</v>
      </c>
      <c r="AQ185" s="75">
        <v>1</v>
      </c>
      <c r="AR185" s="75">
        <v>1</v>
      </c>
      <c r="AS185" s="77">
        <v>0.10526149898194399</v>
      </c>
      <c r="AT185" s="79">
        <v>6.25E-2</v>
      </c>
      <c r="AU185" s="79">
        <v>0.125</v>
      </c>
      <c r="AV185" s="79">
        <v>4.5454545454545497E-2</v>
      </c>
      <c r="AW185" s="79">
        <v>8.7108013937282194E-2</v>
      </c>
      <c r="AX185" s="56"/>
      <c r="AY185" s="54"/>
    </row>
    <row r="186" spans="1:51">
      <c r="A186" s="53"/>
      <c r="B186" s="56"/>
      <c r="C186" s="90" t="s">
        <v>95</v>
      </c>
      <c r="D186" s="230" t="s">
        <v>1757</v>
      </c>
      <c r="E186" s="68" t="s">
        <v>96</v>
      </c>
      <c r="F186" s="91" t="s">
        <v>203</v>
      </c>
      <c r="G186" s="91" t="s">
        <v>203</v>
      </c>
      <c r="H186" s="91" t="s">
        <v>203</v>
      </c>
      <c r="I186" s="91" t="s">
        <v>203</v>
      </c>
      <c r="J186" s="70">
        <v>0.9</v>
      </c>
      <c r="K186" s="71" t="s">
        <v>1710</v>
      </c>
      <c r="L186" s="71" t="s">
        <v>1710</v>
      </c>
      <c r="M186" s="72" t="s">
        <v>1710</v>
      </c>
      <c r="N186" s="71">
        <v>0.86274509803921595</v>
      </c>
      <c r="O186" s="73">
        <v>0.9</v>
      </c>
      <c r="P186" s="71">
        <v>0.96153846153846201</v>
      </c>
      <c r="Q186" s="71">
        <v>0.94444444444444398</v>
      </c>
      <c r="R186" s="71">
        <v>0.93333333333333302</v>
      </c>
      <c r="S186" s="71">
        <v>0.67645850451931</v>
      </c>
      <c r="T186" s="73">
        <v>0.9</v>
      </c>
      <c r="U186" s="71">
        <v>1</v>
      </c>
      <c r="V186" s="71">
        <v>1</v>
      </c>
      <c r="W186" s="71">
        <v>1</v>
      </c>
      <c r="X186" s="71">
        <v>0.85476581758422399</v>
      </c>
      <c r="Y186" s="73">
        <v>0.92</v>
      </c>
      <c r="Z186" s="73">
        <v>1</v>
      </c>
      <c r="AA186" s="73">
        <v>1</v>
      </c>
      <c r="AB186" s="73">
        <v>1</v>
      </c>
      <c r="AC186" s="73">
        <v>0.97164667393674997</v>
      </c>
      <c r="AD186" s="73">
        <v>0.92</v>
      </c>
      <c r="AE186" s="71" t="s">
        <v>1710</v>
      </c>
      <c r="AF186" s="71" t="s">
        <v>1710</v>
      </c>
      <c r="AG186" s="71" t="s">
        <v>1710</v>
      </c>
      <c r="AH186" s="71">
        <v>0.96073903002309502</v>
      </c>
      <c r="AI186" s="73">
        <v>0.92</v>
      </c>
      <c r="AJ186" s="71">
        <v>1</v>
      </c>
      <c r="AK186" s="71">
        <v>1</v>
      </c>
      <c r="AL186" s="71">
        <v>1</v>
      </c>
      <c r="AM186" s="71">
        <v>0.98351291704530697</v>
      </c>
      <c r="AN186" s="70">
        <v>0.99</v>
      </c>
      <c r="AO186" s="75" t="s">
        <v>1710</v>
      </c>
      <c r="AP186" s="75" t="s">
        <v>1710</v>
      </c>
      <c r="AQ186" s="75" t="s">
        <v>1710</v>
      </c>
      <c r="AR186" s="75">
        <v>1</v>
      </c>
      <c r="AS186" s="77">
        <v>0.10526149898194399</v>
      </c>
      <c r="AT186" s="79" t="s">
        <v>1710</v>
      </c>
      <c r="AU186" s="79" t="s">
        <v>1710</v>
      </c>
      <c r="AV186" s="79" t="s">
        <v>1710</v>
      </c>
      <c r="AW186" s="79">
        <v>0.39130434782608697</v>
      </c>
      <c r="AX186" s="56"/>
      <c r="AY186" s="54"/>
    </row>
    <row r="187" spans="1:51">
      <c r="A187" s="53"/>
      <c r="B187" s="56"/>
      <c r="C187" s="90" t="s">
        <v>95</v>
      </c>
      <c r="D187" s="230" t="s">
        <v>1757</v>
      </c>
      <c r="E187" s="68" t="s">
        <v>96</v>
      </c>
      <c r="F187" s="91" t="s">
        <v>204</v>
      </c>
      <c r="G187" s="91" t="s">
        <v>204</v>
      </c>
      <c r="H187" s="91" t="s">
        <v>204</v>
      </c>
      <c r="I187" s="91" t="s">
        <v>204</v>
      </c>
      <c r="J187" s="70">
        <v>0.9</v>
      </c>
      <c r="K187" s="71" t="s">
        <v>1710</v>
      </c>
      <c r="L187" s="71" t="s">
        <v>1710</v>
      </c>
      <c r="M187" s="72" t="s">
        <v>1710</v>
      </c>
      <c r="N187" s="71" t="s">
        <v>1710</v>
      </c>
      <c r="O187" s="73">
        <v>0.9</v>
      </c>
      <c r="P187" s="71" t="s">
        <v>1710</v>
      </c>
      <c r="Q187" s="71" t="s">
        <v>1710</v>
      </c>
      <c r="R187" s="71" t="s">
        <v>1710</v>
      </c>
      <c r="S187" s="71" t="s">
        <v>1710</v>
      </c>
      <c r="T187" s="73">
        <v>0.9</v>
      </c>
      <c r="U187" s="71" t="s">
        <v>1710</v>
      </c>
      <c r="V187" s="71" t="s">
        <v>1710</v>
      </c>
      <c r="W187" s="71" t="s">
        <v>1710</v>
      </c>
      <c r="X187" s="71" t="s">
        <v>1710</v>
      </c>
      <c r="Y187" s="73">
        <v>0.92</v>
      </c>
      <c r="Z187" s="73" t="s">
        <v>1710</v>
      </c>
      <c r="AA187" s="73" t="s">
        <v>1710</v>
      </c>
      <c r="AB187" s="73" t="s">
        <v>1710</v>
      </c>
      <c r="AC187" s="73" t="s">
        <v>1710</v>
      </c>
      <c r="AD187" s="73">
        <v>0.92</v>
      </c>
      <c r="AE187" s="71">
        <v>1</v>
      </c>
      <c r="AF187" s="71">
        <v>0.5</v>
      </c>
      <c r="AG187" s="71">
        <v>0.86666666666666703</v>
      </c>
      <c r="AH187" s="71">
        <v>0.57894736842105299</v>
      </c>
      <c r="AI187" s="73">
        <v>0.92</v>
      </c>
      <c r="AJ187" s="71" t="s">
        <v>1710</v>
      </c>
      <c r="AK187" s="71" t="s">
        <v>1710</v>
      </c>
      <c r="AL187" s="71" t="s">
        <v>1710</v>
      </c>
      <c r="AM187" s="71" t="s">
        <v>1710</v>
      </c>
      <c r="AN187" s="70">
        <v>0.99</v>
      </c>
      <c r="AO187" s="75" t="s">
        <v>1710</v>
      </c>
      <c r="AP187" s="75" t="s">
        <v>1710</v>
      </c>
      <c r="AQ187" s="75" t="s">
        <v>1710</v>
      </c>
      <c r="AR187" s="75" t="s">
        <v>1710</v>
      </c>
      <c r="AS187" s="77">
        <v>0.10526149898194399</v>
      </c>
      <c r="AT187" s="79" t="s">
        <v>1710</v>
      </c>
      <c r="AU187" s="79" t="s">
        <v>1710</v>
      </c>
      <c r="AV187" s="79" t="s">
        <v>1710</v>
      </c>
      <c r="AW187" s="79" t="s">
        <v>1710</v>
      </c>
      <c r="AX187" s="56"/>
      <c r="AY187" s="54"/>
    </row>
    <row r="188" spans="1:51">
      <c r="A188" s="53"/>
      <c r="B188" s="56"/>
      <c r="C188" s="92"/>
      <c r="D188" s="230"/>
      <c r="E188" s="93"/>
      <c r="F188" s="93"/>
      <c r="G188" s="93"/>
      <c r="H188" s="93"/>
      <c r="I188" s="93"/>
      <c r="J188" s="84"/>
      <c r="K188" s="85"/>
      <c r="L188" s="85"/>
      <c r="M188" s="72"/>
      <c r="N188" s="85"/>
      <c r="O188" s="88"/>
      <c r="P188" s="85"/>
      <c r="Q188" s="85"/>
      <c r="R188" s="71"/>
      <c r="S188" s="85"/>
      <c r="T188" s="88"/>
      <c r="U188" s="85"/>
      <c r="V188" s="85"/>
      <c r="W188" s="71"/>
      <c r="X188" s="85"/>
      <c r="Y188" s="88"/>
      <c r="Z188" s="88"/>
      <c r="AA188" s="88"/>
      <c r="AB188" s="73"/>
      <c r="AC188" s="88"/>
      <c r="AD188" s="88"/>
      <c r="AE188" s="85"/>
      <c r="AF188" s="85"/>
      <c r="AG188" s="71"/>
      <c r="AH188" s="85"/>
      <c r="AI188" s="88"/>
      <c r="AJ188" s="85"/>
      <c r="AK188" s="85"/>
      <c r="AL188" s="71"/>
      <c r="AM188" s="85"/>
      <c r="AN188" s="84"/>
      <c r="AO188" s="84"/>
      <c r="AP188" s="84"/>
      <c r="AQ188" s="75"/>
      <c r="AR188" s="84"/>
      <c r="AS188" s="85"/>
      <c r="AT188" s="84"/>
      <c r="AU188" s="84"/>
      <c r="AV188" s="79"/>
      <c r="AW188" s="84"/>
      <c r="AX188" s="56"/>
      <c r="AY188" s="54"/>
    </row>
    <row r="189" spans="1:51">
      <c r="A189" s="53"/>
      <c r="B189" s="56"/>
      <c r="C189" s="90" t="s">
        <v>205</v>
      </c>
      <c r="D189" s="230" t="s">
        <v>1759</v>
      </c>
      <c r="E189" s="68" t="s">
        <v>206</v>
      </c>
      <c r="F189" s="94" t="s">
        <v>207</v>
      </c>
      <c r="G189" s="94" t="s">
        <v>207</v>
      </c>
      <c r="H189" s="94" t="s">
        <v>207</v>
      </c>
      <c r="I189" s="94" t="s">
        <v>207</v>
      </c>
      <c r="J189" s="70">
        <v>0.9</v>
      </c>
      <c r="K189" s="71" t="s">
        <v>1710</v>
      </c>
      <c r="L189" s="71" t="s">
        <v>1710</v>
      </c>
      <c r="M189" s="72" t="s">
        <v>1710</v>
      </c>
      <c r="N189" s="71" t="s">
        <v>1710</v>
      </c>
      <c r="O189" s="73">
        <v>0.9</v>
      </c>
      <c r="P189" s="71">
        <v>0</v>
      </c>
      <c r="Q189" s="71" t="s">
        <v>1710</v>
      </c>
      <c r="R189" s="71" t="s">
        <v>1710</v>
      </c>
      <c r="S189" s="71">
        <v>0</v>
      </c>
      <c r="T189" s="73">
        <v>0.9</v>
      </c>
      <c r="U189" s="71">
        <v>1</v>
      </c>
      <c r="V189" s="71" t="s">
        <v>1710</v>
      </c>
      <c r="W189" s="71" t="s">
        <v>1710</v>
      </c>
      <c r="X189" s="71">
        <v>1</v>
      </c>
      <c r="Y189" s="73">
        <v>0.92</v>
      </c>
      <c r="Z189" s="73" t="s">
        <v>1710</v>
      </c>
      <c r="AA189" s="73" t="s">
        <v>1710</v>
      </c>
      <c r="AB189" s="73" t="s">
        <v>1710</v>
      </c>
      <c r="AC189" s="73">
        <v>1</v>
      </c>
      <c r="AD189" s="73">
        <v>0.92</v>
      </c>
      <c r="AE189" s="71">
        <v>0.99897854954034704</v>
      </c>
      <c r="AF189" s="71">
        <v>0.998493975903614</v>
      </c>
      <c r="AG189" s="71">
        <v>0.99457994579945797</v>
      </c>
      <c r="AH189" s="71">
        <v>0.99526627218934904</v>
      </c>
      <c r="AI189" s="73">
        <v>0.92</v>
      </c>
      <c r="AJ189" s="71">
        <v>1</v>
      </c>
      <c r="AK189" s="71" t="s">
        <v>1710</v>
      </c>
      <c r="AL189" s="71" t="s">
        <v>1710</v>
      </c>
      <c r="AM189" s="71">
        <v>1</v>
      </c>
      <c r="AN189" s="70">
        <v>0.99</v>
      </c>
      <c r="AO189" s="75">
        <v>1</v>
      </c>
      <c r="AP189" s="75">
        <v>1</v>
      </c>
      <c r="AQ189" s="75">
        <v>1</v>
      </c>
      <c r="AR189" s="75">
        <v>1</v>
      </c>
      <c r="AS189" s="95">
        <v>7.19793575775068E-2</v>
      </c>
      <c r="AT189" s="79" t="s">
        <v>1710</v>
      </c>
      <c r="AU189" s="79" t="s">
        <v>1710</v>
      </c>
      <c r="AV189" s="79" t="s">
        <v>1710</v>
      </c>
      <c r="AW189" s="79" t="s">
        <v>1710</v>
      </c>
      <c r="AX189" s="56"/>
      <c r="AY189" s="54"/>
    </row>
    <row r="190" spans="1:51">
      <c r="A190" s="53"/>
      <c r="B190" s="56"/>
      <c r="C190" s="90" t="s">
        <v>205</v>
      </c>
      <c r="D190" s="230" t="s">
        <v>1757</v>
      </c>
      <c r="E190" s="68" t="s">
        <v>206</v>
      </c>
      <c r="F190" s="94" t="s">
        <v>208</v>
      </c>
      <c r="G190" s="94" t="s">
        <v>208</v>
      </c>
      <c r="H190" s="94" t="s">
        <v>208</v>
      </c>
      <c r="I190" s="94" t="s">
        <v>208</v>
      </c>
      <c r="J190" s="70">
        <v>0.9</v>
      </c>
      <c r="K190" s="71">
        <v>0.95</v>
      </c>
      <c r="L190" s="71">
        <v>0.92727272727272703</v>
      </c>
      <c r="M190" s="72">
        <v>0.94736842105263197</v>
      </c>
      <c r="N190" s="71">
        <v>0.96217851739788196</v>
      </c>
      <c r="O190" s="73">
        <v>0.9</v>
      </c>
      <c r="P190" s="71">
        <v>0.967251768404506</v>
      </c>
      <c r="Q190" s="71">
        <v>0.95744680851063801</v>
      </c>
      <c r="R190" s="71">
        <v>0.95879252515572599</v>
      </c>
      <c r="S190" s="71">
        <v>0.95796033994334295</v>
      </c>
      <c r="T190" s="73">
        <v>0.9</v>
      </c>
      <c r="U190" s="71">
        <v>0.92533403196227404</v>
      </c>
      <c r="V190" s="71">
        <v>0.900709219858156</v>
      </c>
      <c r="W190" s="71">
        <v>0.88907522759942503</v>
      </c>
      <c r="X190" s="71">
        <v>0.90776203966005697</v>
      </c>
      <c r="Y190" s="73">
        <v>0.92</v>
      </c>
      <c r="Z190" s="73">
        <v>0.94428826986966496</v>
      </c>
      <c r="AA190" s="73">
        <v>0.92460881934566097</v>
      </c>
      <c r="AB190" s="73">
        <v>0.92639429312581101</v>
      </c>
      <c r="AC190" s="73">
        <v>0.94647973178908895</v>
      </c>
      <c r="AD190" s="73">
        <v>0.92</v>
      </c>
      <c r="AE190" s="71">
        <v>0.99741602067183499</v>
      </c>
      <c r="AF190" s="71">
        <v>0.98431144683323601</v>
      </c>
      <c r="AG190" s="71">
        <v>0.99786982248520695</v>
      </c>
      <c r="AH190" s="71">
        <v>0.995527693895493</v>
      </c>
      <c r="AI190" s="73">
        <v>0.92</v>
      </c>
      <c r="AJ190" s="71">
        <v>0.96144890038809805</v>
      </c>
      <c r="AK190" s="71">
        <v>0.96077698916697796</v>
      </c>
      <c r="AL190" s="71">
        <v>0.95151515151515198</v>
      </c>
      <c r="AM190" s="71">
        <v>0.96473921576272703</v>
      </c>
      <c r="AN190" s="70">
        <v>0.99</v>
      </c>
      <c r="AO190" s="75">
        <v>1</v>
      </c>
      <c r="AP190" s="75">
        <v>1</v>
      </c>
      <c r="AQ190" s="75">
        <v>1</v>
      </c>
      <c r="AR190" s="75">
        <v>1</v>
      </c>
      <c r="AS190" s="95">
        <v>7.19793575775068E-2</v>
      </c>
      <c r="AT190" s="79">
        <v>0</v>
      </c>
      <c r="AU190" s="79">
        <v>0.13793103448275901</v>
      </c>
      <c r="AV190" s="79">
        <v>0.11111111111111099</v>
      </c>
      <c r="AW190" s="79">
        <v>9.6916299559471397E-2</v>
      </c>
      <c r="AX190" s="56"/>
      <c r="AY190" s="54"/>
    </row>
    <row r="191" spans="1:51">
      <c r="A191" s="53"/>
      <c r="B191" s="56"/>
      <c r="C191" s="90" t="s">
        <v>205</v>
      </c>
      <c r="D191" s="230" t="s">
        <v>1757</v>
      </c>
      <c r="E191" s="68" t="s">
        <v>206</v>
      </c>
      <c r="F191" s="94" t="s">
        <v>209</v>
      </c>
      <c r="G191" s="94" t="s">
        <v>209</v>
      </c>
      <c r="H191" s="94" t="s">
        <v>209</v>
      </c>
      <c r="I191" s="94" t="s">
        <v>209</v>
      </c>
      <c r="J191" s="70">
        <v>0.9</v>
      </c>
      <c r="K191" s="71">
        <v>1</v>
      </c>
      <c r="L191" s="71">
        <v>1</v>
      </c>
      <c r="M191" s="72">
        <v>1</v>
      </c>
      <c r="N191" s="71">
        <v>0.98978288633460998</v>
      </c>
      <c r="O191" s="73">
        <v>0.9</v>
      </c>
      <c r="P191" s="71">
        <v>0.93762525050100198</v>
      </c>
      <c r="Q191" s="71">
        <v>0.94338253084926205</v>
      </c>
      <c r="R191" s="71">
        <v>0.96295498600043095</v>
      </c>
      <c r="S191" s="71">
        <v>0.95545689210118701</v>
      </c>
      <c r="T191" s="73">
        <v>0.9</v>
      </c>
      <c r="U191" s="71">
        <v>0.92510020040080199</v>
      </c>
      <c r="V191" s="71">
        <v>0.92717154609242702</v>
      </c>
      <c r="W191" s="71">
        <v>0.93667887141934103</v>
      </c>
      <c r="X191" s="71">
        <v>0.93160557563242097</v>
      </c>
      <c r="Y191" s="73">
        <v>0.92</v>
      </c>
      <c r="Z191" s="73">
        <v>0.94719155064810401</v>
      </c>
      <c r="AA191" s="73">
        <v>0.95163487738419605</v>
      </c>
      <c r="AB191" s="73">
        <v>0.96347452424800495</v>
      </c>
      <c r="AC191" s="73">
        <v>0.96103750908379404</v>
      </c>
      <c r="AD191" s="73">
        <v>0.92</v>
      </c>
      <c r="AE191" s="71">
        <v>0.99729938271604901</v>
      </c>
      <c r="AF191" s="71">
        <v>0.99778924097273403</v>
      </c>
      <c r="AG191" s="71">
        <v>0.99805730937348203</v>
      </c>
      <c r="AH191" s="71">
        <v>0.99867791201276501</v>
      </c>
      <c r="AI191" s="73">
        <v>0.92</v>
      </c>
      <c r="AJ191" s="71">
        <v>0.96187791125275801</v>
      </c>
      <c r="AK191" s="71">
        <v>0.97572295608711201</v>
      </c>
      <c r="AL191" s="71">
        <v>0.97532582563583403</v>
      </c>
      <c r="AM191" s="71">
        <v>0.975990025529894</v>
      </c>
      <c r="AN191" s="70">
        <v>0.99</v>
      </c>
      <c r="AO191" s="75">
        <v>1</v>
      </c>
      <c r="AP191" s="75">
        <v>1</v>
      </c>
      <c r="AQ191" s="75">
        <v>1</v>
      </c>
      <c r="AR191" s="75">
        <v>1</v>
      </c>
      <c r="AS191" s="95">
        <v>7.19793575775068E-2</v>
      </c>
      <c r="AT191" s="79">
        <v>0.1</v>
      </c>
      <c r="AU191" s="79">
        <v>5.6603773584905703E-2</v>
      </c>
      <c r="AV191" s="79">
        <v>6.7796610169491497E-2</v>
      </c>
      <c r="AW191" s="79">
        <v>5.73529411764706E-2</v>
      </c>
      <c r="AX191" s="56"/>
      <c r="AY191" s="54"/>
    </row>
    <row r="192" spans="1:51">
      <c r="A192" s="53"/>
      <c r="B192" s="56"/>
      <c r="C192" s="90" t="s">
        <v>205</v>
      </c>
      <c r="D192" s="230" t="s">
        <v>1759</v>
      </c>
      <c r="E192" s="68" t="s">
        <v>206</v>
      </c>
      <c r="F192" s="94" t="s">
        <v>210</v>
      </c>
      <c r="G192" s="94" t="s">
        <v>210</v>
      </c>
      <c r="H192" s="94" t="s">
        <v>210</v>
      </c>
      <c r="I192" s="94" t="s">
        <v>210</v>
      </c>
      <c r="J192" s="70">
        <v>0.9</v>
      </c>
      <c r="K192" s="71" t="s">
        <v>1710</v>
      </c>
      <c r="L192" s="71" t="s">
        <v>1710</v>
      </c>
      <c r="M192" s="72" t="s">
        <v>1710</v>
      </c>
      <c r="N192" s="71" t="s">
        <v>1710</v>
      </c>
      <c r="O192" s="73">
        <v>0.9</v>
      </c>
      <c r="P192" s="71">
        <v>0</v>
      </c>
      <c r="Q192" s="71">
        <v>0</v>
      </c>
      <c r="R192" s="71">
        <v>0</v>
      </c>
      <c r="S192" s="71">
        <v>0</v>
      </c>
      <c r="T192" s="73">
        <v>0.9</v>
      </c>
      <c r="U192" s="71">
        <v>0.8</v>
      </c>
      <c r="V192" s="71">
        <v>0.42857142857142899</v>
      </c>
      <c r="W192" s="71">
        <v>0.6</v>
      </c>
      <c r="X192" s="71">
        <v>0.7578125</v>
      </c>
      <c r="Y192" s="73">
        <v>0.92</v>
      </c>
      <c r="Z192" s="73">
        <v>0.57142857142857095</v>
      </c>
      <c r="AA192" s="73" t="s">
        <v>1710</v>
      </c>
      <c r="AB192" s="73">
        <v>0</v>
      </c>
      <c r="AC192" s="73">
        <v>0.65384615384615397</v>
      </c>
      <c r="AD192" s="73">
        <v>0.92</v>
      </c>
      <c r="AE192" s="71">
        <v>0.99728470383158496</v>
      </c>
      <c r="AF192" s="71">
        <v>0.99567053060172095</v>
      </c>
      <c r="AG192" s="71">
        <v>0.99770595196382394</v>
      </c>
      <c r="AH192" s="71">
        <v>0.99503125104802703</v>
      </c>
      <c r="AI192" s="73">
        <v>0.92</v>
      </c>
      <c r="AJ192" s="71">
        <v>0.81081081081081097</v>
      </c>
      <c r="AK192" s="71">
        <v>0.42857142857142899</v>
      </c>
      <c r="AL192" s="71">
        <v>0.5</v>
      </c>
      <c r="AM192" s="71">
        <v>0.81666666666666698</v>
      </c>
      <c r="AN192" s="70">
        <v>0.99</v>
      </c>
      <c r="AO192" s="75">
        <v>1</v>
      </c>
      <c r="AP192" s="75">
        <v>1</v>
      </c>
      <c r="AQ192" s="75">
        <v>1</v>
      </c>
      <c r="AR192" s="75">
        <v>1</v>
      </c>
      <c r="AS192" s="95">
        <v>7.19793575775068E-2</v>
      </c>
      <c r="AT192" s="79" t="s">
        <v>1710</v>
      </c>
      <c r="AU192" s="79" t="s">
        <v>1710</v>
      </c>
      <c r="AV192" s="79" t="s">
        <v>1710</v>
      </c>
      <c r="AW192" s="79" t="s">
        <v>1710</v>
      </c>
      <c r="AX192" s="56"/>
      <c r="AY192" s="54"/>
    </row>
    <row r="193" spans="1:51" s="47" customFormat="1">
      <c r="A193" s="53"/>
      <c r="C193" s="90" t="s">
        <v>205</v>
      </c>
      <c r="D193" s="230" t="s">
        <v>1757</v>
      </c>
      <c r="E193" s="68" t="s">
        <v>206</v>
      </c>
      <c r="F193" s="94" t="s">
        <v>211</v>
      </c>
      <c r="G193" s="94" t="s">
        <v>211</v>
      </c>
      <c r="H193" s="94" t="s">
        <v>211</v>
      </c>
      <c r="I193" s="94" t="s">
        <v>211</v>
      </c>
      <c r="J193" s="70">
        <v>0.9</v>
      </c>
      <c r="K193" s="71">
        <v>0.94067796610169496</v>
      </c>
      <c r="L193" s="71">
        <v>0.94791666666666696</v>
      </c>
      <c r="M193" s="72">
        <v>0.934579439252336</v>
      </c>
      <c r="N193" s="71">
        <v>0.93895582329317295</v>
      </c>
      <c r="O193" s="73">
        <v>0.9</v>
      </c>
      <c r="P193" s="71">
        <v>0.98787537008318105</v>
      </c>
      <c r="Q193" s="71">
        <v>0.98913770053475902</v>
      </c>
      <c r="R193" s="71">
        <v>0.987792472024415</v>
      </c>
      <c r="S193" s="71">
        <v>0.98926921537957901</v>
      </c>
      <c r="T193" s="73">
        <v>0.9</v>
      </c>
      <c r="U193" s="71">
        <v>0.931904694769491</v>
      </c>
      <c r="V193" s="71">
        <v>0.926804812834225</v>
      </c>
      <c r="W193" s="71">
        <v>0.91836215666327603</v>
      </c>
      <c r="X193" s="71">
        <v>0.92878881573363403</v>
      </c>
      <c r="Y193" s="73">
        <v>0.92</v>
      </c>
      <c r="Z193" s="73">
        <v>0.96263178967035901</v>
      </c>
      <c r="AA193" s="73">
        <v>0.957752429235319</v>
      </c>
      <c r="AB193" s="73">
        <v>0.95587063884020995</v>
      </c>
      <c r="AC193" s="73">
        <v>0.96558151093439404</v>
      </c>
      <c r="AD193" s="73">
        <v>0.92</v>
      </c>
      <c r="AE193" s="71">
        <v>0.99792599061237897</v>
      </c>
      <c r="AF193" s="71">
        <v>0.99691963035564302</v>
      </c>
      <c r="AG193" s="71">
        <v>0.99017295597484301</v>
      </c>
      <c r="AH193" s="71">
        <v>0.97287207565953204</v>
      </c>
      <c r="AI193" s="73">
        <v>0.92</v>
      </c>
      <c r="AJ193" s="71">
        <v>0.97401617989853295</v>
      </c>
      <c r="AK193" s="71">
        <v>0.97713122605364</v>
      </c>
      <c r="AL193" s="71">
        <v>0.97100629375574599</v>
      </c>
      <c r="AM193" s="71">
        <v>0.97848510638297903</v>
      </c>
      <c r="AN193" s="70">
        <v>0.99</v>
      </c>
      <c r="AO193" s="75">
        <v>1</v>
      </c>
      <c r="AP193" s="75">
        <v>1</v>
      </c>
      <c r="AQ193" s="75">
        <v>1</v>
      </c>
      <c r="AR193" s="75">
        <v>1</v>
      </c>
      <c r="AS193" s="95">
        <v>7.19793575775068E-2</v>
      </c>
      <c r="AT193" s="79">
        <v>4.3478260869565202E-2</v>
      </c>
      <c r="AU193" s="79">
        <v>0.20512820512820501</v>
      </c>
      <c r="AV193" s="79">
        <v>9.8360655737704902E-2</v>
      </c>
      <c r="AW193" s="79">
        <v>6.9632495164410099E-2</v>
      </c>
      <c r="AX193" s="50"/>
      <c r="AY193" s="54"/>
    </row>
    <row r="194" spans="1:51">
      <c r="A194" s="53"/>
      <c r="B194" s="56"/>
      <c r="C194" s="90" t="s">
        <v>205</v>
      </c>
      <c r="D194" s="230" t="s">
        <v>1757</v>
      </c>
      <c r="E194" s="68" t="s">
        <v>206</v>
      </c>
      <c r="F194" s="94" t="s">
        <v>212</v>
      </c>
      <c r="G194" s="94" t="s">
        <v>212</v>
      </c>
      <c r="H194" s="94" t="s">
        <v>212</v>
      </c>
      <c r="I194" s="94" t="s">
        <v>212</v>
      </c>
      <c r="J194" s="70">
        <v>0.9</v>
      </c>
      <c r="K194" s="71">
        <v>0.88311688311688297</v>
      </c>
      <c r="L194" s="71">
        <v>0.90540540540540504</v>
      </c>
      <c r="M194" s="72">
        <v>0.91549295774647899</v>
      </c>
      <c r="N194" s="71">
        <v>0.88135593220339004</v>
      </c>
      <c r="O194" s="73">
        <v>0.9</v>
      </c>
      <c r="P194" s="71">
        <v>0.90155335888642296</v>
      </c>
      <c r="Q194" s="71">
        <v>0.89365750528541199</v>
      </c>
      <c r="R194" s="71">
        <v>0.89859594383775399</v>
      </c>
      <c r="S194" s="71">
        <v>0.93092069079309203</v>
      </c>
      <c r="T194" s="73">
        <v>0.9</v>
      </c>
      <c r="U194" s="71">
        <v>0.90881581601775296</v>
      </c>
      <c r="V194" s="71">
        <v>0.91797040169133204</v>
      </c>
      <c r="W194" s="71">
        <v>0.92979719188767596</v>
      </c>
      <c r="X194" s="71">
        <v>0.91524584754152505</v>
      </c>
      <c r="Y194" s="73">
        <v>0.92</v>
      </c>
      <c r="Z194" s="73">
        <v>0.92080618892508104</v>
      </c>
      <c r="AA194" s="73">
        <v>0.91296409007912405</v>
      </c>
      <c r="AB194" s="73">
        <v>0.92617449664429496</v>
      </c>
      <c r="AC194" s="73">
        <v>0.92619859475098198</v>
      </c>
      <c r="AD194" s="73">
        <v>0.92</v>
      </c>
      <c r="AE194" s="71">
        <v>0.97660098522167504</v>
      </c>
      <c r="AF194" s="71">
        <v>0.96086956521739098</v>
      </c>
      <c r="AG194" s="71">
        <v>0.98378378378378395</v>
      </c>
      <c r="AH194" s="71">
        <v>0.98023211325086101</v>
      </c>
      <c r="AI194" s="73">
        <v>0.92</v>
      </c>
      <c r="AJ194" s="71">
        <v>0.94478216818642302</v>
      </c>
      <c r="AK194" s="71">
        <v>0.95794759140122399</v>
      </c>
      <c r="AL194" s="71">
        <v>0.95542791499138402</v>
      </c>
      <c r="AM194" s="71">
        <v>0.95366965099447798</v>
      </c>
      <c r="AN194" s="70">
        <v>0.99</v>
      </c>
      <c r="AO194" s="75">
        <v>1</v>
      </c>
      <c r="AP194" s="75">
        <v>1</v>
      </c>
      <c r="AQ194" s="75">
        <v>1</v>
      </c>
      <c r="AR194" s="75">
        <v>1</v>
      </c>
      <c r="AS194" s="95">
        <v>7.19793575775068E-2</v>
      </c>
      <c r="AT194" s="79">
        <v>6.25E-2</v>
      </c>
      <c r="AU194" s="79">
        <v>0.2</v>
      </c>
      <c r="AV194" s="79">
        <v>0.107142857142857</v>
      </c>
      <c r="AW194" s="79">
        <v>8.2191780821917804E-2</v>
      </c>
      <c r="AX194" s="56"/>
      <c r="AY194" s="54"/>
    </row>
    <row r="195" spans="1:51">
      <c r="A195" s="53"/>
      <c r="B195" s="56"/>
      <c r="C195" s="90" t="s">
        <v>205</v>
      </c>
      <c r="D195" s="230" t="s">
        <v>1757</v>
      </c>
      <c r="E195" s="68" t="s">
        <v>206</v>
      </c>
      <c r="F195" s="94" t="s">
        <v>213</v>
      </c>
      <c r="G195" s="94" t="s">
        <v>213</v>
      </c>
      <c r="H195" s="94" t="s">
        <v>213</v>
      </c>
      <c r="I195" s="94" t="s">
        <v>213</v>
      </c>
      <c r="J195" s="70">
        <v>0.9</v>
      </c>
      <c r="K195" s="71">
        <v>1</v>
      </c>
      <c r="L195" s="71">
        <v>0.96969696969696995</v>
      </c>
      <c r="M195" s="72">
        <v>1</v>
      </c>
      <c r="N195" s="71">
        <v>0.94711538461538503</v>
      </c>
      <c r="O195" s="73">
        <v>0.9</v>
      </c>
      <c r="P195" s="71">
        <v>0.934965290464012</v>
      </c>
      <c r="Q195" s="71">
        <v>0.95488165680473402</v>
      </c>
      <c r="R195" s="71">
        <v>0.94964299135663299</v>
      </c>
      <c r="S195" s="71">
        <v>0.95078872428246897</v>
      </c>
      <c r="T195" s="73">
        <v>0.9</v>
      </c>
      <c r="U195" s="71">
        <v>0.90208257215929899</v>
      </c>
      <c r="V195" s="71">
        <v>0.89681952662721898</v>
      </c>
      <c r="W195" s="71">
        <v>0.92709507703870697</v>
      </c>
      <c r="X195" s="71">
        <v>0.92263142738297099</v>
      </c>
      <c r="Y195" s="73">
        <v>0.92</v>
      </c>
      <c r="Z195" s="73">
        <v>0.91621411947245901</v>
      </c>
      <c r="AA195" s="73">
        <v>0.92932862190812704</v>
      </c>
      <c r="AB195" s="73">
        <v>0.93307278944797301</v>
      </c>
      <c r="AC195" s="73">
        <v>0.94312863423627902</v>
      </c>
      <c r="AD195" s="73">
        <v>0.92</v>
      </c>
      <c r="AE195" s="71">
        <v>0.76914893617021296</v>
      </c>
      <c r="AF195" s="71">
        <v>0.86719367588932805</v>
      </c>
      <c r="AG195" s="71">
        <v>1</v>
      </c>
      <c r="AH195" s="71">
        <v>0.86133505320864201</v>
      </c>
      <c r="AI195" s="73">
        <v>0.92</v>
      </c>
      <c r="AJ195" s="71">
        <v>0.93904045155221105</v>
      </c>
      <c r="AK195" s="71">
        <v>0.95890796509991605</v>
      </c>
      <c r="AL195" s="71">
        <v>0.95328095136971802</v>
      </c>
      <c r="AM195" s="71">
        <v>0.96456850661120797</v>
      </c>
      <c r="AN195" s="70">
        <v>0.99</v>
      </c>
      <c r="AO195" s="75">
        <v>1</v>
      </c>
      <c r="AP195" s="75">
        <v>1</v>
      </c>
      <c r="AQ195" s="75">
        <v>1</v>
      </c>
      <c r="AR195" s="75">
        <v>1</v>
      </c>
      <c r="AS195" s="95">
        <v>7.19793575775068E-2</v>
      </c>
      <c r="AT195" s="79">
        <v>0</v>
      </c>
      <c r="AU195" s="79">
        <v>0.23529411764705899</v>
      </c>
      <c r="AV195" s="79">
        <v>0.1</v>
      </c>
      <c r="AW195" s="79">
        <v>7.5235109717868301E-2</v>
      </c>
      <c r="AX195" s="56"/>
      <c r="AY195" s="54"/>
    </row>
    <row r="196" spans="1:51">
      <c r="A196" s="53"/>
      <c r="B196" s="56"/>
      <c r="C196" s="90" t="s">
        <v>205</v>
      </c>
      <c r="D196" s="230" t="s">
        <v>1759</v>
      </c>
      <c r="E196" s="68" t="s">
        <v>206</v>
      </c>
      <c r="F196" s="94" t="s">
        <v>214</v>
      </c>
      <c r="G196" s="94" t="s">
        <v>214</v>
      </c>
      <c r="H196" s="94" t="s">
        <v>214</v>
      </c>
      <c r="I196" s="94" t="s">
        <v>214</v>
      </c>
      <c r="J196" s="70">
        <v>0.9</v>
      </c>
      <c r="K196" s="71" t="s">
        <v>1710</v>
      </c>
      <c r="L196" s="71" t="s">
        <v>1710</v>
      </c>
      <c r="M196" s="72" t="s">
        <v>1710</v>
      </c>
      <c r="N196" s="71" t="s">
        <v>1710</v>
      </c>
      <c r="O196" s="73">
        <v>0.9</v>
      </c>
      <c r="P196" s="71">
        <v>0</v>
      </c>
      <c r="Q196" s="71">
        <v>0</v>
      </c>
      <c r="R196" s="71">
        <v>0</v>
      </c>
      <c r="S196" s="71">
        <v>0</v>
      </c>
      <c r="T196" s="73">
        <v>0.9</v>
      </c>
      <c r="U196" s="71">
        <v>0.86363636363636398</v>
      </c>
      <c r="V196" s="71">
        <v>0.9</v>
      </c>
      <c r="W196" s="71">
        <v>0.92307692307692302</v>
      </c>
      <c r="X196" s="71">
        <v>0.95804195804195802</v>
      </c>
      <c r="Y196" s="73">
        <v>0.92</v>
      </c>
      <c r="Z196" s="73">
        <v>0.5</v>
      </c>
      <c r="AA196" s="73">
        <v>1</v>
      </c>
      <c r="AB196" s="73">
        <v>0.6</v>
      </c>
      <c r="AC196" s="73">
        <v>0.96103896103896103</v>
      </c>
      <c r="AD196" s="73">
        <v>0.92</v>
      </c>
      <c r="AE196" s="71">
        <v>0.998949096880131</v>
      </c>
      <c r="AF196" s="71">
        <v>0.99835523206352195</v>
      </c>
      <c r="AG196" s="71">
        <v>0.99877983918906199</v>
      </c>
      <c r="AH196" s="71">
        <v>0.97378948278436595</v>
      </c>
      <c r="AI196" s="73">
        <v>0.92</v>
      </c>
      <c r="AJ196" s="71">
        <v>0.88461538461538503</v>
      </c>
      <c r="AK196" s="71">
        <v>0.75</v>
      </c>
      <c r="AL196" s="71">
        <v>0.83333333333333304</v>
      </c>
      <c r="AM196" s="71">
        <v>0.94713656387665202</v>
      </c>
      <c r="AN196" s="70">
        <v>0.99</v>
      </c>
      <c r="AO196" s="75">
        <v>1</v>
      </c>
      <c r="AP196" s="75">
        <v>1</v>
      </c>
      <c r="AQ196" s="75">
        <v>1</v>
      </c>
      <c r="AR196" s="75">
        <v>1</v>
      </c>
      <c r="AS196" s="95">
        <v>7.19793575775068E-2</v>
      </c>
      <c r="AT196" s="79" t="s">
        <v>1710</v>
      </c>
      <c r="AU196" s="79" t="s">
        <v>1710</v>
      </c>
      <c r="AV196" s="79" t="s">
        <v>1710</v>
      </c>
      <c r="AW196" s="79" t="s">
        <v>1710</v>
      </c>
      <c r="AX196" s="56"/>
      <c r="AY196" s="54"/>
    </row>
    <row r="197" spans="1:51">
      <c r="A197" s="53"/>
      <c r="B197" s="56"/>
      <c r="C197" s="90" t="s">
        <v>205</v>
      </c>
      <c r="D197" s="230" t="s">
        <v>1757</v>
      </c>
      <c r="E197" s="68" t="s">
        <v>206</v>
      </c>
      <c r="F197" s="94" t="s">
        <v>215</v>
      </c>
      <c r="G197" s="94" t="s">
        <v>215</v>
      </c>
      <c r="H197" s="94" t="s">
        <v>215</v>
      </c>
      <c r="I197" s="94" t="s">
        <v>215</v>
      </c>
      <c r="J197" s="70">
        <v>0.9</v>
      </c>
      <c r="K197" s="71">
        <v>0.931506849315068</v>
      </c>
      <c r="L197" s="71">
        <v>0.88059701492537301</v>
      </c>
      <c r="M197" s="72">
        <v>0.95522388059701502</v>
      </c>
      <c r="N197" s="71">
        <v>0.92874999999999996</v>
      </c>
      <c r="O197" s="73">
        <v>0.9</v>
      </c>
      <c r="P197" s="71">
        <v>0.96582365003417603</v>
      </c>
      <c r="Q197" s="71">
        <v>0.97494007409021599</v>
      </c>
      <c r="R197" s="71">
        <v>0.92721455708858203</v>
      </c>
      <c r="S197" s="71">
        <v>0.93571628558096098</v>
      </c>
      <c r="T197" s="73">
        <v>0.9</v>
      </c>
      <c r="U197" s="71">
        <v>0.91979949874686695</v>
      </c>
      <c r="V197" s="71">
        <v>0.89954238396164699</v>
      </c>
      <c r="W197" s="71">
        <v>0.89422115576884598</v>
      </c>
      <c r="X197" s="71">
        <v>0.90725151656556202</v>
      </c>
      <c r="Y197" s="73">
        <v>0.92</v>
      </c>
      <c r="Z197" s="73">
        <v>0.91384928716904301</v>
      </c>
      <c r="AA197" s="73">
        <v>0.92744294909303704</v>
      </c>
      <c r="AB197" s="73">
        <v>0.91939677587103497</v>
      </c>
      <c r="AC197" s="73">
        <v>0.93214574106247094</v>
      </c>
      <c r="AD197" s="73">
        <v>0.92</v>
      </c>
      <c r="AE197" s="71">
        <v>0.98917657045840401</v>
      </c>
      <c r="AF197" s="71">
        <v>0.96556122448979598</v>
      </c>
      <c r="AG197" s="71">
        <v>0.99769585253456206</v>
      </c>
      <c r="AH197" s="71">
        <v>0.98474099390675396</v>
      </c>
      <c r="AI197" s="73">
        <v>0.92</v>
      </c>
      <c r="AJ197" s="71">
        <v>0.93763440860215097</v>
      </c>
      <c r="AK197" s="71">
        <v>0.95395363607494399</v>
      </c>
      <c r="AL197" s="71">
        <v>0.93602351079461998</v>
      </c>
      <c r="AM197" s="71">
        <v>0.95354401566883695</v>
      </c>
      <c r="AN197" s="70">
        <v>0.99</v>
      </c>
      <c r="AO197" s="75">
        <v>1</v>
      </c>
      <c r="AP197" s="75">
        <v>1</v>
      </c>
      <c r="AQ197" s="75">
        <v>1</v>
      </c>
      <c r="AR197" s="75">
        <v>1</v>
      </c>
      <c r="AS197" s="95">
        <v>7.19793575775068E-2</v>
      </c>
      <c r="AT197" s="79">
        <v>0.154929577464789</v>
      </c>
      <c r="AU197" s="79">
        <v>4.6153846153846198E-2</v>
      </c>
      <c r="AV197" s="79">
        <v>7.9545454545454503E-2</v>
      </c>
      <c r="AW197" s="79">
        <v>5.3921568627450997E-2</v>
      </c>
      <c r="AX197" s="56"/>
      <c r="AY197" s="54"/>
    </row>
    <row r="198" spans="1:51" s="48" customFormat="1">
      <c r="A198" s="53"/>
      <c r="C198" s="90" t="s">
        <v>205</v>
      </c>
      <c r="D198" s="230" t="s">
        <v>1757</v>
      </c>
      <c r="E198" s="68" t="s">
        <v>206</v>
      </c>
      <c r="F198" s="94" t="s">
        <v>216</v>
      </c>
      <c r="G198" s="94" t="s">
        <v>216</v>
      </c>
      <c r="H198" s="94" t="s">
        <v>216</v>
      </c>
      <c r="I198" s="94" t="s">
        <v>216</v>
      </c>
      <c r="J198" s="70">
        <v>0.9</v>
      </c>
      <c r="K198" s="71">
        <v>0.97368421052631604</v>
      </c>
      <c r="L198" s="71">
        <v>0.94117647058823495</v>
      </c>
      <c r="M198" s="72">
        <v>0.97368421052631604</v>
      </c>
      <c r="N198" s="71">
        <v>0.96279069767441905</v>
      </c>
      <c r="O198" s="73">
        <v>0.9</v>
      </c>
      <c r="P198" s="71">
        <v>0.96930022573363395</v>
      </c>
      <c r="Q198" s="71">
        <v>0.97275922671353299</v>
      </c>
      <c r="R198" s="71">
        <v>0.97873985311171197</v>
      </c>
      <c r="S198" s="71">
        <v>0.97502020424656499</v>
      </c>
      <c r="T198" s="73">
        <v>0.9</v>
      </c>
      <c r="U198" s="71">
        <v>0.91241534988713302</v>
      </c>
      <c r="V198" s="71">
        <v>0.88093145869947298</v>
      </c>
      <c r="W198" s="71">
        <v>0.90761499806725898</v>
      </c>
      <c r="X198" s="71">
        <v>0.91595033428844297</v>
      </c>
      <c r="Y198" s="73">
        <v>0.92</v>
      </c>
      <c r="Z198" s="73">
        <v>0.92514395393474103</v>
      </c>
      <c r="AA198" s="73">
        <v>0.89851767388825499</v>
      </c>
      <c r="AB198" s="73">
        <v>0.92530487804878003</v>
      </c>
      <c r="AC198" s="73">
        <v>0.93013580719204303</v>
      </c>
      <c r="AD198" s="73">
        <v>0.92</v>
      </c>
      <c r="AE198" s="71">
        <v>0.76811594202898503</v>
      </c>
      <c r="AF198" s="71">
        <v>0.59183673469387799</v>
      </c>
      <c r="AG198" s="71">
        <v>1</v>
      </c>
      <c r="AH198" s="71">
        <v>0.81567796610169496</v>
      </c>
      <c r="AI198" s="73">
        <v>0.92</v>
      </c>
      <c r="AJ198" s="71">
        <v>0.94006636250518505</v>
      </c>
      <c r="AK198" s="71">
        <v>0.93720266412940101</v>
      </c>
      <c r="AL198" s="71">
        <v>0.94423710208561995</v>
      </c>
      <c r="AM198" s="71">
        <v>0.95340382657830802</v>
      </c>
      <c r="AN198" s="70">
        <v>0.99</v>
      </c>
      <c r="AO198" s="75">
        <v>1</v>
      </c>
      <c r="AP198" s="75">
        <v>1</v>
      </c>
      <c r="AQ198" s="75">
        <v>1</v>
      </c>
      <c r="AR198" s="75">
        <v>1</v>
      </c>
      <c r="AS198" s="95">
        <v>7.19793575775068E-2</v>
      </c>
      <c r="AT198" s="79">
        <v>0.19230769230769201</v>
      </c>
      <c r="AU198" s="79">
        <v>4.1666666666666699E-2</v>
      </c>
      <c r="AV198" s="79">
        <v>3.7037037037037E-2</v>
      </c>
      <c r="AW198" s="79">
        <v>6.8750000000000006E-2</v>
      </c>
      <c r="AX198" s="50"/>
      <c r="AY198" s="54"/>
    </row>
    <row r="199" spans="1:51">
      <c r="A199" s="53"/>
      <c r="B199" s="56"/>
      <c r="C199" s="90" t="s">
        <v>205</v>
      </c>
      <c r="D199" s="230" t="s">
        <v>1757</v>
      </c>
      <c r="E199" s="68" t="s">
        <v>206</v>
      </c>
      <c r="F199" s="94" t="s">
        <v>217</v>
      </c>
      <c r="G199" s="94" t="s">
        <v>217</v>
      </c>
      <c r="H199" s="94" t="s">
        <v>217</v>
      </c>
      <c r="I199" s="94" t="s">
        <v>217</v>
      </c>
      <c r="J199" s="70">
        <v>0.9</v>
      </c>
      <c r="K199" s="71">
        <v>0.97560975609756095</v>
      </c>
      <c r="L199" s="71">
        <v>0.96969696969696995</v>
      </c>
      <c r="M199" s="72">
        <v>0.98507462686567204</v>
      </c>
      <c r="N199" s="71">
        <v>0.967901234567901</v>
      </c>
      <c r="O199" s="73">
        <v>0.9</v>
      </c>
      <c r="P199" s="71">
        <v>0.97788036160800196</v>
      </c>
      <c r="Q199" s="71">
        <v>0.97020725388601003</v>
      </c>
      <c r="R199" s="71">
        <v>0.95332671300893701</v>
      </c>
      <c r="S199" s="71">
        <v>0.95878133362892104</v>
      </c>
      <c r="T199" s="73">
        <v>0.9</v>
      </c>
      <c r="U199" s="71">
        <v>0.94383535295249099</v>
      </c>
      <c r="V199" s="71">
        <v>0.90867875647668395</v>
      </c>
      <c r="W199" s="71">
        <v>0.88166170142336997</v>
      </c>
      <c r="X199" s="71">
        <v>0.91612167661636401</v>
      </c>
      <c r="Y199" s="73">
        <v>0.92</v>
      </c>
      <c r="Z199" s="73">
        <v>0.95079906625965205</v>
      </c>
      <c r="AA199" s="73">
        <v>0.95201872440023405</v>
      </c>
      <c r="AB199" s="73">
        <v>0.93433682373472904</v>
      </c>
      <c r="AC199" s="73">
        <v>0.95025499540172198</v>
      </c>
      <c r="AD199" s="73">
        <v>0.92</v>
      </c>
      <c r="AE199" s="71">
        <v>0.99461376773515497</v>
      </c>
      <c r="AF199" s="71">
        <v>0.996980255516841</v>
      </c>
      <c r="AG199" s="71">
        <v>0.99768768305842503</v>
      </c>
      <c r="AH199" s="71">
        <v>0.99036782437564097</v>
      </c>
      <c r="AI199" s="73">
        <v>0.92</v>
      </c>
      <c r="AJ199" s="71">
        <v>0.96666666666666701</v>
      </c>
      <c r="AK199" s="71">
        <v>0.96736559987387705</v>
      </c>
      <c r="AL199" s="71">
        <v>0.96113306982872204</v>
      </c>
      <c r="AM199" s="71">
        <v>0.968273128546978</v>
      </c>
      <c r="AN199" s="70">
        <v>0.99</v>
      </c>
      <c r="AO199" s="75">
        <v>1</v>
      </c>
      <c r="AP199" s="75">
        <v>1</v>
      </c>
      <c r="AQ199" s="75">
        <v>1</v>
      </c>
      <c r="AR199" s="75">
        <v>1</v>
      </c>
      <c r="AS199" s="95">
        <v>7.19793575775068E-2</v>
      </c>
      <c r="AT199" s="79">
        <v>7.4074074074074098E-2</v>
      </c>
      <c r="AU199" s="79">
        <v>0.10344827586206901</v>
      </c>
      <c r="AV199" s="79">
        <v>0.11111111111111099</v>
      </c>
      <c r="AW199" s="79">
        <v>5.35117056856187E-2</v>
      </c>
      <c r="AX199" s="56"/>
      <c r="AY199" s="54"/>
    </row>
    <row r="200" spans="1:51">
      <c r="A200" s="53"/>
      <c r="B200" s="56"/>
      <c r="C200" s="90" t="s">
        <v>205</v>
      </c>
      <c r="D200" s="230" t="s">
        <v>1757</v>
      </c>
      <c r="E200" s="68" t="s">
        <v>206</v>
      </c>
      <c r="F200" s="94" t="s">
        <v>218</v>
      </c>
      <c r="G200" s="94" t="s">
        <v>218</v>
      </c>
      <c r="H200" s="94" t="s">
        <v>218</v>
      </c>
      <c r="I200" s="94" t="s">
        <v>218</v>
      </c>
      <c r="J200" s="70">
        <v>0.9</v>
      </c>
      <c r="K200" s="71">
        <v>0.96428571428571397</v>
      </c>
      <c r="L200" s="71">
        <v>0.95</v>
      </c>
      <c r="M200" s="72">
        <v>1</v>
      </c>
      <c r="N200" s="71">
        <v>0.97083333333333299</v>
      </c>
      <c r="O200" s="73">
        <v>0.9</v>
      </c>
      <c r="P200" s="71">
        <v>0.97726228755167699</v>
      </c>
      <c r="Q200" s="71">
        <v>0.973402992163382</v>
      </c>
      <c r="R200" s="71">
        <v>0.98028281218880697</v>
      </c>
      <c r="S200" s="71">
        <v>0.98207388516198202</v>
      </c>
      <c r="T200" s="73">
        <v>0.9</v>
      </c>
      <c r="U200" s="71">
        <v>0.95383555351400995</v>
      </c>
      <c r="V200" s="71">
        <v>0.95321776300166206</v>
      </c>
      <c r="W200" s="71">
        <v>0.96315475004979101</v>
      </c>
      <c r="X200" s="71">
        <v>0.96488699155439706</v>
      </c>
      <c r="Y200" s="73">
        <v>0.92</v>
      </c>
      <c r="Z200" s="73">
        <v>0.96396031585341202</v>
      </c>
      <c r="AA200" s="73">
        <v>0.95169082125603899</v>
      </c>
      <c r="AB200" s="73">
        <v>0.97290292177191295</v>
      </c>
      <c r="AC200" s="73">
        <v>0.97233138365929495</v>
      </c>
      <c r="AD200" s="73">
        <v>0.92</v>
      </c>
      <c r="AE200" s="71">
        <v>0.99552286536616597</v>
      </c>
      <c r="AF200" s="71">
        <v>0.99829238735265002</v>
      </c>
      <c r="AG200" s="71">
        <v>0.99069884364002003</v>
      </c>
      <c r="AH200" s="71">
        <v>0.99435366528888403</v>
      </c>
      <c r="AI200" s="73">
        <v>0.92</v>
      </c>
      <c r="AJ200" s="71">
        <v>0.97224015493867</v>
      </c>
      <c r="AK200" s="71">
        <v>0.97292234332425098</v>
      </c>
      <c r="AL200" s="71">
        <v>0.98143751349017905</v>
      </c>
      <c r="AM200" s="71">
        <v>0.982512410876627</v>
      </c>
      <c r="AN200" s="70">
        <v>0.99</v>
      </c>
      <c r="AO200" s="75">
        <v>1</v>
      </c>
      <c r="AP200" s="75">
        <v>1</v>
      </c>
      <c r="AQ200" s="75">
        <v>1</v>
      </c>
      <c r="AR200" s="75">
        <v>1</v>
      </c>
      <c r="AS200" s="95">
        <v>7.19793575775068E-2</v>
      </c>
      <c r="AT200" s="79">
        <v>0.14285714285714299</v>
      </c>
      <c r="AU200" s="79">
        <v>0.1</v>
      </c>
      <c r="AV200" s="79">
        <v>0.119047619047619</v>
      </c>
      <c r="AW200" s="79">
        <v>6.4732142857142905E-2</v>
      </c>
      <c r="AX200" s="56"/>
      <c r="AY200" s="54"/>
    </row>
    <row r="201" spans="1:51">
      <c r="A201" s="53"/>
      <c r="B201" s="56"/>
      <c r="C201" s="90" t="s">
        <v>205</v>
      </c>
      <c r="D201" s="230" t="s">
        <v>1759</v>
      </c>
      <c r="E201" s="68" t="s">
        <v>206</v>
      </c>
      <c r="F201" s="94" t="s">
        <v>219</v>
      </c>
      <c r="G201" s="94" t="s">
        <v>219</v>
      </c>
      <c r="H201" s="94" t="s">
        <v>219</v>
      </c>
      <c r="I201" s="94" t="s">
        <v>219</v>
      </c>
      <c r="J201" s="70">
        <v>0.9</v>
      </c>
      <c r="K201" s="71" t="s">
        <v>1710</v>
      </c>
      <c r="L201" s="71" t="s">
        <v>1710</v>
      </c>
      <c r="M201" s="72" t="s">
        <v>1710</v>
      </c>
      <c r="N201" s="71" t="s">
        <v>1710</v>
      </c>
      <c r="O201" s="73">
        <v>0.9</v>
      </c>
      <c r="P201" s="71" t="s">
        <v>1710</v>
      </c>
      <c r="Q201" s="71" t="s">
        <v>1710</v>
      </c>
      <c r="R201" s="71" t="s">
        <v>1710</v>
      </c>
      <c r="S201" s="71" t="s">
        <v>1710</v>
      </c>
      <c r="T201" s="73">
        <v>0.9</v>
      </c>
      <c r="U201" s="71" t="s">
        <v>1710</v>
      </c>
      <c r="V201" s="71" t="s">
        <v>1710</v>
      </c>
      <c r="W201" s="71" t="s">
        <v>1710</v>
      </c>
      <c r="X201" s="71" t="s">
        <v>1710</v>
      </c>
      <c r="Y201" s="73">
        <v>0.92</v>
      </c>
      <c r="Z201" s="73" t="s">
        <v>1710</v>
      </c>
      <c r="AA201" s="73" t="s">
        <v>1710</v>
      </c>
      <c r="AB201" s="73" t="s">
        <v>1710</v>
      </c>
      <c r="AC201" s="73" t="s">
        <v>1710</v>
      </c>
      <c r="AD201" s="73">
        <v>0.92</v>
      </c>
      <c r="AE201" s="71">
        <v>1</v>
      </c>
      <c r="AF201" s="71">
        <v>1</v>
      </c>
      <c r="AG201" s="71">
        <v>0.99514563106796095</v>
      </c>
      <c r="AH201" s="71">
        <v>0.99864007252946496</v>
      </c>
      <c r="AI201" s="73">
        <v>0.92</v>
      </c>
      <c r="AJ201" s="71" t="s">
        <v>1710</v>
      </c>
      <c r="AK201" s="71" t="s">
        <v>1710</v>
      </c>
      <c r="AL201" s="71" t="s">
        <v>1710</v>
      </c>
      <c r="AM201" s="71" t="s">
        <v>1710</v>
      </c>
      <c r="AN201" s="70">
        <v>0.99</v>
      </c>
      <c r="AO201" s="75">
        <v>1</v>
      </c>
      <c r="AP201" s="75">
        <v>1</v>
      </c>
      <c r="AQ201" s="75">
        <v>1</v>
      </c>
      <c r="AR201" s="75">
        <v>1</v>
      </c>
      <c r="AS201" s="95">
        <v>7.19793575775068E-2</v>
      </c>
      <c r="AT201" s="79" t="s">
        <v>1710</v>
      </c>
      <c r="AU201" s="79" t="s">
        <v>1710</v>
      </c>
      <c r="AV201" s="79" t="s">
        <v>1710</v>
      </c>
      <c r="AW201" s="79" t="s">
        <v>1710</v>
      </c>
      <c r="AX201" s="56"/>
      <c r="AY201" s="54"/>
    </row>
    <row r="202" spans="1:51">
      <c r="A202" s="53"/>
      <c r="B202" s="56"/>
      <c r="C202" s="90" t="s">
        <v>205</v>
      </c>
      <c r="D202" s="230" t="s">
        <v>1757</v>
      </c>
      <c r="E202" s="68" t="s">
        <v>206</v>
      </c>
      <c r="F202" s="94" t="s">
        <v>220</v>
      </c>
      <c r="G202" s="94" t="s">
        <v>220</v>
      </c>
      <c r="H202" s="94" t="s">
        <v>220</v>
      </c>
      <c r="I202" s="94" t="s">
        <v>220</v>
      </c>
      <c r="J202" s="70">
        <v>0.9</v>
      </c>
      <c r="K202" s="71">
        <v>0.968992248062015</v>
      </c>
      <c r="L202" s="71">
        <v>0.972727272727273</v>
      </c>
      <c r="M202" s="72">
        <v>0.94354838709677402</v>
      </c>
      <c r="N202" s="71">
        <v>0.97410071942445997</v>
      </c>
      <c r="O202" s="73">
        <v>0.9</v>
      </c>
      <c r="P202" s="71">
        <v>0.96273133375877495</v>
      </c>
      <c r="Q202" s="71">
        <v>0.93053645116918804</v>
      </c>
      <c r="R202" s="71">
        <v>0.93930041152263399</v>
      </c>
      <c r="S202" s="71">
        <v>0.95181490129484203</v>
      </c>
      <c r="T202" s="73">
        <v>0.9</v>
      </c>
      <c r="U202" s="71">
        <v>0.85973197192086803</v>
      </c>
      <c r="V202" s="71">
        <v>0.83782668500687796</v>
      </c>
      <c r="W202" s="71">
        <v>0.840763603109282</v>
      </c>
      <c r="X202" s="71">
        <v>0.85090214391848895</v>
      </c>
      <c r="Y202" s="73">
        <v>0.92</v>
      </c>
      <c r="Z202" s="73">
        <v>0.93754281799497596</v>
      </c>
      <c r="AA202" s="73">
        <v>0.92350877192982495</v>
      </c>
      <c r="AB202" s="73">
        <v>0.92209573446715098</v>
      </c>
      <c r="AC202" s="73">
        <v>0.93328266869325205</v>
      </c>
      <c r="AD202" s="73">
        <v>0.92</v>
      </c>
      <c r="AE202" s="71">
        <v>0.99373695198329903</v>
      </c>
      <c r="AF202" s="71">
        <v>0.99190207156308896</v>
      </c>
      <c r="AG202" s="71">
        <v>0.98604896025269795</v>
      </c>
      <c r="AH202" s="71">
        <v>0.990196784545331</v>
      </c>
      <c r="AI202" s="73">
        <v>0.92</v>
      </c>
      <c r="AJ202" s="71">
        <v>0.94776479093866695</v>
      </c>
      <c r="AK202" s="71">
        <v>0.94960474308300402</v>
      </c>
      <c r="AL202" s="71">
        <v>0.94321156962972197</v>
      </c>
      <c r="AM202" s="71">
        <v>0.953395488437496</v>
      </c>
      <c r="AN202" s="70">
        <v>0.99</v>
      </c>
      <c r="AO202" s="75">
        <v>1</v>
      </c>
      <c r="AP202" s="75">
        <v>1</v>
      </c>
      <c r="AQ202" s="75">
        <v>1</v>
      </c>
      <c r="AR202" s="75">
        <v>1</v>
      </c>
      <c r="AS202" s="95">
        <v>7.19793575775068E-2</v>
      </c>
      <c r="AT202" s="79">
        <v>0.05</v>
      </c>
      <c r="AU202" s="79">
        <v>0.17948717948717899</v>
      </c>
      <c r="AV202" s="79">
        <v>5.2631578947368397E-2</v>
      </c>
      <c r="AW202" s="79">
        <v>4.7787610619468998E-2</v>
      </c>
      <c r="AX202" s="56"/>
      <c r="AY202" s="54"/>
    </row>
    <row r="203" spans="1:51">
      <c r="A203" s="53"/>
      <c r="B203" s="56"/>
      <c r="C203" s="90" t="s">
        <v>205</v>
      </c>
      <c r="D203" s="230" t="s">
        <v>1759</v>
      </c>
      <c r="E203" s="68" t="s">
        <v>206</v>
      </c>
      <c r="F203" s="94" t="s">
        <v>221</v>
      </c>
      <c r="G203" s="94" t="s">
        <v>221</v>
      </c>
      <c r="H203" s="94" t="s">
        <v>221</v>
      </c>
      <c r="I203" s="94" t="s">
        <v>221</v>
      </c>
      <c r="J203" s="70">
        <v>0.9</v>
      </c>
      <c r="K203" s="71" t="s">
        <v>1710</v>
      </c>
      <c r="L203" s="71" t="s">
        <v>1710</v>
      </c>
      <c r="M203" s="72" t="s">
        <v>1710</v>
      </c>
      <c r="N203" s="71" t="s">
        <v>1710</v>
      </c>
      <c r="O203" s="73">
        <v>0.9</v>
      </c>
      <c r="P203" s="71">
        <v>0</v>
      </c>
      <c r="Q203" s="71">
        <v>0</v>
      </c>
      <c r="R203" s="71" t="s">
        <v>1710</v>
      </c>
      <c r="S203" s="71">
        <v>0</v>
      </c>
      <c r="T203" s="73">
        <v>0.9</v>
      </c>
      <c r="U203" s="71">
        <v>1</v>
      </c>
      <c r="V203" s="71">
        <v>1</v>
      </c>
      <c r="W203" s="71" t="s">
        <v>1710</v>
      </c>
      <c r="X203" s="71">
        <v>0.75</v>
      </c>
      <c r="Y203" s="73">
        <v>0.92</v>
      </c>
      <c r="Z203" s="73" t="s">
        <v>1710</v>
      </c>
      <c r="AA203" s="73" t="s">
        <v>1710</v>
      </c>
      <c r="AB203" s="73" t="s">
        <v>1710</v>
      </c>
      <c r="AC203" s="73">
        <v>0</v>
      </c>
      <c r="AD203" s="73">
        <v>0.92</v>
      </c>
      <c r="AE203" s="71">
        <v>0.99981635651322198</v>
      </c>
      <c r="AF203" s="71">
        <v>0.97358151876999899</v>
      </c>
      <c r="AG203" s="71">
        <v>0.99995585573654699</v>
      </c>
      <c r="AH203" s="71">
        <v>0.99749042656247</v>
      </c>
      <c r="AI203" s="73">
        <v>0.92</v>
      </c>
      <c r="AJ203" s="71">
        <v>1</v>
      </c>
      <c r="AK203" s="71">
        <v>1</v>
      </c>
      <c r="AL203" s="71" t="s">
        <v>1710</v>
      </c>
      <c r="AM203" s="71">
        <v>0.66666666666666696</v>
      </c>
      <c r="AN203" s="70">
        <v>0.99</v>
      </c>
      <c r="AO203" s="75">
        <v>1</v>
      </c>
      <c r="AP203" s="75">
        <v>1</v>
      </c>
      <c r="AQ203" s="75">
        <v>1</v>
      </c>
      <c r="AR203" s="75">
        <v>1</v>
      </c>
      <c r="AS203" s="95">
        <v>7.19793575775068E-2</v>
      </c>
      <c r="AT203" s="79" t="s">
        <v>1710</v>
      </c>
      <c r="AU203" s="79" t="s">
        <v>1710</v>
      </c>
      <c r="AV203" s="79" t="s">
        <v>1710</v>
      </c>
      <c r="AW203" s="79" t="s">
        <v>1710</v>
      </c>
      <c r="AX203" s="56"/>
      <c r="AY203" s="54"/>
    </row>
    <row r="204" spans="1:51">
      <c r="A204" s="53"/>
      <c r="B204" s="56"/>
      <c r="C204" s="90" t="s">
        <v>205</v>
      </c>
      <c r="D204" s="230" t="s">
        <v>1757</v>
      </c>
      <c r="E204" s="68" t="s">
        <v>206</v>
      </c>
      <c r="F204" s="94" t="s">
        <v>222</v>
      </c>
      <c r="G204" s="94" t="s">
        <v>222</v>
      </c>
      <c r="H204" s="94" t="s">
        <v>222</v>
      </c>
      <c r="I204" s="94" t="s">
        <v>222</v>
      </c>
      <c r="J204" s="70">
        <v>0.9</v>
      </c>
      <c r="K204" s="71">
        <v>0.92307692307692302</v>
      </c>
      <c r="L204" s="71">
        <v>0.90476190476190499</v>
      </c>
      <c r="M204" s="72">
        <v>0.90540540540540504</v>
      </c>
      <c r="N204" s="71">
        <v>0.91400491400491402</v>
      </c>
      <c r="O204" s="73">
        <v>0.9</v>
      </c>
      <c r="P204" s="71">
        <v>0.94595946960220201</v>
      </c>
      <c r="Q204" s="71">
        <v>0.955585106382979</v>
      </c>
      <c r="R204" s="71">
        <v>0.94001677852348997</v>
      </c>
      <c r="S204" s="71">
        <v>0.94990446620491997</v>
      </c>
      <c r="T204" s="73">
        <v>0.9</v>
      </c>
      <c r="U204" s="71">
        <v>0.91343507630722998</v>
      </c>
      <c r="V204" s="71">
        <v>0.91489361702127703</v>
      </c>
      <c r="W204" s="71">
        <v>0.91296140939597303</v>
      </c>
      <c r="X204" s="71">
        <v>0.91718414139001703</v>
      </c>
      <c r="Y204" s="73">
        <v>0.92</v>
      </c>
      <c r="Z204" s="73">
        <v>0.94306126867287299</v>
      </c>
      <c r="AA204" s="73">
        <v>0.91794871794871802</v>
      </c>
      <c r="AB204" s="73">
        <v>0.95461618257261405</v>
      </c>
      <c r="AC204" s="73">
        <v>0.95091464917903501</v>
      </c>
      <c r="AD204" s="73">
        <v>0.92</v>
      </c>
      <c r="AE204" s="71">
        <v>0.99804334738109601</v>
      </c>
      <c r="AF204" s="71">
        <v>0.99652118912081</v>
      </c>
      <c r="AG204" s="71">
        <v>0.99848799848799896</v>
      </c>
      <c r="AH204" s="71">
        <v>0.99729596093822404</v>
      </c>
      <c r="AI204" s="73">
        <v>0.92</v>
      </c>
      <c r="AJ204" s="71">
        <v>0.957990019728444</v>
      </c>
      <c r="AK204" s="71">
        <v>0.95790264987784202</v>
      </c>
      <c r="AL204" s="71">
        <v>0.96880797773654903</v>
      </c>
      <c r="AM204" s="71">
        <v>0.96924550739957704</v>
      </c>
      <c r="AN204" s="70">
        <v>0.99</v>
      </c>
      <c r="AO204" s="75">
        <v>1</v>
      </c>
      <c r="AP204" s="75">
        <v>1</v>
      </c>
      <c r="AQ204" s="75">
        <v>1</v>
      </c>
      <c r="AR204" s="75">
        <v>1</v>
      </c>
      <c r="AS204" s="95">
        <v>7.19793575775068E-2</v>
      </c>
      <c r="AT204" s="79">
        <v>0.15</v>
      </c>
      <c r="AU204" s="79">
        <v>7.1428571428571397E-2</v>
      </c>
      <c r="AV204" s="79">
        <v>0</v>
      </c>
      <c r="AW204" s="79">
        <v>7.8703703703703706E-2</v>
      </c>
      <c r="AX204" s="56"/>
      <c r="AY204" s="54"/>
    </row>
    <row r="205" spans="1:51">
      <c r="A205" s="53"/>
      <c r="B205" s="56"/>
      <c r="C205" s="90" t="s">
        <v>205</v>
      </c>
      <c r="D205" s="230" t="s">
        <v>1759</v>
      </c>
      <c r="E205" s="68" t="s">
        <v>206</v>
      </c>
      <c r="F205" s="94" t="s">
        <v>223</v>
      </c>
      <c r="G205" s="94" t="s">
        <v>223</v>
      </c>
      <c r="H205" s="94" t="s">
        <v>223</v>
      </c>
      <c r="I205" s="94" t="s">
        <v>223</v>
      </c>
      <c r="J205" s="70">
        <v>0.9</v>
      </c>
      <c r="K205" s="71" t="s">
        <v>1710</v>
      </c>
      <c r="L205" s="71" t="s">
        <v>1710</v>
      </c>
      <c r="M205" s="72" t="s">
        <v>1710</v>
      </c>
      <c r="N205" s="71" t="s">
        <v>1710</v>
      </c>
      <c r="O205" s="73">
        <v>0.9</v>
      </c>
      <c r="P205" s="71">
        <v>0</v>
      </c>
      <c r="Q205" s="71">
        <v>0</v>
      </c>
      <c r="R205" s="71">
        <v>0</v>
      </c>
      <c r="S205" s="71">
        <v>0</v>
      </c>
      <c r="T205" s="73">
        <v>0.9</v>
      </c>
      <c r="U205" s="71">
        <v>0.73684210526315796</v>
      </c>
      <c r="V205" s="71">
        <v>1</v>
      </c>
      <c r="W205" s="71">
        <v>0.33333333333333298</v>
      </c>
      <c r="X205" s="71">
        <v>0.84523809523809501</v>
      </c>
      <c r="Y205" s="73">
        <v>0.92</v>
      </c>
      <c r="Z205" s="73">
        <v>0</v>
      </c>
      <c r="AA205" s="73">
        <v>0</v>
      </c>
      <c r="AB205" s="73">
        <v>0</v>
      </c>
      <c r="AC205" s="73">
        <v>0.230769230769231</v>
      </c>
      <c r="AD205" s="73">
        <v>0.92</v>
      </c>
      <c r="AE205" s="71">
        <v>0.98529040404040402</v>
      </c>
      <c r="AF205" s="71">
        <v>0.98434828856893197</v>
      </c>
      <c r="AG205" s="71">
        <v>0.99566741310485796</v>
      </c>
      <c r="AH205" s="71">
        <v>0.94660061961665498</v>
      </c>
      <c r="AI205" s="73">
        <v>0.92</v>
      </c>
      <c r="AJ205" s="71">
        <v>0.54285714285714304</v>
      </c>
      <c r="AK205" s="71">
        <v>0.25</v>
      </c>
      <c r="AL205" s="71">
        <v>0.25</v>
      </c>
      <c r="AM205" s="71">
        <v>0.752</v>
      </c>
      <c r="AN205" s="70">
        <v>0.99</v>
      </c>
      <c r="AO205" s="75">
        <v>1</v>
      </c>
      <c r="AP205" s="75">
        <v>1</v>
      </c>
      <c r="AQ205" s="75">
        <v>1</v>
      </c>
      <c r="AR205" s="75">
        <v>1</v>
      </c>
      <c r="AS205" s="95">
        <v>7.19793575775068E-2</v>
      </c>
      <c r="AT205" s="79" t="s">
        <v>1710</v>
      </c>
      <c r="AU205" s="79" t="s">
        <v>1710</v>
      </c>
      <c r="AV205" s="79" t="s">
        <v>1710</v>
      </c>
      <c r="AW205" s="79" t="s">
        <v>1710</v>
      </c>
      <c r="AX205" s="56"/>
      <c r="AY205" s="54"/>
    </row>
    <row r="206" spans="1:51">
      <c r="A206" s="53"/>
      <c r="B206" s="56"/>
      <c r="C206" s="90" t="s">
        <v>205</v>
      </c>
      <c r="D206" s="230" t="s">
        <v>1757</v>
      </c>
      <c r="E206" s="68" t="s">
        <v>206</v>
      </c>
      <c r="F206" s="94" t="s">
        <v>224</v>
      </c>
      <c r="G206" s="94" t="s">
        <v>224</v>
      </c>
      <c r="H206" s="94" t="s">
        <v>224</v>
      </c>
      <c r="I206" s="94" t="s">
        <v>224</v>
      </c>
      <c r="J206" s="70">
        <v>0.9</v>
      </c>
      <c r="K206" s="71">
        <v>0.86792452830188704</v>
      </c>
      <c r="L206" s="71">
        <v>0.86666666666666703</v>
      </c>
      <c r="M206" s="72">
        <v>0.86274509803921595</v>
      </c>
      <c r="N206" s="71">
        <v>0.90427350427350395</v>
      </c>
      <c r="O206" s="73">
        <v>0.9</v>
      </c>
      <c r="P206" s="71">
        <v>0.99152542372881403</v>
      </c>
      <c r="Q206" s="71">
        <v>0.99373477201531502</v>
      </c>
      <c r="R206" s="71">
        <v>0.99517456713028696</v>
      </c>
      <c r="S206" s="71">
        <v>0.99184084346605195</v>
      </c>
      <c r="T206" s="73">
        <v>0.9</v>
      </c>
      <c r="U206" s="71">
        <v>0.90338983050847499</v>
      </c>
      <c r="V206" s="71">
        <v>0.88827010093978398</v>
      </c>
      <c r="W206" s="71">
        <v>0.92648311098495595</v>
      </c>
      <c r="X206" s="71">
        <v>0.91467323637712294</v>
      </c>
      <c r="Y206" s="73">
        <v>0.92</v>
      </c>
      <c r="Z206" s="73">
        <v>0.94315386717682403</v>
      </c>
      <c r="AA206" s="73">
        <v>0.92351274787535398</v>
      </c>
      <c r="AB206" s="73">
        <v>0.93661016949152498</v>
      </c>
      <c r="AC206" s="73">
        <v>0.95055867725892895</v>
      </c>
      <c r="AD206" s="73">
        <v>0.92</v>
      </c>
      <c r="AE206" s="71">
        <v>1</v>
      </c>
      <c r="AF206" s="71">
        <v>0.99586135540610499</v>
      </c>
      <c r="AG206" s="71">
        <v>0.99916770703287605</v>
      </c>
      <c r="AH206" s="71">
        <v>0.99875160267224505</v>
      </c>
      <c r="AI206" s="73">
        <v>0.92</v>
      </c>
      <c r="AJ206" s="71">
        <v>0.95748222121349702</v>
      </c>
      <c r="AK206" s="71">
        <v>0.95906432748537995</v>
      </c>
      <c r="AL206" s="71">
        <v>0.96153251969720399</v>
      </c>
      <c r="AM206" s="71">
        <v>0.96850897872464303</v>
      </c>
      <c r="AN206" s="70">
        <v>0.99</v>
      </c>
      <c r="AO206" s="75">
        <v>1</v>
      </c>
      <c r="AP206" s="75">
        <v>1</v>
      </c>
      <c r="AQ206" s="75">
        <v>1</v>
      </c>
      <c r="AR206" s="75">
        <v>1</v>
      </c>
      <c r="AS206" s="95">
        <v>7.19793575775068E-2</v>
      </c>
      <c r="AT206" s="79">
        <v>0.125</v>
      </c>
      <c r="AU206" s="79">
        <v>6.25E-2</v>
      </c>
      <c r="AV206" s="79">
        <v>4.1666666666666699E-2</v>
      </c>
      <c r="AW206" s="79">
        <v>8.2677165354330701E-2</v>
      </c>
      <c r="AX206" s="56"/>
      <c r="AY206" s="54"/>
    </row>
    <row r="207" spans="1:51">
      <c r="A207" s="53"/>
      <c r="B207" s="56"/>
      <c r="C207" s="90" t="s">
        <v>205</v>
      </c>
      <c r="D207" s="230" t="s">
        <v>1757</v>
      </c>
      <c r="E207" s="68" t="s">
        <v>206</v>
      </c>
      <c r="F207" s="94" t="s">
        <v>225</v>
      </c>
      <c r="G207" s="94" t="s">
        <v>225</v>
      </c>
      <c r="H207" s="94" t="s">
        <v>225</v>
      </c>
      <c r="I207" s="94" t="s">
        <v>225</v>
      </c>
      <c r="J207" s="70">
        <v>0.9</v>
      </c>
      <c r="K207" s="71">
        <v>0.91666666666666696</v>
      </c>
      <c r="L207" s="71">
        <v>0.952380952380952</v>
      </c>
      <c r="M207" s="72">
        <v>0.919191919191919</v>
      </c>
      <c r="N207" s="71">
        <v>0.92773261065944002</v>
      </c>
      <c r="O207" s="73">
        <v>0.9</v>
      </c>
      <c r="P207" s="71">
        <v>0.95571452904104903</v>
      </c>
      <c r="Q207" s="71">
        <v>0.93057553956834504</v>
      </c>
      <c r="R207" s="71">
        <v>0.96218861209964401</v>
      </c>
      <c r="S207" s="71">
        <v>0.95430163706025795</v>
      </c>
      <c r="T207" s="73">
        <v>0.9</v>
      </c>
      <c r="U207" s="71">
        <v>0.917560892522569</v>
      </c>
      <c r="V207" s="71">
        <v>0.88471223021582701</v>
      </c>
      <c r="W207" s="71">
        <v>0.89857651245551595</v>
      </c>
      <c r="X207" s="71">
        <v>0.90549634273772195</v>
      </c>
      <c r="Y207" s="73">
        <v>0.92</v>
      </c>
      <c r="Z207" s="73">
        <v>0.931360396653238</v>
      </c>
      <c r="AA207" s="73">
        <v>0.86186770428015602</v>
      </c>
      <c r="AB207" s="73">
        <v>0.90686646433990903</v>
      </c>
      <c r="AC207" s="73">
        <v>0.92207123190336604</v>
      </c>
      <c r="AD207" s="73">
        <v>0.92</v>
      </c>
      <c r="AE207" s="71">
        <v>0.96603828944473003</v>
      </c>
      <c r="AF207" s="71">
        <v>0.87073649260488994</v>
      </c>
      <c r="AG207" s="71">
        <v>0.89096701264001599</v>
      </c>
      <c r="AH207" s="71">
        <v>0.93728557438501603</v>
      </c>
      <c r="AI207" s="73">
        <v>0.92</v>
      </c>
      <c r="AJ207" s="71">
        <v>0.95448645140353705</v>
      </c>
      <c r="AK207" s="71">
        <v>0.927408768705697</v>
      </c>
      <c r="AL207" s="71">
        <v>0.94517014726682802</v>
      </c>
      <c r="AM207" s="71">
        <v>0.95115857847729701</v>
      </c>
      <c r="AN207" s="70">
        <v>0.99</v>
      </c>
      <c r="AO207" s="75">
        <v>1</v>
      </c>
      <c r="AP207" s="75">
        <v>1</v>
      </c>
      <c r="AQ207" s="75">
        <v>1</v>
      </c>
      <c r="AR207" s="75">
        <v>1</v>
      </c>
      <c r="AS207" s="95">
        <v>7.19793575775068E-2</v>
      </c>
      <c r="AT207" s="79">
        <v>3.3333333333333298E-2</v>
      </c>
      <c r="AU207" s="79">
        <v>6.4516129032258104E-2</v>
      </c>
      <c r="AV207" s="79">
        <v>7.1428571428571397E-2</v>
      </c>
      <c r="AW207" s="79">
        <v>5.3215077605321501E-2</v>
      </c>
      <c r="AX207" s="56"/>
      <c r="AY207" s="54"/>
    </row>
    <row r="208" spans="1:51">
      <c r="A208" s="53"/>
      <c r="B208" s="56"/>
      <c r="C208" s="90" t="s">
        <v>205</v>
      </c>
      <c r="D208" s="230" t="s">
        <v>1759</v>
      </c>
      <c r="E208" s="68" t="s">
        <v>206</v>
      </c>
      <c r="F208" s="94" t="s">
        <v>226</v>
      </c>
      <c r="G208" s="94" t="s">
        <v>226</v>
      </c>
      <c r="H208" s="94" t="s">
        <v>226</v>
      </c>
      <c r="I208" s="94" t="s">
        <v>226</v>
      </c>
      <c r="J208" s="70">
        <v>0.9</v>
      </c>
      <c r="K208" s="71" t="s">
        <v>1710</v>
      </c>
      <c r="L208" s="71" t="s">
        <v>1710</v>
      </c>
      <c r="M208" s="72" t="s">
        <v>1710</v>
      </c>
      <c r="N208" s="71" t="s">
        <v>1710</v>
      </c>
      <c r="O208" s="73">
        <v>0.9</v>
      </c>
      <c r="P208" s="71">
        <v>0</v>
      </c>
      <c r="Q208" s="71">
        <v>0</v>
      </c>
      <c r="R208" s="71">
        <v>0</v>
      </c>
      <c r="S208" s="71">
        <v>0</v>
      </c>
      <c r="T208" s="73">
        <v>0.9</v>
      </c>
      <c r="U208" s="71">
        <v>1</v>
      </c>
      <c r="V208" s="71">
        <v>0.88888888888888895</v>
      </c>
      <c r="W208" s="71">
        <v>0.5</v>
      </c>
      <c r="X208" s="71">
        <v>0.82978723404255295</v>
      </c>
      <c r="Y208" s="73">
        <v>0.92</v>
      </c>
      <c r="Z208" s="73">
        <v>1</v>
      </c>
      <c r="AA208" s="73">
        <v>1</v>
      </c>
      <c r="AB208" s="73" t="s">
        <v>1710</v>
      </c>
      <c r="AC208" s="73">
        <v>0.52380952380952395</v>
      </c>
      <c r="AD208" s="73">
        <v>0.92</v>
      </c>
      <c r="AE208" s="71">
        <v>0.99845997304952805</v>
      </c>
      <c r="AF208" s="71">
        <v>0.98599484020428596</v>
      </c>
      <c r="AG208" s="71">
        <v>0.72564212328767097</v>
      </c>
      <c r="AH208" s="71">
        <v>0.89480766566120595</v>
      </c>
      <c r="AI208" s="73">
        <v>0.92</v>
      </c>
      <c r="AJ208" s="71">
        <v>1</v>
      </c>
      <c r="AK208" s="71">
        <v>0.76923076923076905</v>
      </c>
      <c r="AL208" s="71">
        <v>0.6</v>
      </c>
      <c r="AM208" s="71">
        <v>0.79901960784313697</v>
      </c>
      <c r="AN208" s="70">
        <v>0.99</v>
      </c>
      <c r="AO208" s="75">
        <v>1</v>
      </c>
      <c r="AP208" s="75">
        <v>1</v>
      </c>
      <c r="AQ208" s="75">
        <v>1</v>
      </c>
      <c r="AR208" s="75">
        <v>1</v>
      </c>
      <c r="AS208" s="95">
        <v>7.19793575775068E-2</v>
      </c>
      <c r="AT208" s="79" t="s">
        <v>1710</v>
      </c>
      <c r="AU208" s="79" t="s">
        <v>1710</v>
      </c>
      <c r="AV208" s="79" t="s">
        <v>1710</v>
      </c>
      <c r="AW208" s="79" t="s">
        <v>1710</v>
      </c>
      <c r="AX208" s="56"/>
      <c r="AY208" s="54"/>
    </row>
    <row r="209" spans="1:51">
      <c r="A209" s="53"/>
      <c r="C209" s="90" t="s">
        <v>205</v>
      </c>
      <c r="D209" s="230" t="s">
        <v>1757</v>
      </c>
      <c r="E209" s="68" t="s">
        <v>206</v>
      </c>
      <c r="F209" s="94" t="s">
        <v>227</v>
      </c>
      <c r="G209" s="94" t="s">
        <v>227</v>
      </c>
      <c r="H209" s="94" t="s">
        <v>227</v>
      </c>
      <c r="I209" s="94" t="s">
        <v>227</v>
      </c>
      <c r="J209" s="70">
        <v>0.9</v>
      </c>
      <c r="K209" s="71">
        <v>0.92613636363636398</v>
      </c>
      <c r="L209" s="71">
        <v>0.92356687898089196</v>
      </c>
      <c r="M209" s="72">
        <v>0.95882352941176496</v>
      </c>
      <c r="N209" s="71">
        <v>0.93546747967479704</v>
      </c>
      <c r="O209" s="73">
        <v>0.9</v>
      </c>
      <c r="P209" s="71">
        <v>0.94806219017575499</v>
      </c>
      <c r="Q209" s="71">
        <v>0.95723484388288205</v>
      </c>
      <c r="R209" s="71">
        <v>0.94355166802278301</v>
      </c>
      <c r="S209" s="71">
        <v>0.95304955827467297</v>
      </c>
      <c r="T209" s="73">
        <v>0.9</v>
      </c>
      <c r="U209" s="71">
        <v>0.91144659756647095</v>
      </c>
      <c r="V209" s="71">
        <v>0.91033896245899604</v>
      </c>
      <c r="W209" s="71">
        <v>0.90368185516680199</v>
      </c>
      <c r="X209" s="71">
        <v>0.92102801530684597</v>
      </c>
      <c r="Y209" s="73">
        <v>0.92</v>
      </c>
      <c r="Z209" s="73">
        <v>0.93158733320055798</v>
      </c>
      <c r="AA209" s="73">
        <v>0.90065197143744202</v>
      </c>
      <c r="AB209" s="73">
        <v>0.92690331620737998</v>
      </c>
      <c r="AC209" s="73">
        <v>0.94082589311297304</v>
      </c>
      <c r="AD209" s="73">
        <v>0.92</v>
      </c>
      <c r="AE209" s="71">
        <v>0.99615606380934096</v>
      </c>
      <c r="AF209" s="71">
        <v>0.98795811518324606</v>
      </c>
      <c r="AG209" s="71">
        <v>0.99606366592503803</v>
      </c>
      <c r="AH209" s="71">
        <v>0.99603357184787999</v>
      </c>
      <c r="AI209" s="73">
        <v>0.92</v>
      </c>
      <c r="AJ209" s="71">
        <v>0.94694287375151898</v>
      </c>
      <c r="AK209" s="71">
        <v>0.94594830597275603</v>
      </c>
      <c r="AL209" s="71">
        <v>0.94727687792151305</v>
      </c>
      <c r="AM209" s="71">
        <v>0.960732428499671</v>
      </c>
      <c r="AN209" s="70">
        <v>0.99</v>
      </c>
      <c r="AO209" s="75">
        <v>1</v>
      </c>
      <c r="AP209" s="75">
        <v>1</v>
      </c>
      <c r="AQ209" s="75">
        <v>1</v>
      </c>
      <c r="AR209" s="75">
        <v>1</v>
      </c>
      <c r="AS209" s="95">
        <v>7.19793575775068E-2</v>
      </c>
      <c r="AT209" s="79">
        <v>9.375E-2</v>
      </c>
      <c r="AU209" s="79">
        <v>0.15384615384615399</v>
      </c>
      <c r="AV209" s="79">
        <v>5.7692307692307702E-2</v>
      </c>
      <c r="AW209" s="79">
        <v>6.2977099236641201E-2</v>
      </c>
      <c r="AX209" s="56"/>
      <c r="AY209" s="54"/>
    </row>
    <row r="210" spans="1:51">
      <c r="A210" s="53"/>
      <c r="C210" s="90" t="s">
        <v>205</v>
      </c>
      <c r="D210" s="230" t="s">
        <v>1757</v>
      </c>
      <c r="E210" s="68" t="s">
        <v>206</v>
      </c>
      <c r="F210" s="94" t="s">
        <v>228</v>
      </c>
      <c r="G210" s="94" t="s">
        <v>228</v>
      </c>
      <c r="H210" s="94" t="s">
        <v>228</v>
      </c>
      <c r="I210" s="94" t="s">
        <v>228</v>
      </c>
      <c r="J210" s="70">
        <v>0.9</v>
      </c>
      <c r="K210" s="71">
        <v>0.92913385826771699</v>
      </c>
      <c r="L210" s="71">
        <v>0.94545454545454499</v>
      </c>
      <c r="M210" s="72">
        <v>0.88793103448275901</v>
      </c>
      <c r="N210" s="71">
        <v>0.93495353824160099</v>
      </c>
      <c r="O210" s="73">
        <v>0.9</v>
      </c>
      <c r="P210" s="71">
        <v>0.95748792270531402</v>
      </c>
      <c r="Q210" s="71">
        <v>0.936129786612102</v>
      </c>
      <c r="R210" s="71">
        <v>0.91730648206419096</v>
      </c>
      <c r="S210" s="71">
        <v>0.95116780162927606</v>
      </c>
      <c r="T210" s="73">
        <v>0.9</v>
      </c>
      <c r="U210" s="71">
        <v>0.90006901311249099</v>
      </c>
      <c r="V210" s="71">
        <v>0.87152879275065798</v>
      </c>
      <c r="W210" s="71">
        <v>0.85273757079924495</v>
      </c>
      <c r="X210" s="71">
        <v>0.89816447163745705</v>
      </c>
      <c r="Y210" s="73">
        <v>0.92</v>
      </c>
      <c r="Z210" s="73">
        <v>0.91112330270196096</v>
      </c>
      <c r="AA210" s="73">
        <v>0.89711264741764896</v>
      </c>
      <c r="AB210" s="73">
        <v>0.86792452830188704</v>
      </c>
      <c r="AC210" s="73">
        <v>0.92623680738786296</v>
      </c>
      <c r="AD210" s="73">
        <v>0.92</v>
      </c>
      <c r="AE210" s="71">
        <v>0.99320943531093597</v>
      </c>
      <c r="AF210" s="71">
        <v>0.974577417173766</v>
      </c>
      <c r="AG210" s="71">
        <v>0.93732534930139699</v>
      </c>
      <c r="AH210" s="71">
        <v>0.987090121136174</v>
      </c>
      <c r="AI210" s="73">
        <v>0.92</v>
      </c>
      <c r="AJ210" s="71">
        <v>0.93513550694731096</v>
      </c>
      <c r="AK210" s="71">
        <v>0.93817869046339097</v>
      </c>
      <c r="AL210" s="71">
        <v>0.91581215633823698</v>
      </c>
      <c r="AM210" s="71">
        <v>0.95254372935614895</v>
      </c>
      <c r="AN210" s="70">
        <v>0.99</v>
      </c>
      <c r="AO210" s="75">
        <v>1</v>
      </c>
      <c r="AP210" s="75">
        <v>1</v>
      </c>
      <c r="AQ210" s="75">
        <v>1</v>
      </c>
      <c r="AR210" s="75">
        <v>1</v>
      </c>
      <c r="AS210" s="95">
        <v>7.19793575775068E-2</v>
      </c>
      <c r="AT210" s="79">
        <v>7.9207920792079195E-2</v>
      </c>
      <c r="AU210" s="79">
        <v>8.1632653061224497E-2</v>
      </c>
      <c r="AV210" s="79">
        <v>4.4247787610619503E-2</v>
      </c>
      <c r="AW210" s="79">
        <v>4.3739279588336198E-2</v>
      </c>
      <c r="AX210" s="56"/>
      <c r="AY210" s="54"/>
    </row>
    <row r="211" spans="1:51">
      <c r="A211" s="53"/>
      <c r="C211" s="90" t="s">
        <v>205</v>
      </c>
      <c r="D211" s="230" t="s">
        <v>1757</v>
      </c>
      <c r="E211" s="68" t="s">
        <v>206</v>
      </c>
      <c r="F211" s="94" t="s">
        <v>229</v>
      </c>
      <c r="G211" s="94" t="s">
        <v>229</v>
      </c>
      <c r="H211" s="94" t="s">
        <v>229</v>
      </c>
      <c r="I211" s="94" t="s">
        <v>229</v>
      </c>
      <c r="J211" s="70">
        <v>0.9</v>
      </c>
      <c r="K211" s="71">
        <v>0.90909090909090895</v>
      </c>
      <c r="L211" s="71">
        <v>0.931034482758621</v>
      </c>
      <c r="M211" s="72">
        <v>0.88617886178861804</v>
      </c>
      <c r="N211" s="71">
        <v>0.92197125256673496</v>
      </c>
      <c r="O211" s="73">
        <v>0.9</v>
      </c>
      <c r="P211" s="71">
        <v>0.94269440892711798</v>
      </c>
      <c r="Q211" s="71">
        <v>0.94686628504329995</v>
      </c>
      <c r="R211" s="71">
        <v>0.93715114981022596</v>
      </c>
      <c r="S211" s="71">
        <v>0.94146393398988604</v>
      </c>
      <c r="T211" s="73">
        <v>0.9</v>
      </c>
      <c r="U211" s="71">
        <v>0.92072532837382304</v>
      </c>
      <c r="V211" s="71">
        <v>0.904153823572582</v>
      </c>
      <c r="W211" s="71">
        <v>0.90991292699263204</v>
      </c>
      <c r="X211" s="71">
        <v>0.91949960074527504</v>
      </c>
      <c r="Y211" s="73">
        <v>0.92</v>
      </c>
      <c r="Z211" s="73">
        <v>0.94097302282683903</v>
      </c>
      <c r="AA211" s="73">
        <v>0.91565377532228398</v>
      </c>
      <c r="AB211" s="73">
        <v>0.92142368240930905</v>
      </c>
      <c r="AC211" s="73">
        <v>0.94556513064922798</v>
      </c>
      <c r="AD211" s="73">
        <v>0.92</v>
      </c>
      <c r="AE211" s="71">
        <v>0.984376185058779</v>
      </c>
      <c r="AF211" s="71">
        <v>0.971804511278195</v>
      </c>
      <c r="AG211" s="71">
        <v>0.98250950570342199</v>
      </c>
      <c r="AH211" s="71">
        <v>0.98757445144258604</v>
      </c>
      <c r="AI211" s="73">
        <v>0.92</v>
      </c>
      <c r="AJ211" s="71">
        <v>0.95890728093529298</v>
      </c>
      <c r="AK211" s="71">
        <v>0.94867758186397999</v>
      </c>
      <c r="AL211" s="71">
        <v>0.94773733398917903</v>
      </c>
      <c r="AM211" s="71">
        <v>0.96487024986907599</v>
      </c>
      <c r="AN211" s="70">
        <v>0.99</v>
      </c>
      <c r="AO211" s="75">
        <v>1</v>
      </c>
      <c r="AP211" s="75">
        <v>1</v>
      </c>
      <c r="AQ211" s="75">
        <v>1</v>
      </c>
      <c r="AR211" s="75">
        <v>1</v>
      </c>
      <c r="AS211" s="95">
        <v>7.19793575775068E-2</v>
      </c>
      <c r="AT211" s="79">
        <v>0.116279069767442</v>
      </c>
      <c r="AU211" s="79">
        <v>0.13725490196078399</v>
      </c>
      <c r="AV211" s="79">
        <v>9.3333333333333296E-2</v>
      </c>
      <c r="AW211" s="79">
        <v>6.4954682779456194E-2</v>
      </c>
      <c r="AX211" s="56"/>
      <c r="AY211" s="54"/>
    </row>
    <row r="212" spans="1:51">
      <c r="A212" s="53"/>
      <c r="C212" s="90" t="s">
        <v>205</v>
      </c>
      <c r="D212" s="230" t="s">
        <v>1757</v>
      </c>
      <c r="E212" s="68" t="s">
        <v>206</v>
      </c>
      <c r="F212" s="94" t="s">
        <v>230</v>
      </c>
      <c r="G212" s="94" t="s">
        <v>230</v>
      </c>
      <c r="H212" s="94" t="s">
        <v>230</v>
      </c>
      <c r="I212" s="94" t="s">
        <v>230</v>
      </c>
      <c r="J212" s="70">
        <v>0.9</v>
      </c>
      <c r="K212" s="71">
        <v>0.95714285714285696</v>
      </c>
      <c r="L212" s="71">
        <v>0.96610169491525399</v>
      </c>
      <c r="M212" s="72">
        <v>0.952380952380952</v>
      </c>
      <c r="N212" s="71">
        <v>0.94220430107526898</v>
      </c>
      <c r="O212" s="73">
        <v>0.9</v>
      </c>
      <c r="P212" s="71">
        <v>0.97987872105843399</v>
      </c>
      <c r="Q212" s="71">
        <v>0.97900182592817997</v>
      </c>
      <c r="R212" s="71">
        <v>0.96859785783836405</v>
      </c>
      <c r="S212" s="71">
        <v>0.96376549353116803</v>
      </c>
      <c r="T212" s="73">
        <v>0.9</v>
      </c>
      <c r="U212" s="71">
        <v>0.91730981256890898</v>
      </c>
      <c r="V212" s="71">
        <v>0.89866098600121702</v>
      </c>
      <c r="W212" s="71">
        <v>0.91893865628042803</v>
      </c>
      <c r="X212" s="71">
        <v>0.92673934678367897</v>
      </c>
      <c r="Y212" s="73">
        <v>0.92</v>
      </c>
      <c r="Z212" s="73">
        <v>0.93507170795306405</v>
      </c>
      <c r="AA212" s="73">
        <v>0.954814814814815</v>
      </c>
      <c r="AB212" s="73">
        <v>0.95490909090909104</v>
      </c>
      <c r="AC212" s="73">
        <v>0.96095801562944905</v>
      </c>
      <c r="AD212" s="73">
        <v>0.92</v>
      </c>
      <c r="AE212" s="71">
        <v>0.99080234833659497</v>
      </c>
      <c r="AF212" s="71">
        <v>0.99747983870967705</v>
      </c>
      <c r="AG212" s="71">
        <v>0.99780038493263701</v>
      </c>
      <c r="AH212" s="71">
        <v>0.99295499919682395</v>
      </c>
      <c r="AI212" s="73">
        <v>0.92</v>
      </c>
      <c r="AJ212" s="71">
        <v>0.95471596998928199</v>
      </c>
      <c r="AK212" s="71">
        <v>0.97282725900366596</v>
      </c>
      <c r="AL212" s="71">
        <v>0.97084123050007298</v>
      </c>
      <c r="AM212" s="71">
        <v>0.97582719012514996</v>
      </c>
      <c r="AN212" s="70">
        <v>0.99</v>
      </c>
      <c r="AO212" s="75">
        <v>1</v>
      </c>
      <c r="AP212" s="75">
        <v>1</v>
      </c>
      <c r="AQ212" s="75">
        <v>1</v>
      </c>
      <c r="AR212" s="75">
        <v>1</v>
      </c>
      <c r="AS212" s="95">
        <v>7.19793575775068E-2</v>
      </c>
      <c r="AT212" s="79">
        <v>2.6315789473684199E-2</v>
      </c>
      <c r="AU212" s="79">
        <v>7.4074074074074098E-2</v>
      </c>
      <c r="AV212" s="79">
        <v>0.102040816326531</v>
      </c>
      <c r="AW212" s="79">
        <v>4.4680851063829803E-2</v>
      </c>
      <c r="AX212" s="56"/>
      <c r="AY212" s="54"/>
    </row>
    <row r="213" spans="1:51">
      <c r="A213" s="53"/>
      <c r="C213" s="90" t="s">
        <v>205</v>
      </c>
      <c r="D213" s="230" t="s">
        <v>1757</v>
      </c>
      <c r="E213" s="68" t="s">
        <v>206</v>
      </c>
      <c r="F213" s="94" t="s">
        <v>231</v>
      </c>
      <c r="G213" s="94" t="s">
        <v>231</v>
      </c>
      <c r="H213" s="94" t="s">
        <v>231</v>
      </c>
      <c r="I213" s="94" t="s">
        <v>231</v>
      </c>
      <c r="J213" s="70">
        <v>0.9</v>
      </c>
      <c r="K213" s="71">
        <v>0.96581196581196604</v>
      </c>
      <c r="L213" s="71">
        <v>0.97058823529411797</v>
      </c>
      <c r="M213" s="72">
        <v>0.98148148148148195</v>
      </c>
      <c r="N213" s="71">
        <v>0.96386554621848697</v>
      </c>
      <c r="O213" s="73">
        <v>0.9</v>
      </c>
      <c r="P213" s="71">
        <v>0.97158908507223096</v>
      </c>
      <c r="Q213" s="71">
        <v>0.96857973120232499</v>
      </c>
      <c r="R213" s="71">
        <v>0.96483249962104001</v>
      </c>
      <c r="S213" s="71">
        <v>0.96876625293431395</v>
      </c>
      <c r="T213" s="73">
        <v>0.9</v>
      </c>
      <c r="U213" s="71">
        <v>0.91781701444622799</v>
      </c>
      <c r="V213" s="71">
        <v>0.91881583726843397</v>
      </c>
      <c r="W213" s="71">
        <v>0.92102470820069704</v>
      </c>
      <c r="X213" s="71">
        <v>0.92336346129517399</v>
      </c>
      <c r="Y213" s="73">
        <v>0.92</v>
      </c>
      <c r="Z213" s="73">
        <v>0.94703740483283705</v>
      </c>
      <c r="AA213" s="73">
        <v>0.94338725023786896</v>
      </c>
      <c r="AB213" s="73">
        <v>0.93165393351228598</v>
      </c>
      <c r="AC213" s="73">
        <v>0.95115475976605401</v>
      </c>
      <c r="AD213" s="73">
        <v>0.92</v>
      </c>
      <c r="AE213" s="71">
        <v>0.99545892390257296</v>
      </c>
      <c r="AF213" s="71">
        <v>0.99703537108975704</v>
      </c>
      <c r="AG213" s="71">
        <v>0.99891969751530396</v>
      </c>
      <c r="AH213" s="71">
        <v>0.994326999569634</v>
      </c>
      <c r="AI213" s="73">
        <v>0.92</v>
      </c>
      <c r="AJ213" s="71">
        <v>0.95843859506152695</v>
      </c>
      <c r="AK213" s="71">
        <v>0.97108687081088196</v>
      </c>
      <c r="AL213" s="71">
        <v>0.95655594405594402</v>
      </c>
      <c r="AM213" s="71">
        <v>0.96925183309551899</v>
      </c>
      <c r="AN213" s="70">
        <v>0.99</v>
      </c>
      <c r="AO213" s="75">
        <v>1</v>
      </c>
      <c r="AP213" s="75">
        <v>1</v>
      </c>
      <c r="AQ213" s="75">
        <v>1</v>
      </c>
      <c r="AR213" s="75">
        <v>1</v>
      </c>
      <c r="AS213" s="95">
        <v>7.19793575775068E-2</v>
      </c>
      <c r="AT213" s="79">
        <v>0.20689655172413801</v>
      </c>
      <c r="AU213" s="79">
        <v>0.19672131147541</v>
      </c>
      <c r="AV213" s="79">
        <v>9.85915492957746E-2</v>
      </c>
      <c r="AW213" s="79">
        <v>0.111607142857143</v>
      </c>
      <c r="AX213" s="56"/>
      <c r="AY213" s="54"/>
    </row>
    <row r="214" spans="1:51">
      <c r="A214" s="53"/>
      <c r="C214" s="90" t="s">
        <v>205</v>
      </c>
      <c r="D214" s="230" t="s">
        <v>1757</v>
      </c>
      <c r="E214" s="68" t="s">
        <v>206</v>
      </c>
      <c r="F214" s="94" t="s">
        <v>232</v>
      </c>
      <c r="G214" s="94" t="s">
        <v>232</v>
      </c>
      <c r="H214" s="94" t="s">
        <v>232</v>
      </c>
      <c r="I214" s="94" t="s">
        <v>232</v>
      </c>
      <c r="J214" s="70">
        <v>0.9</v>
      </c>
      <c r="K214" s="71">
        <v>0.96103896103896103</v>
      </c>
      <c r="L214" s="71">
        <v>0.95774647887323905</v>
      </c>
      <c r="M214" s="72">
        <v>0.94805194805194803</v>
      </c>
      <c r="N214" s="71">
        <v>0.95828505214368498</v>
      </c>
      <c r="O214" s="73">
        <v>0.9</v>
      </c>
      <c r="P214" s="71">
        <v>0.91742102346203602</v>
      </c>
      <c r="Q214" s="71">
        <v>0.94835680751173701</v>
      </c>
      <c r="R214" s="71">
        <v>0.89070939863161702</v>
      </c>
      <c r="S214" s="71">
        <v>0.89115417910711403</v>
      </c>
      <c r="T214" s="73">
        <v>0.9</v>
      </c>
      <c r="U214" s="71">
        <v>0.89617587289857703</v>
      </c>
      <c r="V214" s="71">
        <v>0.93695506371562698</v>
      </c>
      <c r="W214" s="71">
        <v>0.89503060857039995</v>
      </c>
      <c r="X214" s="71">
        <v>0.92581665282758896</v>
      </c>
      <c r="Y214" s="73">
        <v>0.92</v>
      </c>
      <c r="Z214" s="73">
        <v>0.93426624930951896</v>
      </c>
      <c r="AA214" s="73">
        <v>0.96781883194278895</v>
      </c>
      <c r="AB214" s="73">
        <v>0.94967228464419495</v>
      </c>
      <c r="AC214" s="73">
        <v>0.96332569285267799</v>
      </c>
      <c r="AD214" s="73">
        <v>0.92</v>
      </c>
      <c r="AE214" s="71">
        <v>0.99565217391304395</v>
      </c>
      <c r="AF214" s="71">
        <v>0.98227146814404398</v>
      </c>
      <c r="AG214" s="71">
        <v>0.99441205053449999</v>
      </c>
      <c r="AH214" s="71">
        <v>0.995510172665931</v>
      </c>
      <c r="AI214" s="73">
        <v>0.92</v>
      </c>
      <c r="AJ214" s="71">
        <v>0.94403466715839901</v>
      </c>
      <c r="AK214" s="71">
        <v>0.97513408093612897</v>
      </c>
      <c r="AL214" s="71">
        <v>0.96000814083647101</v>
      </c>
      <c r="AM214" s="71">
        <v>0.97399032151409204</v>
      </c>
      <c r="AN214" s="70">
        <v>0.99</v>
      </c>
      <c r="AO214" s="75">
        <v>1</v>
      </c>
      <c r="AP214" s="75">
        <v>1</v>
      </c>
      <c r="AQ214" s="75">
        <v>1</v>
      </c>
      <c r="AR214" s="75">
        <v>1</v>
      </c>
      <c r="AS214" s="95">
        <v>7.19793575775068E-2</v>
      </c>
      <c r="AT214" s="79">
        <v>6.3829787234042507E-2</v>
      </c>
      <c r="AU214" s="79">
        <v>3.7037037037037E-2</v>
      </c>
      <c r="AV214" s="79">
        <v>8.6206896551724102E-2</v>
      </c>
      <c r="AW214" s="79">
        <v>5.6537102473498198E-2</v>
      </c>
      <c r="AX214" s="56"/>
      <c r="AY214" s="54"/>
    </row>
    <row r="215" spans="1:51" s="48" customFormat="1">
      <c r="A215" s="53"/>
      <c r="B215" s="50"/>
      <c r="C215" s="90" t="s">
        <v>205</v>
      </c>
      <c r="D215" s="230" t="s">
        <v>1757</v>
      </c>
      <c r="E215" s="68" t="s">
        <v>206</v>
      </c>
      <c r="F215" s="94" t="s">
        <v>233</v>
      </c>
      <c r="G215" s="94" t="s">
        <v>233</v>
      </c>
      <c r="H215" s="94" t="s">
        <v>233</v>
      </c>
      <c r="I215" s="94" t="s">
        <v>233</v>
      </c>
      <c r="J215" s="70">
        <v>0.9</v>
      </c>
      <c r="K215" s="71">
        <v>0.98</v>
      </c>
      <c r="L215" s="71">
        <v>0.95604395604395598</v>
      </c>
      <c r="M215" s="72">
        <v>0.96739130434782605</v>
      </c>
      <c r="N215" s="71">
        <v>0.95748613678373395</v>
      </c>
      <c r="O215" s="73">
        <v>0.9</v>
      </c>
      <c r="P215" s="71">
        <v>0.93868142000922095</v>
      </c>
      <c r="Q215" s="71">
        <v>0.94893406048587003</v>
      </c>
      <c r="R215" s="71">
        <v>0.93833114131229001</v>
      </c>
      <c r="S215" s="71">
        <v>0.93345957946976599</v>
      </c>
      <c r="T215" s="73">
        <v>0.9</v>
      </c>
      <c r="U215" s="71">
        <v>0.90487167665590895</v>
      </c>
      <c r="V215" s="71">
        <v>0.89985126425384199</v>
      </c>
      <c r="W215" s="71">
        <v>0.87271664474645605</v>
      </c>
      <c r="X215" s="71">
        <v>0.89271255060728705</v>
      </c>
      <c r="Y215" s="73">
        <v>0.92</v>
      </c>
      <c r="Z215" s="73">
        <v>0.9452076425075</v>
      </c>
      <c r="AA215" s="73">
        <v>0.93185763888888895</v>
      </c>
      <c r="AB215" s="73">
        <v>0.91284494738931898</v>
      </c>
      <c r="AC215" s="73">
        <v>0.94313606530252103</v>
      </c>
      <c r="AD215" s="73">
        <v>0.92</v>
      </c>
      <c r="AE215" s="71">
        <v>0.99528467519438202</v>
      </c>
      <c r="AF215" s="71">
        <v>0.98978117258464104</v>
      </c>
      <c r="AG215" s="71">
        <v>0.98351553010584802</v>
      </c>
      <c r="AH215" s="71">
        <v>0.97472019383592901</v>
      </c>
      <c r="AI215" s="73">
        <v>0.92</v>
      </c>
      <c r="AJ215" s="71">
        <v>0.95904383710970997</v>
      </c>
      <c r="AK215" s="71">
        <v>0.95859758286466401</v>
      </c>
      <c r="AL215" s="71">
        <v>0.932755428379061</v>
      </c>
      <c r="AM215" s="71">
        <v>0.95987388061410694</v>
      </c>
      <c r="AN215" s="70">
        <v>0.99</v>
      </c>
      <c r="AO215" s="75">
        <v>1</v>
      </c>
      <c r="AP215" s="75">
        <v>1</v>
      </c>
      <c r="AQ215" s="75">
        <v>1</v>
      </c>
      <c r="AR215" s="75">
        <v>1</v>
      </c>
      <c r="AS215" s="95">
        <v>7.19793575775068E-2</v>
      </c>
      <c r="AT215" s="79">
        <v>0.1</v>
      </c>
      <c r="AU215" s="79">
        <v>2.7397260273972601E-2</v>
      </c>
      <c r="AV215" s="79">
        <v>3.2608695652173898E-2</v>
      </c>
      <c r="AW215" s="79">
        <v>5.1599587203302398E-2</v>
      </c>
      <c r="AX215" s="50"/>
      <c r="AY215" s="54"/>
    </row>
    <row r="216" spans="1:51" s="48" customFormat="1">
      <c r="A216" s="53"/>
      <c r="B216" s="50"/>
      <c r="C216" s="90" t="s">
        <v>205</v>
      </c>
      <c r="D216" s="230" t="s">
        <v>1757</v>
      </c>
      <c r="E216" s="68" t="s">
        <v>206</v>
      </c>
      <c r="F216" s="94" t="s">
        <v>234</v>
      </c>
      <c r="G216" s="94" t="s">
        <v>234</v>
      </c>
      <c r="H216" s="94" t="s">
        <v>234</v>
      </c>
      <c r="I216" s="94" t="s">
        <v>234</v>
      </c>
      <c r="J216" s="70">
        <v>0.9</v>
      </c>
      <c r="K216" s="71">
        <v>0.95890410958904104</v>
      </c>
      <c r="L216" s="71">
        <v>0.95522388059701502</v>
      </c>
      <c r="M216" s="72">
        <v>0.94202898550724601</v>
      </c>
      <c r="N216" s="71">
        <v>0.952443857331572</v>
      </c>
      <c r="O216" s="73">
        <v>0.9</v>
      </c>
      <c r="P216" s="71">
        <v>0.96199388846447698</v>
      </c>
      <c r="Q216" s="71">
        <v>0.94431699687174098</v>
      </c>
      <c r="R216" s="71">
        <v>0.94009900990099005</v>
      </c>
      <c r="S216" s="71">
        <v>0.94317830416228599</v>
      </c>
      <c r="T216" s="73">
        <v>0.9</v>
      </c>
      <c r="U216" s="71">
        <v>0.929526355996944</v>
      </c>
      <c r="V216" s="71">
        <v>0.88342022940563103</v>
      </c>
      <c r="W216" s="71">
        <v>0.87541254125412504</v>
      </c>
      <c r="X216" s="71">
        <v>0.89894242068155095</v>
      </c>
      <c r="Y216" s="73">
        <v>0.92</v>
      </c>
      <c r="Z216" s="73">
        <v>0.92941176470588205</v>
      </c>
      <c r="AA216" s="73">
        <v>0.91937172774869103</v>
      </c>
      <c r="AB216" s="73">
        <v>0.94016575702445904</v>
      </c>
      <c r="AC216" s="73">
        <v>0.94050550126952404</v>
      </c>
      <c r="AD216" s="73">
        <v>0.92</v>
      </c>
      <c r="AE216" s="71">
        <v>0.99786142001710898</v>
      </c>
      <c r="AF216" s="71">
        <v>0.998897261532806</v>
      </c>
      <c r="AG216" s="71">
        <v>1</v>
      </c>
      <c r="AH216" s="71">
        <v>0.99703305688587796</v>
      </c>
      <c r="AI216" s="73">
        <v>0.92</v>
      </c>
      <c r="AJ216" s="71">
        <v>0.95253911371383604</v>
      </c>
      <c r="AK216" s="71">
        <v>0.95675514464658495</v>
      </c>
      <c r="AL216" s="71">
        <v>0.95711819751067495</v>
      </c>
      <c r="AM216" s="71">
        <v>0.95957353810817503</v>
      </c>
      <c r="AN216" s="70">
        <v>0.99</v>
      </c>
      <c r="AO216" s="75">
        <v>1</v>
      </c>
      <c r="AP216" s="75">
        <v>1</v>
      </c>
      <c r="AQ216" s="75">
        <v>1</v>
      </c>
      <c r="AR216" s="75">
        <v>1</v>
      </c>
      <c r="AS216" s="95">
        <v>7.19793575775068E-2</v>
      </c>
      <c r="AT216" s="79">
        <v>7.4074074074074098E-2</v>
      </c>
      <c r="AU216" s="79">
        <v>0.115384615384615</v>
      </c>
      <c r="AV216" s="79">
        <v>2.5000000000000001E-2</v>
      </c>
      <c r="AW216" s="79">
        <v>4.0669856459330099E-2</v>
      </c>
      <c r="AX216" s="50"/>
      <c r="AY216" s="54"/>
    </row>
    <row r="217" spans="1:51" s="48" customFormat="1">
      <c r="A217" s="53"/>
      <c r="B217" s="50"/>
      <c r="C217" s="90" t="s">
        <v>205</v>
      </c>
      <c r="D217" s="230" t="s">
        <v>1757</v>
      </c>
      <c r="E217" s="68" t="s">
        <v>206</v>
      </c>
      <c r="F217" s="94" t="s">
        <v>235</v>
      </c>
      <c r="G217" s="94" t="s">
        <v>235</v>
      </c>
      <c r="H217" s="94" t="s">
        <v>235</v>
      </c>
      <c r="I217" s="94" t="s">
        <v>235</v>
      </c>
      <c r="J217" s="70">
        <v>0.9</v>
      </c>
      <c r="K217" s="71">
        <v>0.95161290322580605</v>
      </c>
      <c r="L217" s="71">
        <v>0.88</v>
      </c>
      <c r="M217" s="72">
        <v>0.94642857142857095</v>
      </c>
      <c r="N217" s="71">
        <v>0.93212312549329102</v>
      </c>
      <c r="O217" s="73">
        <v>0.9</v>
      </c>
      <c r="P217" s="71">
        <v>0.94147998993204096</v>
      </c>
      <c r="Q217" s="71">
        <v>0.91250356836996904</v>
      </c>
      <c r="R217" s="71">
        <v>0.90163559418963701</v>
      </c>
      <c r="S217" s="71">
        <v>0.92254842063517595</v>
      </c>
      <c r="T217" s="73">
        <v>0.9</v>
      </c>
      <c r="U217" s="71">
        <v>0.88409262522023702</v>
      </c>
      <c r="V217" s="71">
        <v>0.84184984299172105</v>
      </c>
      <c r="W217" s="71">
        <v>0.85439780395745202</v>
      </c>
      <c r="X217" s="71">
        <v>0.87181795770496395</v>
      </c>
      <c r="Y217" s="73">
        <v>0.92</v>
      </c>
      <c r="Z217" s="73">
        <v>0.92191464821222602</v>
      </c>
      <c r="AA217" s="73">
        <v>0.886799024730059</v>
      </c>
      <c r="AB217" s="73">
        <v>0.88427046263345199</v>
      </c>
      <c r="AC217" s="73">
        <v>0.91399387129724197</v>
      </c>
      <c r="AD217" s="73">
        <v>0.92</v>
      </c>
      <c r="AE217" s="71">
        <v>0.99768603540733103</v>
      </c>
      <c r="AF217" s="71">
        <v>0.97209220688041198</v>
      </c>
      <c r="AG217" s="71">
        <v>0.99732179645653096</v>
      </c>
      <c r="AH217" s="71">
        <v>0.98160413141156599</v>
      </c>
      <c r="AI217" s="73">
        <v>0.92</v>
      </c>
      <c r="AJ217" s="71">
        <v>0.94421711397280095</v>
      </c>
      <c r="AK217" s="71">
        <v>0.93246937329148505</v>
      </c>
      <c r="AL217" s="71">
        <v>0.91894977168949799</v>
      </c>
      <c r="AM217" s="71">
        <v>0.94183438482020798</v>
      </c>
      <c r="AN217" s="70">
        <v>0.99</v>
      </c>
      <c r="AO217" s="75">
        <v>1</v>
      </c>
      <c r="AP217" s="75">
        <v>1</v>
      </c>
      <c r="AQ217" s="75">
        <v>1</v>
      </c>
      <c r="AR217" s="75">
        <v>1</v>
      </c>
      <c r="AS217" s="95">
        <v>7.19793575775068E-2</v>
      </c>
      <c r="AT217" s="79">
        <v>1.8181818181818198E-2</v>
      </c>
      <c r="AU217" s="79">
        <v>0.14583333333333301</v>
      </c>
      <c r="AV217" s="79">
        <v>0</v>
      </c>
      <c r="AW217" s="79">
        <v>4.4285714285714303E-2</v>
      </c>
      <c r="AX217" s="50"/>
      <c r="AY217" s="54"/>
    </row>
    <row r="218" spans="1:51" s="48" customFormat="1">
      <c r="A218" s="53"/>
      <c r="B218" s="50"/>
      <c r="C218" s="90" t="s">
        <v>205</v>
      </c>
      <c r="D218" s="230" t="s">
        <v>1757</v>
      </c>
      <c r="E218" s="68" t="s">
        <v>206</v>
      </c>
      <c r="F218" s="94" t="s">
        <v>236</v>
      </c>
      <c r="G218" s="94" t="s">
        <v>236</v>
      </c>
      <c r="H218" s="94" t="s">
        <v>236</v>
      </c>
      <c r="I218" s="94" t="s">
        <v>236</v>
      </c>
      <c r="J218" s="70">
        <v>0.9</v>
      </c>
      <c r="K218" s="71">
        <v>0.96039603960396003</v>
      </c>
      <c r="L218" s="71">
        <v>0.98666666666666702</v>
      </c>
      <c r="M218" s="72">
        <v>0.97777777777777797</v>
      </c>
      <c r="N218" s="71">
        <v>0.96314258001939901</v>
      </c>
      <c r="O218" s="73">
        <v>0.9</v>
      </c>
      <c r="P218" s="71">
        <v>0.94987165936886597</v>
      </c>
      <c r="Q218" s="71">
        <v>0.95491143317230298</v>
      </c>
      <c r="R218" s="71">
        <v>0.95284044577330795</v>
      </c>
      <c r="S218" s="71">
        <v>0.957694321359707</v>
      </c>
      <c r="T218" s="73">
        <v>0.9</v>
      </c>
      <c r="U218" s="71">
        <v>0.921334742563793</v>
      </c>
      <c r="V218" s="71">
        <v>0.91127214170692405</v>
      </c>
      <c r="W218" s="71">
        <v>0.92430008154389798</v>
      </c>
      <c r="X218" s="71">
        <v>0.92222037772471299</v>
      </c>
      <c r="Y218" s="73">
        <v>0.92</v>
      </c>
      <c r="Z218" s="73">
        <v>0.93838219326818695</v>
      </c>
      <c r="AA218" s="73">
        <v>0.93460601137286803</v>
      </c>
      <c r="AB218" s="73">
        <v>0.94160583941605802</v>
      </c>
      <c r="AC218" s="73">
        <v>0.94993249324932505</v>
      </c>
      <c r="AD218" s="73">
        <v>0.92</v>
      </c>
      <c r="AE218" s="71">
        <v>0.96673711292842002</v>
      </c>
      <c r="AF218" s="71">
        <v>0.99597597247331904</v>
      </c>
      <c r="AG218" s="71">
        <v>0.986258401792382</v>
      </c>
      <c r="AH218" s="71">
        <v>0.98888615943485403</v>
      </c>
      <c r="AI218" s="73">
        <v>0.92</v>
      </c>
      <c r="AJ218" s="71">
        <v>0.95677336381823397</v>
      </c>
      <c r="AK218" s="71">
        <v>0.96091768503573904</v>
      </c>
      <c r="AL218" s="71">
        <v>0.96062069975113495</v>
      </c>
      <c r="AM218" s="71">
        <v>0.96667947404371601</v>
      </c>
      <c r="AN218" s="70">
        <v>0.99</v>
      </c>
      <c r="AO218" s="75">
        <v>1</v>
      </c>
      <c r="AP218" s="75">
        <v>1</v>
      </c>
      <c r="AQ218" s="75">
        <v>1</v>
      </c>
      <c r="AR218" s="75">
        <v>1</v>
      </c>
      <c r="AS218" s="95">
        <v>7.19793575775068E-2</v>
      </c>
      <c r="AT218" s="79">
        <v>0.11111111111111099</v>
      </c>
      <c r="AU218" s="79">
        <v>0.14285714285714299</v>
      </c>
      <c r="AV218" s="79">
        <v>0.1</v>
      </c>
      <c r="AW218" s="79">
        <v>7.9831932773109196E-2</v>
      </c>
      <c r="AX218" s="50"/>
      <c r="AY218" s="54"/>
    </row>
    <row r="219" spans="1:51" s="48" customFormat="1">
      <c r="A219" s="53"/>
      <c r="B219" s="50"/>
      <c r="C219" s="90" t="s">
        <v>205</v>
      </c>
      <c r="D219" s="230" t="s">
        <v>1757</v>
      </c>
      <c r="E219" s="68" t="s">
        <v>206</v>
      </c>
      <c r="F219" s="94" t="s">
        <v>237</v>
      </c>
      <c r="G219" s="94" t="s">
        <v>237</v>
      </c>
      <c r="H219" s="94" t="s">
        <v>237</v>
      </c>
      <c r="I219" s="94" t="s">
        <v>237</v>
      </c>
      <c r="J219" s="70">
        <v>0.9</v>
      </c>
      <c r="K219" s="71">
        <v>0.96296296296296302</v>
      </c>
      <c r="L219" s="71">
        <v>0.97037037037036999</v>
      </c>
      <c r="M219" s="72">
        <v>0.944827586206897</v>
      </c>
      <c r="N219" s="71">
        <v>0.93953764078245405</v>
      </c>
      <c r="O219" s="73">
        <v>0.9</v>
      </c>
      <c r="P219" s="71">
        <v>0.96463230536985101</v>
      </c>
      <c r="Q219" s="71">
        <v>0.92138834616710696</v>
      </c>
      <c r="R219" s="71">
        <v>0.89333828858125097</v>
      </c>
      <c r="S219" s="71">
        <v>0.91221311119788295</v>
      </c>
      <c r="T219" s="73">
        <v>0.9</v>
      </c>
      <c r="U219" s="71">
        <v>0.91697218028897998</v>
      </c>
      <c r="V219" s="71">
        <v>0.89713825997011798</v>
      </c>
      <c r="W219" s="71">
        <v>0.86258478119483395</v>
      </c>
      <c r="X219" s="71">
        <v>0.88866328257191196</v>
      </c>
      <c r="Y219" s="73">
        <v>0.92</v>
      </c>
      <c r="Z219" s="73">
        <v>0.92760308793071</v>
      </c>
      <c r="AA219" s="73">
        <v>0.87433406455656504</v>
      </c>
      <c r="AB219" s="73">
        <v>0.91135923436253796</v>
      </c>
      <c r="AC219" s="73">
        <v>0.92422921886915799</v>
      </c>
      <c r="AD219" s="73">
        <v>0.92</v>
      </c>
      <c r="AE219" s="71">
        <v>0.99269164982117897</v>
      </c>
      <c r="AF219" s="71">
        <v>0.91770726714431905</v>
      </c>
      <c r="AG219" s="71">
        <v>0.99643239386371696</v>
      </c>
      <c r="AH219" s="71">
        <v>0.941827405982397</v>
      </c>
      <c r="AI219" s="73">
        <v>0.92</v>
      </c>
      <c r="AJ219" s="71">
        <v>0.94914061714745201</v>
      </c>
      <c r="AK219" s="71">
        <v>0.94391658959051505</v>
      </c>
      <c r="AL219" s="71">
        <v>0.93966223132036897</v>
      </c>
      <c r="AM219" s="71">
        <v>0.95217259015633404</v>
      </c>
      <c r="AN219" s="70">
        <v>0.99</v>
      </c>
      <c r="AO219" s="75">
        <v>1</v>
      </c>
      <c r="AP219" s="75">
        <v>1</v>
      </c>
      <c r="AQ219" s="75">
        <v>1</v>
      </c>
      <c r="AR219" s="75">
        <v>1</v>
      </c>
      <c r="AS219" s="95">
        <v>7.19793575775068E-2</v>
      </c>
      <c r="AT219" s="79">
        <v>0.116279069767442</v>
      </c>
      <c r="AU219" s="79">
        <v>2.7777777777777801E-2</v>
      </c>
      <c r="AV219" s="79">
        <v>4.1666666666666699E-2</v>
      </c>
      <c r="AW219" s="79">
        <v>5.0903119868637103E-2</v>
      </c>
      <c r="AX219" s="50"/>
      <c r="AY219" s="54"/>
    </row>
    <row r="220" spans="1:51" s="48" customFormat="1">
      <c r="A220" s="53"/>
      <c r="B220" s="50"/>
      <c r="C220" s="90" t="s">
        <v>205</v>
      </c>
      <c r="D220" s="230" t="s">
        <v>1757</v>
      </c>
      <c r="E220" s="68" t="s">
        <v>206</v>
      </c>
      <c r="F220" s="94" t="s">
        <v>238</v>
      </c>
      <c r="G220" s="94" t="s">
        <v>238</v>
      </c>
      <c r="H220" s="94" t="s">
        <v>238</v>
      </c>
      <c r="I220" s="94" t="s">
        <v>238</v>
      </c>
      <c r="J220" s="70">
        <v>0.9</v>
      </c>
      <c r="K220" s="71">
        <v>0.90598290598290598</v>
      </c>
      <c r="L220" s="71">
        <v>0.94230769230769196</v>
      </c>
      <c r="M220" s="72">
        <v>0.94117647058823495</v>
      </c>
      <c r="N220" s="71">
        <v>0.93146160198183303</v>
      </c>
      <c r="O220" s="73">
        <v>0.9</v>
      </c>
      <c r="P220" s="71">
        <v>0.96635937247291004</v>
      </c>
      <c r="Q220" s="71">
        <v>0.96337522441651702</v>
      </c>
      <c r="R220" s="71">
        <v>0.93482169613425203</v>
      </c>
      <c r="S220" s="71">
        <v>0.95226513467801699</v>
      </c>
      <c r="T220" s="73">
        <v>0.9</v>
      </c>
      <c r="U220" s="71">
        <v>0.90134239042536002</v>
      </c>
      <c r="V220" s="71">
        <v>0.89748653500897702</v>
      </c>
      <c r="W220" s="71">
        <v>0.864249325741684</v>
      </c>
      <c r="X220" s="71">
        <v>0.90121748368068699</v>
      </c>
      <c r="Y220" s="73">
        <v>0.92</v>
      </c>
      <c r="Z220" s="73">
        <v>0.92005790574231905</v>
      </c>
      <c r="AA220" s="73">
        <v>0.90961262553802003</v>
      </c>
      <c r="AB220" s="73">
        <v>0.91346347353592305</v>
      </c>
      <c r="AC220" s="73">
        <v>0.93487939912501405</v>
      </c>
      <c r="AD220" s="73">
        <v>0.92</v>
      </c>
      <c r="AE220" s="71">
        <v>0.99407001938647499</v>
      </c>
      <c r="AF220" s="71">
        <v>0.99263760663783995</v>
      </c>
      <c r="AG220" s="71">
        <v>0.99339525283797703</v>
      </c>
      <c r="AH220" s="71">
        <v>0.96544256764457803</v>
      </c>
      <c r="AI220" s="73">
        <v>0.92</v>
      </c>
      <c r="AJ220" s="71">
        <v>0.94470417539900098</v>
      </c>
      <c r="AK220" s="71">
        <v>0.94922996606630095</v>
      </c>
      <c r="AL220" s="71">
        <v>0.934306569343066</v>
      </c>
      <c r="AM220" s="71">
        <v>0.955031650706054</v>
      </c>
      <c r="AN220" s="70">
        <v>0.99</v>
      </c>
      <c r="AO220" s="75">
        <v>1</v>
      </c>
      <c r="AP220" s="75">
        <v>1</v>
      </c>
      <c r="AQ220" s="75">
        <v>1</v>
      </c>
      <c r="AR220" s="75">
        <v>1</v>
      </c>
      <c r="AS220" s="95">
        <v>7.19793575775068E-2</v>
      </c>
      <c r="AT220" s="79">
        <v>0</v>
      </c>
      <c r="AU220" s="79">
        <v>2.3809523809523801E-2</v>
      </c>
      <c r="AV220" s="79">
        <v>0.114754098360656</v>
      </c>
      <c r="AW220" s="79">
        <v>4.5241809672386897E-2</v>
      </c>
      <c r="AX220" s="50"/>
      <c r="AY220" s="54"/>
    </row>
    <row r="221" spans="1:51" s="48" customFormat="1">
      <c r="A221" s="53"/>
      <c r="B221" s="50"/>
      <c r="C221" s="90" t="s">
        <v>205</v>
      </c>
      <c r="D221" s="230" t="s">
        <v>1757</v>
      </c>
      <c r="E221" s="68" t="s">
        <v>206</v>
      </c>
      <c r="F221" s="94" t="s">
        <v>239</v>
      </c>
      <c r="G221" s="94" t="s">
        <v>239</v>
      </c>
      <c r="H221" s="94" t="s">
        <v>239</v>
      </c>
      <c r="I221" s="94" t="s">
        <v>239</v>
      </c>
      <c r="J221" s="70">
        <v>0.9</v>
      </c>
      <c r="K221" s="71">
        <v>0.98630136986301398</v>
      </c>
      <c r="L221" s="71">
        <v>1</v>
      </c>
      <c r="M221" s="72">
        <v>0.95384615384615401</v>
      </c>
      <c r="N221" s="71">
        <v>0.97643979057591601</v>
      </c>
      <c r="O221" s="73">
        <v>0.9</v>
      </c>
      <c r="P221" s="71">
        <v>0.97595867275978498</v>
      </c>
      <c r="Q221" s="71">
        <v>0.95459837019790394</v>
      </c>
      <c r="R221" s="71">
        <v>0.97290255341323595</v>
      </c>
      <c r="S221" s="71">
        <v>0.95995639658666998</v>
      </c>
      <c r="T221" s="73">
        <v>0.9</v>
      </c>
      <c r="U221" s="71">
        <v>0.91714683091595495</v>
      </c>
      <c r="V221" s="71">
        <v>0.91455180442374895</v>
      </c>
      <c r="W221" s="71">
        <v>0.90672225117248595</v>
      </c>
      <c r="X221" s="71">
        <v>0.92653846808945495</v>
      </c>
      <c r="Y221" s="73">
        <v>0.92</v>
      </c>
      <c r="Z221" s="73">
        <v>0.94317527356498398</v>
      </c>
      <c r="AA221" s="73">
        <v>0.92515723270440298</v>
      </c>
      <c r="AB221" s="73">
        <v>0.92420653718616796</v>
      </c>
      <c r="AC221" s="73">
        <v>0.93864179274257797</v>
      </c>
      <c r="AD221" s="73">
        <v>0.92</v>
      </c>
      <c r="AE221" s="71">
        <v>0.99561617145640502</v>
      </c>
      <c r="AF221" s="71">
        <v>0.97606382978723405</v>
      </c>
      <c r="AG221" s="71">
        <v>0.98974358974359</v>
      </c>
      <c r="AH221" s="71">
        <v>0.98781455452278399</v>
      </c>
      <c r="AI221" s="73">
        <v>0.92</v>
      </c>
      <c r="AJ221" s="71">
        <v>0.95725578218014995</v>
      </c>
      <c r="AK221" s="71">
        <v>0.95327896704043502</v>
      </c>
      <c r="AL221" s="71">
        <v>0.95220440881763502</v>
      </c>
      <c r="AM221" s="71">
        <v>0.95935759086836303</v>
      </c>
      <c r="AN221" s="70">
        <v>0.99</v>
      </c>
      <c r="AO221" s="75">
        <v>1</v>
      </c>
      <c r="AP221" s="75">
        <v>1</v>
      </c>
      <c r="AQ221" s="75">
        <v>1</v>
      </c>
      <c r="AR221" s="75">
        <v>1</v>
      </c>
      <c r="AS221" s="95">
        <v>7.19793575775068E-2</v>
      </c>
      <c r="AT221" s="79">
        <v>6.25E-2</v>
      </c>
      <c r="AU221" s="79">
        <v>0.31578947368421101</v>
      </c>
      <c r="AV221" s="79">
        <v>0</v>
      </c>
      <c r="AW221" s="79">
        <v>6.02006688963211E-2</v>
      </c>
      <c r="AX221" s="50"/>
      <c r="AY221" s="54"/>
    </row>
    <row r="222" spans="1:51" s="48" customFormat="1">
      <c r="A222" s="53"/>
      <c r="B222" s="50"/>
      <c r="C222" s="90" t="s">
        <v>205</v>
      </c>
      <c r="D222" s="230" t="s">
        <v>1757</v>
      </c>
      <c r="E222" s="68" t="s">
        <v>206</v>
      </c>
      <c r="F222" s="94" t="s">
        <v>240</v>
      </c>
      <c r="G222" s="94" t="s">
        <v>240</v>
      </c>
      <c r="H222" s="94" t="s">
        <v>240</v>
      </c>
      <c r="I222" s="94" t="s">
        <v>240</v>
      </c>
      <c r="J222" s="70">
        <v>0.9</v>
      </c>
      <c r="K222" s="71">
        <v>0.99</v>
      </c>
      <c r="L222" s="71">
        <v>0.95555555555555605</v>
      </c>
      <c r="M222" s="72">
        <v>0.97402597402597402</v>
      </c>
      <c r="N222" s="71">
        <v>0.96809571286141605</v>
      </c>
      <c r="O222" s="73">
        <v>0.9</v>
      </c>
      <c r="P222" s="71">
        <v>0.94567286571972498</v>
      </c>
      <c r="Q222" s="71">
        <v>0.84073219948111799</v>
      </c>
      <c r="R222" s="71">
        <v>0.92600363687229004</v>
      </c>
      <c r="S222" s="71">
        <v>0.86449497903870498</v>
      </c>
      <c r="T222" s="73">
        <v>0.9</v>
      </c>
      <c r="U222" s="71">
        <v>0.91228583980084899</v>
      </c>
      <c r="V222" s="71">
        <v>0.80325742288844004</v>
      </c>
      <c r="W222" s="71">
        <v>0.76024618827808099</v>
      </c>
      <c r="X222" s="71">
        <v>0.84020668811543298</v>
      </c>
      <c r="Y222" s="73">
        <v>0.92</v>
      </c>
      <c r="Z222" s="73">
        <v>0.869105798441421</v>
      </c>
      <c r="AA222" s="73">
        <v>0.902183803457689</v>
      </c>
      <c r="AB222" s="73">
        <v>0.88823181549379104</v>
      </c>
      <c r="AC222" s="73">
        <v>0.92429796593408498</v>
      </c>
      <c r="AD222" s="73">
        <v>0.92</v>
      </c>
      <c r="AE222" s="71">
        <v>0.98605577689242996</v>
      </c>
      <c r="AF222" s="71">
        <v>0.97794741306191701</v>
      </c>
      <c r="AG222" s="71">
        <v>0.87205146533237998</v>
      </c>
      <c r="AH222" s="71">
        <v>0.973157894736842</v>
      </c>
      <c r="AI222" s="73">
        <v>0.92</v>
      </c>
      <c r="AJ222" s="71">
        <v>0.912638888888889</v>
      </c>
      <c r="AK222" s="71">
        <v>0.93202714535901898</v>
      </c>
      <c r="AL222" s="71">
        <v>0.91818033055146497</v>
      </c>
      <c r="AM222" s="71">
        <v>0.94671167170012405</v>
      </c>
      <c r="AN222" s="70">
        <v>0.99</v>
      </c>
      <c r="AO222" s="75">
        <v>1</v>
      </c>
      <c r="AP222" s="75">
        <v>1</v>
      </c>
      <c r="AQ222" s="75">
        <v>1</v>
      </c>
      <c r="AR222" s="75">
        <v>1</v>
      </c>
      <c r="AS222" s="95">
        <v>7.19793575775068E-2</v>
      </c>
      <c r="AT222" s="79">
        <v>5.4054054054054099E-2</v>
      </c>
      <c r="AU222" s="79">
        <v>4.1666666666666699E-2</v>
      </c>
      <c r="AV222" s="79">
        <v>0.08</v>
      </c>
      <c r="AW222" s="79">
        <v>5.0343249427917597E-2</v>
      </c>
      <c r="AX222" s="50"/>
      <c r="AY222" s="54"/>
    </row>
    <row r="223" spans="1:51">
      <c r="A223" s="53"/>
      <c r="C223" s="90" t="s">
        <v>205</v>
      </c>
      <c r="D223" s="230" t="s">
        <v>1757</v>
      </c>
      <c r="E223" s="68" t="s">
        <v>206</v>
      </c>
      <c r="F223" s="94" t="s">
        <v>241</v>
      </c>
      <c r="G223" s="94" t="s">
        <v>241</v>
      </c>
      <c r="H223" s="94" t="s">
        <v>241</v>
      </c>
      <c r="I223" s="94" t="s">
        <v>241</v>
      </c>
      <c r="J223" s="70">
        <v>0.9</v>
      </c>
      <c r="K223" s="71">
        <v>0.91011235955056202</v>
      </c>
      <c r="L223" s="71">
        <v>0.92134831460674205</v>
      </c>
      <c r="M223" s="72">
        <v>0.90909090909090895</v>
      </c>
      <c r="N223" s="71">
        <v>0.91434262948207201</v>
      </c>
      <c r="O223" s="73">
        <v>0.9</v>
      </c>
      <c r="P223" s="71">
        <v>0.97187237615449196</v>
      </c>
      <c r="Q223" s="71">
        <v>0.96541247955129705</v>
      </c>
      <c r="R223" s="71">
        <v>0.97473498233215505</v>
      </c>
      <c r="S223" s="71">
        <v>0.96569101552557901</v>
      </c>
      <c r="T223" s="73">
        <v>0.9</v>
      </c>
      <c r="U223" s="71">
        <v>0.92842149454240097</v>
      </c>
      <c r="V223" s="71">
        <v>0.94180883383968195</v>
      </c>
      <c r="W223" s="71">
        <v>0.94487632508833896</v>
      </c>
      <c r="X223" s="71">
        <v>0.94285229490116196</v>
      </c>
      <c r="Y223" s="73">
        <v>0.92</v>
      </c>
      <c r="Z223" s="73">
        <v>0.93648393194707003</v>
      </c>
      <c r="AA223" s="73">
        <v>0.94570707070707105</v>
      </c>
      <c r="AB223" s="73">
        <v>0.93746946751343396</v>
      </c>
      <c r="AC223" s="73">
        <v>0.94692063775624102</v>
      </c>
      <c r="AD223" s="73">
        <v>0.92</v>
      </c>
      <c r="AE223" s="71">
        <v>0.99944536882972801</v>
      </c>
      <c r="AF223" s="71">
        <v>0.98258345428156701</v>
      </c>
      <c r="AG223" s="71">
        <v>0.97260851243152102</v>
      </c>
      <c r="AH223" s="71">
        <v>0.99096144953125698</v>
      </c>
      <c r="AI223" s="73">
        <v>0.92</v>
      </c>
      <c r="AJ223" s="71">
        <v>0.95525059665871104</v>
      </c>
      <c r="AK223" s="71">
        <v>0.97339246119733902</v>
      </c>
      <c r="AL223" s="71">
        <v>0.96545361353152204</v>
      </c>
      <c r="AM223" s="71">
        <v>0.96835205089892495</v>
      </c>
      <c r="AN223" s="70">
        <v>0.99</v>
      </c>
      <c r="AO223" s="75">
        <v>1</v>
      </c>
      <c r="AP223" s="75">
        <v>1</v>
      </c>
      <c r="AQ223" s="75">
        <v>1</v>
      </c>
      <c r="AR223" s="75">
        <v>1</v>
      </c>
      <c r="AS223" s="95">
        <v>7.19793575775068E-2</v>
      </c>
      <c r="AT223" s="79">
        <v>0.23529411764705899</v>
      </c>
      <c r="AU223" s="79">
        <v>0.28571428571428598</v>
      </c>
      <c r="AV223" s="79">
        <v>4.3478260869565202E-2</v>
      </c>
      <c r="AW223" s="79">
        <v>7.5601374570446703E-2</v>
      </c>
      <c r="AX223" s="56"/>
      <c r="AY223" s="54"/>
    </row>
    <row r="224" spans="1:51">
      <c r="A224" s="53"/>
      <c r="C224" s="90" t="s">
        <v>205</v>
      </c>
      <c r="D224" s="230" t="s">
        <v>1757</v>
      </c>
      <c r="E224" s="68" t="s">
        <v>206</v>
      </c>
      <c r="F224" s="94" t="s">
        <v>242</v>
      </c>
      <c r="G224" s="94" t="s">
        <v>242</v>
      </c>
      <c r="H224" s="94" t="s">
        <v>242</v>
      </c>
      <c r="I224" s="94" t="s">
        <v>242</v>
      </c>
      <c r="J224" s="70">
        <v>0.9</v>
      </c>
      <c r="K224" s="71">
        <v>0.93333333333333302</v>
      </c>
      <c r="L224" s="71">
        <v>0.94444444444444398</v>
      </c>
      <c r="M224" s="72">
        <v>0.90109890109890101</v>
      </c>
      <c r="N224" s="71">
        <v>0.93096646942800798</v>
      </c>
      <c r="O224" s="73">
        <v>0.9</v>
      </c>
      <c r="P224" s="71">
        <v>0.96283572767020598</v>
      </c>
      <c r="Q224" s="71">
        <v>0.96110091743119297</v>
      </c>
      <c r="R224" s="71">
        <v>0.94892055876957804</v>
      </c>
      <c r="S224" s="71">
        <v>0.95133212025746205</v>
      </c>
      <c r="T224" s="73">
        <v>0.9</v>
      </c>
      <c r="U224" s="71">
        <v>0.90771392879450297</v>
      </c>
      <c r="V224" s="71">
        <v>0.91266055045871597</v>
      </c>
      <c r="W224" s="71">
        <v>0.91336249470862096</v>
      </c>
      <c r="X224" s="71">
        <v>0.90724043344830396</v>
      </c>
      <c r="Y224" s="73">
        <v>0.92</v>
      </c>
      <c r="Z224" s="73">
        <v>0.92237934214571204</v>
      </c>
      <c r="AA224" s="73">
        <v>0.94167497507477604</v>
      </c>
      <c r="AB224" s="73">
        <v>0.931545921277809</v>
      </c>
      <c r="AC224" s="73">
        <v>0.938229510562682</v>
      </c>
      <c r="AD224" s="73">
        <v>0.92</v>
      </c>
      <c r="AE224" s="71">
        <v>0.99079401611047202</v>
      </c>
      <c r="AF224" s="71">
        <v>0.99009900990098998</v>
      </c>
      <c r="AG224" s="71">
        <v>0.97734627831715204</v>
      </c>
      <c r="AH224" s="71">
        <v>0.98612368024132702</v>
      </c>
      <c r="AI224" s="73">
        <v>0.92</v>
      </c>
      <c r="AJ224" s="71">
        <v>0.94787794299876105</v>
      </c>
      <c r="AK224" s="71">
        <v>0.96352420544454898</v>
      </c>
      <c r="AL224" s="71">
        <v>0.95666612668070605</v>
      </c>
      <c r="AM224" s="71">
        <v>0.96216417216696104</v>
      </c>
      <c r="AN224" s="70">
        <v>0.99</v>
      </c>
      <c r="AO224" s="75">
        <v>1</v>
      </c>
      <c r="AP224" s="75">
        <v>1</v>
      </c>
      <c r="AQ224" s="75">
        <v>1</v>
      </c>
      <c r="AR224" s="75">
        <v>1</v>
      </c>
      <c r="AS224" s="95">
        <v>7.19793575775068E-2</v>
      </c>
      <c r="AT224" s="79">
        <v>0.105263157894737</v>
      </c>
      <c r="AU224" s="79">
        <v>5.5555555555555601E-2</v>
      </c>
      <c r="AV224" s="79">
        <v>3.4482758620689703E-2</v>
      </c>
      <c r="AW224" s="79">
        <v>3.9660056657223802E-2</v>
      </c>
      <c r="AX224" s="56"/>
      <c r="AY224" s="54"/>
    </row>
    <row r="225" spans="1:51">
      <c r="A225" s="53"/>
      <c r="C225" s="90" t="s">
        <v>205</v>
      </c>
      <c r="D225" s="230" t="s">
        <v>1757</v>
      </c>
      <c r="E225" s="68" t="s">
        <v>206</v>
      </c>
      <c r="F225" s="94" t="s">
        <v>243</v>
      </c>
      <c r="G225" s="94" t="s">
        <v>243</v>
      </c>
      <c r="H225" s="94" t="s">
        <v>243</v>
      </c>
      <c r="I225" s="94" t="s">
        <v>243</v>
      </c>
      <c r="J225" s="70">
        <v>0.9</v>
      </c>
      <c r="K225" s="71">
        <v>0.93835616438356195</v>
      </c>
      <c r="L225" s="71">
        <v>0.97540983606557397</v>
      </c>
      <c r="M225" s="72">
        <v>0.92063492063492103</v>
      </c>
      <c r="N225" s="71">
        <v>0.960561497326203</v>
      </c>
      <c r="O225" s="73">
        <v>0.9</v>
      </c>
      <c r="P225" s="71">
        <v>0.94895168641750205</v>
      </c>
      <c r="Q225" s="71">
        <v>0.93870449678800905</v>
      </c>
      <c r="R225" s="71">
        <v>0.93051653339096596</v>
      </c>
      <c r="S225" s="71">
        <v>0.91905994322925399</v>
      </c>
      <c r="T225" s="73">
        <v>0.9</v>
      </c>
      <c r="U225" s="71">
        <v>0.91600468811043101</v>
      </c>
      <c r="V225" s="71">
        <v>0.87473233404710904</v>
      </c>
      <c r="W225" s="71">
        <v>0.89204668251566899</v>
      </c>
      <c r="X225" s="71">
        <v>0.89915887460344002</v>
      </c>
      <c r="Y225" s="73">
        <v>0.92</v>
      </c>
      <c r="Z225" s="73">
        <v>0.93476328072905102</v>
      </c>
      <c r="AA225" s="73">
        <v>0.91062271062271105</v>
      </c>
      <c r="AB225" s="73">
        <v>0.914340187934087</v>
      </c>
      <c r="AC225" s="73">
        <v>0.93433281412253399</v>
      </c>
      <c r="AD225" s="73">
        <v>0.92</v>
      </c>
      <c r="AE225" s="71">
        <v>0.99532710280373804</v>
      </c>
      <c r="AF225" s="71">
        <v>0.99161425576519902</v>
      </c>
      <c r="AG225" s="71">
        <v>0.99850074962518698</v>
      </c>
      <c r="AH225" s="71">
        <v>0.99556941253692199</v>
      </c>
      <c r="AI225" s="73">
        <v>0.92</v>
      </c>
      <c r="AJ225" s="71">
        <v>0.95023384098812802</v>
      </c>
      <c r="AK225" s="71">
        <v>0.94608900215643998</v>
      </c>
      <c r="AL225" s="71">
        <v>0.93957467317308296</v>
      </c>
      <c r="AM225" s="71">
        <v>0.95433169247499705</v>
      </c>
      <c r="AN225" s="70">
        <v>0.99</v>
      </c>
      <c r="AO225" s="75">
        <v>1</v>
      </c>
      <c r="AP225" s="75">
        <v>1</v>
      </c>
      <c r="AQ225" s="75">
        <v>1</v>
      </c>
      <c r="AR225" s="75">
        <v>1</v>
      </c>
      <c r="AS225" s="95">
        <v>7.19793575775068E-2</v>
      </c>
      <c r="AT225" s="79">
        <v>0.15625</v>
      </c>
      <c r="AU225" s="79">
        <v>9.375E-2</v>
      </c>
      <c r="AV225" s="79">
        <v>2.32558139534884E-2</v>
      </c>
      <c r="AW225" s="79">
        <v>4.5356371490280802E-2</v>
      </c>
      <c r="AX225" s="56"/>
      <c r="AY225" s="54"/>
    </row>
    <row r="226" spans="1:51">
      <c r="A226" s="53"/>
      <c r="C226" s="90" t="s">
        <v>205</v>
      </c>
      <c r="D226" s="230" t="s">
        <v>1757</v>
      </c>
      <c r="E226" s="68" t="s">
        <v>206</v>
      </c>
      <c r="F226" s="94" t="s">
        <v>244</v>
      </c>
      <c r="G226" s="94" t="s">
        <v>244</v>
      </c>
      <c r="H226" s="94" t="s">
        <v>244</v>
      </c>
      <c r="I226" s="94" t="s">
        <v>244</v>
      </c>
      <c r="J226" s="70">
        <v>0.9</v>
      </c>
      <c r="K226" s="71">
        <v>1</v>
      </c>
      <c r="L226" s="71">
        <v>1</v>
      </c>
      <c r="M226" s="72">
        <v>1</v>
      </c>
      <c r="N226" s="71">
        <v>0.99004975124378103</v>
      </c>
      <c r="O226" s="73">
        <v>0.9</v>
      </c>
      <c r="P226" s="71">
        <v>0.99457013574660602</v>
      </c>
      <c r="Q226" s="71">
        <v>0.99107939339875095</v>
      </c>
      <c r="R226" s="71">
        <v>0.99306090979182704</v>
      </c>
      <c r="S226" s="71">
        <v>0.98372759856630798</v>
      </c>
      <c r="T226" s="73">
        <v>0.9</v>
      </c>
      <c r="U226" s="71">
        <v>0.95022624434389102</v>
      </c>
      <c r="V226" s="71">
        <v>0.937555753791258</v>
      </c>
      <c r="W226" s="71">
        <v>0.94448727833461799</v>
      </c>
      <c r="X226" s="71">
        <v>0.93863799283154103</v>
      </c>
      <c r="Y226" s="73">
        <v>0.92</v>
      </c>
      <c r="Z226" s="73">
        <v>0.95209125475285195</v>
      </c>
      <c r="AA226" s="73">
        <v>0.90609137055837596</v>
      </c>
      <c r="AB226" s="73">
        <v>0.96937799043062201</v>
      </c>
      <c r="AC226" s="73">
        <v>0.95418655894234305</v>
      </c>
      <c r="AD226" s="73">
        <v>0.92</v>
      </c>
      <c r="AE226" s="71">
        <v>1</v>
      </c>
      <c r="AF226" s="71">
        <v>1</v>
      </c>
      <c r="AG226" s="71">
        <v>1</v>
      </c>
      <c r="AH226" s="71">
        <v>0.98811544991511002</v>
      </c>
      <c r="AI226" s="73">
        <v>0.92</v>
      </c>
      <c r="AJ226" s="71">
        <v>0.96570247933884301</v>
      </c>
      <c r="AK226" s="71">
        <v>0.96039603960396003</v>
      </c>
      <c r="AL226" s="71">
        <v>0.980793854033291</v>
      </c>
      <c r="AM226" s="71">
        <v>0.97206568990500697</v>
      </c>
      <c r="AN226" s="70">
        <v>0.99</v>
      </c>
      <c r="AO226" s="75">
        <v>1</v>
      </c>
      <c r="AP226" s="75">
        <v>1</v>
      </c>
      <c r="AQ226" s="75">
        <v>1</v>
      </c>
      <c r="AR226" s="75">
        <v>1</v>
      </c>
      <c r="AS226" s="95">
        <v>7.19793575775068E-2</v>
      </c>
      <c r="AT226" s="79">
        <v>0.25</v>
      </c>
      <c r="AU226" s="79">
        <v>1</v>
      </c>
      <c r="AV226" s="79">
        <v>0.33333333333333298</v>
      </c>
      <c r="AW226" s="79">
        <v>0.133333333333333</v>
      </c>
      <c r="AX226" s="56"/>
      <c r="AY226" s="54"/>
    </row>
    <row r="227" spans="1:51">
      <c r="A227" s="53"/>
      <c r="C227" s="90" t="s">
        <v>205</v>
      </c>
      <c r="D227" s="230" t="s">
        <v>1757</v>
      </c>
      <c r="E227" s="68" t="s">
        <v>206</v>
      </c>
      <c r="F227" s="94" t="s">
        <v>245</v>
      </c>
      <c r="G227" s="94" t="s">
        <v>245</v>
      </c>
      <c r="H227" s="94" t="s">
        <v>245</v>
      </c>
      <c r="I227" s="94" t="s">
        <v>245</v>
      </c>
      <c r="J227" s="70">
        <v>0.9</v>
      </c>
      <c r="K227" s="71">
        <v>0.96590909090909105</v>
      </c>
      <c r="L227" s="71">
        <v>0.97297297297297303</v>
      </c>
      <c r="M227" s="72">
        <v>0.97402597402597402</v>
      </c>
      <c r="N227" s="71">
        <v>0.96236559139784905</v>
      </c>
      <c r="O227" s="73">
        <v>0.9</v>
      </c>
      <c r="P227" s="71">
        <v>0.95757468622944997</v>
      </c>
      <c r="Q227" s="71">
        <v>0.90891658676893605</v>
      </c>
      <c r="R227" s="71">
        <v>0.92116859800881301</v>
      </c>
      <c r="S227" s="71">
        <v>0.88930617819077895</v>
      </c>
      <c r="T227" s="73">
        <v>0.9</v>
      </c>
      <c r="U227" s="71">
        <v>0.88969418419657098</v>
      </c>
      <c r="V227" s="71">
        <v>0.83163950143815901</v>
      </c>
      <c r="W227" s="71">
        <v>0.84478537620368899</v>
      </c>
      <c r="X227" s="71">
        <v>0.84747498738235905</v>
      </c>
      <c r="Y227" s="73">
        <v>0.92</v>
      </c>
      <c r="Z227" s="73">
        <v>0.90273396424815999</v>
      </c>
      <c r="AA227" s="73">
        <v>0.88631221719456998</v>
      </c>
      <c r="AB227" s="73">
        <v>0.91698024459078098</v>
      </c>
      <c r="AC227" s="73">
        <v>0.94697613599215402</v>
      </c>
      <c r="AD227" s="73">
        <v>0.92</v>
      </c>
      <c r="AE227" s="71">
        <v>0.998578788417126</v>
      </c>
      <c r="AF227" s="71">
        <v>0.99832747951162404</v>
      </c>
      <c r="AG227" s="71">
        <v>0.99045945267386404</v>
      </c>
      <c r="AH227" s="71">
        <v>0.99467936524827405</v>
      </c>
      <c r="AI227" s="73">
        <v>0.92</v>
      </c>
      <c r="AJ227" s="71">
        <v>0.93367346938775497</v>
      </c>
      <c r="AK227" s="71">
        <v>0.93813547186023205</v>
      </c>
      <c r="AL227" s="71">
        <v>0.93718689788053999</v>
      </c>
      <c r="AM227" s="71">
        <v>0.96500242793448998</v>
      </c>
      <c r="AN227" s="70">
        <v>0.99</v>
      </c>
      <c r="AO227" s="75">
        <v>1</v>
      </c>
      <c r="AP227" s="75">
        <v>1</v>
      </c>
      <c r="AQ227" s="75">
        <v>1</v>
      </c>
      <c r="AR227" s="75">
        <v>1</v>
      </c>
      <c r="AS227" s="95">
        <v>7.19793575775068E-2</v>
      </c>
      <c r="AT227" s="79">
        <v>0.04</v>
      </c>
      <c r="AU227" s="79">
        <v>0.157894736842105</v>
      </c>
      <c r="AV227" s="79">
        <v>0</v>
      </c>
      <c r="AW227" s="79">
        <v>4.3604651162790699E-2</v>
      </c>
      <c r="AX227" s="56"/>
      <c r="AY227" s="54"/>
    </row>
    <row r="228" spans="1:51">
      <c r="A228" s="53"/>
      <c r="C228" s="90" t="s">
        <v>205</v>
      </c>
      <c r="D228" s="230" t="s">
        <v>1759</v>
      </c>
      <c r="E228" s="68" t="s">
        <v>206</v>
      </c>
      <c r="F228" s="94" t="s">
        <v>246</v>
      </c>
      <c r="G228" s="94" t="s">
        <v>246</v>
      </c>
      <c r="H228" s="94" t="s">
        <v>246</v>
      </c>
      <c r="I228" s="94" t="s">
        <v>246</v>
      </c>
      <c r="J228" s="70">
        <v>0.9</v>
      </c>
      <c r="K228" s="71" t="s">
        <v>1710</v>
      </c>
      <c r="L228" s="71" t="s">
        <v>1710</v>
      </c>
      <c r="M228" s="72" t="s">
        <v>1710</v>
      </c>
      <c r="N228" s="71" t="s">
        <v>1710</v>
      </c>
      <c r="O228" s="73">
        <v>0.9</v>
      </c>
      <c r="P228" s="71" t="s">
        <v>1710</v>
      </c>
      <c r="Q228" s="71" t="s">
        <v>1710</v>
      </c>
      <c r="R228" s="71" t="s">
        <v>1710</v>
      </c>
      <c r="S228" s="71" t="s">
        <v>1710</v>
      </c>
      <c r="T228" s="73">
        <v>0.9</v>
      </c>
      <c r="U228" s="71" t="s">
        <v>1710</v>
      </c>
      <c r="V228" s="71" t="s">
        <v>1710</v>
      </c>
      <c r="W228" s="71" t="s">
        <v>1710</v>
      </c>
      <c r="X228" s="71" t="s">
        <v>1710</v>
      </c>
      <c r="Y228" s="73">
        <v>0.92</v>
      </c>
      <c r="Z228" s="73" t="s">
        <v>1710</v>
      </c>
      <c r="AA228" s="73" t="s">
        <v>1710</v>
      </c>
      <c r="AB228" s="73" t="s">
        <v>1710</v>
      </c>
      <c r="AC228" s="73" t="s">
        <v>1710</v>
      </c>
      <c r="AD228" s="73">
        <v>0.92</v>
      </c>
      <c r="AE228" s="71">
        <v>1</v>
      </c>
      <c r="AF228" s="71">
        <v>0.75</v>
      </c>
      <c r="AG228" s="71">
        <v>1</v>
      </c>
      <c r="AH228" s="71">
        <v>0.99183238636363602</v>
      </c>
      <c r="AI228" s="73">
        <v>0.92</v>
      </c>
      <c r="AJ228" s="71" t="s">
        <v>1710</v>
      </c>
      <c r="AK228" s="71" t="s">
        <v>1710</v>
      </c>
      <c r="AL228" s="71" t="s">
        <v>1710</v>
      </c>
      <c r="AM228" s="71" t="s">
        <v>1710</v>
      </c>
      <c r="AN228" s="70">
        <v>0.99</v>
      </c>
      <c r="AO228" s="75" t="s">
        <v>1710</v>
      </c>
      <c r="AP228" s="75" t="s">
        <v>1710</v>
      </c>
      <c r="AQ228" s="75" t="s">
        <v>1710</v>
      </c>
      <c r="AR228" s="75" t="s">
        <v>1710</v>
      </c>
      <c r="AS228" s="95">
        <v>7.19793575775068E-2</v>
      </c>
      <c r="AT228" s="79" t="s">
        <v>1710</v>
      </c>
      <c r="AU228" s="79" t="s">
        <v>1710</v>
      </c>
      <c r="AV228" s="79" t="s">
        <v>1710</v>
      </c>
      <c r="AW228" s="79" t="s">
        <v>1710</v>
      </c>
      <c r="AX228" s="56"/>
      <c r="AY228" s="54"/>
    </row>
    <row r="229" spans="1:51">
      <c r="A229" s="53"/>
      <c r="C229" s="90" t="s">
        <v>205</v>
      </c>
      <c r="D229" s="230" t="s">
        <v>1757</v>
      </c>
      <c r="E229" s="68" t="s">
        <v>206</v>
      </c>
      <c r="F229" s="94" t="s">
        <v>247</v>
      </c>
      <c r="G229" s="94" t="s">
        <v>247</v>
      </c>
      <c r="H229" s="94" t="s">
        <v>247</v>
      </c>
      <c r="I229" s="94" t="s">
        <v>247</v>
      </c>
      <c r="J229" s="70">
        <v>0.9</v>
      </c>
      <c r="K229" s="71">
        <v>0.97122302158273399</v>
      </c>
      <c r="L229" s="71">
        <v>0.95041322314049603</v>
      </c>
      <c r="M229" s="72">
        <v>0.9375</v>
      </c>
      <c r="N229" s="71">
        <v>0.95991706979958502</v>
      </c>
      <c r="O229" s="73">
        <v>0.9</v>
      </c>
      <c r="P229" s="71">
        <v>0.96307300509337901</v>
      </c>
      <c r="Q229" s="71">
        <v>0.96626180836707198</v>
      </c>
      <c r="R229" s="71">
        <v>0.94164327881544596</v>
      </c>
      <c r="S229" s="71">
        <v>0.92985193117199605</v>
      </c>
      <c r="T229" s="73">
        <v>0.9</v>
      </c>
      <c r="U229" s="71">
        <v>0.92434210526315796</v>
      </c>
      <c r="V229" s="71">
        <v>0.92332229174334401</v>
      </c>
      <c r="W229" s="71">
        <v>0.92238459305138898</v>
      </c>
      <c r="X229" s="71">
        <v>0.91090946015803897</v>
      </c>
      <c r="Y229" s="73">
        <v>0.92</v>
      </c>
      <c r="Z229" s="73">
        <v>0.95182706024360797</v>
      </c>
      <c r="AA229" s="73">
        <v>0.94474034620505998</v>
      </c>
      <c r="AB229" s="73">
        <v>0.94565513484064301</v>
      </c>
      <c r="AC229" s="73">
        <v>0.94858325984433101</v>
      </c>
      <c r="AD229" s="73">
        <v>0.92</v>
      </c>
      <c r="AE229" s="71">
        <v>0.996841562459714</v>
      </c>
      <c r="AF229" s="71">
        <v>0.97777777777777797</v>
      </c>
      <c r="AG229" s="71">
        <v>0.97304011105428501</v>
      </c>
      <c r="AH229" s="71">
        <v>0.98886554621848699</v>
      </c>
      <c r="AI229" s="73">
        <v>0.92</v>
      </c>
      <c r="AJ229" s="71">
        <v>0.96823427893431102</v>
      </c>
      <c r="AK229" s="71">
        <v>0.96790964503406196</v>
      </c>
      <c r="AL229" s="71">
        <v>0.96271991853821304</v>
      </c>
      <c r="AM229" s="71">
        <v>0.96772257383400995</v>
      </c>
      <c r="AN229" s="70">
        <v>0.99</v>
      </c>
      <c r="AO229" s="75">
        <v>1</v>
      </c>
      <c r="AP229" s="75">
        <v>1</v>
      </c>
      <c r="AQ229" s="75">
        <v>1</v>
      </c>
      <c r="AR229" s="75">
        <v>1</v>
      </c>
      <c r="AS229" s="95">
        <v>7.19793575775068E-2</v>
      </c>
      <c r="AT229" s="79">
        <v>5.5555555555555601E-2</v>
      </c>
      <c r="AU229" s="79">
        <v>0.10344827586206901</v>
      </c>
      <c r="AV229" s="79">
        <v>2.5000000000000001E-2</v>
      </c>
      <c r="AW229" s="79">
        <v>5.95238095238095E-2</v>
      </c>
      <c r="AX229" s="56"/>
      <c r="AY229" s="54"/>
    </row>
    <row r="230" spans="1:51">
      <c r="A230" s="53"/>
      <c r="C230" s="90" t="s">
        <v>205</v>
      </c>
      <c r="D230" s="230" t="s">
        <v>1757</v>
      </c>
      <c r="E230" s="68" t="s">
        <v>206</v>
      </c>
      <c r="F230" s="94" t="s">
        <v>248</v>
      </c>
      <c r="G230" s="94" t="s">
        <v>248</v>
      </c>
      <c r="H230" s="94" t="s">
        <v>248</v>
      </c>
      <c r="I230" s="94" t="s">
        <v>248</v>
      </c>
      <c r="J230" s="70">
        <v>0.9</v>
      </c>
      <c r="K230" s="71">
        <v>0.92660550458715596</v>
      </c>
      <c r="L230" s="71">
        <v>0.93548387096774199</v>
      </c>
      <c r="M230" s="72">
        <v>0.92</v>
      </c>
      <c r="N230" s="71">
        <v>0.93243243243243201</v>
      </c>
      <c r="O230" s="73">
        <v>0.9</v>
      </c>
      <c r="P230" s="71">
        <v>0.96237678744967403</v>
      </c>
      <c r="Q230" s="71">
        <v>0.95331193463670805</v>
      </c>
      <c r="R230" s="71">
        <v>0.94991861775385</v>
      </c>
      <c r="S230" s="71">
        <v>0.95561167162830596</v>
      </c>
      <c r="T230" s="73">
        <v>0.9</v>
      </c>
      <c r="U230" s="71">
        <v>0.92211578508954595</v>
      </c>
      <c r="V230" s="71">
        <v>0.88211263495768899</v>
      </c>
      <c r="W230" s="71">
        <v>0.90972830850131503</v>
      </c>
      <c r="X230" s="71">
        <v>0.91830091857892504</v>
      </c>
      <c r="Y230" s="73">
        <v>0.92</v>
      </c>
      <c r="Z230" s="73">
        <v>0.93061801361942698</v>
      </c>
      <c r="AA230" s="73">
        <v>0.92908082408874804</v>
      </c>
      <c r="AB230" s="73">
        <v>0.92807208326860302</v>
      </c>
      <c r="AC230" s="73">
        <v>0.93940345838568795</v>
      </c>
      <c r="AD230" s="73">
        <v>0.92</v>
      </c>
      <c r="AE230" s="71">
        <v>0.991518715368088</v>
      </c>
      <c r="AF230" s="71">
        <v>0.98742724097788104</v>
      </c>
      <c r="AG230" s="71">
        <v>0.99850671976107497</v>
      </c>
      <c r="AH230" s="71">
        <v>0.988930682428802</v>
      </c>
      <c r="AI230" s="73">
        <v>0.92</v>
      </c>
      <c r="AJ230" s="71">
        <v>0.94988656079007106</v>
      </c>
      <c r="AK230" s="71">
        <v>0.95820895522388105</v>
      </c>
      <c r="AL230" s="71">
        <v>0.95168445861638695</v>
      </c>
      <c r="AM230" s="71">
        <v>0.96208546272183204</v>
      </c>
      <c r="AN230" s="70">
        <v>0.99</v>
      </c>
      <c r="AO230" s="75">
        <v>1</v>
      </c>
      <c r="AP230" s="75">
        <v>1</v>
      </c>
      <c r="AQ230" s="75">
        <v>1</v>
      </c>
      <c r="AR230" s="75">
        <v>1</v>
      </c>
      <c r="AS230" s="95">
        <v>7.19793575775068E-2</v>
      </c>
      <c r="AT230" s="79">
        <v>0.102040816326531</v>
      </c>
      <c r="AU230" s="79">
        <v>0.135135135135135</v>
      </c>
      <c r="AV230" s="79">
        <v>4.08163265306122E-2</v>
      </c>
      <c r="AW230" s="79">
        <v>5.93220338983051E-2</v>
      </c>
      <c r="AX230" s="56"/>
      <c r="AY230" s="54"/>
    </row>
    <row r="231" spans="1:51" s="48" customFormat="1">
      <c r="A231" s="53"/>
      <c r="B231" s="50"/>
      <c r="C231" s="90" t="s">
        <v>205</v>
      </c>
      <c r="D231" s="230" t="s">
        <v>1757</v>
      </c>
      <c r="E231" s="68" t="s">
        <v>206</v>
      </c>
      <c r="F231" s="94" t="s">
        <v>249</v>
      </c>
      <c r="G231" s="94" t="s">
        <v>249</v>
      </c>
      <c r="H231" s="94" t="s">
        <v>249</v>
      </c>
      <c r="I231" s="94" t="s">
        <v>249</v>
      </c>
      <c r="J231" s="70">
        <v>0.9</v>
      </c>
      <c r="K231" s="71">
        <v>1</v>
      </c>
      <c r="L231" s="71">
        <v>0.98837209302325602</v>
      </c>
      <c r="M231" s="72">
        <v>0.98913043478260898</v>
      </c>
      <c r="N231" s="71">
        <v>0.99044890162368704</v>
      </c>
      <c r="O231" s="73">
        <v>0.9</v>
      </c>
      <c r="P231" s="71">
        <v>0.90839548670874004</v>
      </c>
      <c r="Q231" s="71">
        <v>0.92128045097644495</v>
      </c>
      <c r="R231" s="71">
        <v>0.93203389830508498</v>
      </c>
      <c r="S231" s="71">
        <v>0.93732086641920798</v>
      </c>
      <c r="T231" s="73">
        <v>0.9</v>
      </c>
      <c r="U231" s="71">
        <v>0.890610059284758</v>
      </c>
      <c r="V231" s="71">
        <v>0.90537547815582797</v>
      </c>
      <c r="W231" s="71">
        <v>0.89745762711864396</v>
      </c>
      <c r="X231" s="71">
        <v>0.90361634481354403</v>
      </c>
      <c r="Y231" s="73">
        <v>0.92</v>
      </c>
      <c r="Z231" s="73">
        <v>0.93313763861709098</v>
      </c>
      <c r="AA231" s="73">
        <v>0.94287239722370497</v>
      </c>
      <c r="AB231" s="73">
        <v>0.95018490319773796</v>
      </c>
      <c r="AC231" s="73">
        <v>0.94222795357603395</v>
      </c>
      <c r="AD231" s="73">
        <v>0.92</v>
      </c>
      <c r="AE231" s="71">
        <v>0.99321193836871002</v>
      </c>
      <c r="AF231" s="71">
        <v>0.98715515983068203</v>
      </c>
      <c r="AG231" s="71">
        <v>0.99834345665378199</v>
      </c>
      <c r="AH231" s="71">
        <v>0.98997514161131295</v>
      </c>
      <c r="AI231" s="73">
        <v>0.92</v>
      </c>
      <c r="AJ231" s="71">
        <v>0.94624318141826502</v>
      </c>
      <c r="AK231" s="71">
        <v>0.97193802981584299</v>
      </c>
      <c r="AL231" s="71">
        <v>0.968851209754239</v>
      </c>
      <c r="AM231" s="71">
        <v>0.96161957349247895</v>
      </c>
      <c r="AN231" s="70">
        <v>0.99</v>
      </c>
      <c r="AO231" s="75">
        <v>1</v>
      </c>
      <c r="AP231" s="75">
        <v>1</v>
      </c>
      <c r="AQ231" s="75">
        <v>1</v>
      </c>
      <c r="AR231" s="75">
        <v>1</v>
      </c>
      <c r="AS231" s="95">
        <v>7.19793575775068E-2</v>
      </c>
      <c r="AT231" s="79">
        <v>0</v>
      </c>
      <c r="AU231" s="79">
        <v>9.6774193548387094E-2</v>
      </c>
      <c r="AV231" s="79">
        <v>0</v>
      </c>
      <c r="AW231" s="79">
        <v>4.9217002237136501E-2</v>
      </c>
      <c r="AX231" s="50"/>
      <c r="AY231" s="54"/>
    </row>
    <row r="232" spans="1:51">
      <c r="A232" s="53"/>
      <c r="C232" s="90" t="s">
        <v>205</v>
      </c>
      <c r="D232" s="230" t="s">
        <v>1757</v>
      </c>
      <c r="E232" s="68" t="s">
        <v>206</v>
      </c>
      <c r="F232" s="94" t="s">
        <v>250</v>
      </c>
      <c r="G232" s="94" t="s">
        <v>250</v>
      </c>
      <c r="H232" s="94" t="s">
        <v>250</v>
      </c>
      <c r="I232" s="94" t="s">
        <v>250</v>
      </c>
      <c r="J232" s="70">
        <v>0.9</v>
      </c>
      <c r="K232" s="71">
        <v>0.92857142857142905</v>
      </c>
      <c r="L232" s="71">
        <v>0.98360655737704905</v>
      </c>
      <c r="M232" s="72">
        <v>0.95488721804511301</v>
      </c>
      <c r="N232" s="71">
        <v>0.95016611295681097</v>
      </c>
      <c r="O232" s="73">
        <v>0.9</v>
      </c>
      <c r="P232" s="71">
        <v>0.93642910355103104</v>
      </c>
      <c r="Q232" s="71">
        <v>0.91437438284666395</v>
      </c>
      <c r="R232" s="71">
        <v>0.85658307210031304</v>
      </c>
      <c r="S232" s="71">
        <v>0.88753249566724401</v>
      </c>
      <c r="T232" s="73">
        <v>0.9</v>
      </c>
      <c r="U232" s="71">
        <v>0.88353613111497398</v>
      </c>
      <c r="V232" s="71">
        <v>0.87840315982508099</v>
      </c>
      <c r="W232" s="71">
        <v>0.86553963278101198</v>
      </c>
      <c r="X232" s="71">
        <v>0.87850953206239202</v>
      </c>
      <c r="Y232" s="73">
        <v>0.92</v>
      </c>
      <c r="Z232" s="73">
        <v>0.88324748589649205</v>
      </c>
      <c r="AA232" s="73">
        <v>0.84426877470355699</v>
      </c>
      <c r="AB232" s="73">
        <v>0.90084251458198294</v>
      </c>
      <c r="AC232" s="73">
        <v>0.90583282302510704</v>
      </c>
      <c r="AD232" s="73">
        <v>0.92</v>
      </c>
      <c r="AE232" s="71">
        <v>0.99636174636174601</v>
      </c>
      <c r="AF232" s="71">
        <v>0.96303982606977001</v>
      </c>
      <c r="AG232" s="71">
        <v>0.99718496439807902</v>
      </c>
      <c r="AH232" s="71">
        <v>0.93323257559400796</v>
      </c>
      <c r="AI232" s="73">
        <v>0.92</v>
      </c>
      <c r="AJ232" s="71">
        <v>0.91990874899808905</v>
      </c>
      <c r="AK232" s="71">
        <v>0.92775467775467801</v>
      </c>
      <c r="AL232" s="71">
        <v>0.93505031779660996</v>
      </c>
      <c r="AM232" s="71">
        <v>0.94218901623020401</v>
      </c>
      <c r="AN232" s="70">
        <v>0.99</v>
      </c>
      <c r="AO232" s="75">
        <v>1</v>
      </c>
      <c r="AP232" s="75">
        <v>1</v>
      </c>
      <c r="AQ232" s="75">
        <v>1</v>
      </c>
      <c r="AR232" s="75">
        <v>1</v>
      </c>
      <c r="AS232" s="95">
        <v>7.19793575775068E-2</v>
      </c>
      <c r="AT232" s="79">
        <v>3.77358490566038E-2</v>
      </c>
      <c r="AU232" s="79">
        <v>0.17241379310344801</v>
      </c>
      <c r="AV232" s="79">
        <v>0.08</v>
      </c>
      <c r="AW232" s="79">
        <v>6.7495559502664296E-2</v>
      </c>
      <c r="AX232" s="56"/>
      <c r="AY232" s="54"/>
    </row>
    <row r="233" spans="1:51">
      <c r="A233" s="53"/>
      <c r="C233" s="90" t="s">
        <v>205</v>
      </c>
      <c r="D233" s="230" t="s">
        <v>1757</v>
      </c>
      <c r="E233" s="68" t="s">
        <v>206</v>
      </c>
      <c r="F233" s="94" t="s">
        <v>251</v>
      </c>
      <c r="G233" s="94" t="s">
        <v>251</v>
      </c>
      <c r="H233" s="94" t="s">
        <v>251</v>
      </c>
      <c r="I233" s="94" t="s">
        <v>251</v>
      </c>
      <c r="J233" s="70">
        <v>0.9</v>
      </c>
      <c r="K233" s="71">
        <v>0.96363636363636396</v>
      </c>
      <c r="L233" s="71">
        <v>0.98</v>
      </c>
      <c r="M233" s="72">
        <v>1</v>
      </c>
      <c r="N233" s="71">
        <v>0.978653530377668</v>
      </c>
      <c r="O233" s="73">
        <v>0.9</v>
      </c>
      <c r="P233" s="71">
        <v>0.94381061038220204</v>
      </c>
      <c r="Q233" s="71">
        <v>0.93724696356275305</v>
      </c>
      <c r="R233" s="71">
        <v>0.93548387096774199</v>
      </c>
      <c r="S233" s="71">
        <v>0.94559853093079305</v>
      </c>
      <c r="T233" s="73">
        <v>0.9</v>
      </c>
      <c r="U233" s="71">
        <v>0.90844266970906995</v>
      </c>
      <c r="V233" s="71">
        <v>0.86668594563331403</v>
      </c>
      <c r="W233" s="71">
        <v>0.864369501466276</v>
      </c>
      <c r="X233" s="71">
        <v>0.90379892115230098</v>
      </c>
      <c r="Y233" s="73">
        <v>0.92</v>
      </c>
      <c r="Z233" s="73">
        <v>0.924384236453202</v>
      </c>
      <c r="AA233" s="73">
        <v>0.88571428571428601</v>
      </c>
      <c r="AB233" s="73">
        <v>0.89101158784841805</v>
      </c>
      <c r="AC233" s="73">
        <v>0.92635444292250702</v>
      </c>
      <c r="AD233" s="73">
        <v>0.92</v>
      </c>
      <c r="AE233" s="71">
        <v>0.99907284768211901</v>
      </c>
      <c r="AF233" s="71">
        <v>0.99290360733293903</v>
      </c>
      <c r="AG233" s="71">
        <v>0.99896103896103905</v>
      </c>
      <c r="AH233" s="71">
        <v>0.99655065670189702</v>
      </c>
      <c r="AI233" s="73">
        <v>0.92</v>
      </c>
      <c r="AJ233" s="71">
        <v>0.945046235138705</v>
      </c>
      <c r="AK233" s="71">
        <v>0.939827477382706</v>
      </c>
      <c r="AL233" s="71">
        <v>0.92161976664378897</v>
      </c>
      <c r="AM233" s="71">
        <v>0.95203738413741801</v>
      </c>
      <c r="AN233" s="70">
        <v>0.99</v>
      </c>
      <c r="AO233" s="75">
        <v>1</v>
      </c>
      <c r="AP233" s="75">
        <v>1</v>
      </c>
      <c r="AQ233" s="75">
        <v>1</v>
      </c>
      <c r="AR233" s="75">
        <v>1</v>
      </c>
      <c r="AS233" s="95">
        <v>7.19793575775068E-2</v>
      </c>
      <c r="AT233" s="79">
        <v>0.11111111111111099</v>
      </c>
      <c r="AU233" s="79">
        <v>0.33333333333333298</v>
      </c>
      <c r="AV233" s="79">
        <v>0.28571428571428598</v>
      </c>
      <c r="AW233" s="79">
        <v>9.9476439790575896E-2</v>
      </c>
      <c r="AX233" s="56"/>
      <c r="AY233" s="54"/>
    </row>
    <row r="234" spans="1:51" s="48" customFormat="1">
      <c r="A234" s="53"/>
      <c r="B234" s="50"/>
      <c r="C234" s="90" t="s">
        <v>205</v>
      </c>
      <c r="D234" s="230" t="s">
        <v>1757</v>
      </c>
      <c r="E234" s="68" t="s">
        <v>206</v>
      </c>
      <c r="F234" s="94" t="s">
        <v>252</v>
      </c>
      <c r="G234" s="94" t="s">
        <v>252</v>
      </c>
      <c r="H234" s="94" t="s">
        <v>252</v>
      </c>
      <c r="I234" s="94" t="s">
        <v>252</v>
      </c>
      <c r="J234" s="70">
        <v>0.9</v>
      </c>
      <c r="K234" s="71">
        <v>0.91836734693877597</v>
      </c>
      <c r="L234" s="71">
        <v>0.98823529411764699</v>
      </c>
      <c r="M234" s="72">
        <v>0.96629213483146104</v>
      </c>
      <c r="N234" s="71">
        <v>0.93959731543624203</v>
      </c>
      <c r="O234" s="73">
        <v>0.9</v>
      </c>
      <c r="P234" s="71">
        <v>0.95679552212699004</v>
      </c>
      <c r="Q234" s="71">
        <v>0.93368600037785798</v>
      </c>
      <c r="R234" s="71">
        <v>0.94016827672171999</v>
      </c>
      <c r="S234" s="71">
        <v>0.93223035785317598</v>
      </c>
      <c r="T234" s="73">
        <v>0.9</v>
      </c>
      <c r="U234" s="71">
        <v>0.93230715410180198</v>
      </c>
      <c r="V234" s="71">
        <v>0.92102777252975598</v>
      </c>
      <c r="W234" s="71">
        <v>0.92256154565285098</v>
      </c>
      <c r="X234" s="71">
        <v>0.91646654978858799</v>
      </c>
      <c r="Y234" s="73">
        <v>0.92</v>
      </c>
      <c r="Z234" s="73">
        <v>0.90933629723721798</v>
      </c>
      <c r="AA234" s="73">
        <v>0.90490956072351403</v>
      </c>
      <c r="AB234" s="73">
        <v>0.91869424168694203</v>
      </c>
      <c r="AC234" s="73">
        <v>0.92467871755959796</v>
      </c>
      <c r="AD234" s="73">
        <v>0.92</v>
      </c>
      <c r="AE234" s="71">
        <v>0.98755635707844902</v>
      </c>
      <c r="AF234" s="71">
        <v>0.95207501302309405</v>
      </c>
      <c r="AG234" s="71">
        <v>0.98747293535416003</v>
      </c>
      <c r="AH234" s="71">
        <v>0.977759323569379</v>
      </c>
      <c r="AI234" s="73">
        <v>0.92</v>
      </c>
      <c r="AJ234" s="71">
        <v>0.936163129421556</v>
      </c>
      <c r="AK234" s="71">
        <v>0.95199889334624399</v>
      </c>
      <c r="AL234" s="71">
        <v>0.94704845814978</v>
      </c>
      <c r="AM234" s="71">
        <v>0.95287085129265403</v>
      </c>
      <c r="AN234" s="70">
        <v>0.99</v>
      </c>
      <c r="AO234" s="75">
        <v>1</v>
      </c>
      <c r="AP234" s="75">
        <v>1</v>
      </c>
      <c r="AQ234" s="75">
        <v>1</v>
      </c>
      <c r="AR234" s="75">
        <v>1</v>
      </c>
      <c r="AS234" s="95">
        <v>7.19793575775068E-2</v>
      </c>
      <c r="AT234" s="79">
        <v>9.4339622641509399E-2</v>
      </c>
      <c r="AU234" s="79">
        <v>0.119047619047619</v>
      </c>
      <c r="AV234" s="79">
        <v>4.1666666666666699E-2</v>
      </c>
      <c r="AW234" s="79">
        <v>5.5201698513800398E-2</v>
      </c>
      <c r="AX234" s="50"/>
      <c r="AY234" s="54"/>
    </row>
    <row r="235" spans="1:51" s="48" customFormat="1">
      <c r="A235" s="53"/>
      <c r="B235" s="50"/>
      <c r="C235" s="90" t="s">
        <v>205</v>
      </c>
      <c r="D235" s="230" t="s">
        <v>1757</v>
      </c>
      <c r="E235" s="68" t="s">
        <v>206</v>
      </c>
      <c r="F235" s="94" t="s">
        <v>253</v>
      </c>
      <c r="G235" s="94" t="s">
        <v>253</v>
      </c>
      <c r="H235" s="94" t="s">
        <v>253</v>
      </c>
      <c r="I235" s="94" t="s">
        <v>253</v>
      </c>
      <c r="J235" s="70">
        <v>0.9</v>
      </c>
      <c r="K235" s="71">
        <v>0.82758620689655205</v>
      </c>
      <c r="L235" s="71">
        <v>0.92592592592592604</v>
      </c>
      <c r="M235" s="72">
        <v>0.92156862745098</v>
      </c>
      <c r="N235" s="71">
        <v>0.96241830065359502</v>
      </c>
      <c r="O235" s="73">
        <v>0.9</v>
      </c>
      <c r="P235" s="71">
        <v>0.93994957597982998</v>
      </c>
      <c r="Q235" s="71">
        <v>0.88833249874812203</v>
      </c>
      <c r="R235" s="71">
        <v>0.89708696576653202</v>
      </c>
      <c r="S235" s="71">
        <v>0.91382754202155703</v>
      </c>
      <c r="T235" s="73">
        <v>0.9</v>
      </c>
      <c r="U235" s="71">
        <v>0.87164794865917905</v>
      </c>
      <c r="V235" s="71">
        <v>0.86354531797696499</v>
      </c>
      <c r="W235" s="71">
        <v>0.82372953433978302</v>
      </c>
      <c r="X235" s="71">
        <v>0.85838923645134502</v>
      </c>
      <c r="Y235" s="73">
        <v>0.92</v>
      </c>
      <c r="Z235" s="73">
        <v>0.89869281045751603</v>
      </c>
      <c r="AA235" s="73">
        <v>0.92427459306440196</v>
      </c>
      <c r="AB235" s="73">
        <v>0.902804776450986</v>
      </c>
      <c r="AC235" s="73">
        <v>0.90791491466732599</v>
      </c>
      <c r="AD235" s="73">
        <v>0.92</v>
      </c>
      <c r="AE235" s="71">
        <v>0.98901098901098905</v>
      </c>
      <c r="AF235" s="71">
        <v>0.99444444444444402</v>
      </c>
      <c r="AG235" s="71">
        <v>0.85093167701863404</v>
      </c>
      <c r="AH235" s="71">
        <v>0.952331063383971</v>
      </c>
      <c r="AI235" s="73">
        <v>0.92</v>
      </c>
      <c r="AJ235" s="71">
        <v>0.92581794622610902</v>
      </c>
      <c r="AK235" s="71">
        <v>0.95265396707971195</v>
      </c>
      <c r="AL235" s="71">
        <v>0.92437379576107903</v>
      </c>
      <c r="AM235" s="71">
        <v>0.94045492947202902</v>
      </c>
      <c r="AN235" s="70">
        <v>0.99</v>
      </c>
      <c r="AO235" s="75">
        <v>1</v>
      </c>
      <c r="AP235" s="75">
        <v>1</v>
      </c>
      <c r="AQ235" s="75">
        <v>1</v>
      </c>
      <c r="AR235" s="75">
        <v>1</v>
      </c>
      <c r="AS235" s="95">
        <v>7.19793575775068E-2</v>
      </c>
      <c r="AT235" s="79">
        <v>0.11764705882352899</v>
      </c>
      <c r="AU235" s="79">
        <v>0.230769230769231</v>
      </c>
      <c r="AV235" s="79">
        <v>0</v>
      </c>
      <c r="AW235" s="79">
        <v>4.8000000000000001E-2</v>
      </c>
      <c r="AX235" s="50"/>
      <c r="AY235" s="54"/>
    </row>
    <row r="236" spans="1:51" s="48" customFormat="1">
      <c r="A236" s="53"/>
      <c r="B236" s="50"/>
      <c r="C236" s="90" t="s">
        <v>205</v>
      </c>
      <c r="D236" s="230" t="s">
        <v>1757</v>
      </c>
      <c r="E236" s="68" t="s">
        <v>206</v>
      </c>
      <c r="F236" s="94" t="s">
        <v>254</v>
      </c>
      <c r="G236" s="94" t="s">
        <v>254</v>
      </c>
      <c r="H236" s="94" t="s">
        <v>254</v>
      </c>
      <c r="I236" s="94" t="s">
        <v>254</v>
      </c>
      <c r="J236" s="70">
        <v>0.9</v>
      </c>
      <c r="K236" s="71">
        <v>1</v>
      </c>
      <c r="L236" s="71">
        <v>0.97727272727272696</v>
      </c>
      <c r="M236" s="72">
        <v>0.93617021276595702</v>
      </c>
      <c r="N236" s="71">
        <v>0.95856873822975497</v>
      </c>
      <c r="O236" s="73">
        <v>0.9</v>
      </c>
      <c r="P236" s="71">
        <v>0.97977988226260604</v>
      </c>
      <c r="Q236" s="71">
        <v>0.97871137905048999</v>
      </c>
      <c r="R236" s="71">
        <v>0.98361495135688704</v>
      </c>
      <c r="S236" s="71">
        <v>0.98015065323660899</v>
      </c>
      <c r="T236" s="73">
        <v>0.9</v>
      </c>
      <c r="U236" s="71">
        <v>0.93882774507294597</v>
      </c>
      <c r="V236" s="71">
        <v>0.93481537302185402</v>
      </c>
      <c r="W236" s="71">
        <v>0.95203959720088704</v>
      </c>
      <c r="X236" s="71">
        <v>0.95203799384165799</v>
      </c>
      <c r="Y236" s="73">
        <v>0.92</v>
      </c>
      <c r="Z236" s="73">
        <v>0</v>
      </c>
      <c r="AA236" s="73" t="s">
        <v>1710</v>
      </c>
      <c r="AB236" s="73" t="s">
        <v>1710</v>
      </c>
      <c r="AC236" s="73">
        <v>0.24324324324324301</v>
      </c>
      <c r="AD236" s="73">
        <v>0.92</v>
      </c>
      <c r="AE236" s="71">
        <v>0.99425287356321801</v>
      </c>
      <c r="AF236" s="71">
        <v>0.99792960662525898</v>
      </c>
      <c r="AG236" s="71">
        <v>0.98918918918918897</v>
      </c>
      <c r="AH236" s="71">
        <v>0.98561403508771905</v>
      </c>
      <c r="AI236" s="73">
        <v>0.92</v>
      </c>
      <c r="AJ236" s="71">
        <v>0.97126875158911796</v>
      </c>
      <c r="AK236" s="71">
        <v>0.98172569706103996</v>
      </c>
      <c r="AL236" s="71">
        <v>0.98634579279740597</v>
      </c>
      <c r="AM236" s="71">
        <v>0.98656119610570203</v>
      </c>
      <c r="AN236" s="70">
        <v>0.99</v>
      </c>
      <c r="AO236" s="75">
        <v>1</v>
      </c>
      <c r="AP236" s="75">
        <v>1</v>
      </c>
      <c r="AQ236" s="75">
        <v>1</v>
      </c>
      <c r="AR236" s="75">
        <v>1</v>
      </c>
      <c r="AS236" s="95">
        <v>7.19793575775068E-2</v>
      </c>
      <c r="AT236" s="79">
        <v>0</v>
      </c>
      <c r="AU236" s="79">
        <v>0.125</v>
      </c>
      <c r="AV236" s="79">
        <v>0.23529411764705899</v>
      </c>
      <c r="AW236" s="79">
        <v>7.1129707112970703E-2</v>
      </c>
      <c r="AX236" s="50"/>
      <c r="AY236" s="54"/>
    </row>
    <row r="237" spans="1:51" s="49" customFormat="1">
      <c r="A237" s="53"/>
      <c r="C237" s="96"/>
      <c r="D237" s="231"/>
      <c r="E237" s="97"/>
      <c r="F237" s="97"/>
      <c r="G237" s="97"/>
      <c r="H237" s="97"/>
      <c r="I237" s="97"/>
      <c r="J237" s="98"/>
      <c r="K237" s="85"/>
      <c r="L237" s="85"/>
      <c r="M237" s="72"/>
      <c r="N237" s="85"/>
      <c r="O237" s="88"/>
      <c r="P237" s="85"/>
      <c r="Q237" s="85"/>
      <c r="R237" s="71"/>
      <c r="S237" s="85"/>
      <c r="T237" s="88"/>
      <c r="U237" s="85"/>
      <c r="V237" s="85"/>
      <c r="W237" s="71"/>
      <c r="X237" s="85"/>
      <c r="Y237" s="88"/>
      <c r="Z237" s="88"/>
      <c r="AA237" s="88"/>
      <c r="AB237" s="73"/>
      <c r="AC237" s="88"/>
      <c r="AD237" s="88"/>
      <c r="AE237" s="85"/>
      <c r="AF237" s="85"/>
      <c r="AG237" s="71"/>
      <c r="AH237" s="85"/>
      <c r="AI237" s="88"/>
      <c r="AJ237" s="85"/>
      <c r="AK237" s="85"/>
      <c r="AL237" s="71"/>
      <c r="AM237" s="85"/>
      <c r="AN237" s="84"/>
      <c r="AO237" s="84"/>
      <c r="AP237" s="84"/>
      <c r="AQ237" s="75"/>
      <c r="AR237" s="84"/>
      <c r="AS237" s="85"/>
      <c r="AT237" s="84"/>
      <c r="AU237" s="84"/>
      <c r="AV237" s="79"/>
      <c r="AW237" s="84"/>
      <c r="AX237" s="50"/>
      <c r="AY237" s="54"/>
    </row>
    <row r="238" spans="1:51">
      <c r="A238" s="53"/>
      <c r="B238" s="56"/>
      <c r="C238" s="99" t="s">
        <v>255</v>
      </c>
      <c r="D238" s="230" t="s">
        <v>1757</v>
      </c>
      <c r="E238" s="68" t="s">
        <v>256</v>
      </c>
      <c r="F238" s="100" t="s">
        <v>257</v>
      </c>
      <c r="G238" s="100" t="s">
        <v>257</v>
      </c>
      <c r="H238" s="100" t="s">
        <v>257</v>
      </c>
      <c r="I238" s="100" t="s">
        <v>257</v>
      </c>
      <c r="J238" s="70">
        <v>0.9</v>
      </c>
      <c r="K238" s="71">
        <v>0.97826086956521696</v>
      </c>
      <c r="L238" s="71">
        <v>0.94117647058823495</v>
      </c>
      <c r="M238" s="72">
        <v>0.97333333333333305</v>
      </c>
      <c r="N238" s="71">
        <v>0.96784565916398702</v>
      </c>
      <c r="O238" s="73">
        <v>0.9</v>
      </c>
      <c r="P238" s="71">
        <v>0.95643729189789095</v>
      </c>
      <c r="Q238" s="71">
        <v>0.96145552560646896</v>
      </c>
      <c r="R238" s="71">
        <v>0.902738225629792</v>
      </c>
      <c r="S238" s="71">
        <v>0.91919682616792198</v>
      </c>
      <c r="T238" s="73">
        <v>0.9</v>
      </c>
      <c r="U238" s="71">
        <v>0.91675915649278605</v>
      </c>
      <c r="V238" s="71">
        <v>0.88194070080862497</v>
      </c>
      <c r="W238" s="71">
        <v>0.84622124863088699</v>
      </c>
      <c r="X238" s="71">
        <v>0.87689255930693899</v>
      </c>
      <c r="Y238" s="73">
        <v>0.92</v>
      </c>
      <c r="Z238" s="73">
        <v>0.93442296192943997</v>
      </c>
      <c r="AA238" s="73">
        <v>0.941743503772003</v>
      </c>
      <c r="AB238" s="73">
        <v>0.93918245264207401</v>
      </c>
      <c r="AC238" s="73">
        <v>0.94406799394574503</v>
      </c>
      <c r="AD238" s="73">
        <v>0.92</v>
      </c>
      <c r="AE238" s="71">
        <v>0.952907256126862</v>
      </c>
      <c r="AF238" s="71">
        <v>0.93786549707602296</v>
      </c>
      <c r="AG238" s="71">
        <v>0.84922711058264</v>
      </c>
      <c r="AH238" s="71">
        <v>0.94915435896336597</v>
      </c>
      <c r="AI238" s="73">
        <v>0.92</v>
      </c>
      <c r="AJ238" s="71">
        <v>0.95256321039201997</v>
      </c>
      <c r="AK238" s="71">
        <v>0.96095800524934405</v>
      </c>
      <c r="AL238" s="71">
        <v>0.96152052238805996</v>
      </c>
      <c r="AM238" s="71">
        <v>0.963707232568211</v>
      </c>
      <c r="AN238" s="70">
        <v>0.99</v>
      </c>
      <c r="AO238" s="75">
        <v>1</v>
      </c>
      <c r="AP238" s="75">
        <v>1</v>
      </c>
      <c r="AQ238" s="75">
        <v>1</v>
      </c>
      <c r="AR238" s="75">
        <v>1</v>
      </c>
      <c r="AS238" s="95">
        <v>9.2228725701943806E-2</v>
      </c>
      <c r="AT238" s="79">
        <v>7.1428571428571397E-2</v>
      </c>
      <c r="AU238" s="79">
        <v>0.22222222222222199</v>
      </c>
      <c r="AV238" s="79">
        <v>4.1666666666666699E-2</v>
      </c>
      <c r="AW238" s="79">
        <v>9.03954802259887E-2</v>
      </c>
      <c r="AX238" s="56"/>
      <c r="AY238" s="54"/>
    </row>
    <row r="239" spans="1:51">
      <c r="A239" s="53"/>
      <c r="B239" s="56"/>
      <c r="C239" s="99" t="s">
        <v>255</v>
      </c>
      <c r="D239" s="230" t="s">
        <v>1757</v>
      </c>
      <c r="E239" s="68" t="s">
        <v>256</v>
      </c>
      <c r="F239" s="100" t="s">
        <v>258</v>
      </c>
      <c r="G239" s="100" t="s">
        <v>258</v>
      </c>
      <c r="H239" s="100" t="s">
        <v>258</v>
      </c>
      <c r="I239" s="100" t="s">
        <v>258</v>
      </c>
      <c r="J239" s="70">
        <v>0.9</v>
      </c>
      <c r="K239" s="71">
        <v>0.75806451612903203</v>
      </c>
      <c r="L239" s="71">
        <v>0.76470588235294101</v>
      </c>
      <c r="M239" s="72">
        <v>0.83333333333333304</v>
      </c>
      <c r="N239" s="71">
        <v>0.81957186544342497</v>
      </c>
      <c r="O239" s="73">
        <v>0.9</v>
      </c>
      <c r="P239" s="71">
        <v>0.95400536604062902</v>
      </c>
      <c r="Q239" s="71">
        <v>0.96563706563706597</v>
      </c>
      <c r="R239" s="71">
        <v>0.88577393379063496</v>
      </c>
      <c r="S239" s="71">
        <v>0.93187628170913295</v>
      </c>
      <c r="T239" s="73">
        <v>0.9</v>
      </c>
      <c r="U239" s="71">
        <v>0.932924492142583</v>
      </c>
      <c r="V239" s="71">
        <v>0.93127413127413095</v>
      </c>
      <c r="W239" s="71">
        <v>0.95526394273784698</v>
      </c>
      <c r="X239" s="71">
        <v>0.93361800151698204</v>
      </c>
      <c r="Y239" s="73">
        <v>0.92</v>
      </c>
      <c r="Z239" s="73">
        <v>0.96877305138922998</v>
      </c>
      <c r="AA239" s="73">
        <v>0.97191426459719099</v>
      </c>
      <c r="AB239" s="73">
        <v>0.97629179331307003</v>
      </c>
      <c r="AC239" s="73">
        <v>0.97669155917628403</v>
      </c>
      <c r="AD239" s="73">
        <v>0.92</v>
      </c>
      <c r="AE239" s="71">
        <v>0.98337651122625203</v>
      </c>
      <c r="AF239" s="71">
        <v>0.980732177263969</v>
      </c>
      <c r="AG239" s="71">
        <v>0.99239543726235702</v>
      </c>
      <c r="AH239" s="71">
        <v>0.98806752991312896</v>
      </c>
      <c r="AI239" s="73">
        <v>0.92</v>
      </c>
      <c r="AJ239" s="71">
        <v>0.97395209580838304</v>
      </c>
      <c r="AK239" s="71">
        <v>0.98478316003043398</v>
      </c>
      <c r="AL239" s="71">
        <v>0.98570353649360398</v>
      </c>
      <c r="AM239" s="71">
        <v>0.98585940552399798</v>
      </c>
      <c r="AN239" s="70">
        <v>0.99</v>
      </c>
      <c r="AO239" s="75">
        <v>1</v>
      </c>
      <c r="AP239" s="75">
        <v>1</v>
      </c>
      <c r="AQ239" s="75">
        <v>1</v>
      </c>
      <c r="AR239" s="75">
        <v>1</v>
      </c>
      <c r="AS239" s="95">
        <v>9.2228725701943806E-2</v>
      </c>
      <c r="AT239" s="79">
        <v>0</v>
      </c>
      <c r="AU239" s="79">
        <v>0</v>
      </c>
      <c r="AV239" s="79">
        <v>0.14285714285714299</v>
      </c>
      <c r="AW239" s="79">
        <v>7.8651685393258397E-2</v>
      </c>
      <c r="AX239" s="56"/>
      <c r="AY239" s="54"/>
    </row>
    <row r="240" spans="1:51">
      <c r="A240" s="53"/>
      <c r="B240" s="56"/>
      <c r="C240" s="99" t="s">
        <v>255</v>
      </c>
      <c r="D240" s="230" t="s">
        <v>1757</v>
      </c>
      <c r="E240" s="68" t="s">
        <v>256</v>
      </c>
      <c r="F240" s="100" t="s">
        <v>259</v>
      </c>
      <c r="G240" s="100" t="s">
        <v>259</v>
      </c>
      <c r="H240" s="100" t="s">
        <v>259</v>
      </c>
      <c r="I240" s="100" t="s">
        <v>259</v>
      </c>
      <c r="J240" s="70">
        <v>0.9</v>
      </c>
      <c r="K240" s="71">
        <v>1</v>
      </c>
      <c r="L240" s="71">
        <v>0.971830985915493</v>
      </c>
      <c r="M240" s="72">
        <v>0.962025316455696</v>
      </c>
      <c r="N240" s="71">
        <v>0.97800925925925897</v>
      </c>
      <c r="O240" s="73">
        <v>0.9</v>
      </c>
      <c r="P240" s="71">
        <v>0.97467488021902804</v>
      </c>
      <c r="Q240" s="71">
        <v>0.973122378955395</v>
      </c>
      <c r="R240" s="71">
        <v>0.91206721715196304</v>
      </c>
      <c r="S240" s="71">
        <v>0.96287734160601401</v>
      </c>
      <c r="T240" s="73">
        <v>0.9</v>
      </c>
      <c r="U240" s="71">
        <v>0.949121606205795</v>
      </c>
      <c r="V240" s="71">
        <v>0.93766679374761697</v>
      </c>
      <c r="W240" s="71">
        <v>0.97131681877444598</v>
      </c>
      <c r="X240" s="71">
        <v>0.96010320964085405</v>
      </c>
      <c r="Y240" s="73">
        <v>0.92</v>
      </c>
      <c r="Z240" s="73">
        <v>0.94202898550724601</v>
      </c>
      <c r="AA240" s="73">
        <v>0.95405669599218001</v>
      </c>
      <c r="AB240" s="73">
        <v>0.97179390748401695</v>
      </c>
      <c r="AC240" s="73">
        <v>0.95844038764931305</v>
      </c>
      <c r="AD240" s="73">
        <v>0.92</v>
      </c>
      <c r="AE240" s="71">
        <v>0.99118316268486895</v>
      </c>
      <c r="AF240" s="71">
        <v>0.87461459403905495</v>
      </c>
      <c r="AG240" s="71">
        <v>0.96986301369863004</v>
      </c>
      <c r="AH240" s="71">
        <v>0.936622925032082</v>
      </c>
      <c r="AI240" s="73">
        <v>0.92</v>
      </c>
      <c r="AJ240" s="71">
        <v>0.96701388888888895</v>
      </c>
      <c r="AK240" s="71">
        <v>0.98501036517301899</v>
      </c>
      <c r="AL240" s="71">
        <v>0.98671825977828898</v>
      </c>
      <c r="AM240" s="71">
        <v>0.98282218213193195</v>
      </c>
      <c r="AN240" s="70">
        <v>0.99</v>
      </c>
      <c r="AO240" s="75">
        <v>1</v>
      </c>
      <c r="AP240" s="75">
        <v>1</v>
      </c>
      <c r="AQ240" s="75">
        <v>1</v>
      </c>
      <c r="AR240" s="75">
        <v>1</v>
      </c>
      <c r="AS240" s="95">
        <v>9.2228725701943806E-2</v>
      </c>
      <c r="AT240" s="79">
        <v>0</v>
      </c>
      <c r="AU240" s="79">
        <v>0.33333333333333298</v>
      </c>
      <c r="AV240" s="79">
        <v>0.16666666666666699</v>
      </c>
      <c r="AW240" s="79">
        <v>0.13043478260869601</v>
      </c>
      <c r="AX240" s="56"/>
      <c r="AY240" s="54"/>
    </row>
    <row r="241" spans="1:51">
      <c r="A241" s="53"/>
      <c r="B241" s="56"/>
      <c r="C241" s="99" t="s">
        <v>255</v>
      </c>
      <c r="D241" s="230" t="s">
        <v>1757</v>
      </c>
      <c r="E241" s="68" t="s">
        <v>256</v>
      </c>
      <c r="F241" s="100" t="s">
        <v>260</v>
      </c>
      <c r="G241" s="100" t="s">
        <v>260</v>
      </c>
      <c r="H241" s="100" t="s">
        <v>260</v>
      </c>
      <c r="I241" s="100" t="s">
        <v>260</v>
      </c>
      <c r="J241" s="70">
        <v>0.9</v>
      </c>
      <c r="K241" s="71">
        <v>1</v>
      </c>
      <c r="L241" s="71">
        <v>1</v>
      </c>
      <c r="M241" s="72">
        <v>1</v>
      </c>
      <c r="N241" s="71">
        <v>0.99854439592430899</v>
      </c>
      <c r="O241" s="73">
        <v>0.9</v>
      </c>
      <c r="P241" s="71">
        <v>0.97216663634709799</v>
      </c>
      <c r="Q241" s="71">
        <v>0.95883134130146097</v>
      </c>
      <c r="R241" s="71">
        <v>0.90419327964454299</v>
      </c>
      <c r="S241" s="71">
        <v>0.92423379441280196</v>
      </c>
      <c r="T241" s="73">
        <v>0.9</v>
      </c>
      <c r="U241" s="71">
        <v>0.93760232854284198</v>
      </c>
      <c r="V241" s="71">
        <v>0.93321950294061895</v>
      </c>
      <c r="W241" s="71">
        <v>0.91793946126076098</v>
      </c>
      <c r="X241" s="71">
        <v>0.935909953892053</v>
      </c>
      <c r="Y241" s="73">
        <v>0.92</v>
      </c>
      <c r="Z241" s="73">
        <v>0.96655597722960196</v>
      </c>
      <c r="AA241" s="73">
        <v>0.94046721929163501</v>
      </c>
      <c r="AB241" s="73">
        <v>0.95239606474135197</v>
      </c>
      <c r="AC241" s="73">
        <v>0.96599829755036404</v>
      </c>
      <c r="AD241" s="73">
        <v>0.92</v>
      </c>
      <c r="AE241" s="71">
        <v>0.99201614318301501</v>
      </c>
      <c r="AF241" s="71">
        <v>0.694227769110764</v>
      </c>
      <c r="AG241" s="71">
        <v>0.99657377798081304</v>
      </c>
      <c r="AH241" s="71">
        <v>0.95497371076530901</v>
      </c>
      <c r="AI241" s="73">
        <v>0.92</v>
      </c>
      <c r="AJ241" s="71">
        <v>0.97372577171572094</v>
      </c>
      <c r="AK241" s="71">
        <v>0.96997603128548004</v>
      </c>
      <c r="AL241" s="71">
        <v>0.96949278045168497</v>
      </c>
      <c r="AM241" s="71">
        <v>0.978695179994023</v>
      </c>
      <c r="AN241" s="70">
        <v>0.99</v>
      </c>
      <c r="AO241" s="75">
        <v>1</v>
      </c>
      <c r="AP241" s="75">
        <v>1</v>
      </c>
      <c r="AQ241" s="75">
        <v>1</v>
      </c>
      <c r="AR241" s="75">
        <v>1</v>
      </c>
      <c r="AS241" s="95">
        <v>9.2228725701943806E-2</v>
      </c>
      <c r="AT241" s="79">
        <v>3.8461538461538498E-2</v>
      </c>
      <c r="AU241" s="79">
        <v>8.3333333333333301E-2</v>
      </c>
      <c r="AV241" s="79">
        <v>0</v>
      </c>
      <c r="AW241" s="79">
        <v>5.3030303030302997E-2</v>
      </c>
      <c r="AX241" s="56"/>
      <c r="AY241" s="54"/>
    </row>
    <row r="242" spans="1:51">
      <c r="A242" s="53"/>
      <c r="B242" s="56"/>
      <c r="C242" s="99" t="s">
        <v>255</v>
      </c>
      <c r="D242" s="230" t="s">
        <v>1757</v>
      </c>
      <c r="E242" s="68" t="s">
        <v>256</v>
      </c>
      <c r="F242" s="100" t="s">
        <v>261</v>
      </c>
      <c r="G242" s="100" t="s">
        <v>261</v>
      </c>
      <c r="H242" s="100" t="s">
        <v>261</v>
      </c>
      <c r="I242" s="100" t="s">
        <v>261</v>
      </c>
      <c r="J242" s="70">
        <v>0.9</v>
      </c>
      <c r="K242" s="71">
        <v>1</v>
      </c>
      <c r="L242" s="71">
        <v>0.97752808988763995</v>
      </c>
      <c r="M242" s="72">
        <v>0.978494623655914</v>
      </c>
      <c r="N242" s="71">
        <v>0.98185117967332103</v>
      </c>
      <c r="O242" s="73">
        <v>0.9</v>
      </c>
      <c r="P242" s="71">
        <v>0.96721311475409799</v>
      </c>
      <c r="Q242" s="71">
        <v>0.98003707400541895</v>
      </c>
      <c r="R242" s="71">
        <v>0.97214109188946296</v>
      </c>
      <c r="S242" s="71">
        <v>0.97611043879700599</v>
      </c>
      <c r="T242" s="73">
        <v>0.9</v>
      </c>
      <c r="U242" s="71">
        <v>0.94477998274374497</v>
      </c>
      <c r="V242" s="71">
        <v>0.96392414088122103</v>
      </c>
      <c r="W242" s="71">
        <v>0.94585486407548902</v>
      </c>
      <c r="X242" s="71">
        <v>0.95863027206310802</v>
      </c>
      <c r="Y242" s="73">
        <v>0.92</v>
      </c>
      <c r="Z242" s="73">
        <v>0.97395042994435999</v>
      </c>
      <c r="AA242" s="73">
        <v>0.96669029057406097</v>
      </c>
      <c r="AB242" s="73">
        <v>0.96818598959926605</v>
      </c>
      <c r="AC242" s="73">
        <v>0.97601926599280897</v>
      </c>
      <c r="AD242" s="73">
        <v>0.92</v>
      </c>
      <c r="AE242" s="71">
        <v>0.99646345570899297</v>
      </c>
      <c r="AF242" s="71">
        <v>0.83059581320450904</v>
      </c>
      <c r="AG242" s="71">
        <v>0.94844161885563605</v>
      </c>
      <c r="AH242" s="71">
        <v>0.95087629404006202</v>
      </c>
      <c r="AI242" s="73">
        <v>0.92</v>
      </c>
      <c r="AJ242" s="71">
        <v>0.97928417598195105</v>
      </c>
      <c r="AK242" s="71">
        <v>0.98468660968661004</v>
      </c>
      <c r="AL242" s="71">
        <v>0.98373182154301197</v>
      </c>
      <c r="AM242" s="71">
        <v>0.98685274399487899</v>
      </c>
      <c r="AN242" s="70">
        <v>0.99</v>
      </c>
      <c r="AO242" s="75">
        <v>1</v>
      </c>
      <c r="AP242" s="75">
        <v>1</v>
      </c>
      <c r="AQ242" s="75">
        <v>1</v>
      </c>
      <c r="AR242" s="75">
        <v>1</v>
      </c>
      <c r="AS242" s="95">
        <v>9.2228725701943806E-2</v>
      </c>
      <c r="AT242" s="79">
        <v>0</v>
      </c>
      <c r="AU242" s="79">
        <v>0.214285714285714</v>
      </c>
      <c r="AV242" s="79">
        <v>6.25E-2</v>
      </c>
      <c r="AW242" s="79">
        <v>0.122222222222222</v>
      </c>
      <c r="AX242" s="56"/>
      <c r="AY242" s="54"/>
    </row>
    <row r="243" spans="1:51">
      <c r="A243" s="53"/>
      <c r="B243" s="56"/>
      <c r="C243" s="99" t="s">
        <v>255</v>
      </c>
      <c r="D243" s="230" t="s">
        <v>1757</v>
      </c>
      <c r="E243" s="68" t="s">
        <v>256</v>
      </c>
      <c r="F243" s="100" t="s">
        <v>262</v>
      </c>
      <c r="G243" s="100" t="s">
        <v>262</v>
      </c>
      <c r="H243" s="100" t="s">
        <v>262</v>
      </c>
      <c r="I243" s="100" t="s">
        <v>262</v>
      </c>
      <c r="J243" s="70">
        <v>0.9</v>
      </c>
      <c r="K243" s="71">
        <v>0.72641509433962304</v>
      </c>
      <c r="L243" s="71">
        <v>0.7</v>
      </c>
      <c r="M243" s="72">
        <v>0.76344086021505397</v>
      </c>
      <c r="N243" s="71">
        <v>0.73193916349809895</v>
      </c>
      <c r="O243" s="73">
        <v>0.9</v>
      </c>
      <c r="P243" s="71">
        <v>0.95084241823587701</v>
      </c>
      <c r="Q243" s="71">
        <v>0.932013597280544</v>
      </c>
      <c r="R243" s="71">
        <v>0.93992932862190803</v>
      </c>
      <c r="S243" s="71">
        <v>0.91891486810551604</v>
      </c>
      <c r="T243" s="73">
        <v>0.9</v>
      </c>
      <c r="U243" s="71">
        <v>0.92487611496531197</v>
      </c>
      <c r="V243" s="71">
        <v>0.90921815636872605</v>
      </c>
      <c r="W243" s="71">
        <v>0.92625595329543697</v>
      </c>
      <c r="X243" s="71">
        <v>0.92534472422062397</v>
      </c>
      <c r="Y243" s="73">
        <v>0.92</v>
      </c>
      <c r="Z243" s="73">
        <v>0.95009189876997002</v>
      </c>
      <c r="AA243" s="73">
        <v>0.94771510909839396</v>
      </c>
      <c r="AB243" s="73">
        <v>0.94906166219839105</v>
      </c>
      <c r="AC243" s="73">
        <v>0.95529680283875096</v>
      </c>
      <c r="AD243" s="73">
        <v>0.92</v>
      </c>
      <c r="AE243" s="71">
        <v>0.93523850918178897</v>
      </c>
      <c r="AF243" s="71">
        <v>0.89635289029840004</v>
      </c>
      <c r="AG243" s="71">
        <v>0.99160559626915401</v>
      </c>
      <c r="AH243" s="71">
        <v>0.92217105401816801</v>
      </c>
      <c r="AI243" s="73">
        <v>0.92</v>
      </c>
      <c r="AJ243" s="71">
        <v>0.96245564815578799</v>
      </c>
      <c r="AK243" s="71">
        <v>0.96635715246938503</v>
      </c>
      <c r="AL243" s="71">
        <v>0.96720092531394597</v>
      </c>
      <c r="AM243" s="71">
        <v>0.97064354622054005</v>
      </c>
      <c r="AN243" s="70">
        <v>0.99</v>
      </c>
      <c r="AO243" s="75">
        <v>1</v>
      </c>
      <c r="AP243" s="75">
        <v>1</v>
      </c>
      <c r="AQ243" s="75">
        <v>1</v>
      </c>
      <c r="AR243" s="75">
        <v>1</v>
      </c>
      <c r="AS243" s="95">
        <v>9.2228725701943806E-2</v>
      </c>
      <c r="AT243" s="79">
        <v>8.6956521739130405E-2</v>
      </c>
      <c r="AU243" s="79">
        <v>4.5454545454545497E-2</v>
      </c>
      <c r="AV243" s="79">
        <v>5.8823529411764698E-2</v>
      </c>
      <c r="AW243" s="79">
        <v>8.4291187739463605E-2</v>
      </c>
      <c r="AX243" s="56"/>
      <c r="AY243" s="54"/>
    </row>
    <row r="244" spans="1:51">
      <c r="A244" s="53"/>
      <c r="B244" s="56"/>
      <c r="C244" s="99" t="s">
        <v>255</v>
      </c>
      <c r="D244" s="230" t="s">
        <v>1757</v>
      </c>
      <c r="E244" s="68" t="s">
        <v>256</v>
      </c>
      <c r="F244" s="100" t="s">
        <v>263</v>
      </c>
      <c r="G244" s="100" t="s">
        <v>263</v>
      </c>
      <c r="H244" s="100" t="s">
        <v>263</v>
      </c>
      <c r="I244" s="100" t="s">
        <v>263</v>
      </c>
      <c r="J244" s="70">
        <v>0.9</v>
      </c>
      <c r="K244" s="71">
        <v>0.93137254901960798</v>
      </c>
      <c r="L244" s="71">
        <v>0.95294117647058796</v>
      </c>
      <c r="M244" s="72">
        <v>0.94736842105263197</v>
      </c>
      <c r="N244" s="71">
        <v>0.93658088235294101</v>
      </c>
      <c r="O244" s="73">
        <v>0.9</v>
      </c>
      <c r="P244" s="71">
        <v>0.95177738927738897</v>
      </c>
      <c r="Q244" s="71">
        <v>0.96638861629048101</v>
      </c>
      <c r="R244" s="71">
        <v>0.95243108728943304</v>
      </c>
      <c r="S244" s="71">
        <v>0.94386549413086396</v>
      </c>
      <c r="T244" s="73">
        <v>0.9</v>
      </c>
      <c r="U244" s="71">
        <v>0.93822843822843804</v>
      </c>
      <c r="V244" s="71">
        <v>0.93621197252207999</v>
      </c>
      <c r="W244" s="71">
        <v>0.92639739663093401</v>
      </c>
      <c r="X244" s="71">
        <v>0.92745903227056103</v>
      </c>
      <c r="Y244" s="73">
        <v>0.92</v>
      </c>
      <c r="Z244" s="73">
        <v>0.96384816228158299</v>
      </c>
      <c r="AA244" s="73">
        <v>0.95620875824835005</v>
      </c>
      <c r="AB244" s="73">
        <v>0.982216808769793</v>
      </c>
      <c r="AC244" s="73">
        <v>0.97307637401855795</v>
      </c>
      <c r="AD244" s="73">
        <v>0.92</v>
      </c>
      <c r="AE244" s="71">
        <v>0.85514900037721597</v>
      </c>
      <c r="AF244" s="71">
        <v>0.94926350245499203</v>
      </c>
      <c r="AG244" s="71">
        <v>0.92361111111111105</v>
      </c>
      <c r="AH244" s="71">
        <v>0.94365689572320999</v>
      </c>
      <c r="AI244" s="73">
        <v>0.92</v>
      </c>
      <c r="AJ244" s="71">
        <v>0.97408189109328802</v>
      </c>
      <c r="AK244" s="71">
        <v>0.98340291212707498</v>
      </c>
      <c r="AL244" s="71">
        <v>0.98667033118043102</v>
      </c>
      <c r="AM244" s="71">
        <v>0.98409874829164601</v>
      </c>
      <c r="AN244" s="70">
        <v>0.99</v>
      </c>
      <c r="AO244" s="75">
        <v>1</v>
      </c>
      <c r="AP244" s="75">
        <v>1</v>
      </c>
      <c r="AQ244" s="75">
        <v>1</v>
      </c>
      <c r="AR244" s="75">
        <v>1</v>
      </c>
      <c r="AS244" s="95">
        <v>9.2228725701943806E-2</v>
      </c>
      <c r="AT244" s="79">
        <v>0.115384615384615</v>
      </c>
      <c r="AU244" s="79">
        <v>5.5555555555555601E-2</v>
      </c>
      <c r="AV244" s="79">
        <v>0.13636363636363599</v>
      </c>
      <c r="AW244" s="79">
        <v>0.12871287128712899</v>
      </c>
      <c r="AX244" s="56"/>
      <c r="AY244" s="54"/>
    </row>
    <row r="245" spans="1:51">
      <c r="A245" s="53"/>
      <c r="B245" s="56"/>
      <c r="C245" s="99" t="s">
        <v>255</v>
      </c>
      <c r="D245" s="230" t="s">
        <v>1757</v>
      </c>
      <c r="E245" s="68" t="s">
        <v>256</v>
      </c>
      <c r="F245" s="100" t="s">
        <v>264</v>
      </c>
      <c r="G245" s="100" t="s">
        <v>264</v>
      </c>
      <c r="H245" s="100" t="s">
        <v>264</v>
      </c>
      <c r="I245" s="100" t="s">
        <v>264</v>
      </c>
      <c r="J245" s="70">
        <v>0.9</v>
      </c>
      <c r="K245" s="71">
        <v>0.94736842105263197</v>
      </c>
      <c r="L245" s="71">
        <v>0.88461538461538503</v>
      </c>
      <c r="M245" s="72">
        <v>0.91358024691357997</v>
      </c>
      <c r="N245" s="71">
        <v>0.91011235955056202</v>
      </c>
      <c r="O245" s="73">
        <v>0.9</v>
      </c>
      <c r="P245" s="71">
        <v>0.97516875602700104</v>
      </c>
      <c r="Q245" s="71">
        <v>0.98353909465020595</v>
      </c>
      <c r="R245" s="71">
        <v>0.96303142329020297</v>
      </c>
      <c r="S245" s="71">
        <v>0.95986325652063798</v>
      </c>
      <c r="T245" s="73">
        <v>0.9</v>
      </c>
      <c r="U245" s="71">
        <v>0.931774349083896</v>
      </c>
      <c r="V245" s="71">
        <v>0.90801258775115001</v>
      </c>
      <c r="W245" s="71">
        <v>0.90591497227356699</v>
      </c>
      <c r="X245" s="71">
        <v>0.91704952429186404</v>
      </c>
      <c r="Y245" s="73">
        <v>0.92</v>
      </c>
      <c r="Z245" s="73">
        <v>0.96850000000000003</v>
      </c>
      <c r="AA245" s="73">
        <v>0.95754245754245804</v>
      </c>
      <c r="AB245" s="73">
        <v>0.97323252962811602</v>
      </c>
      <c r="AC245" s="73">
        <v>0.97277460636095603</v>
      </c>
      <c r="AD245" s="73">
        <v>0.92</v>
      </c>
      <c r="AE245" s="71">
        <v>0.99507850949144605</v>
      </c>
      <c r="AF245" s="71">
        <v>0.90647482014388503</v>
      </c>
      <c r="AG245" s="71">
        <v>0.97408975444538504</v>
      </c>
      <c r="AH245" s="71">
        <v>0.97677552314521199</v>
      </c>
      <c r="AI245" s="73">
        <v>0.92</v>
      </c>
      <c r="AJ245" s="71">
        <v>0.97458128078817696</v>
      </c>
      <c r="AK245" s="71">
        <v>0.97734311328443402</v>
      </c>
      <c r="AL245" s="71">
        <v>0.98379270186335399</v>
      </c>
      <c r="AM245" s="71">
        <v>0.98287548362698396</v>
      </c>
      <c r="AN245" s="70">
        <v>0.99</v>
      </c>
      <c r="AO245" s="75">
        <v>1</v>
      </c>
      <c r="AP245" s="75">
        <v>1</v>
      </c>
      <c r="AQ245" s="75">
        <v>1</v>
      </c>
      <c r="AR245" s="75">
        <v>1</v>
      </c>
      <c r="AS245" s="95">
        <v>9.2228725701943806E-2</v>
      </c>
      <c r="AT245" s="79">
        <v>0</v>
      </c>
      <c r="AU245" s="79">
        <v>0</v>
      </c>
      <c r="AV245" s="79">
        <v>0.14285714285714299</v>
      </c>
      <c r="AW245" s="79">
        <v>9.4736842105263203E-2</v>
      </c>
      <c r="AX245" s="56"/>
      <c r="AY245" s="54"/>
    </row>
    <row r="246" spans="1:51">
      <c r="A246" s="53"/>
      <c r="B246" s="56"/>
      <c r="C246" s="99" t="s">
        <v>255</v>
      </c>
      <c r="D246" s="230" t="s">
        <v>1759</v>
      </c>
      <c r="E246" s="68" t="s">
        <v>256</v>
      </c>
      <c r="F246" s="100" t="s">
        <v>265</v>
      </c>
      <c r="G246" s="100" t="s">
        <v>265</v>
      </c>
      <c r="H246" s="100" t="s">
        <v>265</v>
      </c>
      <c r="I246" s="100" t="s">
        <v>265</v>
      </c>
      <c r="J246" s="70">
        <v>0.9</v>
      </c>
      <c r="K246" s="71" t="s">
        <v>1710</v>
      </c>
      <c r="L246" s="71" t="s">
        <v>1710</v>
      </c>
      <c r="M246" s="72" t="s">
        <v>1710</v>
      </c>
      <c r="N246" s="71" t="s">
        <v>1710</v>
      </c>
      <c r="O246" s="73">
        <v>0.9</v>
      </c>
      <c r="P246" s="71" t="s">
        <v>1710</v>
      </c>
      <c r="Q246" s="71" t="s">
        <v>1710</v>
      </c>
      <c r="R246" s="71" t="s">
        <v>1710</v>
      </c>
      <c r="S246" s="71" t="s">
        <v>1710</v>
      </c>
      <c r="T246" s="73">
        <v>0.9</v>
      </c>
      <c r="U246" s="71" t="s">
        <v>1710</v>
      </c>
      <c r="V246" s="71" t="s">
        <v>1710</v>
      </c>
      <c r="W246" s="71" t="s">
        <v>1710</v>
      </c>
      <c r="X246" s="71" t="s">
        <v>1710</v>
      </c>
      <c r="Y246" s="73">
        <v>0.92</v>
      </c>
      <c r="Z246" s="73" t="s">
        <v>1710</v>
      </c>
      <c r="AA246" s="73" t="s">
        <v>1710</v>
      </c>
      <c r="AB246" s="73" t="s">
        <v>1710</v>
      </c>
      <c r="AC246" s="73" t="s">
        <v>1710</v>
      </c>
      <c r="AD246" s="73">
        <v>0.92</v>
      </c>
      <c r="AE246" s="71">
        <v>1</v>
      </c>
      <c r="AF246" s="71">
        <v>0.94674556213017702</v>
      </c>
      <c r="AG246" s="71">
        <v>0.98449612403100795</v>
      </c>
      <c r="AH246" s="71">
        <v>0.98120698782424598</v>
      </c>
      <c r="AI246" s="73">
        <v>0.92</v>
      </c>
      <c r="AJ246" s="71" t="s">
        <v>1710</v>
      </c>
      <c r="AK246" s="71" t="s">
        <v>1710</v>
      </c>
      <c r="AL246" s="71" t="s">
        <v>1710</v>
      </c>
      <c r="AM246" s="71" t="s">
        <v>1710</v>
      </c>
      <c r="AN246" s="70">
        <v>0.99</v>
      </c>
      <c r="AO246" s="75">
        <v>1</v>
      </c>
      <c r="AP246" s="75">
        <v>1</v>
      </c>
      <c r="AQ246" s="75">
        <v>1</v>
      </c>
      <c r="AR246" s="75">
        <v>1</v>
      </c>
      <c r="AS246" s="95">
        <v>9.2228725701943806E-2</v>
      </c>
      <c r="AT246" s="79" t="s">
        <v>1710</v>
      </c>
      <c r="AU246" s="79" t="s">
        <v>1710</v>
      </c>
      <c r="AV246" s="79" t="s">
        <v>1710</v>
      </c>
      <c r="AW246" s="79" t="s">
        <v>1710</v>
      </c>
      <c r="AX246" s="56"/>
      <c r="AY246" s="54"/>
    </row>
    <row r="247" spans="1:51">
      <c r="A247" s="53"/>
      <c r="B247" s="56"/>
      <c r="C247" s="99" t="s">
        <v>255</v>
      </c>
      <c r="D247" s="230" t="s">
        <v>1757</v>
      </c>
      <c r="E247" s="68" t="s">
        <v>256</v>
      </c>
      <c r="F247" s="100" t="s">
        <v>266</v>
      </c>
      <c r="G247" s="100" t="s">
        <v>266</v>
      </c>
      <c r="H247" s="100" t="s">
        <v>266</v>
      </c>
      <c r="I247" s="100" t="s">
        <v>266</v>
      </c>
      <c r="J247" s="70">
        <v>0.9</v>
      </c>
      <c r="K247" s="71">
        <v>0.85714285714285698</v>
      </c>
      <c r="L247" s="71">
        <v>0.61538461538461497</v>
      </c>
      <c r="M247" s="72">
        <v>0.85714285714285698</v>
      </c>
      <c r="N247" s="71">
        <v>0.80519480519480502</v>
      </c>
      <c r="O247" s="73">
        <v>0.9</v>
      </c>
      <c r="P247" s="71">
        <v>0.95621090259160002</v>
      </c>
      <c r="Q247" s="71">
        <v>0.98217636022514099</v>
      </c>
      <c r="R247" s="71">
        <v>0.98600311041990696</v>
      </c>
      <c r="S247" s="71">
        <v>0.95212765957446799</v>
      </c>
      <c r="T247" s="73">
        <v>0.9</v>
      </c>
      <c r="U247" s="71">
        <v>0.91331546023235</v>
      </c>
      <c r="V247" s="71">
        <v>0.91557223264540299</v>
      </c>
      <c r="W247" s="71">
        <v>0.938569206842924</v>
      </c>
      <c r="X247" s="71">
        <v>0.92792927779442602</v>
      </c>
      <c r="Y247" s="73">
        <v>0.92</v>
      </c>
      <c r="Z247" s="73">
        <v>0.92132505175983404</v>
      </c>
      <c r="AA247" s="73">
        <v>0.94758064516129004</v>
      </c>
      <c r="AB247" s="73">
        <v>0.91899441340782095</v>
      </c>
      <c r="AC247" s="73">
        <v>0.94626038781163402</v>
      </c>
      <c r="AD247" s="73">
        <v>0.92</v>
      </c>
      <c r="AE247" s="71">
        <v>0.99928882567339306</v>
      </c>
      <c r="AF247" s="71">
        <v>0.99180857943522305</v>
      </c>
      <c r="AG247" s="71">
        <v>0.99712469733656195</v>
      </c>
      <c r="AH247" s="71">
        <v>0.99004423527282204</v>
      </c>
      <c r="AI247" s="73">
        <v>0.92</v>
      </c>
      <c r="AJ247" s="71">
        <v>0.93652647975077896</v>
      </c>
      <c r="AK247" s="71">
        <v>0.96360153256704995</v>
      </c>
      <c r="AL247" s="71">
        <v>0.95046570702794198</v>
      </c>
      <c r="AM247" s="71">
        <v>0.96514800727633498</v>
      </c>
      <c r="AN247" s="70">
        <v>0.99</v>
      </c>
      <c r="AO247" s="75">
        <v>1</v>
      </c>
      <c r="AP247" s="75">
        <v>1</v>
      </c>
      <c r="AQ247" s="75">
        <v>1</v>
      </c>
      <c r="AR247" s="75">
        <v>1</v>
      </c>
      <c r="AS247" s="95">
        <v>9.2228725701943806E-2</v>
      </c>
      <c r="AT247" s="79">
        <v>0.27272727272727298</v>
      </c>
      <c r="AU247" s="79">
        <v>0</v>
      </c>
      <c r="AV247" s="79">
        <v>0.16666666666666699</v>
      </c>
      <c r="AW247" s="79">
        <v>8.6956521739130405E-2</v>
      </c>
      <c r="AX247" s="56"/>
      <c r="AY247" s="54"/>
    </row>
    <row r="248" spans="1:51">
      <c r="A248" s="53"/>
      <c r="B248" s="56"/>
      <c r="C248" s="99" t="s">
        <v>255</v>
      </c>
      <c r="D248" s="230" t="s">
        <v>1759</v>
      </c>
      <c r="E248" s="68" t="s">
        <v>256</v>
      </c>
      <c r="F248" s="100" t="s">
        <v>267</v>
      </c>
      <c r="G248" s="100" t="s">
        <v>267</v>
      </c>
      <c r="H248" s="100" t="s">
        <v>267</v>
      </c>
      <c r="I248" s="100" t="s">
        <v>267</v>
      </c>
      <c r="J248" s="70">
        <v>0.9</v>
      </c>
      <c r="K248" s="71" t="s">
        <v>1710</v>
      </c>
      <c r="L248" s="71" t="s">
        <v>1710</v>
      </c>
      <c r="M248" s="72" t="s">
        <v>1710</v>
      </c>
      <c r="N248" s="71" t="s">
        <v>1710</v>
      </c>
      <c r="O248" s="73">
        <v>0.9</v>
      </c>
      <c r="P248" s="71" t="s">
        <v>1710</v>
      </c>
      <c r="Q248" s="71" t="s">
        <v>1710</v>
      </c>
      <c r="R248" s="71" t="s">
        <v>1710</v>
      </c>
      <c r="S248" s="71">
        <v>0.25</v>
      </c>
      <c r="T248" s="73">
        <v>0.9</v>
      </c>
      <c r="U248" s="71" t="s">
        <v>1710</v>
      </c>
      <c r="V248" s="71" t="s">
        <v>1710</v>
      </c>
      <c r="W248" s="71" t="s">
        <v>1710</v>
      </c>
      <c r="X248" s="71">
        <v>0.25</v>
      </c>
      <c r="Y248" s="73">
        <v>0.92</v>
      </c>
      <c r="Z248" s="73" t="s">
        <v>1710</v>
      </c>
      <c r="AA248" s="73" t="s">
        <v>1710</v>
      </c>
      <c r="AB248" s="73" t="s">
        <v>1710</v>
      </c>
      <c r="AC248" s="73" t="s">
        <v>1710</v>
      </c>
      <c r="AD248" s="73">
        <v>0.92</v>
      </c>
      <c r="AE248" s="71">
        <v>0.98970365563486895</v>
      </c>
      <c r="AF248" s="71">
        <v>0.63212435233160602</v>
      </c>
      <c r="AG248" s="71">
        <v>0.99874499960781205</v>
      </c>
      <c r="AH248" s="71">
        <v>0.95783048148448502</v>
      </c>
      <c r="AI248" s="73">
        <v>0.92</v>
      </c>
      <c r="AJ248" s="71">
        <v>1</v>
      </c>
      <c r="AK248" s="71" t="s">
        <v>1710</v>
      </c>
      <c r="AL248" s="71">
        <v>0</v>
      </c>
      <c r="AM248" s="71">
        <v>0.42857142857142899</v>
      </c>
      <c r="AN248" s="70">
        <v>0.99</v>
      </c>
      <c r="AO248" s="75" t="s">
        <v>1710</v>
      </c>
      <c r="AP248" s="75" t="s">
        <v>1710</v>
      </c>
      <c r="AQ248" s="75" t="s">
        <v>1710</v>
      </c>
      <c r="AR248" s="75">
        <v>1</v>
      </c>
      <c r="AS248" s="95">
        <v>9.2228725701943806E-2</v>
      </c>
      <c r="AT248" s="79" t="s">
        <v>1710</v>
      </c>
      <c r="AU248" s="79" t="s">
        <v>1710</v>
      </c>
      <c r="AV248" s="79" t="s">
        <v>1710</v>
      </c>
      <c r="AW248" s="79" t="s">
        <v>1710</v>
      </c>
      <c r="AX248" s="56"/>
      <c r="AY248" s="54"/>
    </row>
    <row r="249" spans="1:51">
      <c r="A249" s="53"/>
      <c r="B249" s="56"/>
      <c r="C249" s="99" t="s">
        <v>255</v>
      </c>
      <c r="D249" s="230" t="s">
        <v>1759</v>
      </c>
      <c r="E249" s="68" t="s">
        <v>256</v>
      </c>
      <c r="F249" s="100" t="s">
        <v>268</v>
      </c>
      <c r="G249" s="100" t="s">
        <v>268</v>
      </c>
      <c r="H249" s="100" t="s">
        <v>268</v>
      </c>
      <c r="I249" s="100" t="s">
        <v>268</v>
      </c>
      <c r="J249" s="70">
        <v>0.9</v>
      </c>
      <c r="K249" s="71" t="s">
        <v>1710</v>
      </c>
      <c r="L249" s="71" t="s">
        <v>1710</v>
      </c>
      <c r="M249" s="72" t="s">
        <v>1710</v>
      </c>
      <c r="N249" s="71" t="s">
        <v>1710</v>
      </c>
      <c r="O249" s="73">
        <v>0.9</v>
      </c>
      <c r="P249" s="71">
        <v>0</v>
      </c>
      <c r="Q249" s="71" t="s">
        <v>1710</v>
      </c>
      <c r="R249" s="71" t="s">
        <v>1710</v>
      </c>
      <c r="S249" s="71">
        <v>0.5</v>
      </c>
      <c r="T249" s="73">
        <v>0.9</v>
      </c>
      <c r="U249" s="71">
        <v>0</v>
      </c>
      <c r="V249" s="71" t="s">
        <v>1710</v>
      </c>
      <c r="W249" s="71" t="s">
        <v>1710</v>
      </c>
      <c r="X249" s="71">
        <v>0.5</v>
      </c>
      <c r="Y249" s="73">
        <v>0.92</v>
      </c>
      <c r="Z249" s="73" t="s">
        <v>1710</v>
      </c>
      <c r="AA249" s="73" t="s">
        <v>1710</v>
      </c>
      <c r="AB249" s="73" t="s">
        <v>1710</v>
      </c>
      <c r="AC249" s="73" t="s">
        <v>1710</v>
      </c>
      <c r="AD249" s="73">
        <v>0.92</v>
      </c>
      <c r="AE249" s="71">
        <v>1</v>
      </c>
      <c r="AF249" s="71">
        <v>1</v>
      </c>
      <c r="AG249" s="71">
        <v>0.99959871589085103</v>
      </c>
      <c r="AH249" s="71">
        <v>0.99930330928091604</v>
      </c>
      <c r="AI249" s="73">
        <v>0.92</v>
      </c>
      <c r="AJ249" s="71">
        <v>0</v>
      </c>
      <c r="AK249" s="71">
        <v>1</v>
      </c>
      <c r="AL249" s="71" t="s">
        <v>1710</v>
      </c>
      <c r="AM249" s="71">
        <v>0.5</v>
      </c>
      <c r="AN249" s="70">
        <v>0.99</v>
      </c>
      <c r="AO249" s="75">
        <v>1</v>
      </c>
      <c r="AP249" s="75">
        <v>1</v>
      </c>
      <c r="AQ249" s="75">
        <v>1</v>
      </c>
      <c r="AR249" s="75">
        <v>1</v>
      </c>
      <c r="AS249" s="95">
        <v>9.2228725701943806E-2</v>
      </c>
      <c r="AT249" s="79" t="s">
        <v>1710</v>
      </c>
      <c r="AU249" s="79" t="s">
        <v>1710</v>
      </c>
      <c r="AV249" s="79" t="s">
        <v>1710</v>
      </c>
      <c r="AW249" s="79">
        <v>1</v>
      </c>
      <c r="AX249" s="56"/>
      <c r="AY249" s="54"/>
    </row>
    <row r="250" spans="1:51">
      <c r="A250" s="53"/>
      <c r="B250" s="56"/>
      <c r="C250" s="99" t="s">
        <v>255</v>
      </c>
      <c r="D250" s="230" t="s">
        <v>1759</v>
      </c>
      <c r="E250" s="68" t="s">
        <v>256</v>
      </c>
      <c r="F250" s="100" t="s">
        <v>269</v>
      </c>
      <c r="G250" s="100" t="s">
        <v>269</v>
      </c>
      <c r="H250" s="100" t="s">
        <v>269</v>
      </c>
      <c r="I250" s="100" t="s">
        <v>269</v>
      </c>
      <c r="J250" s="70">
        <v>0.9</v>
      </c>
      <c r="K250" s="71" t="s">
        <v>1710</v>
      </c>
      <c r="L250" s="71" t="s">
        <v>1710</v>
      </c>
      <c r="M250" s="72" t="s">
        <v>1710</v>
      </c>
      <c r="N250" s="71" t="s">
        <v>1710</v>
      </c>
      <c r="O250" s="73">
        <v>0.9</v>
      </c>
      <c r="P250" s="71">
        <v>0.5</v>
      </c>
      <c r="Q250" s="71">
        <v>0.73333333333333295</v>
      </c>
      <c r="R250" s="71">
        <v>0.78571428571428603</v>
      </c>
      <c r="S250" s="71">
        <v>0.69677419354838699</v>
      </c>
      <c r="T250" s="73">
        <v>0.9</v>
      </c>
      <c r="U250" s="71">
        <v>0.35</v>
      </c>
      <c r="V250" s="71">
        <v>0.33333333333333298</v>
      </c>
      <c r="W250" s="71">
        <v>0.42857142857142899</v>
      </c>
      <c r="X250" s="71">
        <v>0.587096774193548</v>
      </c>
      <c r="Y250" s="73">
        <v>0.92</v>
      </c>
      <c r="Z250" s="73">
        <v>0</v>
      </c>
      <c r="AA250" s="73">
        <v>0</v>
      </c>
      <c r="AB250" s="73">
        <v>0</v>
      </c>
      <c r="AC250" s="73">
        <v>0.36842105263157898</v>
      </c>
      <c r="AD250" s="73">
        <v>0.92</v>
      </c>
      <c r="AE250" s="71">
        <v>0.672818030555135</v>
      </c>
      <c r="AF250" s="71">
        <v>0.149653281728753</v>
      </c>
      <c r="AG250" s="71">
        <v>0.942121837333044</v>
      </c>
      <c r="AH250" s="71">
        <v>0.75547972269118902</v>
      </c>
      <c r="AI250" s="73">
        <v>0.92</v>
      </c>
      <c r="AJ250" s="71">
        <v>0.30769230769230799</v>
      </c>
      <c r="AK250" s="71">
        <v>0.3125</v>
      </c>
      <c r="AL250" s="71">
        <v>0.40909090909090901</v>
      </c>
      <c r="AM250" s="71">
        <v>0.60732984293193704</v>
      </c>
      <c r="AN250" s="70">
        <v>0.99</v>
      </c>
      <c r="AO250" s="75">
        <v>1</v>
      </c>
      <c r="AP250" s="75">
        <v>1</v>
      </c>
      <c r="AQ250" s="75">
        <v>1</v>
      </c>
      <c r="AR250" s="75">
        <v>1</v>
      </c>
      <c r="AS250" s="95">
        <v>9.2228725701943806E-2</v>
      </c>
      <c r="AT250" s="79" t="s">
        <v>1710</v>
      </c>
      <c r="AU250" s="79" t="s">
        <v>1710</v>
      </c>
      <c r="AV250" s="79" t="s">
        <v>1710</v>
      </c>
      <c r="AW250" s="79" t="s">
        <v>1710</v>
      </c>
      <c r="AX250" s="56"/>
      <c r="AY250" s="54"/>
    </row>
    <row r="251" spans="1:51">
      <c r="A251" s="53"/>
      <c r="B251" s="56"/>
      <c r="C251" s="99" t="s">
        <v>255</v>
      </c>
      <c r="D251" s="230" t="s">
        <v>1759</v>
      </c>
      <c r="E251" s="68" t="s">
        <v>256</v>
      </c>
      <c r="F251" s="100" t="s">
        <v>270</v>
      </c>
      <c r="G251" s="100" t="s">
        <v>270</v>
      </c>
      <c r="H251" s="100" t="s">
        <v>270</v>
      </c>
      <c r="I251" s="100" t="s">
        <v>270</v>
      </c>
      <c r="J251" s="70">
        <v>0.9</v>
      </c>
      <c r="K251" s="71" t="s">
        <v>1710</v>
      </c>
      <c r="L251" s="71" t="s">
        <v>1710</v>
      </c>
      <c r="M251" s="72" t="s">
        <v>1710</v>
      </c>
      <c r="N251" s="71" t="s">
        <v>1710</v>
      </c>
      <c r="O251" s="73">
        <v>0.9</v>
      </c>
      <c r="P251" s="71" t="s">
        <v>1710</v>
      </c>
      <c r="Q251" s="71">
        <v>0.5</v>
      </c>
      <c r="R251" s="71" t="s">
        <v>1710</v>
      </c>
      <c r="S251" s="71">
        <v>0.75</v>
      </c>
      <c r="T251" s="73">
        <v>0.9</v>
      </c>
      <c r="U251" s="71" t="s">
        <v>1710</v>
      </c>
      <c r="V251" s="71">
        <v>0.5</v>
      </c>
      <c r="W251" s="71" t="s">
        <v>1710</v>
      </c>
      <c r="X251" s="71">
        <v>0.5</v>
      </c>
      <c r="Y251" s="73">
        <v>0.92</v>
      </c>
      <c r="Z251" s="73" t="s">
        <v>1710</v>
      </c>
      <c r="AA251" s="73" t="s">
        <v>1710</v>
      </c>
      <c r="AB251" s="73" t="s">
        <v>1710</v>
      </c>
      <c r="AC251" s="73">
        <v>1</v>
      </c>
      <c r="AD251" s="73">
        <v>0.92</v>
      </c>
      <c r="AE251" s="71">
        <v>0.99201564282222598</v>
      </c>
      <c r="AF251" s="71">
        <v>0.99894625922023195</v>
      </c>
      <c r="AG251" s="71">
        <v>0.90020366598778001</v>
      </c>
      <c r="AH251" s="71">
        <v>0.95264024892468202</v>
      </c>
      <c r="AI251" s="73">
        <v>0.92</v>
      </c>
      <c r="AJ251" s="71" t="s">
        <v>1710</v>
      </c>
      <c r="AK251" s="71">
        <v>0.5</v>
      </c>
      <c r="AL251" s="71" t="s">
        <v>1710</v>
      </c>
      <c r="AM251" s="71">
        <v>0.66666666666666696</v>
      </c>
      <c r="AN251" s="70">
        <v>0.99</v>
      </c>
      <c r="AO251" s="75">
        <v>1</v>
      </c>
      <c r="AP251" s="75" t="s">
        <v>1710</v>
      </c>
      <c r="AQ251" s="75" t="s">
        <v>1710</v>
      </c>
      <c r="AR251" s="75">
        <v>1</v>
      </c>
      <c r="AS251" s="95">
        <v>9.2228725701943806E-2</v>
      </c>
      <c r="AT251" s="79" t="s">
        <v>1710</v>
      </c>
      <c r="AU251" s="79" t="s">
        <v>1710</v>
      </c>
      <c r="AV251" s="79" t="s">
        <v>1710</v>
      </c>
      <c r="AW251" s="79">
        <v>0</v>
      </c>
      <c r="AX251" s="56"/>
      <c r="AY251" s="54"/>
    </row>
    <row r="252" spans="1:51">
      <c r="A252" s="53"/>
      <c r="B252" s="56"/>
      <c r="C252" s="99" t="s">
        <v>255</v>
      </c>
      <c r="D252" s="230" t="s">
        <v>1757</v>
      </c>
      <c r="E252" s="68" t="s">
        <v>256</v>
      </c>
      <c r="F252" s="100" t="s">
        <v>271</v>
      </c>
      <c r="G252" s="100" t="s">
        <v>271</v>
      </c>
      <c r="H252" s="100" t="s">
        <v>271</v>
      </c>
      <c r="I252" s="100" t="s">
        <v>271</v>
      </c>
      <c r="J252" s="70">
        <v>0.9</v>
      </c>
      <c r="K252" s="71">
        <v>0.95294117647058796</v>
      </c>
      <c r="L252" s="71">
        <v>0.95161290322580605</v>
      </c>
      <c r="M252" s="72">
        <v>0.97402597402597402</v>
      </c>
      <c r="N252" s="71">
        <v>0.93684210526315803</v>
      </c>
      <c r="O252" s="73">
        <v>0.9</v>
      </c>
      <c r="P252" s="71">
        <v>0.92370214997378097</v>
      </c>
      <c r="Q252" s="71">
        <v>0.92928516525749405</v>
      </c>
      <c r="R252" s="71">
        <v>0.92394310549189995</v>
      </c>
      <c r="S252" s="71">
        <v>0.89337131713286</v>
      </c>
      <c r="T252" s="73">
        <v>0.9</v>
      </c>
      <c r="U252" s="71">
        <v>0.92160461457787102</v>
      </c>
      <c r="V252" s="71">
        <v>0.91621829362029195</v>
      </c>
      <c r="W252" s="71">
        <v>0.92572105887001199</v>
      </c>
      <c r="X252" s="71">
        <v>0.92769057224250995</v>
      </c>
      <c r="Y252" s="73">
        <v>0.92</v>
      </c>
      <c r="Z252" s="73">
        <v>0.96954662104362699</v>
      </c>
      <c r="AA252" s="73">
        <v>0.97586726998491702</v>
      </c>
      <c r="AB252" s="73">
        <v>0.98442906574394495</v>
      </c>
      <c r="AC252" s="73">
        <v>0.98233072277586897</v>
      </c>
      <c r="AD252" s="73">
        <v>0.92</v>
      </c>
      <c r="AE252" s="71">
        <v>0.98997493734335795</v>
      </c>
      <c r="AF252" s="71">
        <v>0.95474452554744504</v>
      </c>
      <c r="AG252" s="71">
        <v>0.99485199485199505</v>
      </c>
      <c r="AH252" s="71">
        <v>0.98471872376154501</v>
      </c>
      <c r="AI252" s="73">
        <v>0.92</v>
      </c>
      <c r="AJ252" s="71">
        <v>0.97691989236182997</v>
      </c>
      <c r="AK252" s="71">
        <v>0.98778211437298502</v>
      </c>
      <c r="AL252" s="71">
        <v>0.98885103747290204</v>
      </c>
      <c r="AM252" s="71">
        <v>0.98909021244845097</v>
      </c>
      <c r="AN252" s="70">
        <v>0.99</v>
      </c>
      <c r="AO252" s="75">
        <v>1</v>
      </c>
      <c r="AP252" s="75">
        <v>1</v>
      </c>
      <c r="AQ252" s="75">
        <v>1</v>
      </c>
      <c r="AR252" s="75">
        <v>1</v>
      </c>
      <c r="AS252" s="95">
        <v>9.2228725701943806E-2</v>
      </c>
      <c r="AT252" s="79">
        <v>0.22727272727272699</v>
      </c>
      <c r="AU252" s="79">
        <v>8.3333333333333301E-2</v>
      </c>
      <c r="AV252" s="79">
        <v>0</v>
      </c>
      <c r="AW252" s="79">
        <v>9.0909090909090898E-2</v>
      </c>
      <c r="AX252" s="56"/>
      <c r="AY252" s="54"/>
    </row>
    <row r="253" spans="1:51">
      <c r="A253" s="53"/>
      <c r="B253" s="56"/>
      <c r="C253" s="99" t="s">
        <v>255</v>
      </c>
      <c r="D253" s="230" t="s">
        <v>1757</v>
      </c>
      <c r="E253" s="68" t="s">
        <v>256</v>
      </c>
      <c r="F253" s="100" t="s">
        <v>272</v>
      </c>
      <c r="G253" s="100" t="s">
        <v>272</v>
      </c>
      <c r="H253" s="100" t="s">
        <v>272</v>
      </c>
      <c r="I253" s="100" t="s">
        <v>272</v>
      </c>
      <c r="J253" s="70">
        <v>0.9</v>
      </c>
      <c r="K253" s="71">
        <v>0.96799999999999997</v>
      </c>
      <c r="L253" s="71">
        <v>0.97222222222222199</v>
      </c>
      <c r="M253" s="72">
        <v>0.96190476190476204</v>
      </c>
      <c r="N253" s="71">
        <v>0.96948893974065598</v>
      </c>
      <c r="O253" s="73">
        <v>0.9</v>
      </c>
      <c r="P253" s="71">
        <v>0.95834242093784106</v>
      </c>
      <c r="Q253" s="71">
        <v>0.85357006491027099</v>
      </c>
      <c r="R253" s="71">
        <v>0.89785135611130695</v>
      </c>
      <c r="S253" s="71">
        <v>0.94355434662977</v>
      </c>
      <c r="T253" s="73">
        <v>0.9</v>
      </c>
      <c r="U253" s="71">
        <v>0.91712104689203899</v>
      </c>
      <c r="V253" s="71">
        <v>0.87361588392516198</v>
      </c>
      <c r="W253" s="71">
        <v>0.87883057414582599</v>
      </c>
      <c r="X253" s="71">
        <v>0.917658527381645</v>
      </c>
      <c r="Y253" s="73">
        <v>0.92</v>
      </c>
      <c r="Z253" s="73">
        <v>0.94439488551888195</v>
      </c>
      <c r="AA253" s="73">
        <v>0.93855421686746998</v>
      </c>
      <c r="AB253" s="73">
        <v>0.92498610853861796</v>
      </c>
      <c r="AC253" s="73">
        <v>0.95322645731684996</v>
      </c>
      <c r="AD253" s="73">
        <v>0.92</v>
      </c>
      <c r="AE253" s="71">
        <v>0.95668741267623503</v>
      </c>
      <c r="AF253" s="71">
        <v>0.71538366183215596</v>
      </c>
      <c r="AG253" s="71">
        <v>0.97280645846611402</v>
      </c>
      <c r="AH253" s="71">
        <v>0.91567690405373803</v>
      </c>
      <c r="AI253" s="73">
        <v>0.92</v>
      </c>
      <c r="AJ253" s="71">
        <v>0.95722114194802899</v>
      </c>
      <c r="AK253" s="71">
        <v>0.95912031047865498</v>
      </c>
      <c r="AL253" s="71">
        <v>0.94322079797797398</v>
      </c>
      <c r="AM253" s="71">
        <v>0.96835084095853197</v>
      </c>
      <c r="AN253" s="70">
        <v>0.99</v>
      </c>
      <c r="AO253" s="75">
        <v>1</v>
      </c>
      <c r="AP253" s="75">
        <v>1</v>
      </c>
      <c r="AQ253" s="75">
        <v>1</v>
      </c>
      <c r="AR253" s="75">
        <v>1</v>
      </c>
      <c r="AS253" s="95">
        <v>9.2228725701943806E-2</v>
      </c>
      <c r="AT253" s="79">
        <v>0.17948717948717899</v>
      </c>
      <c r="AU253" s="79">
        <v>5.4054054054054099E-2</v>
      </c>
      <c r="AV253" s="79">
        <v>5.6603773584905703E-2</v>
      </c>
      <c r="AW253" s="79">
        <v>5.5045871559633003E-2</v>
      </c>
      <c r="AX253" s="56"/>
      <c r="AY253" s="54"/>
    </row>
    <row r="254" spans="1:51">
      <c r="A254" s="53"/>
      <c r="B254" s="56"/>
      <c r="C254" s="99" t="s">
        <v>255</v>
      </c>
      <c r="D254" s="230" t="s">
        <v>1757</v>
      </c>
      <c r="E254" s="68" t="s">
        <v>256</v>
      </c>
      <c r="F254" s="100" t="s">
        <v>273</v>
      </c>
      <c r="G254" s="100" t="s">
        <v>273</v>
      </c>
      <c r="H254" s="100" t="s">
        <v>273</v>
      </c>
      <c r="I254" s="100" t="s">
        <v>273</v>
      </c>
      <c r="J254" s="70">
        <v>0.9</v>
      </c>
      <c r="K254" s="71">
        <v>0.961165048543689</v>
      </c>
      <c r="L254" s="71">
        <v>0.98750000000000004</v>
      </c>
      <c r="M254" s="72">
        <v>0.95652173913043503</v>
      </c>
      <c r="N254" s="71">
        <v>0.94871794871794901</v>
      </c>
      <c r="O254" s="73">
        <v>0.9</v>
      </c>
      <c r="P254" s="71">
        <v>0.96947496947496903</v>
      </c>
      <c r="Q254" s="71">
        <v>0.97134238310708898</v>
      </c>
      <c r="R254" s="71">
        <v>0.93375748502994005</v>
      </c>
      <c r="S254" s="71">
        <v>0.95070003783988299</v>
      </c>
      <c r="T254" s="73">
        <v>0.9</v>
      </c>
      <c r="U254" s="71">
        <v>0.947252747252747</v>
      </c>
      <c r="V254" s="71">
        <v>0.94318753142282596</v>
      </c>
      <c r="W254" s="71">
        <v>0.94760479041916201</v>
      </c>
      <c r="X254" s="71">
        <v>0.94624934681153905</v>
      </c>
      <c r="Y254" s="73">
        <v>0.92</v>
      </c>
      <c r="Z254" s="73">
        <v>0.97165513750632704</v>
      </c>
      <c r="AA254" s="73">
        <v>0.97433414043583499</v>
      </c>
      <c r="AB254" s="73">
        <v>0.97951239500102405</v>
      </c>
      <c r="AC254" s="73">
        <v>0.98323726371111297</v>
      </c>
      <c r="AD254" s="73">
        <v>0.92</v>
      </c>
      <c r="AE254" s="71">
        <v>0.97441754225673805</v>
      </c>
      <c r="AF254" s="71">
        <v>0.97694394213381597</v>
      </c>
      <c r="AG254" s="71">
        <v>0.98955028923306598</v>
      </c>
      <c r="AH254" s="71">
        <v>0.98525559008103303</v>
      </c>
      <c r="AI254" s="73">
        <v>0.92</v>
      </c>
      <c r="AJ254" s="71">
        <v>0.98034324486130497</v>
      </c>
      <c r="AK254" s="71">
        <v>0.98510673506536495</v>
      </c>
      <c r="AL254" s="71">
        <v>0.98503521126760596</v>
      </c>
      <c r="AM254" s="71">
        <v>0.98941515570529903</v>
      </c>
      <c r="AN254" s="70">
        <v>0.99</v>
      </c>
      <c r="AO254" s="75">
        <v>1</v>
      </c>
      <c r="AP254" s="75">
        <v>1</v>
      </c>
      <c r="AQ254" s="75">
        <v>1</v>
      </c>
      <c r="AR254" s="75">
        <v>1</v>
      </c>
      <c r="AS254" s="95">
        <v>9.2228725701943806E-2</v>
      </c>
      <c r="AT254" s="79">
        <v>0.18518518518518501</v>
      </c>
      <c r="AU254" s="79">
        <v>0.22222222222222199</v>
      </c>
      <c r="AV254" s="79">
        <v>0.28571428571428598</v>
      </c>
      <c r="AW254" s="79">
        <v>0.125730994152047</v>
      </c>
      <c r="AX254" s="56"/>
      <c r="AY254" s="54"/>
    </row>
    <row r="255" spans="1:51">
      <c r="A255" s="53"/>
      <c r="B255" s="56"/>
      <c r="C255" s="99" t="s">
        <v>255</v>
      </c>
      <c r="D255" s="230" t="s">
        <v>1759</v>
      </c>
      <c r="E255" s="68" t="s">
        <v>256</v>
      </c>
      <c r="F255" s="100" t="s">
        <v>274</v>
      </c>
      <c r="G255" s="100" t="s">
        <v>274</v>
      </c>
      <c r="H255" s="100" t="s">
        <v>274</v>
      </c>
      <c r="I255" s="100" t="s">
        <v>274</v>
      </c>
      <c r="J255" s="70">
        <v>0.9</v>
      </c>
      <c r="K255" s="71" t="s">
        <v>1710</v>
      </c>
      <c r="L255" s="71" t="s">
        <v>1710</v>
      </c>
      <c r="M255" s="72" t="s">
        <v>1710</v>
      </c>
      <c r="N255" s="71" t="s">
        <v>1710</v>
      </c>
      <c r="O255" s="73">
        <v>0.9</v>
      </c>
      <c r="P255" s="71" t="s">
        <v>1710</v>
      </c>
      <c r="Q255" s="71" t="s">
        <v>1710</v>
      </c>
      <c r="R255" s="71" t="s">
        <v>1710</v>
      </c>
      <c r="S255" s="71" t="s">
        <v>1710</v>
      </c>
      <c r="T255" s="73">
        <v>0.9</v>
      </c>
      <c r="U255" s="71" t="s">
        <v>1710</v>
      </c>
      <c r="V255" s="71" t="s">
        <v>1710</v>
      </c>
      <c r="W255" s="71" t="s">
        <v>1710</v>
      </c>
      <c r="X255" s="71" t="s">
        <v>1710</v>
      </c>
      <c r="Y255" s="73">
        <v>0.92</v>
      </c>
      <c r="Z255" s="73" t="s">
        <v>1710</v>
      </c>
      <c r="AA255" s="73" t="s">
        <v>1710</v>
      </c>
      <c r="AB255" s="73" t="s">
        <v>1710</v>
      </c>
      <c r="AC255" s="73" t="s">
        <v>1710</v>
      </c>
      <c r="AD255" s="73">
        <v>0.92</v>
      </c>
      <c r="AE255" s="71">
        <v>1</v>
      </c>
      <c r="AF255" s="71">
        <v>1</v>
      </c>
      <c r="AG255" s="71">
        <v>0.99853587115666198</v>
      </c>
      <c r="AH255" s="71">
        <v>0.99964780464897895</v>
      </c>
      <c r="AI255" s="73">
        <v>0.92</v>
      </c>
      <c r="AJ255" s="71" t="s">
        <v>1710</v>
      </c>
      <c r="AK255" s="71" t="s">
        <v>1710</v>
      </c>
      <c r="AL255" s="71" t="s">
        <v>1710</v>
      </c>
      <c r="AM255" s="71">
        <v>1</v>
      </c>
      <c r="AN255" s="70">
        <v>0.99</v>
      </c>
      <c r="AO255" s="75">
        <v>1</v>
      </c>
      <c r="AP255" s="75">
        <v>1</v>
      </c>
      <c r="AQ255" s="75" t="s">
        <v>1710</v>
      </c>
      <c r="AR255" s="75">
        <v>1</v>
      </c>
      <c r="AS255" s="95">
        <v>9.2228725701943806E-2</v>
      </c>
      <c r="AT255" s="79" t="s">
        <v>1710</v>
      </c>
      <c r="AU255" s="79" t="s">
        <v>1710</v>
      </c>
      <c r="AV255" s="79" t="s">
        <v>1710</v>
      </c>
      <c r="AW255" s="79" t="s">
        <v>1710</v>
      </c>
      <c r="AX255" s="56"/>
      <c r="AY255" s="54"/>
    </row>
    <row r="256" spans="1:51">
      <c r="A256" s="53"/>
      <c r="B256" s="56"/>
      <c r="C256" s="99" t="s">
        <v>255</v>
      </c>
      <c r="D256" s="230" t="s">
        <v>1759</v>
      </c>
      <c r="E256" s="68" t="s">
        <v>256</v>
      </c>
      <c r="F256" s="100" t="s">
        <v>275</v>
      </c>
      <c r="G256" s="100" t="s">
        <v>275</v>
      </c>
      <c r="H256" s="100" t="s">
        <v>275</v>
      </c>
      <c r="I256" s="100" t="s">
        <v>275</v>
      </c>
      <c r="J256" s="70">
        <v>0.9</v>
      </c>
      <c r="K256" s="71" t="s">
        <v>1710</v>
      </c>
      <c r="L256" s="71" t="s">
        <v>1710</v>
      </c>
      <c r="M256" s="72" t="s">
        <v>1710</v>
      </c>
      <c r="N256" s="71" t="s">
        <v>1710</v>
      </c>
      <c r="O256" s="73">
        <v>0.9</v>
      </c>
      <c r="P256" s="71" t="s">
        <v>1710</v>
      </c>
      <c r="Q256" s="71" t="s">
        <v>1710</v>
      </c>
      <c r="R256" s="71" t="s">
        <v>1710</v>
      </c>
      <c r="S256" s="71">
        <v>0</v>
      </c>
      <c r="T256" s="73">
        <v>0.9</v>
      </c>
      <c r="U256" s="71" t="s">
        <v>1710</v>
      </c>
      <c r="V256" s="71" t="s">
        <v>1710</v>
      </c>
      <c r="W256" s="71" t="s">
        <v>1710</v>
      </c>
      <c r="X256" s="71">
        <v>1</v>
      </c>
      <c r="Y256" s="73">
        <v>0.92</v>
      </c>
      <c r="Z256" s="73" t="s">
        <v>1710</v>
      </c>
      <c r="AA256" s="73" t="s">
        <v>1710</v>
      </c>
      <c r="AB256" s="73" t="s">
        <v>1710</v>
      </c>
      <c r="AC256" s="73" t="s">
        <v>1710</v>
      </c>
      <c r="AD256" s="73">
        <v>0.92</v>
      </c>
      <c r="AE256" s="71">
        <v>0.98015873015873001</v>
      </c>
      <c r="AF256" s="71">
        <v>1</v>
      </c>
      <c r="AG256" s="71">
        <v>1</v>
      </c>
      <c r="AH256" s="71">
        <v>0.98331907613344705</v>
      </c>
      <c r="AI256" s="73">
        <v>0.92</v>
      </c>
      <c r="AJ256" s="71" t="s">
        <v>1710</v>
      </c>
      <c r="AK256" s="71" t="s">
        <v>1710</v>
      </c>
      <c r="AL256" s="71" t="s">
        <v>1710</v>
      </c>
      <c r="AM256" s="71">
        <v>1</v>
      </c>
      <c r="AN256" s="70">
        <v>0.99</v>
      </c>
      <c r="AO256" s="75" t="s">
        <v>1710</v>
      </c>
      <c r="AP256" s="75" t="s">
        <v>1710</v>
      </c>
      <c r="AQ256" s="75" t="s">
        <v>1710</v>
      </c>
      <c r="AR256" s="75">
        <v>1</v>
      </c>
      <c r="AS256" s="95">
        <v>9.2228725701943806E-2</v>
      </c>
      <c r="AT256" s="79" t="s">
        <v>1710</v>
      </c>
      <c r="AU256" s="79" t="s">
        <v>1710</v>
      </c>
      <c r="AV256" s="79" t="s">
        <v>1710</v>
      </c>
      <c r="AW256" s="79" t="s">
        <v>1710</v>
      </c>
      <c r="AX256" s="56"/>
      <c r="AY256" s="54"/>
    </row>
    <row r="257" spans="1:51">
      <c r="A257" s="53"/>
      <c r="B257" s="56"/>
      <c r="C257" s="99" t="s">
        <v>255</v>
      </c>
      <c r="D257" s="230" t="s">
        <v>1757</v>
      </c>
      <c r="E257" s="68" t="s">
        <v>256</v>
      </c>
      <c r="F257" s="100" t="s">
        <v>276</v>
      </c>
      <c r="G257" s="100" t="s">
        <v>276</v>
      </c>
      <c r="H257" s="100" t="s">
        <v>276</v>
      </c>
      <c r="I257" s="100" t="s">
        <v>276</v>
      </c>
      <c r="J257" s="70">
        <v>0.9</v>
      </c>
      <c r="K257" s="71">
        <v>0.8</v>
      </c>
      <c r="L257" s="71">
        <v>0.7</v>
      </c>
      <c r="M257" s="72">
        <v>0.76666666666666705</v>
      </c>
      <c r="N257" s="71">
        <v>0.77197802197802201</v>
      </c>
      <c r="O257" s="73">
        <v>0.9</v>
      </c>
      <c r="P257" s="71">
        <v>0.93982002249718799</v>
      </c>
      <c r="Q257" s="71">
        <v>0.92468389224848802</v>
      </c>
      <c r="R257" s="71">
        <v>0.91658536585365902</v>
      </c>
      <c r="S257" s="71">
        <v>0.926952141057935</v>
      </c>
      <c r="T257" s="73">
        <v>0.9</v>
      </c>
      <c r="U257" s="71">
        <v>0.92913385826771699</v>
      </c>
      <c r="V257" s="71">
        <v>0.87520615722924699</v>
      </c>
      <c r="W257" s="71">
        <v>0.89756097560975601</v>
      </c>
      <c r="X257" s="71">
        <v>0.91435768261964701</v>
      </c>
      <c r="Y257" s="73">
        <v>0.92</v>
      </c>
      <c r="Z257" s="73">
        <v>0.93225524475524502</v>
      </c>
      <c r="AA257" s="73">
        <v>0.91657977059436901</v>
      </c>
      <c r="AB257" s="73">
        <v>0.91453488372092995</v>
      </c>
      <c r="AC257" s="73">
        <v>0.935914778491715</v>
      </c>
      <c r="AD257" s="73">
        <v>0.92</v>
      </c>
      <c r="AE257" s="71">
        <v>0.99950096242959996</v>
      </c>
      <c r="AF257" s="71">
        <v>0.99910233393177705</v>
      </c>
      <c r="AG257" s="71">
        <v>0.99816491801970697</v>
      </c>
      <c r="AH257" s="71">
        <v>0.995578176891741</v>
      </c>
      <c r="AI257" s="73">
        <v>0.92</v>
      </c>
      <c r="AJ257" s="71">
        <v>0.94490900147565204</v>
      </c>
      <c r="AK257" s="71">
        <v>0.94612068965517204</v>
      </c>
      <c r="AL257" s="71">
        <v>0.94059931052771195</v>
      </c>
      <c r="AM257" s="71">
        <v>0.95574318291967497</v>
      </c>
      <c r="AN257" s="70">
        <v>0.99</v>
      </c>
      <c r="AO257" s="75">
        <v>1</v>
      </c>
      <c r="AP257" s="75">
        <v>1</v>
      </c>
      <c r="AQ257" s="75">
        <v>1</v>
      </c>
      <c r="AR257" s="75">
        <v>1</v>
      </c>
      <c r="AS257" s="95">
        <v>9.2228725701943806E-2</v>
      </c>
      <c r="AT257" s="79">
        <v>0.266666666666667</v>
      </c>
      <c r="AU257" s="79">
        <v>0.157894736842105</v>
      </c>
      <c r="AV257" s="79">
        <v>6.6666666666666693E-2</v>
      </c>
      <c r="AW257" s="79">
        <v>9.6590909090909102E-2</v>
      </c>
      <c r="AX257" s="56"/>
      <c r="AY257" s="54"/>
    </row>
    <row r="258" spans="1:51">
      <c r="A258" s="53"/>
      <c r="B258" s="56"/>
      <c r="C258" s="99" t="s">
        <v>255</v>
      </c>
      <c r="D258" s="230" t="s">
        <v>1757</v>
      </c>
      <c r="E258" s="68" t="s">
        <v>256</v>
      </c>
      <c r="F258" s="100" t="s">
        <v>277</v>
      </c>
      <c r="G258" s="100" t="s">
        <v>277</v>
      </c>
      <c r="H258" s="100" t="s">
        <v>277</v>
      </c>
      <c r="I258" s="100" t="s">
        <v>277</v>
      </c>
      <c r="J258" s="70">
        <v>0.9</v>
      </c>
      <c r="K258" s="71">
        <v>0.98</v>
      </c>
      <c r="L258" s="71">
        <v>1</v>
      </c>
      <c r="M258" s="72">
        <v>0.97959183673469397</v>
      </c>
      <c r="N258" s="71">
        <v>0.98014440433213001</v>
      </c>
      <c r="O258" s="73">
        <v>0.9</v>
      </c>
      <c r="P258" s="71">
        <v>0.928010471204188</v>
      </c>
      <c r="Q258" s="71">
        <v>0.94437027147307495</v>
      </c>
      <c r="R258" s="71">
        <v>0.95964979063570599</v>
      </c>
      <c r="S258" s="71">
        <v>0.95139428168019802</v>
      </c>
      <c r="T258" s="73">
        <v>0.9</v>
      </c>
      <c r="U258" s="71">
        <v>0.899214659685864</v>
      </c>
      <c r="V258" s="71">
        <v>0.92033822874944404</v>
      </c>
      <c r="W258" s="71">
        <v>0.923867529501332</v>
      </c>
      <c r="X258" s="71">
        <v>0.92220261207200804</v>
      </c>
      <c r="Y258" s="73">
        <v>0.92</v>
      </c>
      <c r="Z258" s="73">
        <v>0.92751235584843505</v>
      </c>
      <c r="AA258" s="73">
        <v>0.93829401088929199</v>
      </c>
      <c r="AB258" s="73">
        <v>0.95041666666666702</v>
      </c>
      <c r="AC258" s="73">
        <v>0.95019125570682395</v>
      </c>
      <c r="AD258" s="73">
        <v>0.92</v>
      </c>
      <c r="AE258" s="71">
        <v>0.98510470516078197</v>
      </c>
      <c r="AF258" s="71">
        <v>0.89762150982419897</v>
      </c>
      <c r="AG258" s="71">
        <v>0.99922648514851498</v>
      </c>
      <c r="AH258" s="71">
        <v>0.98620127507205002</v>
      </c>
      <c r="AI258" s="73">
        <v>0.92</v>
      </c>
      <c r="AJ258" s="71">
        <v>0.93414634146341502</v>
      </c>
      <c r="AK258" s="71">
        <v>0.96208955223880599</v>
      </c>
      <c r="AL258" s="71">
        <v>0.96260194947284705</v>
      </c>
      <c r="AM258" s="71">
        <v>0.96617540927564904</v>
      </c>
      <c r="AN258" s="70">
        <v>0.99</v>
      </c>
      <c r="AO258" s="75">
        <v>1</v>
      </c>
      <c r="AP258" s="75">
        <v>1</v>
      </c>
      <c r="AQ258" s="75">
        <v>1</v>
      </c>
      <c r="AR258" s="75">
        <v>1</v>
      </c>
      <c r="AS258" s="95">
        <v>9.2228725701943806E-2</v>
      </c>
      <c r="AT258" s="79">
        <v>0</v>
      </c>
      <c r="AU258" s="79">
        <v>0.2</v>
      </c>
      <c r="AV258" s="79">
        <v>0</v>
      </c>
      <c r="AW258" s="79">
        <v>8.9655172413793102E-2</v>
      </c>
      <c r="AX258" s="56"/>
      <c r="AY258" s="54"/>
    </row>
    <row r="259" spans="1:51">
      <c r="A259" s="53"/>
      <c r="B259" s="56"/>
      <c r="C259" s="99" t="s">
        <v>255</v>
      </c>
      <c r="D259" s="230" t="s">
        <v>1759</v>
      </c>
      <c r="E259" s="68" t="s">
        <v>256</v>
      </c>
      <c r="F259" s="100" t="s">
        <v>278</v>
      </c>
      <c r="G259" s="100" t="s">
        <v>278</v>
      </c>
      <c r="H259" s="100" t="s">
        <v>278</v>
      </c>
      <c r="I259" s="100" t="s">
        <v>278</v>
      </c>
      <c r="J259" s="70">
        <v>0.9</v>
      </c>
      <c r="K259" s="71" t="s">
        <v>1710</v>
      </c>
      <c r="L259" s="71" t="s">
        <v>1710</v>
      </c>
      <c r="M259" s="72" t="s">
        <v>1710</v>
      </c>
      <c r="N259" s="71" t="s">
        <v>1710</v>
      </c>
      <c r="O259" s="73">
        <v>0.9</v>
      </c>
      <c r="P259" s="71">
        <v>0.98571428571428599</v>
      </c>
      <c r="Q259" s="71">
        <v>0.92638036809815905</v>
      </c>
      <c r="R259" s="71">
        <v>0.96551724137931005</v>
      </c>
      <c r="S259" s="71">
        <v>0.97392529950669504</v>
      </c>
      <c r="T259" s="73">
        <v>0.9</v>
      </c>
      <c r="U259" s="71">
        <v>0.97857142857142898</v>
      </c>
      <c r="V259" s="71">
        <v>0.94478527607361995</v>
      </c>
      <c r="W259" s="71">
        <v>0.97931034482758605</v>
      </c>
      <c r="X259" s="71">
        <v>0.95983086680761098</v>
      </c>
      <c r="Y259" s="73">
        <v>0.92</v>
      </c>
      <c r="Z259" s="73">
        <v>1</v>
      </c>
      <c r="AA259" s="73">
        <v>1</v>
      </c>
      <c r="AB259" s="73">
        <v>0.96666666666666701</v>
      </c>
      <c r="AC259" s="73">
        <v>0.95911413969335602</v>
      </c>
      <c r="AD259" s="73">
        <v>0.92</v>
      </c>
      <c r="AE259" s="71">
        <v>0.99784902181706403</v>
      </c>
      <c r="AF259" s="71">
        <v>0.99838536060279903</v>
      </c>
      <c r="AG259" s="71">
        <v>0.997559487492373</v>
      </c>
      <c r="AH259" s="71">
        <v>0.99888881267576701</v>
      </c>
      <c r="AI259" s="73">
        <v>0.92</v>
      </c>
      <c r="AJ259" s="71">
        <v>0.98695652173912995</v>
      </c>
      <c r="AK259" s="71">
        <v>0.95833333333333304</v>
      </c>
      <c r="AL259" s="71">
        <v>0.97560975609756095</v>
      </c>
      <c r="AM259" s="71">
        <v>0.97610751617720304</v>
      </c>
      <c r="AN259" s="70">
        <v>0.99</v>
      </c>
      <c r="AO259" s="75">
        <v>1</v>
      </c>
      <c r="AP259" s="75">
        <v>1</v>
      </c>
      <c r="AQ259" s="75">
        <v>1</v>
      </c>
      <c r="AR259" s="75">
        <v>1</v>
      </c>
      <c r="AS259" s="95">
        <v>9.2228725701943806E-2</v>
      </c>
      <c r="AT259" s="79" t="s">
        <v>1710</v>
      </c>
      <c r="AU259" s="79" t="s">
        <v>1710</v>
      </c>
      <c r="AV259" s="79" t="s">
        <v>1710</v>
      </c>
      <c r="AW259" s="79" t="s">
        <v>1710</v>
      </c>
      <c r="AX259" s="56"/>
      <c r="AY259" s="54"/>
    </row>
    <row r="260" spans="1:51">
      <c r="A260" s="53"/>
      <c r="B260" s="56"/>
      <c r="C260" s="99" t="s">
        <v>255</v>
      </c>
      <c r="D260" s="230" t="s">
        <v>1759</v>
      </c>
      <c r="E260" s="68" t="s">
        <v>256</v>
      </c>
      <c r="F260" s="100" t="s">
        <v>279</v>
      </c>
      <c r="G260" s="100" t="s">
        <v>279</v>
      </c>
      <c r="H260" s="100" t="s">
        <v>279</v>
      </c>
      <c r="I260" s="100" t="s">
        <v>279</v>
      </c>
      <c r="J260" s="70">
        <v>0.9</v>
      </c>
      <c r="K260" s="71" t="s">
        <v>1710</v>
      </c>
      <c r="L260" s="71" t="s">
        <v>1710</v>
      </c>
      <c r="M260" s="72" t="s">
        <v>1710</v>
      </c>
      <c r="N260" s="71" t="s">
        <v>1710</v>
      </c>
      <c r="O260" s="73">
        <v>0.9</v>
      </c>
      <c r="P260" s="71" t="s">
        <v>1710</v>
      </c>
      <c r="Q260" s="71" t="s">
        <v>1710</v>
      </c>
      <c r="R260" s="71">
        <v>0</v>
      </c>
      <c r="S260" s="71">
        <v>0</v>
      </c>
      <c r="T260" s="73">
        <v>0.9</v>
      </c>
      <c r="U260" s="71" t="s">
        <v>1710</v>
      </c>
      <c r="V260" s="71" t="s">
        <v>1710</v>
      </c>
      <c r="W260" s="71">
        <v>0</v>
      </c>
      <c r="X260" s="71">
        <v>0</v>
      </c>
      <c r="Y260" s="73">
        <v>0.92</v>
      </c>
      <c r="Z260" s="73" t="s">
        <v>1710</v>
      </c>
      <c r="AA260" s="73" t="s">
        <v>1710</v>
      </c>
      <c r="AB260" s="73" t="s">
        <v>1710</v>
      </c>
      <c r="AC260" s="73" t="s">
        <v>1710</v>
      </c>
      <c r="AD260" s="73">
        <v>0.92</v>
      </c>
      <c r="AE260" s="71">
        <v>1</v>
      </c>
      <c r="AF260" s="71">
        <v>0.99923722349351596</v>
      </c>
      <c r="AG260" s="71">
        <v>1</v>
      </c>
      <c r="AH260" s="71">
        <v>0.99993516597510401</v>
      </c>
      <c r="AI260" s="73">
        <v>0.92</v>
      </c>
      <c r="AJ260" s="71" t="s">
        <v>1710</v>
      </c>
      <c r="AK260" s="71" t="s">
        <v>1710</v>
      </c>
      <c r="AL260" s="71">
        <v>0</v>
      </c>
      <c r="AM260" s="71">
        <v>0</v>
      </c>
      <c r="AN260" s="70">
        <v>0.99</v>
      </c>
      <c r="AO260" s="75">
        <v>1</v>
      </c>
      <c r="AP260" s="75">
        <v>1</v>
      </c>
      <c r="AQ260" s="75">
        <v>1</v>
      </c>
      <c r="AR260" s="75">
        <v>1</v>
      </c>
      <c r="AS260" s="95">
        <v>9.2228725701943806E-2</v>
      </c>
      <c r="AT260" s="79">
        <v>0</v>
      </c>
      <c r="AU260" s="79">
        <v>0</v>
      </c>
      <c r="AV260" s="79" t="s">
        <v>1710</v>
      </c>
      <c r="AW260" s="79">
        <v>0</v>
      </c>
      <c r="AX260" s="56"/>
      <c r="AY260" s="54"/>
    </row>
    <row r="261" spans="1:51">
      <c r="A261" s="53"/>
      <c r="B261" s="56"/>
      <c r="C261" s="99" t="s">
        <v>255</v>
      </c>
      <c r="D261" s="230" t="s">
        <v>1759</v>
      </c>
      <c r="E261" s="68" t="s">
        <v>256</v>
      </c>
      <c r="F261" s="100" t="s">
        <v>280</v>
      </c>
      <c r="G261" s="100" t="s">
        <v>280</v>
      </c>
      <c r="H261" s="100" t="s">
        <v>280</v>
      </c>
      <c r="I261" s="100" t="s">
        <v>280</v>
      </c>
      <c r="J261" s="70">
        <v>0.9</v>
      </c>
      <c r="K261" s="71" t="s">
        <v>1710</v>
      </c>
      <c r="L261" s="71" t="s">
        <v>1710</v>
      </c>
      <c r="M261" s="72" t="s">
        <v>1710</v>
      </c>
      <c r="N261" s="71" t="s">
        <v>1710</v>
      </c>
      <c r="O261" s="73">
        <v>0.9</v>
      </c>
      <c r="P261" s="71">
        <v>0.6</v>
      </c>
      <c r="Q261" s="71">
        <v>1</v>
      </c>
      <c r="R261" s="71">
        <v>0.66666666666666696</v>
      </c>
      <c r="S261" s="71">
        <v>0.66129032258064502</v>
      </c>
      <c r="T261" s="73">
        <v>0.9</v>
      </c>
      <c r="U261" s="71">
        <v>0.6</v>
      </c>
      <c r="V261" s="71">
        <v>0.5</v>
      </c>
      <c r="W261" s="71">
        <v>0.77777777777777801</v>
      </c>
      <c r="X261" s="71">
        <v>0.87096774193548399</v>
      </c>
      <c r="Y261" s="73">
        <v>0.92</v>
      </c>
      <c r="Z261" s="73" t="s">
        <v>1710</v>
      </c>
      <c r="AA261" s="73" t="s">
        <v>1710</v>
      </c>
      <c r="AB261" s="73">
        <v>0.5</v>
      </c>
      <c r="AC261" s="73">
        <v>0.52941176470588203</v>
      </c>
      <c r="AD261" s="73">
        <v>0.92</v>
      </c>
      <c r="AE261" s="71">
        <v>0.993753646566222</v>
      </c>
      <c r="AF261" s="71">
        <v>0.96597529713353503</v>
      </c>
      <c r="AG261" s="71">
        <v>0.99981057018374697</v>
      </c>
      <c r="AH261" s="71">
        <v>0.91793633014399301</v>
      </c>
      <c r="AI261" s="73">
        <v>0.92</v>
      </c>
      <c r="AJ261" s="71">
        <v>0.57142857142857095</v>
      </c>
      <c r="AK261" s="71">
        <v>0.625</v>
      </c>
      <c r="AL261" s="71">
        <v>0.78571428571428603</v>
      </c>
      <c r="AM261" s="71">
        <v>0.82</v>
      </c>
      <c r="AN261" s="70">
        <v>0.99</v>
      </c>
      <c r="AO261" s="75">
        <v>1</v>
      </c>
      <c r="AP261" s="75">
        <v>1</v>
      </c>
      <c r="AQ261" s="75">
        <v>1</v>
      </c>
      <c r="AR261" s="75">
        <v>1</v>
      </c>
      <c r="AS261" s="95">
        <v>9.2228725701943806E-2</v>
      </c>
      <c r="AT261" s="79" t="s">
        <v>1710</v>
      </c>
      <c r="AU261" s="79" t="s">
        <v>1710</v>
      </c>
      <c r="AV261" s="79" t="s">
        <v>1710</v>
      </c>
      <c r="AW261" s="79">
        <v>0</v>
      </c>
      <c r="AX261" s="56"/>
      <c r="AY261" s="54"/>
    </row>
    <row r="262" spans="1:51">
      <c r="A262" s="53"/>
      <c r="B262" s="56"/>
      <c r="C262" s="99" t="s">
        <v>255</v>
      </c>
      <c r="D262" s="230" t="s">
        <v>1759</v>
      </c>
      <c r="E262" s="68" t="s">
        <v>256</v>
      </c>
      <c r="F262" s="100" t="s">
        <v>281</v>
      </c>
      <c r="G262" s="100" t="s">
        <v>281</v>
      </c>
      <c r="H262" s="100" t="s">
        <v>281</v>
      </c>
      <c r="I262" s="100" t="s">
        <v>281</v>
      </c>
      <c r="J262" s="70">
        <v>0.9</v>
      </c>
      <c r="K262" s="71" t="s">
        <v>1710</v>
      </c>
      <c r="L262" s="71" t="s">
        <v>1710</v>
      </c>
      <c r="M262" s="72" t="s">
        <v>1710</v>
      </c>
      <c r="N262" s="71" t="s">
        <v>1710</v>
      </c>
      <c r="O262" s="73">
        <v>0.9</v>
      </c>
      <c r="P262" s="71">
        <v>0</v>
      </c>
      <c r="Q262" s="71" t="s">
        <v>1710</v>
      </c>
      <c r="R262" s="71" t="s">
        <v>1710</v>
      </c>
      <c r="S262" s="71">
        <v>0</v>
      </c>
      <c r="T262" s="73">
        <v>0.9</v>
      </c>
      <c r="U262" s="71">
        <v>0</v>
      </c>
      <c r="V262" s="71" t="s">
        <v>1710</v>
      </c>
      <c r="W262" s="71" t="s">
        <v>1710</v>
      </c>
      <c r="X262" s="71">
        <v>0.66666666666666696</v>
      </c>
      <c r="Y262" s="73">
        <v>0.92</v>
      </c>
      <c r="Z262" s="73" t="s">
        <v>1710</v>
      </c>
      <c r="AA262" s="73" t="s">
        <v>1710</v>
      </c>
      <c r="AB262" s="73" t="s">
        <v>1710</v>
      </c>
      <c r="AC262" s="73" t="s">
        <v>1710</v>
      </c>
      <c r="AD262" s="73">
        <v>0.92</v>
      </c>
      <c r="AE262" s="71">
        <v>0.97995373939861197</v>
      </c>
      <c r="AF262" s="71">
        <v>0.819407008086253</v>
      </c>
      <c r="AG262" s="71">
        <v>0.99655568312284704</v>
      </c>
      <c r="AH262" s="71">
        <v>0.97026372443487596</v>
      </c>
      <c r="AI262" s="73">
        <v>0.92</v>
      </c>
      <c r="AJ262" s="71">
        <v>0</v>
      </c>
      <c r="AK262" s="71" t="s">
        <v>1710</v>
      </c>
      <c r="AL262" s="71" t="s">
        <v>1710</v>
      </c>
      <c r="AM262" s="71">
        <v>0.66666666666666696</v>
      </c>
      <c r="AN262" s="70">
        <v>0.99</v>
      </c>
      <c r="AO262" s="75">
        <v>1</v>
      </c>
      <c r="AP262" s="75">
        <v>1</v>
      </c>
      <c r="AQ262" s="75">
        <v>1</v>
      </c>
      <c r="AR262" s="75">
        <v>1</v>
      </c>
      <c r="AS262" s="95">
        <v>9.2228725701943806E-2</v>
      </c>
      <c r="AT262" s="79" t="s">
        <v>1710</v>
      </c>
      <c r="AU262" s="79" t="s">
        <v>1710</v>
      </c>
      <c r="AV262" s="79" t="s">
        <v>1710</v>
      </c>
      <c r="AW262" s="79" t="s">
        <v>1710</v>
      </c>
      <c r="AX262" s="56"/>
      <c r="AY262" s="54"/>
    </row>
    <row r="263" spans="1:51">
      <c r="A263" s="53"/>
      <c r="B263" s="56"/>
      <c r="C263" s="99" t="s">
        <v>255</v>
      </c>
      <c r="D263" s="230" t="s">
        <v>1759</v>
      </c>
      <c r="E263" s="68" t="s">
        <v>256</v>
      </c>
      <c r="F263" s="100" t="s">
        <v>282</v>
      </c>
      <c r="G263" s="100" t="s">
        <v>282</v>
      </c>
      <c r="H263" s="100" t="s">
        <v>282</v>
      </c>
      <c r="I263" s="100" t="s">
        <v>282</v>
      </c>
      <c r="J263" s="70">
        <v>0.9</v>
      </c>
      <c r="K263" s="71" t="s">
        <v>1710</v>
      </c>
      <c r="L263" s="71" t="s">
        <v>1710</v>
      </c>
      <c r="M263" s="72" t="s">
        <v>1710</v>
      </c>
      <c r="N263" s="71" t="s">
        <v>1710</v>
      </c>
      <c r="O263" s="73">
        <v>0.9</v>
      </c>
      <c r="P263" s="71" t="s">
        <v>1710</v>
      </c>
      <c r="Q263" s="71" t="s">
        <v>1710</v>
      </c>
      <c r="R263" s="71" t="s">
        <v>1710</v>
      </c>
      <c r="S263" s="71">
        <v>0</v>
      </c>
      <c r="T263" s="73">
        <v>0.9</v>
      </c>
      <c r="U263" s="71" t="s">
        <v>1710</v>
      </c>
      <c r="V263" s="71" t="s">
        <v>1710</v>
      </c>
      <c r="W263" s="71" t="s">
        <v>1710</v>
      </c>
      <c r="X263" s="71">
        <v>0.5</v>
      </c>
      <c r="Y263" s="73">
        <v>0.92</v>
      </c>
      <c r="Z263" s="73" t="s">
        <v>1710</v>
      </c>
      <c r="AA263" s="73" t="s">
        <v>1710</v>
      </c>
      <c r="AB263" s="73" t="s">
        <v>1710</v>
      </c>
      <c r="AC263" s="73" t="s">
        <v>1710</v>
      </c>
      <c r="AD263" s="73">
        <v>0.92</v>
      </c>
      <c r="AE263" s="71">
        <v>0.99887682515911602</v>
      </c>
      <c r="AF263" s="71">
        <v>0.908791208791209</v>
      </c>
      <c r="AG263" s="71">
        <v>0.87261146496815301</v>
      </c>
      <c r="AH263" s="71">
        <v>0.95632612252317795</v>
      </c>
      <c r="AI263" s="73">
        <v>0.92</v>
      </c>
      <c r="AJ263" s="71" t="s">
        <v>1710</v>
      </c>
      <c r="AK263" s="71">
        <v>0</v>
      </c>
      <c r="AL263" s="71" t="s">
        <v>1710</v>
      </c>
      <c r="AM263" s="71">
        <v>0.57142857142857095</v>
      </c>
      <c r="AN263" s="70">
        <v>0.99</v>
      </c>
      <c r="AO263" s="75">
        <v>1</v>
      </c>
      <c r="AP263" s="75" t="s">
        <v>1710</v>
      </c>
      <c r="AQ263" s="75" t="s">
        <v>1710</v>
      </c>
      <c r="AR263" s="75">
        <v>1</v>
      </c>
      <c r="AS263" s="95">
        <v>9.2228725701943806E-2</v>
      </c>
      <c r="AT263" s="79" t="s">
        <v>1710</v>
      </c>
      <c r="AU263" s="79" t="s">
        <v>1710</v>
      </c>
      <c r="AV263" s="79" t="s">
        <v>1710</v>
      </c>
      <c r="AW263" s="79" t="s">
        <v>1710</v>
      </c>
      <c r="AX263" s="56"/>
      <c r="AY263" s="54"/>
    </row>
    <row r="264" spans="1:51">
      <c r="A264" s="53"/>
      <c r="B264" s="56"/>
      <c r="C264" s="99" t="s">
        <v>255</v>
      </c>
      <c r="D264" s="230" t="s">
        <v>1759</v>
      </c>
      <c r="E264" s="68" t="s">
        <v>256</v>
      </c>
      <c r="F264" s="100" t="s">
        <v>283</v>
      </c>
      <c r="G264" s="100" t="s">
        <v>283</v>
      </c>
      <c r="H264" s="100" t="s">
        <v>283</v>
      </c>
      <c r="I264" s="100" t="s">
        <v>283</v>
      </c>
      <c r="J264" s="70">
        <v>0.9</v>
      </c>
      <c r="K264" s="71" t="s">
        <v>1710</v>
      </c>
      <c r="L264" s="71" t="s">
        <v>1710</v>
      </c>
      <c r="M264" s="72" t="s">
        <v>1710</v>
      </c>
      <c r="N264" s="71" t="s">
        <v>1710</v>
      </c>
      <c r="O264" s="73">
        <v>0.9</v>
      </c>
      <c r="P264" s="71">
        <v>0</v>
      </c>
      <c r="Q264" s="71" t="s">
        <v>1710</v>
      </c>
      <c r="R264" s="71">
        <v>0</v>
      </c>
      <c r="S264" s="71">
        <v>0</v>
      </c>
      <c r="T264" s="73">
        <v>0.9</v>
      </c>
      <c r="U264" s="71">
        <v>1</v>
      </c>
      <c r="V264" s="71" t="s">
        <v>1710</v>
      </c>
      <c r="W264" s="71">
        <v>1</v>
      </c>
      <c r="X264" s="71">
        <v>0.73333333333333295</v>
      </c>
      <c r="Y264" s="73">
        <v>0.92</v>
      </c>
      <c r="Z264" s="73" t="s">
        <v>1710</v>
      </c>
      <c r="AA264" s="73" t="s">
        <v>1710</v>
      </c>
      <c r="AB264" s="73" t="s">
        <v>1710</v>
      </c>
      <c r="AC264" s="73">
        <v>0.5</v>
      </c>
      <c r="AD264" s="73">
        <v>0.92</v>
      </c>
      <c r="AE264" s="71">
        <v>0.75701429327686598</v>
      </c>
      <c r="AF264" s="71">
        <v>0.873901878632248</v>
      </c>
      <c r="AG264" s="71">
        <v>0.99947848761408098</v>
      </c>
      <c r="AH264" s="71">
        <v>0.92120956568881396</v>
      </c>
      <c r="AI264" s="73">
        <v>0.92</v>
      </c>
      <c r="AJ264" s="71">
        <v>1</v>
      </c>
      <c r="AK264" s="71" t="s">
        <v>1710</v>
      </c>
      <c r="AL264" s="71">
        <v>1</v>
      </c>
      <c r="AM264" s="71">
        <v>0.72222222222222199</v>
      </c>
      <c r="AN264" s="70">
        <v>0.99</v>
      </c>
      <c r="AO264" s="75">
        <v>1</v>
      </c>
      <c r="AP264" s="75">
        <v>1</v>
      </c>
      <c r="AQ264" s="75" t="s">
        <v>1710</v>
      </c>
      <c r="AR264" s="75">
        <v>1</v>
      </c>
      <c r="AS264" s="95">
        <v>9.2228725701943806E-2</v>
      </c>
      <c r="AT264" s="79" t="s">
        <v>1710</v>
      </c>
      <c r="AU264" s="79" t="s">
        <v>1710</v>
      </c>
      <c r="AV264" s="79" t="s">
        <v>1710</v>
      </c>
      <c r="AW264" s="79" t="s">
        <v>1710</v>
      </c>
      <c r="AX264" s="56"/>
      <c r="AY264" s="54"/>
    </row>
    <row r="265" spans="1:51">
      <c r="A265" s="53"/>
      <c r="B265" s="56"/>
      <c r="C265" s="99" t="s">
        <v>255</v>
      </c>
      <c r="D265" s="230" t="s">
        <v>1759</v>
      </c>
      <c r="E265" s="68" t="s">
        <v>256</v>
      </c>
      <c r="F265" s="100" t="s">
        <v>284</v>
      </c>
      <c r="G265" s="100" t="s">
        <v>284</v>
      </c>
      <c r="H265" s="100" t="s">
        <v>284</v>
      </c>
      <c r="I265" s="100" t="s">
        <v>284</v>
      </c>
      <c r="J265" s="70">
        <v>0.9</v>
      </c>
      <c r="K265" s="71" t="s">
        <v>1710</v>
      </c>
      <c r="L265" s="71" t="s">
        <v>1710</v>
      </c>
      <c r="M265" s="72" t="s">
        <v>1710</v>
      </c>
      <c r="N265" s="71" t="s">
        <v>1710</v>
      </c>
      <c r="O265" s="73">
        <v>0.9</v>
      </c>
      <c r="P265" s="71">
        <v>1</v>
      </c>
      <c r="Q265" s="71">
        <v>0.25</v>
      </c>
      <c r="R265" s="71">
        <v>0</v>
      </c>
      <c r="S265" s="71">
        <v>0.27272727272727298</v>
      </c>
      <c r="T265" s="73">
        <v>0.9</v>
      </c>
      <c r="U265" s="71">
        <v>1</v>
      </c>
      <c r="V265" s="71">
        <v>0.5</v>
      </c>
      <c r="W265" s="71">
        <v>0</v>
      </c>
      <c r="X265" s="71">
        <v>0.36363636363636398</v>
      </c>
      <c r="Y265" s="73">
        <v>0.92</v>
      </c>
      <c r="Z265" s="73" t="s">
        <v>1710</v>
      </c>
      <c r="AA265" s="73" t="s">
        <v>1710</v>
      </c>
      <c r="AB265" s="73" t="s">
        <v>1710</v>
      </c>
      <c r="AC265" s="73" t="s">
        <v>1710</v>
      </c>
      <c r="AD265" s="73">
        <v>0.92</v>
      </c>
      <c r="AE265" s="71">
        <v>0.99713828802289395</v>
      </c>
      <c r="AF265" s="71">
        <v>0.99889296339860201</v>
      </c>
      <c r="AG265" s="71">
        <v>0.98518049398353402</v>
      </c>
      <c r="AH265" s="71">
        <v>0.98235985887887101</v>
      </c>
      <c r="AI265" s="73">
        <v>0.92</v>
      </c>
      <c r="AJ265" s="71">
        <v>0.5</v>
      </c>
      <c r="AK265" s="71">
        <v>0.4</v>
      </c>
      <c r="AL265" s="71">
        <v>0</v>
      </c>
      <c r="AM265" s="71">
        <v>0.42307692307692302</v>
      </c>
      <c r="AN265" s="70">
        <v>0.99</v>
      </c>
      <c r="AO265" s="75">
        <v>1</v>
      </c>
      <c r="AP265" s="75" t="s">
        <v>1710</v>
      </c>
      <c r="AQ265" s="75">
        <v>1</v>
      </c>
      <c r="AR265" s="75">
        <v>1</v>
      </c>
      <c r="AS265" s="95">
        <v>9.2228725701943806E-2</v>
      </c>
      <c r="AT265" s="79" t="s">
        <v>1710</v>
      </c>
      <c r="AU265" s="79" t="s">
        <v>1710</v>
      </c>
      <c r="AV265" s="79" t="s">
        <v>1710</v>
      </c>
      <c r="AW265" s="79" t="s">
        <v>1710</v>
      </c>
      <c r="AX265" s="56"/>
      <c r="AY265" s="54"/>
    </row>
    <row r="266" spans="1:51">
      <c r="A266" s="53"/>
      <c r="B266" s="56"/>
      <c r="C266" s="99" t="s">
        <v>255</v>
      </c>
      <c r="D266" s="230" t="s">
        <v>1759</v>
      </c>
      <c r="E266" s="68" t="s">
        <v>256</v>
      </c>
      <c r="F266" s="100" t="s">
        <v>285</v>
      </c>
      <c r="G266" s="100" t="s">
        <v>285</v>
      </c>
      <c r="H266" s="100" t="s">
        <v>285</v>
      </c>
      <c r="I266" s="100" t="s">
        <v>285</v>
      </c>
      <c r="J266" s="70">
        <v>0.9</v>
      </c>
      <c r="K266" s="71" t="s">
        <v>1710</v>
      </c>
      <c r="L266" s="71" t="s">
        <v>1710</v>
      </c>
      <c r="M266" s="72" t="s">
        <v>1710</v>
      </c>
      <c r="N266" s="71" t="s">
        <v>1710</v>
      </c>
      <c r="O266" s="73">
        <v>0.9</v>
      </c>
      <c r="P266" s="71" t="s">
        <v>1710</v>
      </c>
      <c r="Q266" s="71" t="s">
        <v>1710</v>
      </c>
      <c r="R266" s="71" t="s">
        <v>1710</v>
      </c>
      <c r="S266" s="71" t="s">
        <v>1710</v>
      </c>
      <c r="T266" s="73">
        <v>0.9</v>
      </c>
      <c r="U266" s="71" t="s">
        <v>1710</v>
      </c>
      <c r="V266" s="71" t="s">
        <v>1710</v>
      </c>
      <c r="W266" s="71" t="s">
        <v>1710</v>
      </c>
      <c r="X266" s="71" t="s">
        <v>1710</v>
      </c>
      <c r="Y266" s="73">
        <v>0.92</v>
      </c>
      <c r="Z266" s="73" t="s">
        <v>1710</v>
      </c>
      <c r="AA266" s="73" t="s">
        <v>1710</v>
      </c>
      <c r="AB266" s="73" t="s">
        <v>1710</v>
      </c>
      <c r="AC266" s="73" t="s">
        <v>1710</v>
      </c>
      <c r="AD266" s="73">
        <v>0.92</v>
      </c>
      <c r="AE266" s="71">
        <v>0.95229681978798597</v>
      </c>
      <c r="AF266" s="71">
        <v>1</v>
      </c>
      <c r="AG266" s="71">
        <v>1</v>
      </c>
      <c r="AH266" s="71">
        <v>0.97350183448838201</v>
      </c>
      <c r="AI266" s="73">
        <v>0.92</v>
      </c>
      <c r="AJ266" s="71" t="s">
        <v>1710</v>
      </c>
      <c r="AK266" s="71" t="s">
        <v>1710</v>
      </c>
      <c r="AL266" s="71" t="s">
        <v>1710</v>
      </c>
      <c r="AM266" s="71" t="s">
        <v>1710</v>
      </c>
      <c r="AN266" s="70">
        <v>0.99</v>
      </c>
      <c r="AO266" s="75" t="s">
        <v>1710</v>
      </c>
      <c r="AP266" s="75">
        <v>1</v>
      </c>
      <c r="AQ266" s="75">
        <v>1</v>
      </c>
      <c r="AR266" s="75">
        <v>1</v>
      </c>
      <c r="AS266" s="95">
        <v>9.2228725701943806E-2</v>
      </c>
      <c r="AT266" s="79" t="s">
        <v>1710</v>
      </c>
      <c r="AU266" s="79" t="s">
        <v>1710</v>
      </c>
      <c r="AV266" s="79" t="s">
        <v>1710</v>
      </c>
      <c r="AW266" s="79" t="s">
        <v>1710</v>
      </c>
      <c r="AX266" s="56"/>
      <c r="AY266" s="54"/>
    </row>
    <row r="267" spans="1:51">
      <c r="A267" s="53"/>
      <c r="B267" s="56"/>
      <c r="C267" s="99" t="s">
        <v>255</v>
      </c>
      <c r="D267" s="230" t="s">
        <v>1757</v>
      </c>
      <c r="E267" s="68" t="s">
        <v>256</v>
      </c>
      <c r="F267" s="100" t="s">
        <v>286</v>
      </c>
      <c r="G267" s="100" t="s">
        <v>286</v>
      </c>
      <c r="H267" s="100" t="s">
        <v>286</v>
      </c>
      <c r="I267" s="100" t="s">
        <v>286</v>
      </c>
      <c r="J267" s="70">
        <v>0.9</v>
      </c>
      <c r="K267" s="71">
        <v>0.96226415094339601</v>
      </c>
      <c r="L267" s="71">
        <v>1</v>
      </c>
      <c r="M267" s="72">
        <v>0.88888888888888895</v>
      </c>
      <c r="N267" s="71">
        <v>0.96124031007751898</v>
      </c>
      <c r="O267" s="73">
        <v>0.9</v>
      </c>
      <c r="P267" s="71">
        <v>0.96955060898781997</v>
      </c>
      <c r="Q267" s="71">
        <v>0.96378091872791505</v>
      </c>
      <c r="R267" s="71">
        <v>0.96178001076619402</v>
      </c>
      <c r="S267" s="71">
        <v>0.96410629408481197</v>
      </c>
      <c r="T267" s="73">
        <v>0.9</v>
      </c>
      <c r="U267" s="71">
        <v>0.93616127677446404</v>
      </c>
      <c r="V267" s="71">
        <v>0.93860424028268596</v>
      </c>
      <c r="W267" s="71">
        <v>0.94114480531132205</v>
      </c>
      <c r="X267" s="71">
        <v>0.93643329555641996</v>
      </c>
      <c r="Y267" s="73">
        <v>0.92</v>
      </c>
      <c r="Z267" s="73">
        <v>0.96600566572238</v>
      </c>
      <c r="AA267" s="73">
        <v>0.97379123361952102</v>
      </c>
      <c r="AB267" s="73">
        <v>0.97507136060894395</v>
      </c>
      <c r="AC267" s="73">
        <v>0.97311985040612403</v>
      </c>
      <c r="AD267" s="73">
        <v>0.92</v>
      </c>
      <c r="AE267" s="71">
        <v>0.89686625629546701</v>
      </c>
      <c r="AF267" s="71">
        <v>0.918394648829431</v>
      </c>
      <c r="AG267" s="71">
        <v>0.99609449418936902</v>
      </c>
      <c r="AH267" s="71">
        <v>0.95700644728662099</v>
      </c>
      <c r="AI267" s="73">
        <v>0.92</v>
      </c>
      <c r="AJ267" s="71">
        <v>0.97481334892506999</v>
      </c>
      <c r="AK267" s="71">
        <v>0.98353360035602999</v>
      </c>
      <c r="AL267" s="71">
        <v>0.983747345091883</v>
      </c>
      <c r="AM267" s="71">
        <v>0.98254777185375597</v>
      </c>
      <c r="AN267" s="70">
        <v>0.99</v>
      </c>
      <c r="AO267" s="75">
        <v>1</v>
      </c>
      <c r="AP267" s="75">
        <v>1</v>
      </c>
      <c r="AQ267" s="75">
        <v>1</v>
      </c>
      <c r="AR267" s="75">
        <v>1</v>
      </c>
      <c r="AS267" s="95">
        <v>9.2228725701943806E-2</v>
      </c>
      <c r="AT267" s="79">
        <v>4.3478260869565202E-2</v>
      </c>
      <c r="AU267" s="79">
        <v>0.17647058823529399</v>
      </c>
      <c r="AV267" s="79">
        <v>0.21212121212121199</v>
      </c>
      <c r="AW267" s="79">
        <v>0.112627986348123</v>
      </c>
      <c r="AX267" s="56"/>
      <c r="AY267" s="54"/>
    </row>
    <row r="268" spans="1:51">
      <c r="A268" s="53"/>
      <c r="B268" s="56"/>
      <c r="C268" s="99" t="s">
        <v>255</v>
      </c>
      <c r="D268" s="230" t="s">
        <v>1757</v>
      </c>
      <c r="E268" s="68" t="s">
        <v>256</v>
      </c>
      <c r="F268" s="100" t="s">
        <v>287</v>
      </c>
      <c r="G268" s="100" t="s">
        <v>287</v>
      </c>
      <c r="H268" s="100" t="s">
        <v>287</v>
      </c>
      <c r="I268" s="100" t="s">
        <v>287</v>
      </c>
      <c r="J268" s="70">
        <v>0.9</v>
      </c>
      <c r="K268" s="71">
        <v>0.92920353982300896</v>
      </c>
      <c r="L268" s="71">
        <v>0.87209302325581395</v>
      </c>
      <c r="M268" s="72">
        <v>0.92631578947368398</v>
      </c>
      <c r="N268" s="71">
        <v>0.922739244951712</v>
      </c>
      <c r="O268" s="73">
        <v>0.9</v>
      </c>
      <c r="P268" s="71">
        <v>0.98614047451256803</v>
      </c>
      <c r="Q268" s="71">
        <v>0.98966097619620097</v>
      </c>
      <c r="R268" s="71">
        <v>0.98780720137168998</v>
      </c>
      <c r="S268" s="71">
        <v>0.98653174786014297</v>
      </c>
      <c r="T268" s="73">
        <v>0.9</v>
      </c>
      <c r="U268" s="71">
        <v>0.95207892882311496</v>
      </c>
      <c r="V268" s="71">
        <v>0.95696080788651094</v>
      </c>
      <c r="W268" s="71">
        <v>0.94799009335111495</v>
      </c>
      <c r="X268" s="71">
        <v>0.95794715483173498</v>
      </c>
      <c r="Y268" s="73">
        <v>0.92</v>
      </c>
      <c r="Z268" s="73">
        <v>0.95530459678702095</v>
      </c>
      <c r="AA268" s="73">
        <v>0.95577281191806296</v>
      </c>
      <c r="AB268" s="73">
        <v>0.96753905457496403</v>
      </c>
      <c r="AC268" s="73">
        <v>0.96671347481260295</v>
      </c>
      <c r="AD268" s="73">
        <v>0.92</v>
      </c>
      <c r="AE268" s="71">
        <v>0.97668161434977596</v>
      </c>
      <c r="AF268" s="71">
        <v>0.92936382159837005</v>
      </c>
      <c r="AG268" s="71">
        <v>0.93174846625766905</v>
      </c>
      <c r="AH268" s="71">
        <v>0.96203178036105896</v>
      </c>
      <c r="AI268" s="73">
        <v>0.92</v>
      </c>
      <c r="AJ268" s="71">
        <v>0.967849013657056</v>
      </c>
      <c r="AK268" s="71">
        <v>0.97653772986683596</v>
      </c>
      <c r="AL268" s="71">
        <v>0.97485018174673299</v>
      </c>
      <c r="AM268" s="71">
        <v>0.97891707007083695</v>
      </c>
      <c r="AN268" s="70">
        <v>0.99</v>
      </c>
      <c r="AO268" s="75">
        <v>1</v>
      </c>
      <c r="AP268" s="75">
        <v>1</v>
      </c>
      <c r="AQ268" s="75">
        <v>1</v>
      </c>
      <c r="AR268" s="75">
        <v>0.99933422103861502</v>
      </c>
      <c r="AS268" s="95">
        <v>9.2228725701943806E-2</v>
      </c>
      <c r="AT268" s="79">
        <v>7.1428571428571397E-2</v>
      </c>
      <c r="AU268" s="79">
        <v>0.15</v>
      </c>
      <c r="AV268" s="79">
        <v>0.16129032258064499</v>
      </c>
      <c r="AW268" s="79">
        <v>6.7073170731707293E-2</v>
      </c>
      <c r="AX268" s="56"/>
      <c r="AY268" s="54"/>
    </row>
    <row r="269" spans="1:51">
      <c r="A269" s="53"/>
      <c r="B269" s="56"/>
      <c r="C269" s="99" t="s">
        <v>255</v>
      </c>
      <c r="D269" s="230" t="s">
        <v>1759</v>
      </c>
      <c r="E269" s="68" t="s">
        <v>256</v>
      </c>
      <c r="F269" s="100" t="s">
        <v>288</v>
      </c>
      <c r="G269" s="100" t="s">
        <v>288</v>
      </c>
      <c r="H269" s="100" t="s">
        <v>288</v>
      </c>
      <c r="I269" s="100" t="s">
        <v>288</v>
      </c>
      <c r="J269" s="70">
        <v>0.9</v>
      </c>
      <c r="K269" s="71" t="s">
        <v>1710</v>
      </c>
      <c r="L269" s="71" t="s">
        <v>1710</v>
      </c>
      <c r="M269" s="72" t="s">
        <v>1710</v>
      </c>
      <c r="N269" s="71" t="s">
        <v>1710</v>
      </c>
      <c r="O269" s="73">
        <v>0.9</v>
      </c>
      <c r="P269" s="71">
        <v>0.25</v>
      </c>
      <c r="Q269" s="71">
        <v>0</v>
      </c>
      <c r="R269" s="71">
        <v>0</v>
      </c>
      <c r="S269" s="71">
        <v>0.11111111111111099</v>
      </c>
      <c r="T269" s="73">
        <v>0.9</v>
      </c>
      <c r="U269" s="71">
        <v>0.25</v>
      </c>
      <c r="V269" s="71">
        <v>0.66666666666666696</v>
      </c>
      <c r="W269" s="71">
        <v>0.66666666666666696</v>
      </c>
      <c r="X269" s="71">
        <v>0.51851851851851805</v>
      </c>
      <c r="Y269" s="73">
        <v>0.92</v>
      </c>
      <c r="Z269" s="73">
        <v>0.33333333333333298</v>
      </c>
      <c r="AA269" s="73">
        <v>0</v>
      </c>
      <c r="AB269" s="73">
        <v>0.5</v>
      </c>
      <c r="AC269" s="73">
        <v>0.5</v>
      </c>
      <c r="AD269" s="73">
        <v>0.92</v>
      </c>
      <c r="AE269" s="71">
        <v>0.99686409249563701</v>
      </c>
      <c r="AF269" s="71">
        <v>0.99651477150581402</v>
      </c>
      <c r="AG269" s="71">
        <v>0.99768480238134605</v>
      </c>
      <c r="AH269" s="71">
        <v>0.995715541503845</v>
      </c>
      <c r="AI269" s="73">
        <v>0.92</v>
      </c>
      <c r="AJ269" s="71">
        <v>0.28571428571428598</v>
      </c>
      <c r="AK269" s="71">
        <v>0.66666666666666696</v>
      </c>
      <c r="AL269" s="71">
        <v>0.55555555555555602</v>
      </c>
      <c r="AM269" s="71">
        <v>0.55555555555555602</v>
      </c>
      <c r="AN269" s="70">
        <v>0.99</v>
      </c>
      <c r="AO269" s="75">
        <v>1</v>
      </c>
      <c r="AP269" s="75">
        <v>1</v>
      </c>
      <c r="AQ269" s="75">
        <v>1</v>
      </c>
      <c r="AR269" s="75">
        <v>1</v>
      </c>
      <c r="AS269" s="95">
        <v>9.2228725701943806E-2</v>
      </c>
      <c r="AT269" s="79" t="s">
        <v>1710</v>
      </c>
      <c r="AU269" s="79" t="s">
        <v>1710</v>
      </c>
      <c r="AV269" s="79" t="s">
        <v>1710</v>
      </c>
      <c r="AW269" s="79" t="s">
        <v>1710</v>
      </c>
      <c r="AX269" s="56"/>
      <c r="AY269" s="54"/>
    </row>
    <row r="270" spans="1:51">
      <c r="A270" s="53"/>
      <c r="B270" s="56"/>
      <c r="C270" s="99" t="s">
        <v>255</v>
      </c>
      <c r="D270" s="230" t="s">
        <v>1757</v>
      </c>
      <c r="E270" s="68" t="s">
        <v>256</v>
      </c>
      <c r="F270" s="100" t="s">
        <v>289</v>
      </c>
      <c r="G270" s="100" t="s">
        <v>289</v>
      </c>
      <c r="H270" s="100" t="s">
        <v>289</v>
      </c>
      <c r="I270" s="100" t="s">
        <v>289</v>
      </c>
      <c r="J270" s="70">
        <v>0.9</v>
      </c>
      <c r="K270" s="71">
        <v>0.88429752066115697</v>
      </c>
      <c r="L270" s="71">
        <v>0.95098039215686303</v>
      </c>
      <c r="M270" s="72">
        <v>0.87610619469026596</v>
      </c>
      <c r="N270" s="71">
        <v>0.88404669260700397</v>
      </c>
      <c r="O270" s="73">
        <v>0.9</v>
      </c>
      <c r="P270" s="71">
        <v>0.95986680686996095</v>
      </c>
      <c r="Q270" s="71">
        <v>0.96893023255813904</v>
      </c>
      <c r="R270" s="71">
        <v>0.93088277036616496</v>
      </c>
      <c r="S270" s="71">
        <v>0.89870099227935896</v>
      </c>
      <c r="T270" s="73">
        <v>0.9</v>
      </c>
      <c r="U270" s="71">
        <v>0.93620750087627103</v>
      </c>
      <c r="V270" s="71">
        <v>0.93897674418604604</v>
      </c>
      <c r="W270" s="71">
        <v>0.91484530229917704</v>
      </c>
      <c r="X270" s="71">
        <v>0.92326547732962805</v>
      </c>
      <c r="Y270" s="73">
        <v>0.92</v>
      </c>
      <c r="Z270" s="73">
        <v>0.96990476190476205</v>
      </c>
      <c r="AA270" s="73">
        <v>0.96928201332346398</v>
      </c>
      <c r="AB270" s="73">
        <v>0.97228144989339005</v>
      </c>
      <c r="AC270" s="73">
        <v>0.97235590198336896</v>
      </c>
      <c r="AD270" s="73">
        <v>0.92</v>
      </c>
      <c r="AE270" s="71">
        <v>0.82134550779567606</v>
      </c>
      <c r="AF270" s="71">
        <v>0.93697478991596606</v>
      </c>
      <c r="AG270" s="71">
        <v>0.973180832183001</v>
      </c>
      <c r="AH270" s="71">
        <v>0.93867201141833301</v>
      </c>
      <c r="AI270" s="73">
        <v>0.92</v>
      </c>
      <c r="AJ270" s="71">
        <v>0.97754546123831298</v>
      </c>
      <c r="AK270" s="71">
        <v>0.983285873467872</v>
      </c>
      <c r="AL270" s="71">
        <v>0.98196758730883404</v>
      </c>
      <c r="AM270" s="71">
        <v>0.982718630089915</v>
      </c>
      <c r="AN270" s="70">
        <v>0.99</v>
      </c>
      <c r="AO270" s="75">
        <v>1</v>
      </c>
      <c r="AP270" s="75">
        <v>1</v>
      </c>
      <c r="AQ270" s="75">
        <v>1</v>
      </c>
      <c r="AR270" s="75">
        <v>1</v>
      </c>
      <c r="AS270" s="95">
        <v>9.2228725701943806E-2</v>
      </c>
      <c r="AT270" s="79">
        <v>5.8823529411764698E-2</v>
      </c>
      <c r="AU270" s="79">
        <v>4.1666666666666699E-2</v>
      </c>
      <c r="AV270" s="79">
        <v>0</v>
      </c>
      <c r="AW270" s="79">
        <v>7.1161048689138598E-2</v>
      </c>
      <c r="AX270" s="56"/>
      <c r="AY270" s="54"/>
    </row>
    <row r="271" spans="1:51">
      <c r="A271" s="53"/>
      <c r="B271" s="56"/>
      <c r="C271" s="99" t="s">
        <v>255</v>
      </c>
      <c r="D271" s="230" t="s">
        <v>1757</v>
      </c>
      <c r="E271" s="68" t="s">
        <v>256</v>
      </c>
      <c r="F271" s="100" t="s">
        <v>290</v>
      </c>
      <c r="G271" s="100" t="s">
        <v>290</v>
      </c>
      <c r="H271" s="100" t="s">
        <v>290</v>
      </c>
      <c r="I271" s="100" t="s">
        <v>290</v>
      </c>
      <c r="J271" s="70">
        <v>0.9</v>
      </c>
      <c r="K271" s="71">
        <v>0.97142857142857097</v>
      </c>
      <c r="L271" s="71">
        <v>0.94202898550724601</v>
      </c>
      <c r="M271" s="72">
        <v>0.96350364963503699</v>
      </c>
      <c r="N271" s="71">
        <v>0.95948827292110905</v>
      </c>
      <c r="O271" s="73">
        <v>0.9</v>
      </c>
      <c r="P271" s="71">
        <v>0.97619383011691796</v>
      </c>
      <c r="Q271" s="71">
        <v>0.98212648945921199</v>
      </c>
      <c r="R271" s="71">
        <v>0.97222535847352398</v>
      </c>
      <c r="S271" s="71">
        <v>0.97510175803238897</v>
      </c>
      <c r="T271" s="73">
        <v>0.9</v>
      </c>
      <c r="U271" s="71">
        <v>0.946893928722355</v>
      </c>
      <c r="V271" s="71">
        <v>0.96272532844485204</v>
      </c>
      <c r="W271" s="71">
        <v>0.95393474088291796</v>
      </c>
      <c r="X271" s="71">
        <v>0.94450939638001197</v>
      </c>
      <c r="Y271" s="73">
        <v>0.92</v>
      </c>
      <c r="Z271" s="73">
        <v>0.985080336648814</v>
      </c>
      <c r="AA271" s="73">
        <v>0.99308954794126103</v>
      </c>
      <c r="AB271" s="73">
        <v>0.99356830460509404</v>
      </c>
      <c r="AC271" s="73">
        <v>0.98909921754336705</v>
      </c>
      <c r="AD271" s="73">
        <v>0.92</v>
      </c>
      <c r="AE271" s="71">
        <v>0.99923477196204502</v>
      </c>
      <c r="AF271" s="71">
        <v>0.97340782122905001</v>
      </c>
      <c r="AG271" s="71">
        <v>0.99837067209775998</v>
      </c>
      <c r="AH271" s="71">
        <v>0.99574151135866795</v>
      </c>
      <c r="AI271" s="73">
        <v>0.92</v>
      </c>
      <c r="AJ271" s="71">
        <v>0.98621553884711799</v>
      </c>
      <c r="AK271" s="71">
        <v>0.99481037924151705</v>
      </c>
      <c r="AL271" s="71">
        <v>0.99476911976911997</v>
      </c>
      <c r="AM271" s="71">
        <v>0.99257311208860699</v>
      </c>
      <c r="AN271" s="70">
        <v>0.99</v>
      </c>
      <c r="AO271" s="75">
        <v>1</v>
      </c>
      <c r="AP271" s="75">
        <v>1</v>
      </c>
      <c r="AQ271" s="75">
        <v>1</v>
      </c>
      <c r="AR271" s="75">
        <v>1</v>
      </c>
      <c r="AS271" s="95">
        <v>9.2228725701943806E-2</v>
      </c>
      <c r="AT271" s="79">
        <v>0.12121212121212099</v>
      </c>
      <c r="AU271" s="79">
        <v>4.7619047619047603E-2</v>
      </c>
      <c r="AV271" s="79">
        <v>0.2</v>
      </c>
      <c r="AW271" s="79">
        <v>0.11497326203208599</v>
      </c>
      <c r="AX271" s="56"/>
      <c r="AY271" s="54"/>
    </row>
    <row r="272" spans="1:51">
      <c r="A272" s="53"/>
      <c r="B272" s="56"/>
      <c r="C272" s="99" t="s">
        <v>255</v>
      </c>
      <c r="D272" s="230" t="s">
        <v>1757</v>
      </c>
      <c r="E272" s="68" t="s">
        <v>256</v>
      </c>
      <c r="F272" s="100" t="s">
        <v>291</v>
      </c>
      <c r="G272" s="100" t="s">
        <v>291</v>
      </c>
      <c r="H272" s="100" t="s">
        <v>291</v>
      </c>
      <c r="I272" s="100" t="s">
        <v>291</v>
      </c>
      <c r="J272" s="70">
        <v>0.9</v>
      </c>
      <c r="K272" s="71">
        <v>0.98429319371727797</v>
      </c>
      <c r="L272" s="71">
        <v>0.97435897435897401</v>
      </c>
      <c r="M272" s="72">
        <v>0.96363636363636396</v>
      </c>
      <c r="N272" s="71">
        <v>0.97439759036144602</v>
      </c>
      <c r="O272" s="73">
        <v>0.9</v>
      </c>
      <c r="P272" s="71">
        <v>0.97683963647024297</v>
      </c>
      <c r="Q272" s="71">
        <v>0.97093811173016098</v>
      </c>
      <c r="R272" s="71">
        <v>0.97365269461077797</v>
      </c>
      <c r="S272" s="71">
        <v>0.97354036989938197</v>
      </c>
      <c r="T272" s="73">
        <v>0.9</v>
      </c>
      <c r="U272" s="71">
        <v>0.95001465845792998</v>
      </c>
      <c r="V272" s="71">
        <v>0.95648245746122595</v>
      </c>
      <c r="W272" s="71">
        <v>0.95293413173652697</v>
      </c>
      <c r="X272" s="71">
        <v>0.95213394908863802</v>
      </c>
      <c r="Y272" s="73">
        <v>0.92</v>
      </c>
      <c r="Z272" s="73">
        <v>0.98855812069663795</v>
      </c>
      <c r="AA272" s="73">
        <v>0.98708228025835398</v>
      </c>
      <c r="AB272" s="73">
        <v>0.99106468663478497</v>
      </c>
      <c r="AC272" s="73">
        <v>0.99175198377931895</v>
      </c>
      <c r="AD272" s="73">
        <v>0.92</v>
      </c>
      <c r="AE272" s="71">
        <v>0.99935247140081995</v>
      </c>
      <c r="AF272" s="71">
        <v>0.99335548172757504</v>
      </c>
      <c r="AG272" s="71">
        <v>0.99932840832773695</v>
      </c>
      <c r="AH272" s="71">
        <v>0.98821310702498799</v>
      </c>
      <c r="AI272" s="73">
        <v>0.92</v>
      </c>
      <c r="AJ272" s="71">
        <v>0.99089711342675801</v>
      </c>
      <c r="AK272" s="71">
        <v>0.99392276024309001</v>
      </c>
      <c r="AL272" s="71">
        <v>0.99459990181639701</v>
      </c>
      <c r="AM272" s="71">
        <v>0.994951758628011</v>
      </c>
      <c r="AN272" s="70">
        <v>0.99</v>
      </c>
      <c r="AO272" s="75">
        <v>1</v>
      </c>
      <c r="AP272" s="75">
        <v>1</v>
      </c>
      <c r="AQ272" s="75">
        <v>1</v>
      </c>
      <c r="AR272" s="75">
        <v>1</v>
      </c>
      <c r="AS272" s="95">
        <v>9.2228725701943806E-2</v>
      </c>
      <c r="AT272" s="79">
        <v>0.11111111111111099</v>
      </c>
      <c r="AU272" s="79">
        <v>0.125</v>
      </c>
      <c r="AV272" s="79">
        <v>0.1</v>
      </c>
      <c r="AW272" s="79">
        <v>0.10625</v>
      </c>
      <c r="AX272" s="56"/>
      <c r="AY272" s="54"/>
    </row>
    <row r="273" spans="1:51">
      <c r="A273" s="53"/>
      <c r="B273" s="56"/>
      <c r="C273" s="99" t="s">
        <v>255</v>
      </c>
      <c r="D273" s="230" t="s">
        <v>1757</v>
      </c>
      <c r="E273" s="68" t="s">
        <v>256</v>
      </c>
      <c r="F273" s="100" t="s">
        <v>292</v>
      </c>
      <c r="G273" s="100" t="s">
        <v>292</v>
      </c>
      <c r="H273" s="100" t="s">
        <v>292</v>
      </c>
      <c r="I273" s="100" t="s">
        <v>292</v>
      </c>
      <c r="J273" s="70">
        <v>0.9</v>
      </c>
      <c r="K273" s="71">
        <v>0.98230088495575196</v>
      </c>
      <c r="L273" s="71">
        <v>0.98198198198198205</v>
      </c>
      <c r="M273" s="72">
        <v>0.90265486725663702</v>
      </c>
      <c r="N273" s="71">
        <v>0.96799307958477498</v>
      </c>
      <c r="O273" s="73">
        <v>0.9</v>
      </c>
      <c r="P273" s="71">
        <v>0.97845025217790005</v>
      </c>
      <c r="Q273" s="71">
        <v>0.98243021346469595</v>
      </c>
      <c r="R273" s="71">
        <v>0.98104265402843605</v>
      </c>
      <c r="S273" s="71">
        <v>0.97594548806617198</v>
      </c>
      <c r="T273" s="73">
        <v>0.9</v>
      </c>
      <c r="U273" s="71">
        <v>0.96821030108512895</v>
      </c>
      <c r="V273" s="71">
        <v>0.98078817733990098</v>
      </c>
      <c r="W273" s="71">
        <v>0.972204431920072</v>
      </c>
      <c r="X273" s="71">
        <v>0.96895709801185903</v>
      </c>
      <c r="Y273" s="73">
        <v>0.92</v>
      </c>
      <c r="Z273" s="73">
        <v>0.98735790927440803</v>
      </c>
      <c r="AA273" s="73">
        <v>0.997110754414125</v>
      </c>
      <c r="AB273" s="73">
        <v>0.99641523525018705</v>
      </c>
      <c r="AC273" s="73">
        <v>0.99476626620673203</v>
      </c>
      <c r="AD273" s="73">
        <v>0.92</v>
      </c>
      <c r="AE273" s="71">
        <v>0.98742366967141604</v>
      </c>
      <c r="AF273" s="71">
        <v>0.99082288161517296</v>
      </c>
      <c r="AG273" s="71">
        <v>0.995712809917355</v>
      </c>
      <c r="AH273" s="71">
        <v>0.98628307675450599</v>
      </c>
      <c r="AI273" s="73">
        <v>0.92</v>
      </c>
      <c r="AJ273" s="71">
        <v>0.98947302462560305</v>
      </c>
      <c r="AK273" s="71">
        <v>0.99858787747121402</v>
      </c>
      <c r="AL273" s="71">
        <v>0.99744880369578703</v>
      </c>
      <c r="AM273" s="71">
        <v>0.99650295148183998</v>
      </c>
      <c r="AN273" s="70">
        <v>0.99</v>
      </c>
      <c r="AO273" s="75">
        <v>1</v>
      </c>
      <c r="AP273" s="75">
        <v>1</v>
      </c>
      <c r="AQ273" s="75">
        <v>1</v>
      </c>
      <c r="AR273" s="75">
        <v>1</v>
      </c>
      <c r="AS273" s="95">
        <v>9.2228725701943806E-2</v>
      </c>
      <c r="AT273" s="79">
        <v>0</v>
      </c>
      <c r="AU273" s="79">
        <v>0.125</v>
      </c>
      <c r="AV273" s="79">
        <v>0.26315789473684198</v>
      </c>
      <c r="AW273" s="79">
        <v>9.4462540716612406E-2</v>
      </c>
      <c r="AX273" s="56"/>
      <c r="AY273" s="54"/>
    </row>
    <row r="274" spans="1:51">
      <c r="A274" s="53"/>
      <c r="B274" s="56"/>
      <c r="C274" s="99" t="s">
        <v>255</v>
      </c>
      <c r="D274" s="230" t="s">
        <v>1757</v>
      </c>
      <c r="E274" s="68" t="s">
        <v>256</v>
      </c>
      <c r="F274" s="100" t="s">
        <v>293</v>
      </c>
      <c r="G274" s="100" t="s">
        <v>293</v>
      </c>
      <c r="H274" s="100" t="s">
        <v>293</v>
      </c>
      <c r="I274" s="100" t="s">
        <v>293</v>
      </c>
      <c r="J274" s="70">
        <v>0.9</v>
      </c>
      <c r="K274" s="71">
        <v>0.98913043478260898</v>
      </c>
      <c r="L274" s="71">
        <v>0.97530864197530898</v>
      </c>
      <c r="M274" s="72">
        <v>0.97752808988763995</v>
      </c>
      <c r="N274" s="71">
        <v>0.98577235772357696</v>
      </c>
      <c r="O274" s="73">
        <v>0.9</v>
      </c>
      <c r="P274" s="71">
        <v>0.97910581891709703</v>
      </c>
      <c r="Q274" s="71">
        <v>0.98660822985147301</v>
      </c>
      <c r="R274" s="71">
        <v>0.97805814591332996</v>
      </c>
      <c r="S274" s="71">
        <v>0.97886352665333398</v>
      </c>
      <c r="T274" s="73">
        <v>0.9</v>
      </c>
      <c r="U274" s="71">
        <v>0.96427769040665001</v>
      </c>
      <c r="V274" s="71">
        <v>0.95982468955441902</v>
      </c>
      <c r="W274" s="71">
        <v>0.96160175534832704</v>
      </c>
      <c r="X274" s="71">
        <v>0.96236466450589597</v>
      </c>
      <c r="Y274" s="73">
        <v>0.92</v>
      </c>
      <c r="Z274" s="73">
        <v>0.987627590473245</v>
      </c>
      <c r="AA274" s="73">
        <v>0.98440545808966895</v>
      </c>
      <c r="AB274" s="73">
        <v>0.989383846794338</v>
      </c>
      <c r="AC274" s="73">
        <v>0.99035198888025799</v>
      </c>
      <c r="AD274" s="73">
        <v>0.92</v>
      </c>
      <c r="AE274" s="71">
        <v>0.99928438528696195</v>
      </c>
      <c r="AF274" s="71">
        <v>0.98777692895339997</v>
      </c>
      <c r="AG274" s="71">
        <v>0.99537159481618598</v>
      </c>
      <c r="AH274" s="71">
        <v>0.99313779177219497</v>
      </c>
      <c r="AI274" s="73">
        <v>0.92</v>
      </c>
      <c r="AJ274" s="71">
        <v>0.99001831501831505</v>
      </c>
      <c r="AK274" s="71">
        <v>0.99107142857142905</v>
      </c>
      <c r="AL274" s="71">
        <v>0.99260196631947795</v>
      </c>
      <c r="AM274" s="71">
        <v>0.993436307876431</v>
      </c>
      <c r="AN274" s="70">
        <v>0.99</v>
      </c>
      <c r="AO274" s="75">
        <v>1</v>
      </c>
      <c r="AP274" s="75">
        <v>1</v>
      </c>
      <c r="AQ274" s="75">
        <v>1</v>
      </c>
      <c r="AR274" s="75">
        <v>1</v>
      </c>
      <c r="AS274" s="95">
        <v>9.2228725701943806E-2</v>
      </c>
      <c r="AT274" s="79">
        <v>0</v>
      </c>
      <c r="AU274" s="79">
        <v>0.18181818181818199</v>
      </c>
      <c r="AV274" s="79">
        <v>7.4074074074074098E-2</v>
      </c>
      <c r="AW274" s="79">
        <v>8.55855855855856E-2</v>
      </c>
      <c r="AX274" s="56"/>
      <c r="AY274" s="54"/>
    </row>
    <row r="275" spans="1:51">
      <c r="A275" s="53"/>
      <c r="B275" s="56"/>
      <c r="C275" s="99" t="s">
        <v>255</v>
      </c>
      <c r="D275" s="230" t="s">
        <v>1757</v>
      </c>
      <c r="E275" s="68" t="s">
        <v>256</v>
      </c>
      <c r="F275" s="100" t="s">
        <v>294</v>
      </c>
      <c r="G275" s="100" t="s">
        <v>294</v>
      </c>
      <c r="H275" s="100" t="s">
        <v>294</v>
      </c>
      <c r="I275" s="100" t="s">
        <v>294</v>
      </c>
      <c r="J275" s="70">
        <v>0.9</v>
      </c>
      <c r="K275" s="71">
        <v>0.949367088607595</v>
      </c>
      <c r="L275" s="71">
        <v>0.94666666666666699</v>
      </c>
      <c r="M275" s="72">
        <v>0.93333333333333302</v>
      </c>
      <c r="N275" s="71">
        <v>0.94069767441860497</v>
      </c>
      <c r="O275" s="73">
        <v>0.9</v>
      </c>
      <c r="P275" s="71">
        <v>0.98082595870206501</v>
      </c>
      <c r="Q275" s="71">
        <v>0.987254187909687</v>
      </c>
      <c r="R275" s="71">
        <v>0.98356614626129801</v>
      </c>
      <c r="S275" s="71">
        <v>0.98081848400632099</v>
      </c>
      <c r="T275" s="73">
        <v>0.9</v>
      </c>
      <c r="U275" s="71">
        <v>0.95132743362831895</v>
      </c>
      <c r="V275" s="71">
        <v>0.962126729788784</v>
      </c>
      <c r="W275" s="71">
        <v>0.96795398520953202</v>
      </c>
      <c r="X275" s="71">
        <v>0.95913029262710503</v>
      </c>
      <c r="Y275" s="73">
        <v>0.92</v>
      </c>
      <c r="Z275" s="73">
        <v>0.98316032295271005</v>
      </c>
      <c r="AA275" s="73">
        <v>0.975218658892128</v>
      </c>
      <c r="AB275" s="73">
        <v>0.99026835741669095</v>
      </c>
      <c r="AC275" s="73">
        <v>0.98875480783346503</v>
      </c>
      <c r="AD275" s="73">
        <v>0.92</v>
      </c>
      <c r="AE275" s="71">
        <v>0.99758454106280203</v>
      </c>
      <c r="AF275" s="71">
        <v>0.97378277153558102</v>
      </c>
      <c r="AG275" s="71">
        <v>0.99678972712680602</v>
      </c>
      <c r="AH275" s="71">
        <v>0.98612794612794596</v>
      </c>
      <c r="AI275" s="73">
        <v>0.92</v>
      </c>
      <c r="AJ275" s="71">
        <v>0.98595146871008899</v>
      </c>
      <c r="AK275" s="71">
        <v>0.99052938319572603</v>
      </c>
      <c r="AL275" s="71">
        <v>0.99446180062482203</v>
      </c>
      <c r="AM275" s="71">
        <v>0.992864207997739</v>
      </c>
      <c r="AN275" s="70">
        <v>0.99</v>
      </c>
      <c r="AO275" s="75">
        <v>1</v>
      </c>
      <c r="AP275" s="75">
        <v>1</v>
      </c>
      <c r="AQ275" s="75">
        <v>1</v>
      </c>
      <c r="AR275" s="75">
        <v>1</v>
      </c>
      <c r="AS275" s="95">
        <v>9.2228725701943806E-2</v>
      </c>
      <c r="AT275" s="79">
        <v>0.1</v>
      </c>
      <c r="AU275" s="79">
        <v>0.33333333333333298</v>
      </c>
      <c r="AV275" s="79">
        <v>0.14285714285714299</v>
      </c>
      <c r="AW275" s="79">
        <v>0.108108108108108</v>
      </c>
      <c r="AX275" s="56"/>
      <c r="AY275" s="54"/>
    </row>
    <row r="276" spans="1:51">
      <c r="A276" s="53"/>
      <c r="B276" s="56"/>
      <c r="C276" s="99" t="s">
        <v>255</v>
      </c>
      <c r="D276" s="230" t="s">
        <v>1757</v>
      </c>
      <c r="E276" s="68" t="s">
        <v>256</v>
      </c>
      <c r="F276" s="100" t="s">
        <v>295</v>
      </c>
      <c r="G276" s="100" t="s">
        <v>295</v>
      </c>
      <c r="H276" s="100" t="s">
        <v>295</v>
      </c>
      <c r="I276" s="100" t="s">
        <v>295</v>
      </c>
      <c r="J276" s="70">
        <v>0.9</v>
      </c>
      <c r="K276" s="71">
        <v>0.90476190476190499</v>
      </c>
      <c r="L276" s="71">
        <v>0.86885245901639296</v>
      </c>
      <c r="M276" s="72">
        <v>0.89147286821705396</v>
      </c>
      <c r="N276" s="71">
        <v>0.90737116764514003</v>
      </c>
      <c r="O276" s="73">
        <v>0.9</v>
      </c>
      <c r="P276" s="71">
        <v>0.96382800335369501</v>
      </c>
      <c r="Q276" s="71">
        <v>0.93502174469173704</v>
      </c>
      <c r="R276" s="71">
        <v>0.886512986335663</v>
      </c>
      <c r="S276" s="71">
        <v>0.85782627184165805</v>
      </c>
      <c r="T276" s="73">
        <v>0.9</v>
      </c>
      <c r="U276" s="71">
        <v>0.93951371421727103</v>
      </c>
      <c r="V276" s="71">
        <v>0.92926579687899702</v>
      </c>
      <c r="W276" s="71">
        <v>0.91832690101178704</v>
      </c>
      <c r="X276" s="71">
        <v>0.92059687644966803</v>
      </c>
      <c r="Y276" s="73">
        <v>0.92</v>
      </c>
      <c r="Z276" s="73">
        <v>0.97136311569301304</v>
      </c>
      <c r="AA276" s="73">
        <v>0.97868561278863198</v>
      </c>
      <c r="AB276" s="73">
        <v>0.97747947637009103</v>
      </c>
      <c r="AC276" s="73">
        <v>0.98144636754492298</v>
      </c>
      <c r="AD276" s="73">
        <v>0.92</v>
      </c>
      <c r="AE276" s="71">
        <v>0.79851627044343299</v>
      </c>
      <c r="AF276" s="71">
        <v>0.87458745874587496</v>
      </c>
      <c r="AG276" s="71">
        <v>0.98578886310904901</v>
      </c>
      <c r="AH276" s="71">
        <v>0.928509356352471</v>
      </c>
      <c r="AI276" s="73">
        <v>0.92</v>
      </c>
      <c r="AJ276" s="71">
        <v>0.97763951001361105</v>
      </c>
      <c r="AK276" s="71">
        <v>0.98579931972789103</v>
      </c>
      <c r="AL276" s="71">
        <v>0.98355015589721495</v>
      </c>
      <c r="AM276" s="71">
        <v>0.98689967570906501</v>
      </c>
      <c r="AN276" s="70">
        <v>0.99</v>
      </c>
      <c r="AO276" s="75">
        <v>1</v>
      </c>
      <c r="AP276" s="75">
        <v>1</v>
      </c>
      <c r="AQ276" s="75">
        <v>1</v>
      </c>
      <c r="AR276" s="75">
        <v>1</v>
      </c>
      <c r="AS276" s="95">
        <v>9.2228725701943806E-2</v>
      </c>
      <c r="AT276" s="79">
        <v>0.119402985074627</v>
      </c>
      <c r="AU276" s="79">
        <v>1.9607843137254902E-2</v>
      </c>
      <c r="AV276" s="79">
        <v>2.9850746268656699E-2</v>
      </c>
      <c r="AW276" s="79">
        <v>7.6069730586370801E-2</v>
      </c>
      <c r="AX276" s="56"/>
      <c r="AY276" s="54"/>
    </row>
    <row r="277" spans="1:51">
      <c r="A277" s="53"/>
      <c r="B277" s="56"/>
      <c r="C277" s="99" t="s">
        <v>255</v>
      </c>
      <c r="D277" s="230" t="s">
        <v>1759</v>
      </c>
      <c r="E277" s="68" t="s">
        <v>256</v>
      </c>
      <c r="F277" s="100" t="s">
        <v>296</v>
      </c>
      <c r="G277" s="100" t="s">
        <v>296</v>
      </c>
      <c r="H277" s="100" t="s">
        <v>296</v>
      </c>
      <c r="I277" s="100" t="s">
        <v>296</v>
      </c>
      <c r="J277" s="70">
        <v>0.9</v>
      </c>
      <c r="K277" s="71" t="s">
        <v>1710</v>
      </c>
      <c r="L277" s="71" t="s">
        <v>1710</v>
      </c>
      <c r="M277" s="72" t="s">
        <v>1710</v>
      </c>
      <c r="N277" s="71" t="s">
        <v>1710</v>
      </c>
      <c r="O277" s="73">
        <v>0.9</v>
      </c>
      <c r="P277" s="71" t="s">
        <v>1710</v>
      </c>
      <c r="Q277" s="71" t="s">
        <v>1710</v>
      </c>
      <c r="R277" s="71" t="s">
        <v>1710</v>
      </c>
      <c r="S277" s="71" t="s">
        <v>1710</v>
      </c>
      <c r="T277" s="73">
        <v>0.9</v>
      </c>
      <c r="U277" s="71" t="s">
        <v>1710</v>
      </c>
      <c r="V277" s="71" t="s">
        <v>1710</v>
      </c>
      <c r="W277" s="71" t="s">
        <v>1710</v>
      </c>
      <c r="X277" s="71" t="s">
        <v>1710</v>
      </c>
      <c r="Y277" s="73">
        <v>0.92</v>
      </c>
      <c r="Z277" s="73" t="s">
        <v>1710</v>
      </c>
      <c r="AA277" s="73" t="s">
        <v>1710</v>
      </c>
      <c r="AB277" s="73" t="s">
        <v>1710</v>
      </c>
      <c r="AC277" s="73" t="s">
        <v>1710</v>
      </c>
      <c r="AD277" s="73">
        <v>0.92</v>
      </c>
      <c r="AE277" s="71">
        <v>1</v>
      </c>
      <c r="AF277" s="71">
        <v>0.97610921501706505</v>
      </c>
      <c r="AG277" s="71">
        <v>0.86977886977886998</v>
      </c>
      <c r="AH277" s="71">
        <v>0.89245810055865904</v>
      </c>
      <c r="AI277" s="73">
        <v>0.92</v>
      </c>
      <c r="AJ277" s="71" t="s">
        <v>1710</v>
      </c>
      <c r="AK277" s="71" t="s">
        <v>1710</v>
      </c>
      <c r="AL277" s="71" t="s">
        <v>1710</v>
      </c>
      <c r="AM277" s="71" t="s">
        <v>1710</v>
      </c>
      <c r="AN277" s="70">
        <v>0.99</v>
      </c>
      <c r="AO277" s="75">
        <v>1</v>
      </c>
      <c r="AP277" s="75">
        <v>1</v>
      </c>
      <c r="AQ277" s="75">
        <v>1</v>
      </c>
      <c r="AR277" s="75">
        <v>1</v>
      </c>
      <c r="AS277" s="95">
        <v>9.2228725701943806E-2</v>
      </c>
      <c r="AT277" s="79" t="s">
        <v>1710</v>
      </c>
      <c r="AU277" s="79" t="s">
        <v>1710</v>
      </c>
      <c r="AV277" s="79" t="s">
        <v>1710</v>
      </c>
      <c r="AW277" s="79" t="s">
        <v>1710</v>
      </c>
      <c r="AX277" s="56"/>
      <c r="AY277" s="54"/>
    </row>
    <row r="278" spans="1:51">
      <c r="A278" s="53"/>
      <c r="B278" s="56"/>
      <c r="C278" s="99" t="s">
        <v>255</v>
      </c>
      <c r="D278" s="230" t="s">
        <v>1759</v>
      </c>
      <c r="E278" s="68" t="s">
        <v>256</v>
      </c>
      <c r="F278" s="100" t="s">
        <v>297</v>
      </c>
      <c r="G278" s="100" t="s">
        <v>297</v>
      </c>
      <c r="H278" s="100" t="s">
        <v>297</v>
      </c>
      <c r="I278" s="100" t="s">
        <v>297</v>
      </c>
      <c r="J278" s="70">
        <v>0.9</v>
      </c>
      <c r="K278" s="71" t="s">
        <v>1710</v>
      </c>
      <c r="L278" s="71" t="s">
        <v>1710</v>
      </c>
      <c r="M278" s="72" t="s">
        <v>1710</v>
      </c>
      <c r="N278" s="71" t="s">
        <v>1710</v>
      </c>
      <c r="O278" s="73">
        <v>0.9</v>
      </c>
      <c r="P278" s="71" t="s">
        <v>1710</v>
      </c>
      <c r="Q278" s="71" t="s">
        <v>1710</v>
      </c>
      <c r="R278" s="71" t="s">
        <v>1710</v>
      </c>
      <c r="S278" s="71" t="s">
        <v>1710</v>
      </c>
      <c r="T278" s="73">
        <v>0.9</v>
      </c>
      <c r="U278" s="71" t="s">
        <v>1710</v>
      </c>
      <c r="V278" s="71" t="s">
        <v>1710</v>
      </c>
      <c r="W278" s="71" t="s">
        <v>1710</v>
      </c>
      <c r="X278" s="71" t="s">
        <v>1710</v>
      </c>
      <c r="Y278" s="73">
        <v>0.92</v>
      </c>
      <c r="Z278" s="73" t="s">
        <v>1710</v>
      </c>
      <c r="AA278" s="73" t="s">
        <v>1710</v>
      </c>
      <c r="AB278" s="73" t="s">
        <v>1710</v>
      </c>
      <c r="AC278" s="73" t="s">
        <v>1710</v>
      </c>
      <c r="AD278" s="73">
        <v>0.92</v>
      </c>
      <c r="AE278" s="71">
        <v>1</v>
      </c>
      <c r="AF278" s="71">
        <v>0.25396825396825401</v>
      </c>
      <c r="AG278" s="71">
        <v>0.94155844155844204</v>
      </c>
      <c r="AH278" s="71">
        <v>0.71423537702607498</v>
      </c>
      <c r="AI278" s="73">
        <v>0.92</v>
      </c>
      <c r="AJ278" s="71" t="s">
        <v>1710</v>
      </c>
      <c r="AK278" s="71" t="s">
        <v>1710</v>
      </c>
      <c r="AL278" s="71" t="s">
        <v>1710</v>
      </c>
      <c r="AM278" s="71" t="s">
        <v>1710</v>
      </c>
      <c r="AN278" s="70">
        <v>0.99</v>
      </c>
      <c r="AO278" s="75">
        <v>1</v>
      </c>
      <c r="AP278" s="75" t="s">
        <v>1710</v>
      </c>
      <c r="AQ278" s="75" t="s">
        <v>1710</v>
      </c>
      <c r="AR278" s="75">
        <v>1</v>
      </c>
      <c r="AS278" s="95">
        <v>9.2228725701943806E-2</v>
      </c>
      <c r="AT278" s="79" t="s">
        <v>1710</v>
      </c>
      <c r="AU278" s="79" t="s">
        <v>1710</v>
      </c>
      <c r="AV278" s="79" t="s">
        <v>1710</v>
      </c>
      <c r="AW278" s="79" t="s">
        <v>1710</v>
      </c>
      <c r="AX278" s="56"/>
      <c r="AY278" s="54"/>
    </row>
    <row r="279" spans="1:51">
      <c r="A279" s="53"/>
      <c r="B279" s="56"/>
      <c r="C279" s="99" t="s">
        <v>255</v>
      </c>
      <c r="D279" s="230" t="s">
        <v>1759</v>
      </c>
      <c r="E279" s="68" t="s">
        <v>256</v>
      </c>
      <c r="F279" s="100" t="s">
        <v>298</v>
      </c>
      <c r="G279" s="100" t="s">
        <v>298</v>
      </c>
      <c r="H279" s="100" t="s">
        <v>298</v>
      </c>
      <c r="I279" s="100" t="s">
        <v>298</v>
      </c>
      <c r="J279" s="70">
        <v>0.9</v>
      </c>
      <c r="K279" s="71" t="s">
        <v>1710</v>
      </c>
      <c r="L279" s="71" t="s">
        <v>1710</v>
      </c>
      <c r="M279" s="72" t="s">
        <v>1710</v>
      </c>
      <c r="N279" s="71" t="s">
        <v>1710</v>
      </c>
      <c r="O279" s="73">
        <v>0.9</v>
      </c>
      <c r="P279" s="71">
        <v>0</v>
      </c>
      <c r="Q279" s="71" t="s">
        <v>1710</v>
      </c>
      <c r="R279" s="71" t="s">
        <v>1710</v>
      </c>
      <c r="S279" s="71">
        <v>0</v>
      </c>
      <c r="T279" s="73">
        <v>0.9</v>
      </c>
      <c r="U279" s="71">
        <v>1</v>
      </c>
      <c r="V279" s="71" t="s">
        <v>1710</v>
      </c>
      <c r="W279" s="71" t="s">
        <v>1710</v>
      </c>
      <c r="X279" s="71">
        <v>1</v>
      </c>
      <c r="Y279" s="73">
        <v>0.92</v>
      </c>
      <c r="Z279" s="73" t="s">
        <v>1710</v>
      </c>
      <c r="AA279" s="73" t="s">
        <v>1710</v>
      </c>
      <c r="AB279" s="73" t="s">
        <v>1710</v>
      </c>
      <c r="AC279" s="73" t="s">
        <v>1710</v>
      </c>
      <c r="AD279" s="73">
        <v>0.92</v>
      </c>
      <c r="AE279" s="71">
        <v>0.99740932642487001</v>
      </c>
      <c r="AF279" s="71">
        <v>0.99792960662525898</v>
      </c>
      <c r="AG279" s="71">
        <v>1</v>
      </c>
      <c r="AH279" s="71">
        <v>0.92006245120999197</v>
      </c>
      <c r="AI279" s="73">
        <v>0.92</v>
      </c>
      <c r="AJ279" s="71">
        <v>1</v>
      </c>
      <c r="AK279" s="71" t="s">
        <v>1710</v>
      </c>
      <c r="AL279" s="71" t="s">
        <v>1710</v>
      </c>
      <c r="AM279" s="71">
        <v>1</v>
      </c>
      <c r="AN279" s="70">
        <v>0.99</v>
      </c>
      <c r="AO279" s="75">
        <v>1</v>
      </c>
      <c r="AP279" s="75">
        <v>1</v>
      </c>
      <c r="AQ279" s="75" t="s">
        <v>1710</v>
      </c>
      <c r="AR279" s="75">
        <v>1</v>
      </c>
      <c r="AS279" s="95">
        <v>9.2228725701943806E-2</v>
      </c>
      <c r="AT279" s="79" t="s">
        <v>1710</v>
      </c>
      <c r="AU279" s="79" t="s">
        <v>1710</v>
      </c>
      <c r="AV279" s="79" t="s">
        <v>1710</v>
      </c>
      <c r="AW279" s="79" t="s">
        <v>1710</v>
      </c>
      <c r="AX279" s="56"/>
      <c r="AY279" s="54"/>
    </row>
    <row r="280" spans="1:51">
      <c r="A280" s="53"/>
      <c r="B280" s="56"/>
      <c r="C280" s="99" t="s">
        <v>255</v>
      </c>
      <c r="D280" s="230" t="s">
        <v>1759</v>
      </c>
      <c r="E280" s="68" t="s">
        <v>256</v>
      </c>
      <c r="F280" s="100" t="s">
        <v>299</v>
      </c>
      <c r="G280" s="100" t="s">
        <v>299</v>
      </c>
      <c r="H280" s="100" t="s">
        <v>299</v>
      </c>
      <c r="I280" s="100" t="s">
        <v>299</v>
      </c>
      <c r="J280" s="70">
        <v>0.9</v>
      </c>
      <c r="K280" s="71" t="s">
        <v>1710</v>
      </c>
      <c r="L280" s="71" t="s">
        <v>1710</v>
      </c>
      <c r="M280" s="72" t="s">
        <v>1710</v>
      </c>
      <c r="N280" s="71" t="s">
        <v>1710</v>
      </c>
      <c r="O280" s="73">
        <v>0.9</v>
      </c>
      <c r="P280" s="71">
        <v>0</v>
      </c>
      <c r="Q280" s="71" t="s">
        <v>1710</v>
      </c>
      <c r="R280" s="71" t="s">
        <v>1710</v>
      </c>
      <c r="S280" s="71">
        <v>0</v>
      </c>
      <c r="T280" s="73">
        <v>0.9</v>
      </c>
      <c r="U280" s="71">
        <v>0</v>
      </c>
      <c r="V280" s="71" t="s">
        <v>1710</v>
      </c>
      <c r="W280" s="71" t="s">
        <v>1710</v>
      </c>
      <c r="X280" s="71">
        <v>0</v>
      </c>
      <c r="Y280" s="73">
        <v>0.92</v>
      </c>
      <c r="Z280" s="73" t="s">
        <v>1710</v>
      </c>
      <c r="AA280" s="73" t="s">
        <v>1710</v>
      </c>
      <c r="AB280" s="73" t="s">
        <v>1710</v>
      </c>
      <c r="AC280" s="73">
        <v>0</v>
      </c>
      <c r="AD280" s="73">
        <v>0.92</v>
      </c>
      <c r="AE280" s="71">
        <v>1</v>
      </c>
      <c r="AF280" s="71">
        <v>1</v>
      </c>
      <c r="AG280" s="71">
        <v>0.72649572649572602</v>
      </c>
      <c r="AH280" s="71">
        <v>0.83292383292383299</v>
      </c>
      <c r="AI280" s="73">
        <v>0.92</v>
      </c>
      <c r="AJ280" s="71">
        <v>0</v>
      </c>
      <c r="AK280" s="71" t="s">
        <v>1710</v>
      </c>
      <c r="AL280" s="71" t="s">
        <v>1710</v>
      </c>
      <c r="AM280" s="71">
        <v>0</v>
      </c>
      <c r="AN280" s="70">
        <v>0.99</v>
      </c>
      <c r="AO280" s="75">
        <v>1</v>
      </c>
      <c r="AP280" s="75" t="s">
        <v>1710</v>
      </c>
      <c r="AQ280" s="75" t="s">
        <v>1710</v>
      </c>
      <c r="AR280" s="75">
        <v>1</v>
      </c>
      <c r="AS280" s="95">
        <v>9.2228725701943806E-2</v>
      </c>
      <c r="AT280" s="79" t="s">
        <v>1710</v>
      </c>
      <c r="AU280" s="79" t="s">
        <v>1710</v>
      </c>
      <c r="AV280" s="79" t="s">
        <v>1710</v>
      </c>
      <c r="AW280" s="79" t="s">
        <v>1710</v>
      </c>
      <c r="AX280" s="56"/>
      <c r="AY280" s="54"/>
    </row>
    <row r="281" spans="1:51">
      <c r="A281" s="53"/>
      <c r="B281" s="56"/>
      <c r="C281" s="99" t="s">
        <v>255</v>
      </c>
      <c r="D281" s="230" t="s">
        <v>1757</v>
      </c>
      <c r="E281" s="68" t="s">
        <v>256</v>
      </c>
      <c r="F281" s="100" t="s">
        <v>300</v>
      </c>
      <c r="G281" s="100" t="s">
        <v>300</v>
      </c>
      <c r="H281" s="100" t="s">
        <v>300</v>
      </c>
      <c r="I281" s="100" t="s">
        <v>300</v>
      </c>
      <c r="J281" s="70">
        <v>0.9</v>
      </c>
      <c r="K281" s="71">
        <v>0.88235294117647101</v>
      </c>
      <c r="L281" s="71">
        <v>0.78571428571428603</v>
      </c>
      <c r="M281" s="72">
        <v>0.92307692307692302</v>
      </c>
      <c r="N281" s="71">
        <v>0.89265536723163796</v>
      </c>
      <c r="O281" s="73">
        <v>0.9</v>
      </c>
      <c r="P281" s="71">
        <v>0.98573692551505498</v>
      </c>
      <c r="Q281" s="71">
        <v>0.98299319727891199</v>
      </c>
      <c r="R281" s="71">
        <v>0.99721835883171095</v>
      </c>
      <c r="S281" s="71">
        <v>0.98464853218421799</v>
      </c>
      <c r="T281" s="73">
        <v>0.9</v>
      </c>
      <c r="U281" s="71">
        <v>0.92630744849445301</v>
      </c>
      <c r="V281" s="71">
        <v>0.92602040816326503</v>
      </c>
      <c r="W281" s="71">
        <v>0.92141863699582705</v>
      </c>
      <c r="X281" s="71">
        <v>0.92391597091300803</v>
      </c>
      <c r="Y281" s="73">
        <v>0.92</v>
      </c>
      <c r="Z281" s="73">
        <v>0.98703956343792598</v>
      </c>
      <c r="AA281" s="73">
        <v>0.97940074906367003</v>
      </c>
      <c r="AB281" s="73">
        <v>0.98076923076923095</v>
      </c>
      <c r="AC281" s="73">
        <v>0.98431804696109204</v>
      </c>
      <c r="AD281" s="73">
        <v>0.92</v>
      </c>
      <c r="AE281" s="71">
        <v>0.99881905261776704</v>
      </c>
      <c r="AF281" s="71">
        <v>0.99778462723945305</v>
      </c>
      <c r="AG281" s="71">
        <v>0.99912615189068998</v>
      </c>
      <c r="AH281" s="71">
        <v>0.94924389211821603</v>
      </c>
      <c r="AI281" s="73">
        <v>0.92</v>
      </c>
      <c r="AJ281" s="71">
        <v>0.98608058608058602</v>
      </c>
      <c r="AK281" s="71">
        <v>0.987719298245614</v>
      </c>
      <c r="AL281" s="71">
        <v>0.98760650658404303</v>
      </c>
      <c r="AM281" s="71">
        <v>0.989720888355342</v>
      </c>
      <c r="AN281" s="70">
        <v>0.99</v>
      </c>
      <c r="AO281" s="75">
        <v>1</v>
      </c>
      <c r="AP281" s="75">
        <v>1</v>
      </c>
      <c r="AQ281" s="75">
        <v>1</v>
      </c>
      <c r="AR281" s="75">
        <v>1</v>
      </c>
      <c r="AS281" s="95">
        <v>9.2228725701943806E-2</v>
      </c>
      <c r="AT281" s="79">
        <v>0.16666666666666699</v>
      </c>
      <c r="AU281" s="79">
        <v>0.4</v>
      </c>
      <c r="AV281" s="79">
        <v>0</v>
      </c>
      <c r="AW281" s="79">
        <v>0.134615384615385</v>
      </c>
      <c r="AX281" s="56"/>
      <c r="AY281" s="54"/>
    </row>
    <row r="282" spans="1:51">
      <c r="A282" s="53"/>
      <c r="B282" s="56"/>
      <c r="C282" s="99" t="s">
        <v>255</v>
      </c>
      <c r="D282" s="230" t="s">
        <v>1759</v>
      </c>
      <c r="E282" s="68" t="s">
        <v>256</v>
      </c>
      <c r="F282" s="100" t="s">
        <v>301</v>
      </c>
      <c r="G282" s="100" t="s">
        <v>301</v>
      </c>
      <c r="H282" s="100" t="s">
        <v>301</v>
      </c>
      <c r="I282" s="100" t="s">
        <v>301</v>
      </c>
      <c r="J282" s="70">
        <v>0.9</v>
      </c>
      <c r="K282" s="71" t="s">
        <v>1710</v>
      </c>
      <c r="L282" s="71" t="s">
        <v>1710</v>
      </c>
      <c r="M282" s="72" t="s">
        <v>1710</v>
      </c>
      <c r="N282" s="71" t="s">
        <v>1710</v>
      </c>
      <c r="O282" s="73">
        <v>0.9</v>
      </c>
      <c r="P282" s="71">
        <v>0</v>
      </c>
      <c r="Q282" s="71" t="s">
        <v>1710</v>
      </c>
      <c r="R282" s="71">
        <v>0</v>
      </c>
      <c r="S282" s="71">
        <v>0</v>
      </c>
      <c r="T282" s="73">
        <v>0.9</v>
      </c>
      <c r="U282" s="71">
        <v>0</v>
      </c>
      <c r="V282" s="71" t="s">
        <v>1710</v>
      </c>
      <c r="W282" s="71">
        <v>0</v>
      </c>
      <c r="X282" s="71">
        <v>0</v>
      </c>
      <c r="Y282" s="73">
        <v>0.92</v>
      </c>
      <c r="Z282" s="73" t="s">
        <v>1710</v>
      </c>
      <c r="AA282" s="73" t="s">
        <v>1710</v>
      </c>
      <c r="AB282" s="73" t="s">
        <v>1710</v>
      </c>
      <c r="AC282" s="73" t="s">
        <v>1710</v>
      </c>
      <c r="AD282" s="73">
        <v>0.92</v>
      </c>
      <c r="AE282" s="71">
        <v>0.99907063197026003</v>
      </c>
      <c r="AF282" s="71">
        <v>0.98540145985401495</v>
      </c>
      <c r="AG282" s="71">
        <v>0.99829700272479605</v>
      </c>
      <c r="AH282" s="71">
        <v>0.99760355029585801</v>
      </c>
      <c r="AI282" s="73">
        <v>0.92</v>
      </c>
      <c r="AJ282" s="71">
        <v>0</v>
      </c>
      <c r="AK282" s="71" t="s">
        <v>1710</v>
      </c>
      <c r="AL282" s="71">
        <v>0.33333333333333298</v>
      </c>
      <c r="AM282" s="71">
        <v>0.11111111111111099</v>
      </c>
      <c r="AN282" s="70">
        <v>0.99</v>
      </c>
      <c r="AO282" s="75">
        <v>1</v>
      </c>
      <c r="AP282" s="75">
        <v>1</v>
      </c>
      <c r="AQ282" s="75">
        <v>1</v>
      </c>
      <c r="AR282" s="75">
        <v>1</v>
      </c>
      <c r="AS282" s="95">
        <v>9.2228725701943806E-2</v>
      </c>
      <c r="AT282" s="79" t="s">
        <v>1710</v>
      </c>
      <c r="AU282" s="79" t="s">
        <v>1710</v>
      </c>
      <c r="AV282" s="79" t="s">
        <v>1710</v>
      </c>
      <c r="AW282" s="79" t="s">
        <v>1710</v>
      </c>
      <c r="AX282" s="56"/>
      <c r="AY282" s="54"/>
    </row>
    <row r="283" spans="1:51" s="48" customFormat="1">
      <c r="A283" s="53"/>
      <c r="B283" s="50"/>
      <c r="C283" s="99" t="s">
        <v>255</v>
      </c>
      <c r="D283" s="230" t="s">
        <v>1757</v>
      </c>
      <c r="E283" s="68" t="s">
        <v>256</v>
      </c>
      <c r="F283" s="100" t="s">
        <v>302</v>
      </c>
      <c r="G283" s="100" t="s">
        <v>302</v>
      </c>
      <c r="H283" s="100" t="s">
        <v>302</v>
      </c>
      <c r="I283" s="100" t="s">
        <v>302</v>
      </c>
      <c r="J283" s="70">
        <v>0.9</v>
      </c>
      <c r="K283" s="71">
        <v>0.93209876543209902</v>
      </c>
      <c r="L283" s="71">
        <v>0.97872340425531901</v>
      </c>
      <c r="M283" s="72">
        <v>1</v>
      </c>
      <c r="N283" s="71">
        <v>0.97642899233942204</v>
      </c>
      <c r="O283" s="73">
        <v>0.9</v>
      </c>
      <c r="P283" s="71">
        <v>0.97169440440309296</v>
      </c>
      <c r="Q283" s="71">
        <v>0.95556703694135903</v>
      </c>
      <c r="R283" s="71">
        <v>0.90470674949984198</v>
      </c>
      <c r="S283" s="71">
        <v>0.93975766008036499</v>
      </c>
      <c r="T283" s="73">
        <v>0.9</v>
      </c>
      <c r="U283" s="71">
        <v>0.92412527846940096</v>
      </c>
      <c r="V283" s="71">
        <v>0.89498837509687401</v>
      </c>
      <c r="W283" s="71">
        <v>0.91365694429819899</v>
      </c>
      <c r="X283" s="71">
        <v>0.91221148155454701</v>
      </c>
      <c r="Y283" s="73">
        <v>0.92</v>
      </c>
      <c r="Z283" s="73">
        <v>0.98098782818629904</v>
      </c>
      <c r="AA283" s="73">
        <v>0.97863741339491905</v>
      </c>
      <c r="AB283" s="73">
        <v>0.97723007631677705</v>
      </c>
      <c r="AC283" s="73">
        <v>0.97963179097172504</v>
      </c>
      <c r="AD283" s="73">
        <v>0.92</v>
      </c>
      <c r="AE283" s="71">
        <v>0.99698439753507295</v>
      </c>
      <c r="AF283" s="71">
        <v>0.98447125555013104</v>
      </c>
      <c r="AG283" s="71">
        <v>0.99192146162694295</v>
      </c>
      <c r="AH283" s="71">
        <v>0.98614523429147105</v>
      </c>
      <c r="AI283" s="73">
        <v>0.92</v>
      </c>
      <c r="AJ283" s="71">
        <v>0.98503811582660095</v>
      </c>
      <c r="AK283" s="71">
        <v>0.98938447814451402</v>
      </c>
      <c r="AL283" s="71">
        <v>0.98342383538153799</v>
      </c>
      <c r="AM283" s="71">
        <v>0.98714482100455603</v>
      </c>
      <c r="AN283" s="70">
        <v>0.99</v>
      </c>
      <c r="AO283" s="75">
        <v>1</v>
      </c>
      <c r="AP283" s="75">
        <v>1</v>
      </c>
      <c r="AQ283" s="75">
        <v>1</v>
      </c>
      <c r="AR283" s="75">
        <v>1</v>
      </c>
      <c r="AS283" s="95">
        <v>9.2228725701943806E-2</v>
      </c>
      <c r="AT283" s="79">
        <v>0.13793103448275901</v>
      </c>
      <c r="AU283" s="79">
        <v>0.21875</v>
      </c>
      <c r="AV283" s="79">
        <v>0.1</v>
      </c>
      <c r="AW283" s="79">
        <v>8.0097087378640797E-2</v>
      </c>
      <c r="AX283" s="50"/>
      <c r="AY283" s="54"/>
    </row>
    <row r="284" spans="1:51" s="48" customFormat="1">
      <c r="A284" s="53"/>
      <c r="B284" s="50"/>
      <c r="C284" s="99" t="s">
        <v>255</v>
      </c>
      <c r="D284" s="230" t="s">
        <v>1757</v>
      </c>
      <c r="E284" s="68" t="s">
        <v>256</v>
      </c>
      <c r="F284" s="100" t="s">
        <v>303</v>
      </c>
      <c r="G284" s="100" t="s">
        <v>303</v>
      </c>
      <c r="H284" s="100" t="s">
        <v>303</v>
      </c>
      <c r="I284" s="100" t="s">
        <v>303</v>
      </c>
      <c r="J284" s="70">
        <v>0.9</v>
      </c>
      <c r="K284" s="71">
        <v>0.91666666666666696</v>
      </c>
      <c r="L284" s="71">
        <v>0.96428571428571397</v>
      </c>
      <c r="M284" s="72">
        <v>0.94736842105263197</v>
      </c>
      <c r="N284" s="71">
        <v>0.91461649782923304</v>
      </c>
      <c r="O284" s="73">
        <v>0.9</v>
      </c>
      <c r="P284" s="71">
        <v>0.97570157426420301</v>
      </c>
      <c r="Q284" s="71">
        <v>0.97810979847116097</v>
      </c>
      <c r="R284" s="71">
        <v>0.96192609182530797</v>
      </c>
      <c r="S284" s="71">
        <v>0.96906429361276403</v>
      </c>
      <c r="T284" s="73">
        <v>0.9</v>
      </c>
      <c r="U284" s="71">
        <v>0.939425051334702</v>
      </c>
      <c r="V284" s="71">
        <v>0.93432939541348203</v>
      </c>
      <c r="W284" s="71">
        <v>0.93001119820828704</v>
      </c>
      <c r="X284" s="71">
        <v>0.93120425464693801</v>
      </c>
      <c r="Y284" s="73">
        <v>0.92</v>
      </c>
      <c r="Z284" s="73">
        <v>0.97217751207174097</v>
      </c>
      <c r="AA284" s="73">
        <v>0.97933333333333294</v>
      </c>
      <c r="AB284" s="73">
        <v>0.99085005903187695</v>
      </c>
      <c r="AC284" s="73">
        <v>0.98943550476409803</v>
      </c>
      <c r="AD284" s="73">
        <v>0.92</v>
      </c>
      <c r="AE284" s="71">
        <v>0.99592369150497295</v>
      </c>
      <c r="AF284" s="71">
        <v>0.99503897944720099</v>
      </c>
      <c r="AG284" s="71">
        <v>0.99642729546266495</v>
      </c>
      <c r="AH284" s="71">
        <v>0.99131133544271999</v>
      </c>
      <c r="AI284" s="73">
        <v>0.92</v>
      </c>
      <c r="AJ284" s="71">
        <v>0.98074807480748105</v>
      </c>
      <c r="AK284" s="71">
        <v>0.98994974874371899</v>
      </c>
      <c r="AL284" s="71">
        <v>0.99224249389455499</v>
      </c>
      <c r="AM284" s="71">
        <v>0.99236945582533598</v>
      </c>
      <c r="AN284" s="70">
        <v>0.99</v>
      </c>
      <c r="AO284" s="75">
        <v>1</v>
      </c>
      <c r="AP284" s="75">
        <v>1</v>
      </c>
      <c r="AQ284" s="75">
        <v>1</v>
      </c>
      <c r="AR284" s="75">
        <v>1</v>
      </c>
      <c r="AS284" s="95">
        <v>9.2228725701943806E-2</v>
      </c>
      <c r="AT284" s="79">
        <v>0.27272727272727298</v>
      </c>
      <c r="AU284" s="79">
        <v>0</v>
      </c>
      <c r="AV284" s="79">
        <v>7.1428571428571397E-2</v>
      </c>
      <c r="AW284" s="79">
        <v>6.2937062937062901E-2</v>
      </c>
      <c r="AX284" s="50"/>
      <c r="AY284" s="54"/>
    </row>
    <row r="285" spans="1:51" s="48" customFormat="1">
      <c r="A285" s="53"/>
      <c r="B285" s="50"/>
      <c r="C285" s="99" t="s">
        <v>255</v>
      </c>
      <c r="D285" s="230" t="s">
        <v>1757</v>
      </c>
      <c r="E285" s="68" t="s">
        <v>256</v>
      </c>
      <c r="F285" s="100" t="s">
        <v>304</v>
      </c>
      <c r="G285" s="100" t="s">
        <v>304</v>
      </c>
      <c r="H285" s="100" t="s">
        <v>304</v>
      </c>
      <c r="I285" s="100" t="s">
        <v>304</v>
      </c>
      <c r="J285" s="70">
        <v>0.9</v>
      </c>
      <c r="K285" s="71">
        <v>0.93043478260869605</v>
      </c>
      <c r="L285" s="71">
        <v>0.93877551020408201</v>
      </c>
      <c r="M285" s="72">
        <v>0.91666666666666696</v>
      </c>
      <c r="N285" s="71">
        <v>0.91428571428571404</v>
      </c>
      <c r="O285" s="73">
        <v>0.9</v>
      </c>
      <c r="P285" s="71">
        <v>0.97010869565217395</v>
      </c>
      <c r="Q285" s="71">
        <v>0.95900439238653001</v>
      </c>
      <c r="R285" s="71">
        <v>0.90328206754399898</v>
      </c>
      <c r="S285" s="71">
        <v>0.93004681905811104</v>
      </c>
      <c r="T285" s="73">
        <v>0.9</v>
      </c>
      <c r="U285" s="71">
        <v>0.91847826086956497</v>
      </c>
      <c r="V285" s="71">
        <v>0.91821794603639395</v>
      </c>
      <c r="W285" s="71">
        <v>0.92928492151577602</v>
      </c>
      <c r="X285" s="71">
        <v>0.92316166345359396</v>
      </c>
      <c r="Y285" s="73">
        <v>0.92</v>
      </c>
      <c r="Z285" s="73">
        <v>0.97849751377503003</v>
      </c>
      <c r="AA285" s="73">
        <v>0.98371998371998404</v>
      </c>
      <c r="AB285" s="73">
        <v>0.98962232051718302</v>
      </c>
      <c r="AC285" s="73">
        <v>0.98792139590038996</v>
      </c>
      <c r="AD285" s="73">
        <v>0.92</v>
      </c>
      <c r="AE285" s="71">
        <v>0.94050991501416403</v>
      </c>
      <c r="AF285" s="71">
        <v>0.69301895515487699</v>
      </c>
      <c r="AG285" s="71">
        <v>0.88313973952833502</v>
      </c>
      <c r="AH285" s="71">
        <v>0.84109625579301805</v>
      </c>
      <c r="AI285" s="73">
        <v>0.92</v>
      </c>
      <c r="AJ285" s="71">
        <v>0.98437755602813704</v>
      </c>
      <c r="AK285" s="71">
        <v>0.99060643735322595</v>
      </c>
      <c r="AL285" s="71">
        <v>0.992368917699188</v>
      </c>
      <c r="AM285" s="71">
        <v>0.99238758219321199</v>
      </c>
      <c r="AN285" s="70">
        <v>0.99</v>
      </c>
      <c r="AO285" s="75">
        <v>1</v>
      </c>
      <c r="AP285" s="75">
        <v>1</v>
      </c>
      <c r="AQ285" s="75">
        <v>1</v>
      </c>
      <c r="AR285" s="75">
        <v>1</v>
      </c>
      <c r="AS285" s="95">
        <v>9.2228725701943806E-2</v>
      </c>
      <c r="AT285" s="79">
        <v>8.6956521739130405E-2</v>
      </c>
      <c r="AU285" s="79">
        <v>0.21052631578947401</v>
      </c>
      <c r="AV285" s="79">
        <v>0.18918918918918901</v>
      </c>
      <c r="AW285" s="79">
        <v>9.7165991902833995E-2</v>
      </c>
      <c r="AX285" s="50"/>
      <c r="AY285" s="54"/>
    </row>
    <row r="286" spans="1:51" s="48" customFormat="1">
      <c r="A286" s="53"/>
      <c r="B286" s="50"/>
      <c r="C286" s="99" t="s">
        <v>255</v>
      </c>
      <c r="D286" s="230" t="s">
        <v>1757</v>
      </c>
      <c r="E286" s="68" t="s">
        <v>256</v>
      </c>
      <c r="F286" s="100" t="s">
        <v>305</v>
      </c>
      <c r="G286" s="100" t="s">
        <v>305</v>
      </c>
      <c r="H286" s="100" t="s">
        <v>305</v>
      </c>
      <c r="I286" s="100" t="s">
        <v>305</v>
      </c>
      <c r="J286" s="70">
        <v>0.9</v>
      </c>
      <c r="K286" s="71">
        <v>0.91262135922330101</v>
      </c>
      <c r="L286" s="71">
        <v>0.87951807228915702</v>
      </c>
      <c r="M286" s="72">
        <v>0.884210526315789</v>
      </c>
      <c r="N286" s="71">
        <v>0.88797061524334298</v>
      </c>
      <c r="O286" s="73">
        <v>0.9</v>
      </c>
      <c r="P286" s="71">
        <v>0.95367847411444095</v>
      </c>
      <c r="Q286" s="71">
        <v>0.90688259109311697</v>
      </c>
      <c r="R286" s="71">
        <v>0.860501567398119</v>
      </c>
      <c r="S286" s="71">
        <v>0.91313544865233698</v>
      </c>
      <c r="T286" s="73">
        <v>0.9</v>
      </c>
      <c r="U286" s="71">
        <v>0.93006357856494104</v>
      </c>
      <c r="V286" s="71">
        <v>0.92736365801381304</v>
      </c>
      <c r="W286" s="71">
        <v>0.92598397770811602</v>
      </c>
      <c r="X286" s="71">
        <v>0.93075742067553702</v>
      </c>
      <c r="Y286" s="73">
        <v>0.92</v>
      </c>
      <c r="Z286" s="73">
        <v>0.95861049519586095</v>
      </c>
      <c r="AA286" s="73">
        <v>0.96076599719757105</v>
      </c>
      <c r="AB286" s="73">
        <v>0.96250986582478304</v>
      </c>
      <c r="AC286" s="73">
        <v>0.96951975213013197</v>
      </c>
      <c r="AD286" s="73">
        <v>0.92</v>
      </c>
      <c r="AE286" s="71">
        <v>0.99744897959183698</v>
      </c>
      <c r="AF286" s="71">
        <v>0.91390728476821204</v>
      </c>
      <c r="AG286" s="71">
        <v>0.98768472906403904</v>
      </c>
      <c r="AH286" s="71">
        <v>0.98870834480859304</v>
      </c>
      <c r="AI286" s="73">
        <v>0.92</v>
      </c>
      <c r="AJ286" s="71">
        <v>0.97045393499865695</v>
      </c>
      <c r="AK286" s="71">
        <v>0.97902208201892704</v>
      </c>
      <c r="AL286" s="71">
        <v>0.97650541115530498</v>
      </c>
      <c r="AM286" s="71">
        <v>0.98104020455905505</v>
      </c>
      <c r="AN286" s="70">
        <v>0.99</v>
      </c>
      <c r="AO286" s="75">
        <v>1</v>
      </c>
      <c r="AP286" s="75">
        <v>1</v>
      </c>
      <c r="AQ286" s="75">
        <v>1</v>
      </c>
      <c r="AR286" s="75">
        <v>1</v>
      </c>
      <c r="AS286" s="95">
        <v>9.2228725701943806E-2</v>
      </c>
      <c r="AT286" s="79">
        <v>5.2631578947368397E-2</v>
      </c>
      <c r="AU286" s="79">
        <v>9.0909090909090898E-2</v>
      </c>
      <c r="AV286" s="79">
        <v>0.08</v>
      </c>
      <c r="AW286" s="79">
        <v>6.4516129032258104E-2</v>
      </c>
      <c r="AX286" s="50"/>
      <c r="AY286" s="54"/>
    </row>
    <row r="287" spans="1:51" s="48" customFormat="1">
      <c r="A287" s="53"/>
      <c r="B287" s="50"/>
      <c r="C287" s="99" t="s">
        <v>255</v>
      </c>
      <c r="D287" s="230" t="s">
        <v>1757</v>
      </c>
      <c r="E287" s="68" t="s">
        <v>256</v>
      </c>
      <c r="F287" s="100" t="s">
        <v>306</v>
      </c>
      <c r="G287" s="100" t="s">
        <v>306</v>
      </c>
      <c r="H287" s="100" t="s">
        <v>306</v>
      </c>
      <c r="I287" s="100" t="s">
        <v>306</v>
      </c>
      <c r="J287" s="70">
        <v>0.9</v>
      </c>
      <c r="K287" s="71">
        <v>0.87962962962962998</v>
      </c>
      <c r="L287" s="71">
        <v>0.83529411764705896</v>
      </c>
      <c r="M287" s="72">
        <v>0.89361702127659604</v>
      </c>
      <c r="N287" s="71">
        <v>0.91525423728813604</v>
      </c>
      <c r="O287" s="73">
        <v>0.9</v>
      </c>
      <c r="P287" s="71">
        <v>0.97647058823529398</v>
      </c>
      <c r="Q287" s="71">
        <v>0.93575482406356403</v>
      </c>
      <c r="R287" s="71">
        <v>0.88489950180381405</v>
      </c>
      <c r="S287" s="71">
        <v>0.92779128234158004</v>
      </c>
      <c r="T287" s="73">
        <v>0.9</v>
      </c>
      <c r="U287" s="71">
        <v>0.94561598224195298</v>
      </c>
      <c r="V287" s="71">
        <v>0.92849035187287199</v>
      </c>
      <c r="W287" s="71">
        <v>0.92630132279677002</v>
      </c>
      <c r="X287" s="71">
        <v>0.93125437048383297</v>
      </c>
      <c r="Y287" s="73">
        <v>0.92</v>
      </c>
      <c r="Z287" s="73">
        <v>0.97308950341956602</v>
      </c>
      <c r="AA287" s="73">
        <v>0.95507637017071001</v>
      </c>
      <c r="AB287" s="73">
        <v>0.97284981963166905</v>
      </c>
      <c r="AC287" s="73">
        <v>0.97343701878657196</v>
      </c>
      <c r="AD287" s="73">
        <v>0.92</v>
      </c>
      <c r="AE287" s="71">
        <v>0.99650777021128001</v>
      </c>
      <c r="AF287" s="71">
        <v>0.99220779220779198</v>
      </c>
      <c r="AG287" s="71">
        <v>0.99686520376175503</v>
      </c>
      <c r="AH287" s="71">
        <v>0.99205078958600101</v>
      </c>
      <c r="AI287" s="73">
        <v>0.92</v>
      </c>
      <c r="AJ287" s="71">
        <v>0.97952279202279202</v>
      </c>
      <c r="AK287" s="71">
        <v>0.97647413663097604</v>
      </c>
      <c r="AL287" s="71">
        <v>0.98006854256854303</v>
      </c>
      <c r="AM287" s="71">
        <v>0.98292375945084698</v>
      </c>
      <c r="AN287" s="70">
        <v>0.99</v>
      </c>
      <c r="AO287" s="75">
        <v>1</v>
      </c>
      <c r="AP287" s="75">
        <v>1</v>
      </c>
      <c r="AQ287" s="75">
        <v>1</v>
      </c>
      <c r="AR287" s="75">
        <v>1</v>
      </c>
      <c r="AS287" s="95">
        <v>9.2228725701943806E-2</v>
      </c>
      <c r="AT287" s="79">
        <v>7.1428571428571397E-2</v>
      </c>
      <c r="AU287" s="79">
        <v>0.25</v>
      </c>
      <c r="AV287" s="79">
        <v>0.11111111111111099</v>
      </c>
      <c r="AW287" s="79">
        <v>8.3333333333333301E-2</v>
      </c>
      <c r="AX287" s="50"/>
      <c r="AY287" s="54"/>
    </row>
    <row r="288" spans="1:51" s="48" customFormat="1">
      <c r="A288" s="53"/>
      <c r="B288" s="50"/>
      <c r="C288" s="99" t="s">
        <v>255</v>
      </c>
      <c r="D288" s="230" t="s">
        <v>1757</v>
      </c>
      <c r="E288" s="68" t="s">
        <v>256</v>
      </c>
      <c r="F288" s="100" t="s">
        <v>307</v>
      </c>
      <c r="G288" s="100" t="s">
        <v>307</v>
      </c>
      <c r="H288" s="100" t="s">
        <v>307</v>
      </c>
      <c r="I288" s="100" t="s">
        <v>307</v>
      </c>
      <c r="J288" s="70">
        <v>0.9</v>
      </c>
      <c r="K288" s="71">
        <v>0.94444444444444398</v>
      </c>
      <c r="L288" s="71">
        <v>0.90721649484536104</v>
      </c>
      <c r="M288" s="72">
        <v>0.91836734693877597</v>
      </c>
      <c r="N288" s="71">
        <v>0.95788530465949795</v>
      </c>
      <c r="O288" s="73">
        <v>0.9</v>
      </c>
      <c r="P288" s="71">
        <v>0.97602148474966399</v>
      </c>
      <c r="Q288" s="71">
        <v>0.97896414342629501</v>
      </c>
      <c r="R288" s="71">
        <v>0.80330388013830201</v>
      </c>
      <c r="S288" s="71">
        <v>0.89666370701923004</v>
      </c>
      <c r="T288" s="73">
        <v>0.9</v>
      </c>
      <c r="U288" s="71">
        <v>0.94091693842317303</v>
      </c>
      <c r="V288" s="71">
        <v>0.95250996015936296</v>
      </c>
      <c r="W288" s="71">
        <v>0.94263029837367096</v>
      </c>
      <c r="X288" s="71">
        <v>0.944524854957004</v>
      </c>
      <c r="Y288" s="73">
        <v>0.92</v>
      </c>
      <c r="Z288" s="73">
        <v>0.96273291925465798</v>
      </c>
      <c r="AA288" s="73">
        <v>0.96976929196499595</v>
      </c>
      <c r="AB288" s="73">
        <v>0.97606939874364296</v>
      </c>
      <c r="AC288" s="73">
        <v>0.97474067333939896</v>
      </c>
      <c r="AD288" s="73">
        <v>0.92</v>
      </c>
      <c r="AE288" s="71">
        <v>0.99728113104948302</v>
      </c>
      <c r="AF288" s="71">
        <v>0.98826487845766997</v>
      </c>
      <c r="AG288" s="71">
        <v>0.99617277200656096</v>
      </c>
      <c r="AH288" s="71">
        <v>0.99116790842255897</v>
      </c>
      <c r="AI288" s="73">
        <v>0.92</v>
      </c>
      <c r="AJ288" s="71">
        <v>0.97149173842215497</v>
      </c>
      <c r="AK288" s="71">
        <v>0.981678173127987</v>
      </c>
      <c r="AL288" s="71">
        <v>0.98412840746054497</v>
      </c>
      <c r="AM288" s="71">
        <v>0.984941022041531</v>
      </c>
      <c r="AN288" s="70">
        <v>0.99</v>
      </c>
      <c r="AO288" s="75">
        <v>1</v>
      </c>
      <c r="AP288" s="75">
        <v>1</v>
      </c>
      <c r="AQ288" s="75">
        <v>1</v>
      </c>
      <c r="AR288" s="75">
        <v>1</v>
      </c>
      <c r="AS288" s="95">
        <v>9.2228725701943806E-2</v>
      </c>
      <c r="AT288" s="79">
        <v>0.133333333333333</v>
      </c>
      <c r="AU288" s="79">
        <v>4.7619047619047603E-2</v>
      </c>
      <c r="AV288" s="79">
        <v>0</v>
      </c>
      <c r="AW288" s="79">
        <v>5.2401746724890799E-2</v>
      </c>
      <c r="AX288" s="50"/>
      <c r="AY288" s="54"/>
    </row>
    <row r="289" spans="1:51" s="48" customFormat="1">
      <c r="A289" s="53"/>
      <c r="B289" s="50"/>
      <c r="C289" s="99" t="s">
        <v>255</v>
      </c>
      <c r="D289" s="230" t="s">
        <v>1757</v>
      </c>
      <c r="E289" s="68" t="s">
        <v>256</v>
      </c>
      <c r="F289" s="100" t="s">
        <v>308</v>
      </c>
      <c r="G289" s="100" t="s">
        <v>308</v>
      </c>
      <c r="H289" s="100" t="s">
        <v>308</v>
      </c>
      <c r="I289" s="100" t="s">
        <v>308</v>
      </c>
      <c r="J289" s="70">
        <v>0.9</v>
      </c>
      <c r="K289" s="71">
        <v>0.92473118279569899</v>
      </c>
      <c r="L289" s="71">
        <v>0.95348837209302295</v>
      </c>
      <c r="M289" s="72">
        <v>0.93181818181818199</v>
      </c>
      <c r="N289" s="71">
        <v>0.936477382098171</v>
      </c>
      <c r="O289" s="73">
        <v>0.9</v>
      </c>
      <c r="P289" s="71">
        <v>0.96826740004231004</v>
      </c>
      <c r="Q289" s="71">
        <v>0.95303197353914004</v>
      </c>
      <c r="R289" s="71">
        <v>0.87163360748266405</v>
      </c>
      <c r="S289" s="71">
        <v>0.91477645407813002</v>
      </c>
      <c r="T289" s="73">
        <v>0.9</v>
      </c>
      <c r="U289" s="71">
        <v>0.94711233340385004</v>
      </c>
      <c r="V289" s="71">
        <v>0.94156560088202901</v>
      </c>
      <c r="W289" s="71">
        <v>0.92227060151588502</v>
      </c>
      <c r="X289" s="71">
        <v>0.93716918101804503</v>
      </c>
      <c r="Y289" s="73">
        <v>0.92</v>
      </c>
      <c r="Z289" s="73">
        <v>0.98172323759791102</v>
      </c>
      <c r="AA289" s="73">
        <v>0.98009124844462903</v>
      </c>
      <c r="AB289" s="73">
        <v>0.98457249070632002</v>
      </c>
      <c r="AC289" s="73">
        <v>0.98276074809187197</v>
      </c>
      <c r="AD289" s="73">
        <v>0.92</v>
      </c>
      <c r="AE289" s="71">
        <v>0.99759100642398302</v>
      </c>
      <c r="AF289" s="71">
        <v>0.98978644382544101</v>
      </c>
      <c r="AG289" s="71">
        <v>0.99783725331170603</v>
      </c>
      <c r="AH289" s="71">
        <v>0.99418917464758405</v>
      </c>
      <c r="AI289" s="73">
        <v>0.92</v>
      </c>
      <c r="AJ289" s="71">
        <v>0.98525614327363598</v>
      </c>
      <c r="AK289" s="71">
        <v>0.98474600661965705</v>
      </c>
      <c r="AL289" s="71">
        <v>0.98696590418644803</v>
      </c>
      <c r="AM289" s="71">
        <v>0.98835716680157304</v>
      </c>
      <c r="AN289" s="70">
        <v>0.99</v>
      </c>
      <c r="AO289" s="75">
        <v>1</v>
      </c>
      <c r="AP289" s="75">
        <v>1</v>
      </c>
      <c r="AQ289" s="75">
        <v>1</v>
      </c>
      <c r="AR289" s="75">
        <v>1</v>
      </c>
      <c r="AS289" s="95">
        <v>9.2228725701943806E-2</v>
      </c>
      <c r="AT289" s="79">
        <v>0.1</v>
      </c>
      <c r="AU289" s="79">
        <v>0</v>
      </c>
      <c r="AV289" s="79">
        <v>0.125</v>
      </c>
      <c r="AW289" s="79">
        <v>8.2352941176470601E-2</v>
      </c>
      <c r="AX289" s="50"/>
      <c r="AY289" s="54"/>
    </row>
    <row r="290" spans="1:51" s="48" customFormat="1">
      <c r="A290" s="53"/>
      <c r="B290" s="50"/>
      <c r="C290" s="99" t="s">
        <v>255</v>
      </c>
      <c r="D290" s="230" t="s">
        <v>1759</v>
      </c>
      <c r="E290" s="68" t="s">
        <v>256</v>
      </c>
      <c r="F290" s="100" t="s">
        <v>309</v>
      </c>
      <c r="G290" s="100" t="s">
        <v>309</v>
      </c>
      <c r="H290" s="100" t="s">
        <v>309</v>
      </c>
      <c r="I290" s="100" t="s">
        <v>309</v>
      </c>
      <c r="J290" s="70">
        <v>0.9</v>
      </c>
      <c r="K290" s="71" t="s">
        <v>1710</v>
      </c>
      <c r="L290" s="71" t="s">
        <v>1710</v>
      </c>
      <c r="M290" s="72" t="s">
        <v>1710</v>
      </c>
      <c r="N290" s="71" t="s">
        <v>1710</v>
      </c>
      <c r="O290" s="73">
        <v>0.9</v>
      </c>
      <c r="P290" s="71" t="s">
        <v>1710</v>
      </c>
      <c r="Q290" s="71" t="s">
        <v>1710</v>
      </c>
      <c r="R290" s="71" t="s">
        <v>1710</v>
      </c>
      <c r="S290" s="71" t="s">
        <v>1710</v>
      </c>
      <c r="T290" s="73">
        <v>0.9</v>
      </c>
      <c r="U290" s="71" t="s">
        <v>1710</v>
      </c>
      <c r="V290" s="71" t="s">
        <v>1710</v>
      </c>
      <c r="W290" s="71" t="s">
        <v>1710</v>
      </c>
      <c r="X290" s="71" t="s">
        <v>1710</v>
      </c>
      <c r="Y290" s="73">
        <v>0.92</v>
      </c>
      <c r="Z290" s="73" t="s">
        <v>1710</v>
      </c>
      <c r="AA290" s="73" t="s">
        <v>1710</v>
      </c>
      <c r="AB290" s="73" t="s">
        <v>1710</v>
      </c>
      <c r="AC290" s="73" t="s">
        <v>1710</v>
      </c>
      <c r="AD290" s="73">
        <v>0.92</v>
      </c>
      <c r="AE290" s="71">
        <v>0.98695652173912995</v>
      </c>
      <c r="AF290" s="71">
        <v>1</v>
      </c>
      <c r="AG290" s="71">
        <v>0.97058823529411797</v>
      </c>
      <c r="AH290" s="71">
        <v>0.99289479715791895</v>
      </c>
      <c r="AI290" s="73">
        <v>0.92</v>
      </c>
      <c r="AJ290" s="71" t="s">
        <v>1710</v>
      </c>
      <c r="AK290" s="71" t="s">
        <v>1710</v>
      </c>
      <c r="AL290" s="71" t="s">
        <v>1710</v>
      </c>
      <c r="AM290" s="71" t="s">
        <v>1710</v>
      </c>
      <c r="AN290" s="70">
        <v>0.99</v>
      </c>
      <c r="AO290" s="75" t="s">
        <v>1710</v>
      </c>
      <c r="AP290" s="75" t="s">
        <v>1710</v>
      </c>
      <c r="AQ290" s="75">
        <v>1</v>
      </c>
      <c r="AR290" s="75">
        <v>1</v>
      </c>
      <c r="AS290" s="95">
        <v>9.2228725701943806E-2</v>
      </c>
      <c r="AT290" s="79" t="s">
        <v>1710</v>
      </c>
      <c r="AU290" s="79" t="s">
        <v>1710</v>
      </c>
      <c r="AV290" s="79" t="s">
        <v>1710</v>
      </c>
      <c r="AW290" s="79" t="s">
        <v>1710</v>
      </c>
      <c r="AX290" s="50"/>
      <c r="AY290" s="54"/>
    </row>
    <row r="291" spans="1:51" s="48" customFormat="1">
      <c r="A291" s="53"/>
      <c r="B291" s="50"/>
      <c r="C291" s="99" t="s">
        <v>255</v>
      </c>
      <c r="D291" s="230" t="s">
        <v>1759</v>
      </c>
      <c r="E291" s="68" t="s">
        <v>256</v>
      </c>
      <c r="F291" s="100" t="s">
        <v>310</v>
      </c>
      <c r="G291" s="100" t="s">
        <v>310</v>
      </c>
      <c r="H291" s="100" t="s">
        <v>310</v>
      </c>
      <c r="I291" s="100" t="s">
        <v>310</v>
      </c>
      <c r="J291" s="70">
        <v>0.9</v>
      </c>
      <c r="K291" s="71" t="s">
        <v>1710</v>
      </c>
      <c r="L291" s="71" t="s">
        <v>1710</v>
      </c>
      <c r="M291" s="72" t="s">
        <v>1710</v>
      </c>
      <c r="N291" s="71" t="s">
        <v>1710</v>
      </c>
      <c r="O291" s="73">
        <v>0.9</v>
      </c>
      <c r="P291" s="71">
        <v>0</v>
      </c>
      <c r="Q291" s="71" t="s">
        <v>1710</v>
      </c>
      <c r="R291" s="71" t="s">
        <v>1710</v>
      </c>
      <c r="S291" s="71">
        <v>0.5</v>
      </c>
      <c r="T291" s="73">
        <v>0.9</v>
      </c>
      <c r="U291" s="71">
        <v>1</v>
      </c>
      <c r="V291" s="71" t="s">
        <v>1710</v>
      </c>
      <c r="W291" s="71" t="s">
        <v>1710</v>
      </c>
      <c r="X291" s="71">
        <v>1</v>
      </c>
      <c r="Y291" s="73">
        <v>0.92</v>
      </c>
      <c r="Z291" s="73" t="s">
        <v>1710</v>
      </c>
      <c r="AA291" s="73" t="s">
        <v>1710</v>
      </c>
      <c r="AB291" s="73" t="s">
        <v>1710</v>
      </c>
      <c r="AC291" s="73" t="s">
        <v>1710</v>
      </c>
      <c r="AD291" s="73">
        <v>0.92</v>
      </c>
      <c r="AE291" s="71">
        <v>0.99794359576968295</v>
      </c>
      <c r="AF291" s="71">
        <v>0</v>
      </c>
      <c r="AG291" s="71">
        <v>1</v>
      </c>
      <c r="AH291" s="71">
        <v>0.99741575356626</v>
      </c>
      <c r="AI291" s="73">
        <v>0.92</v>
      </c>
      <c r="AJ291" s="71">
        <v>1</v>
      </c>
      <c r="AK291" s="71" t="s">
        <v>1710</v>
      </c>
      <c r="AL291" s="71" t="s">
        <v>1710</v>
      </c>
      <c r="AM291" s="71">
        <v>1</v>
      </c>
      <c r="AN291" s="70">
        <v>0.99</v>
      </c>
      <c r="AO291" s="75">
        <v>1</v>
      </c>
      <c r="AP291" s="75">
        <v>1</v>
      </c>
      <c r="AQ291" s="75" t="s">
        <v>1710</v>
      </c>
      <c r="AR291" s="75">
        <v>1</v>
      </c>
      <c r="AS291" s="95">
        <v>9.2228725701943806E-2</v>
      </c>
      <c r="AT291" s="79" t="s">
        <v>1710</v>
      </c>
      <c r="AU291" s="79" t="s">
        <v>1710</v>
      </c>
      <c r="AV291" s="79" t="s">
        <v>1710</v>
      </c>
      <c r="AW291" s="79" t="s">
        <v>1710</v>
      </c>
      <c r="AX291" s="50"/>
      <c r="AY291" s="54"/>
    </row>
    <row r="292" spans="1:51" s="48" customFormat="1">
      <c r="A292" s="53"/>
      <c r="B292" s="50"/>
      <c r="C292" s="99" t="s">
        <v>255</v>
      </c>
      <c r="D292" s="230" t="s">
        <v>1759</v>
      </c>
      <c r="E292" s="68" t="s">
        <v>256</v>
      </c>
      <c r="F292" s="100" t="s">
        <v>311</v>
      </c>
      <c r="G292" s="100" t="s">
        <v>311</v>
      </c>
      <c r="H292" s="100" t="s">
        <v>311</v>
      </c>
      <c r="I292" s="100" t="s">
        <v>311</v>
      </c>
      <c r="J292" s="70">
        <v>0.9</v>
      </c>
      <c r="K292" s="71" t="s">
        <v>1710</v>
      </c>
      <c r="L292" s="71" t="s">
        <v>1710</v>
      </c>
      <c r="M292" s="72" t="s">
        <v>1710</v>
      </c>
      <c r="N292" s="71" t="s">
        <v>1710</v>
      </c>
      <c r="O292" s="73">
        <v>0.9</v>
      </c>
      <c r="P292" s="71">
        <v>0</v>
      </c>
      <c r="Q292" s="71">
        <v>0</v>
      </c>
      <c r="R292" s="71">
        <v>0.5</v>
      </c>
      <c r="S292" s="71">
        <v>0.230769230769231</v>
      </c>
      <c r="T292" s="73">
        <v>0.9</v>
      </c>
      <c r="U292" s="71">
        <v>0</v>
      </c>
      <c r="V292" s="71">
        <v>0</v>
      </c>
      <c r="W292" s="71">
        <v>0.25</v>
      </c>
      <c r="X292" s="71">
        <v>0.5</v>
      </c>
      <c r="Y292" s="73">
        <v>0.92</v>
      </c>
      <c r="Z292" s="73">
        <v>0</v>
      </c>
      <c r="AA292" s="73" t="s">
        <v>1710</v>
      </c>
      <c r="AB292" s="73">
        <v>1</v>
      </c>
      <c r="AC292" s="73">
        <v>0.2</v>
      </c>
      <c r="AD292" s="73">
        <v>0.92</v>
      </c>
      <c r="AE292" s="71">
        <v>0.99627471582768201</v>
      </c>
      <c r="AF292" s="71">
        <v>0.98756450688073405</v>
      </c>
      <c r="AG292" s="71">
        <v>0.74220106412769504</v>
      </c>
      <c r="AH292" s="71">
        <v>0.88920833884685202</v>
      </c>
      <c r="AI292" s="73">
        <v>0.92</v>
      </c>
      <c r="AJ292" s="71">
        <v>0.33333333333333298</v>
      </c>
      <c r="AK292" s="71">
        <v>0</v>
      </c>
      <c r="AL292" s="71">
        <v>0.66666666666666696</v>
      </c>
      <c r="AM292" s="71">
        <v>0.51162790697674398</v>
      </c>
      <c r="AN292" s="70">
        <v>0.99</v>
      </c>
      <c r="AO292" s="75">
        <v>1</v>
      </c>
      <c r="AP292" s="75">
        <v>1</v>
      </c>
      <c r="AQ292" s="75">
        <v>1</v>
      </c>
      <c r="AR292" s="75">
        <v>1</v>
      </c>
      <c r="AS292" s="95">
        <v>9.2228725701943806E-2</v>
      </c>
      <c r="AT292" s="79" t="s">
        <v>1710</v>
      </c>
      <c r="AU292" s="79" t="s">
        <v>1710</v>
      </c>
      <c r="AV292" s="79" t="s">
        <v>1710</v>
      </c>
      <c r="AW292" s="79" t="s">
        <v>1710</v>
      </c>
      <c r="AX292" s="50"/>
      <c r="AY292" s="54"/>
    </row>
    <row r="293" spans="1:51" s="48" customFormat="1">
      <c r="A293" s="53"/>
      <c r="B293" s="50"/>
      <c r="C293" s="99" t="s">
        <v>255</v>
      </c>
      <c r="D293" s="230" t="s">
        <v>1759</v>
      </c>
      <c r="E293" s="68" t="s">
        <v>256</v>
      </c>
      <c r="F293" s="100" t="s">
        <v>312</v>
      </c>
      <c r="G293" s="100" t="s">
        <v>312</v>
      </c>
      <c r="H293" s="100" t="s">
        <v>312</v>
      </c>
      <c r="I293" s="100" t="s">
        <v>312</v>
      </c>
      <c r="J293" s="70">
        <v>0.9</v>
      </c>
      <c r="K293" s="71" t="s">
        <v>1710</v>
      </c>
      <c r="L293" s="71" t="s">
        <v>1710</v>
      </c>
      <c r="M293" s="72" t="s">
        <v>1710</v>
      </c>
      <c r="N293" s="71" t="s">
        <v>1710</v>
      </c>
      <c r="O293" s="73">
        <v>0.9</v>
      </c>
      <c r="P293" s="71" t="s">
        <v>1710</v>
      </c>
      <c r="Q293" s="71" t="s">
        <v>1710</v>
      </c>
      <c r="R293" s="71" t="s">
        <v>1710</v>
      </c>
      <c r="S293" s="71">
        <v>0</v>
      </c>
      <c r="T293" s="73">
        <v>0.9</v>
      </c>
      <c r="U293" s="71" t="s">
        <v>1710</v>
      </c>
      <c r="V293" s="71" t="s">
        <v>1710</v>
      </c>
      <c r="W293" s="71" t="s">
        <v>1710</v>
      </c>
      <c r="X293" s="71">
        <v>1</v>
      </c>
      <c r="Y293" s="73">
        <v>0.92</v>
      </c>
      <c r="Z293" s="73" t="s">
        <v>1710</v>
      </c>
      <c r="AA293" s="73" t="s">
        <v>1710</v>
      </c>
      <c r="AB293" s="73" t="s">
        <v>1710</v>
      </c>
      <c r="AC293" s="73" t="s">
        <v>1710</v>
      </c>
      <c r="AD293" s="73">
        <v>0.92</v>
      </c>
      <c r="AE293" s="71">
        <v>0.99778924097273403</v>
      </c>
      <c r="AF293" s="71">
        <v>0.99713467048710602</v>
      </c>
      <c r="AG293" s="71">
        <v>1</v>
      </c>
      <c r="AH293" s="71">
        <v>0.96628362166940296</v>
      </c>
      <c r="AI293" s="73">
        <v>0.92</v>
      </c>
      <c r="AJ293" s="71" t="s">
        <v>1710</v>
      </c>
      <c r="AK293" s="71" t="s">
        <v>1710</v>
      </c>
      <c r="AL293" s="71" t="s">
        <v>1710</v>
      </c>
      <c r="AM293" s="71">
        <v>1</v>
      </c>
      <c r="AN293" s="70">
        <v>0.99</v>
      </c>
      <c r="AO293" s="75">
        <v>1</v>
      </c>
      <c r="AP293" s="75" t="s">
        <v>1710</v>
      </c>
      <c r="AQ293" s="75" t="s">
        <v>1710</v>
      </c>
      <c r="AR293" s="75">
        <v>1</v>
      </c>
      <c r="AS293" s="95">
        <v>9.2228725701943806E-2</v>
      </c>
      <c r="AT293" s="79" t="s">
        <v>1710</v>
      </c>
      <c r="AU293" s="79" t="s">
        <v>1710</v>
      </c>
      <c r="AV293" s="79" t="s">
        <v>1710</v>
      </c>
      <c r="AW293" s="79" t="s">
        <v>1710</v>
      </c>
      <c r="AX293" s="50"/>
      <c r="AY293" s="54"/>
    </row>
    <row r="294" spans="1:51" s="48" customFormat="1">
      <c r="A294" s="53"/>
      <c r="B294" s="50"/>
      <c r="C294" s="99" t="s">
        <v>255</v>
      </c>
      <c r="D294" s="230" t="s">
        <v>1759</v>
      </c>
      <c r="E294" s="68" t="s">
        <v>256</v>
      </c>
      <c r="F294" s="100" t="s">
        <v>313</v>
      </c>
      <c r="G294" s="100" t="s">
        <v>313</v>
      </c>
      <c r="H294" s="100" t="s">
        <v>313</v>
      </c>
      <c r="I294" s="100" t="s">
        <v>313</v>
      </c>
      <c r="J294" s="70">
        <v>0.9</v>
      </c>
      <c r="K294" s="71" t="s">
        <v>1710</v>
      </c>
      <c r="L294" s="71" t="s">
        <v>1710</v>
      </c>
      <c r="M294" s="72" t="s">
        <v>1710</v>
      </c>
      <c r="N294" s="71" t="s">
        <v>1710</v>
      </c>
      <c r="O294" s="73">
        <v>0.9</v>
      </c>
      <c r="P294" s="71" t="s">
        <v>1710</v>
      </c>
      <c r="Q294" s="71" t="s">
        <v>1710</v>
      </c>
      <c r="R294" s="71" t="s">
        <v>1710</v>
      </c>
      <c r="S294" s="71">
        <v>0</v>
      </c>
      <c r="T294" s="73">
        <v>0.9</v>
      </c>
      <c r="U294" s="71" t="s">
        <v>1710</v>
      </c>
      <c r="V294" s="71" t="s">
        <v>1710</v>
      </c>
      <c r="W294" s="71" t="s">
        <v>1710</v>
      </c>
      <c r="X294" s="71">
        <v>0</v>
      </c>
      <c r="Y294" s="73">
        <v>0.92</v>
      </c>
      <c r="Z294" s="73" t="s">
        <v>1710</v>
      </c>
      <c r="AA294" s="73" t="s">
        <v>1710</v>
      </c>
      <c r="AB294" s="73" t="s">
        <v>1710</v>
      </c>
      <c r="AC294" s="73" t="s">
        <v>1710</v>
      </c>
      <c r="AD294" s="73">
        <v>0.92</v>
      </c>
      <c r="AE294" s="71">
        <v>0.92338709677419395</v>
      </c>
      <c r="AF294" s="71">
        <v>1</v>
      </c>
      <c r="AG294" s="71">
        <v>0.89903846153846201</v>
      </c>
      <c r="AH294" s="71">
        <v>0.93365362617250103</v>
      </c>
      <c r="AI294" s="73">
        <v>0.92</v>
      </c>
      <c r="AJ294" s="71" t="s">
        <v>1710</v>
      </c>
      <c r="AK294" s="71" t="s">
        <v>1710</v>
      </c>
      <c r="AL294" s="71" t="s">
        <v>1710</v>
      </c>
      <c r="AM294" s="71">
        <v>0</v>
      </c>
      <c r="AN294" s="70">
        <v>0.99</v>
      </c>
      <c r="AO294" s="75" t="s">
        <v>1710</v>
      </c>
      <c r="AP294" s="75" t="s">
        <v>1710</v>
      </c>
      <c r="AQ294" s="75" t="s">
        <v>1710</v>
      </c>
      <c r="AR294" s="75">
        <v>1</v>
      </c>
      <c r="AS294" s="95">
        <v>9.2228725701943806E-2</v>
      </c>
      <c r="AT294" s="79" t="s">
        <v>1710</v>
      </c>
      <c r="AU294" s="79" t="s">
        <v>1710</v>
      </c>
      <c r="AV294" s="79" t="s">
        <v>1710</v>
      </c>
      <c r="AW294" s="79" t="s">
        <v>1710</v>
      </c>
      <c r="AX294" s="50"/>
      <c r="AY294" s="54"/>
    </row>
    <row r="295" spans="1:51" s="48" customFormat="1">
      <c r="A295" s="53"/>
      <c r="B295" s="50"/>
      <c r="C295" s="99" t="s">
        <v>255</v>
      </c>
      <c r="D295" s="230" t="s">
        <v>1759</v>
      </c>
      <c r="E295" s="68" t="s">
        <v>256</v>
      </c>
      <c r="F295" s="100" t="s">
        <v>314</v>
      </c>
      <c r="G295" s="100" t="s">
        <v>314</v>
      </c>
      <c r="H295" s="100" t="s">
        <v>314</v>
      </c>
      <c r="I295" s="100" t="s">
        <v>314</v>
      </c>
      <c r="J295" s="70">
        <v>0.9</v>
      </c>
      <c r="K295" s="71" t="s">
        <v>1710</v>
      </c>
      <c r="L295" s="71" t="s">
        <v>1710</v>
      </c>
      <c r="M295" s="72" t="s">
        <v>1710</v>
      </c>
      <c r="N295" s="71" t="s">
        <v>1710</v>
      </c>
      <c r="O295" s="73">
        <v>0.9</v>
      </c>
      <c r="P295" s="71" t="s">
        <v>1710</v>
      </c>
      <c r="Q295" s="71" t="s">
        <v>1710</v>
      </c>
      <c r="R295" s="71">
        <v>0</v>
      </c>
      <c r="S295" s="71">
        <v>0</v>
      </c>
      <c r="T295" s="73">
        <v>0.9</v>
      </c>
      <c r="U295" s="71" t="s">
        <v>1710</v>
      </c>
      <c r="V295" s="71" t="s">
        <v>1710</v>
      </c>
      <c r="W295" s="71">
        <v>1</v>
      </c>
      <c r="X295" s="71">
        <v>0.88888888888888895</v>
      </c>
      <c r="Y295" s="73">
        <v>0.92</v>
      </c>
      <c r="Z295" s="73" t="s">
        <v>1710</v>
      </c>
      <c r="AA295" s="73" t="s">
        <v>1710</v>
      </c>
      <c r="AB295" s="73" t="s">
        <v>1710</v>
      </c>
      <c r="AC295" s="73">
        <v>1</v>
      </c>
      <c r="AD295" s="73">
        <v>0.92</v>
      </c>
      <c r="AE295" s="71">
        <v>0.99955150246673596</v>
      </c>
      <c r="AF295" s="71">
        <v>0.99940289595461995</v>
      </c>
      <c r="AG295" s="71">
        <v>0.99946466809421797</v>
      </c>
      <c r="AH295" s="71">
        <v>0.99080380887020703</v>
      </c>
      <c r="AI295" s="73">
        <v>0.92</v>
      </c>
      <c r="AJ295" s="71">
        <v>1</v>
      </c>
      <c r="AK295" s="71" t="s">
        <v>1710</v>
      </c>
      <c r="AL295" s="71">
        <v>1</v>
      </c>
      <c r="AM295" s="71">
        <v>0.90909090909090895</v>
      </c>
      <c r="AN295" s="70">
        <v>0.99</v>
      </c>
      <c r="AO295" s="75" t="s">
        <v>1710</v>
      </c>
      <c r="AP295" s="75" t="s">
        <v>1710</v>
      </c>
      <c r="AQ295" s="75" t="s">
        <v>1710</v>
      </c>
      <c r="AR295" s="75">
        <v>1</v>
      </c>
      <c r="AS295" s="95">
        <v>9.2228725701943806E-2</v>
      </c>
      <c r="AT295" s="79" t="s">
        <v>1710</v>
      </c>
      <c r="AU295" s="79" t="s">
        <v>1710</v>
      </c>
      <c r="AV295" s="79" t="s">
        <v>1710</v>
      </c>
      <c r="AW295" s="79" t="s">
        <v>1710</v>
      </c>
      <c r="AX295" s="50"/>
      <c r="AY295" s="54"/>
    </row>
    <row r="296" spans="1:51" s="48" customFormat="1">
      <c r="A296" s="53"/>
      <c r="B296" s="50"/>
      <c r="C296" s="99" t="s">
        <v>255</v>
      </c>
      <c r="D296" s="230" t="s">
        <v>1757</v>
      </c>
      <c r="E296" s="68" t="s">
        <v>256</v>
      </c>
      <c r="F296" s="100" t="s">
        <v>315</v>
      </c>
      <c r="G296" s="100" t="s">
        <v>315</v>
      </c>
      <c r="H296" s="100" t="s">
        <v>315</v>
      </c>
      <c r="I296" s="100" t="s">
        <v>315</v>
      </c>
      <c r="J296" s="70">
        <v>0.9</v>
      </c>
      <c r="K296" s="71">
        <v>0.91428571428571404</v>
      </c>
      <c r="L296" s="71">
        <v>0.93877551020408201</v>
      </c>
      <c r="M296" s="72">
        <v>0.93693693693693703</v>
      </c>
      <c r="N296" s="71">
        <v>0.94367417677642995</v>
      </c>
      <c r="O296" s="73">
        <v>0.9</v>
      </c>
      <c r="P296" s="71">
        <v>0.96860801321767898</v>
      </c>
      <c r="Q296" s="71">
        <v>0.93683120469451198</v>
      </c>
      <c r="R296" s="71">
        <v>0.90938555030384904</v>
      </c>
      <c r="S296" s="71">
        <v>0.88285951305584498</v>
      </c>
      <c r="T296" s="73">
        <v>0.9</v>
      </c>
      <c r="U296" s="71">
        <v>0.91635687732341997</v>
      </c>
      <c r="V296" s="71">
        <v>0.88401794960303803</v>
      </c>
      <c r="W296" s="71">
        <v>0.88575286968264699</v>
      </c>
      <c r="X296" s="71">
        <v>0.86263381746836398</v>
      </c>
      <c r="Y296" s="73">
        <v>0.92</v>
      </c>
      <c r="Z296" s="73">
        <v>0.93550244745177102</v>
      </c>
      <c r="AA296" s="73">
        <v>0.89635157545605304</v>
      </c>
      <c r="AB296" s="73">
        <v>0.93351063829787195</v>
      </c>
      <c r="AC296" s="73">
        <v>0.93281274161125705</v>
      </c>
      <c r="AD296" s="73">
        <v>0.92</v>
      </c>
      <c r="AE296" s="71">
        <v>0.99785407725321895</v>
      </c>
      <c r="AF296" s="71">
        <v>0.98675496688741704</v>
      </c>
      <c r="AG296" s="71">
        <v>0.99669966996699699</v>
      </c>
      <c r="AH296" s="71">
        <v>0.99378881987577605</v>
      </c>
      <c r="AI296" s="73">
        <v>0.92</v>
      </c>
      <c r="AJ296" s="71">
        <v>0.95972105326439805</v>
      </c>
      <c r="AK296" s="71">
        <v>0.96257142857142897</v>
      </c>
      <c r="AL296" s="71">
        <v>0.96610332245054698</v>
      </c>
      <c r="AM296" s="71">
        <v>0.96667681519529403</v>
      </c>
      <c r="AN296" s="70">
        <v>0.99</v>
      </c>
      <c r="AO296" s="75">
        <v>1</v>
      </c>
      <c r="AP296" s="75">
        <v>1</v>
      </c>
      <c r="AQ296" s="75">
        <v>1</v>
      </c>
      <c r="AR296" s="75">
        <v>1</v>
      </c>
      <c r="AS296" s="95">
        <v>9.2228725701943806E-2</v>
      </c>
      <c r="AT296" s="79">
        <v>0</v>
      </c>
      <c r="AU296" s="79">
        <v>0.14285714285714299</v>
      </c>
      <c r="AV296" s="79">
        <v>5.2631578947368397E-2</v>
      </c>
      <c r="AW296" s="79">
        <v>9.27152317880795E-2</v>
      </c>
      <c r="AX296" s="50"/>
      <c r="AY296" s="54"/>
    </row>
    <row r="297" spans="1:51" s="48" customFormat="1">
      <c r="A297" s="53"/>
      <c r="B297" s="50"/>
      <c r="C297" s="99" t="s">
        <v>255</v>
      </c>
      <c r="D297" s="230" t="s">
        <v>1757</v>
      </c>
      <c r="E297" s="68" t="s">
        <v>256</v>
      </c>
      <c r="F297" s="101" t="s">
        <v>316</v>
      </c>
      <c r="G297" s="101" t="s">
        <v>316</v>
      </c>
      <c r="H297" s="101" t="s">
        <v>316</v>
      </c>
      <c r="I297" s="101" t="s">
        <v>316</v>
      </c>
      <c r="J297" s="70">
        <v>0.9</v>
      </c>
      <c r="K297" s="71" t="s">
        <v>1710</v>
      </c>
      <c r="L297" s="71" t="s">
        <v>1710</v>
      </c>
      <c r="M297" s="72" t="s">
        <v>1710</v>
      </c>
      <c r="N297" s="71" t="s">
        <v>1710</v>
      </c>
      <c r="O297" s="73">
        <v>0.9</v>
      </c>
      <c r="P297" s="71" t="s">
        <v>1710</v>
      </c>
      <c r="Q297" s="71" t="s">
        <v>1710</v>
      </c>
      <c r="R297" s="71" t="s">
        <v>1710</v>
      </c>
      <c r="S297" s="71" t="s">
        <v>1710</v>
      </c>
      <c r="T297" s="73">
        <v>0.9</v>
      </c>
      <c r="U297" s="71" t="s">
        <v>1710</v>
      </c>
      <c r="V297" s="71" t="s">
        <v>1710</v>
      </c>
      <c r="W297" s="71" t="s">
        <v>1710</v>
      </c>
      <c r="X297" s="71" t="s">
        <v>1710</v>
      </c>
      <c r="Y297" s="73">
        <v>0.92</v>
      </c>
      <c r="Z297" s="73" t="s">
        <v>1710</v>
      </c>
      <c r="AA297" s="73" t="s">
        <v>1710</v>
      </c>
      <c r="AB297" s="73" t="s">
        <v>1710</v>
      </c>
      <c r="AC297" s="73" t="s">
        <v>1710</v>
      </c>
      <c r="AD297" s="73">
        <v>0.92</v>
      </c>
      <c r="AE297" s="71" t="s">
        <v>1710</v>
      </c>
      <c r="AF297" s="71" t="s">
        <v>1710</v>
      </c>
      <c r="AG297" s="71" t="s">
        <v>1710</v>
      </c>
      <c r="AH297" s="71" t="s">
        <v>1710</v>
      </c>
      <c r="AI297" s="73">
        <v>0.92</v>
      </c>
      <c r="AJ297" s="71" t="s">
        <v>1710</v>
      </c>
      <c r="AK297" s="71" t="s">
        <v>1710</v>
      </c>
      <c r="AL297" s="71" t="s">
        <v>1710</v>
      </c>
      <c r="AM297" s="71" t="s">
        <v>1710</v>
      </c>
      <c r="AN297" s="70">
        <v>0.99</v>
      </c>
      <c r="AO297" s="75" t="s">
        <v>1710</v>
      </c>
      <c r="AP297" s="75" t="s">
        <v>1710</v>
      </c>
      <c r="AQ297" s="75" t="s">
        <v>1710</v>
      </c>
      <c r="AR297" s="75" t="s">
        <v>1710</v>
      </c>
      <c r="AS297" s="95">
        <v>9.2228725701943806E-2</v>
      </c>
      <c r="AT297" s="79" t="s">
        <v>1710</v>
      </c>
      <c r="AU297" s="79" t="s">
        <v>1710</v>
      </c>
      <c r="AV297" s="79" t="s">
        <v>1710</v>
      </c>
      <c r="AW297" s="79" t="s">
        <v>1710</v>
      </c>
      <c r="AX297" s="50"/>
      <c r="AY297" s="54"/>
    </row>
    <row r="298" spans="1:51" s="48" customFormat="1">
      <c r="A298" s="53"/>
      <c r="B298" s="50"/>
      <c r="C298" s="99" t="s">
        <v>255</v>
      </c>
      <c r="D298" s="230" t="s">
        <v>1757</v>
      </c>
      <c r="E298" s="68" t="s">
        <v>256</v>
      </c>
      <c r="F298" s="100" t="s">
        <v>317</v>
      </c>
      <c r="G298" s="100" t="s">
        <v>317</v>
      </c>
      <c r="H298" s="100" t="s">
        <v>317</v>
      </c>
      <c r="I298" s="100" t="s">
        <v>317</v>
      </c>
      <c r="J298" s="70">
        <v>0.9</v>
      </c>
      <c r="K298" s="71">
        <v>0.962686567164179</v>
      </c>
      <c r="L298" s="71">
        <v>0.91743119266055095</v>
      </c>
      <c r="M298" s="72">
        <v>0.97413793103448298</v>
      </c>
      <c r="N298" s="71">
        <v>0.95385724585436205</v>
      </c>
      <c r="O298" s="73">
        <v>0.9</v>
      </c>
      <c r="P298" s="71">
        <v>0.95871960818611202</v>
      </c>
      <c r="Q298" s="71">
        <v>0.94646065397053503</v>
      </c>
      <c r="R298" s="71">
        <v>0.86588203092924598</v>
      </c>
      <c r="S298" s="71">
        <v>0.91635466847263602</v>
      </c>
      <c r="T298" s="73">
        <v>0.9</v>
      </c>
      <c r="U298" s="71">
        <v>0.93265698793073304</v>
      </c>
      <c r="V298" s="71">
        <v>0.91735537190082606</v>
      </c>
      <c r="W298" s="71">
        <v>0.90858081291911896</v>
      </c>
      <c r="X298" s="71">
        <v>0.91478296425970196</v>
      </c>
      <c r="Y298" s="73">
        <v>0.92</v>
      </c>
      <c r="Z298" s="73">
        <v>0.97576530612244905</v>
      </c>
      <c r="AA298" s="73">
        <v>0.94436717663421399</v>
      </c>
      <c r="AB298" s="73">
        <v>0.98907019704433496</v>
      </c>
      <c r="AC298" s="73">
        <v>0.979580614959354</v>
      </c>
      <c r="AD298" s="73">
        <v>0.92</v>
      </c>
      <c r="AE298" s="71">
        <v>0.99778024417314104</v>
      </c>
      <c r="AF298" s="71">
        <v>0.54768703597944002</v>
      </c>
      <c r="AG298" s="71">
        <v>0.99437570303711997</v>
      </c>
      <c r="AH298" s="71">
        <v>0.94429539482782499</v>
      </c>
      <c r="AI298" s="73">
        <v>0.92</v>
      </c>
      <c r="AJ298" s="71">
        <v>0.98228977827360198</v>
      </c>
      <c r="AK298" s="71">
        <v>0.97713811892916402</v>
      </c>
      <c r="AL298" s="71">
        <v>0.99108889371875697</v>
      </c>
      <c r="AM298" s="71">
        <v>0.987010221465077</v>
      </c>
      <c r="AN298" s="70">
        <v>0.99</v>
      </c>
      <c r="AO298" s="75">
        <v>1</v>
      </c>
      <c r="AP298" s="75">
        <v>1</v>
      </c>
      <c r="AQ298" s="75">
        <v>1</v>
      </c>
      <c r="AR298" s="75">
        <v>1</v>
      </c>
      <c r="AS298" s="95">
        <v>9.2228725701943806E-2</v>
      </c>
      <c r="AT298" s="79">
        <v>6.25E-2</v>
      </c>
      <c r="AU298" s="79">
        <v>0.217391304347826</v>
      </c>
      <c r="AV298" s="79">
        <v>0.2</v>
      </c>
      <c r="AW298" s="79">
        <v>6.7500000000000004E-2</v>
      </c>
      <c r="AX298" s="50"/>
      <c r="AY298" s="54"/>
    </row>
    <row r="299" spans="1:51" s="48" customFormat="1">
      <c r="A299" s="53"/>
      <c r="B299" s="50"/>
      <c r="C299" s="99" t="s">
        <v>255</v>
      </c>
      <c r="D299" s="230" t="s">
        <v>1757</v>
      </c>
      <c r="E299" s="68" t="s">
        <v>256</v>
      </c>
      <c r="F299" s="100" t="s">
        <v>318</v>
      </c>
      <c r="G299" s="100" t="s">
        <v>318</v>
      </c>
      <c r="H299" s="100" t="s">
        <v>318</v>
      </c>
      <c r="I299" s="100" t="s">
        <v>318</v>
      </c>
      <c r="J299" s="70">
        <v>0.9</v>
      </c>
      <c r="K299" s="71">
        <v>0.96703296703296704</v>
      </c>
      <c r="L299" s="71">
        <v>0.96153846153846201</v>
      </c>
      <c r="M299" s="72">
        <v>0.92814371257484996</v>
      </c>
      <c r="N299" s="71">
        <v>0.95902883156297403</v>
      </c>
      <c r="O299" s="73">
        <v>0.9</v>
      </c>
      <c r="P299" s="71">
        <v>0.95690936106983704</v>
      </c>
      <c r="Q299" s="71">
        <v>0.93391595833832197</v>
      </c>
      <c r="R299" s="71">
        <v>0.92789968652037602</v>
      </c>
      <c r="S299" s="71">
        <v>0.92765393221181702</v>
      </c>
      <c r="T299" s="73">
        <v>0.9</v>
      </c>
      <c r="U299" s="71">
        <v>0.93796433878157504</v>
      </c>
      <c r="V299" s="71">
        <v>0.93331737100443002</v>
      </c>
      <c r="W299" s="71">
        <v>0.92385478814844801</v>
      </c>
      <c r="X299" s="71">
        <v>0.92329861974346905</v>
      </c>
      <c r="Y299" s="73">
        <v>0.92</v>
      </c>
      <c r="Z299" s="73">
        <v>0.97707143448389999</v>
      </c>
      <c r="AA299" s="73">
        <v>0.98285714285714298</v>
      </c>
      <c r="AB299" s="73">
        <v>0.97700773673313701</v>
      </c>
      <c r="AC299" s="73">
        <v>0.98053861734163505</v>
      </c>
      <c r="AD299" s="73">
        <v>0.92</v>
      </c>
      <c r="AE299" s="71">
        <v>0.99223034734917703</v>
      </c>
      <c r="AF299" s="71">
        <v>0.55207280080889798</v>
      </c>
      <c r="AG299" s="71">
        <v>0.98514412416851405</v>
      </c>
      <c r="AH299" s="71">
        <v>0.97133526850508001</v>
      </c>
      <c r="AI299" s="73">
        <v>0.92</v>
      </c>
      <c r="AJ299" s="71">
        <v>0.98229166666666701</v>
      </c>
      <c r="AK299" s="71">
        <v>0.98892380204241903</v>
      </c>
      <c r="AL299" s="71">
        <v>0.98358506398154</v>
      </c>
      <c r="AM299" s="71">
        <v>0.98691337974470394</v>
      </c>
      <c r="AN299" s="70">
        <v>0.99</v>
      </c>
      <c r="AO299" s="75">
        <v>1</v>
      </c>
      <c r="AP299" s="75">
        <v>1</v>
      </c>
      <c r="AQ299" s="75">
        <v>1</v>
      </c>
      <c r="AR299" s="75">
        <v>1</v>
      </c>
      <c r="AS299" s="95">
        <v>9.2228725701943806E-2</v>
      </c>
      <c r="AT299" s="79">
        <v>0.04</v>
      </c>
      <c r="AU299" s="79">
        <v>0.11764705882352899</v>
      </c>
      <c r="AV299" s="79">
        <v>0.150684931506849</v>
      </c>
      <c r="AW299" s="79">
        <v>0.118954248366013</v>
      </c>
      <c r="AX299" s="50"/>
      <c r="AY299" s="54"/>
    </row>
    <row r="300" spans="1:51" s="48" customFormat="1">
      <c r="A300" s="53"/>
      <c r="B300" s="50"/>
      <c r="C300" s="99" t="s">
        <v>255</v>
      </c>
      <c r="D300" s="230" t="s">
        <v>1759</v>
      </c>
      <c r="E300" s="68" t="s">
        <v>256</v>
      </c>
      <c r="F300" s="100" t="s">
        <v>319</v>
      </c>
      <c r="G300" s="100" t="s">
        <v>319</v>
      </c>
      <c r="H300" s="100" t="s">
        <v>319</v>
      </c>
      <c r="I300" s="100" t="s">
        <v>319</v>
      </c>
      <c r="J300" s="70">
        <v>0.9</v>
      </c>
      <c r="K300" s="71" t="s">
        <v>1710</v>
      </c>
      <c r="L300" s="71" t="s">
        <v>1710</v>
      </c>
      <c r="M300" s="72" t="s">
        <v>1710</v>
      </c>
      <c r="N300" s="71" t="s">
        <v>1710</v>
      </c>
      <c r="O300" s="73">
        <v>0.9</v>
      </c>
      <c r="P300" s="71">
        <v>0</v>
      </c>
      <c r="Q300" s="71" t="s">
        <v>1710</v>
      </c>
      <c r="R300" s="71" t="s">
        <v>1710</v>
      </c>
      <c r="S300" s="71">
        <v>0</v>
      </c>
      <c r="T300" s="73">
        <v>0.9</v>
      </c>
      <c r="U300" s="71">
        <v>1</v>
      </c>
      <c r="V300" s="71" t="s">
        <v>1710</v>
      </c>
      <c r="W300" s="71" t="s">
        <v>1710</v>
      </c>
      <c r="X300" s="71">
        <v>1</v>
      </c>
      <c r="Y300" s="73">
        <v>0.92</v>
      </c>
      <c r="Z300" s="73" t="s">
        <v>1710</v>
      </c>
      <c r="AA300" s="73" t="s">
        <v>1710</v>
      </c>
      <c r="AB300" s="73" t="s">
        <v>1710</v>
      </c>
      <c r="AC300" s="73" t="s">
        <v>1710</v>
      </c>
      <c r="AD300" s="73">
        <v>0.92</v>
      </c>
      <c r="AE300" s="71">
        <v>0.97179253867152005</v>
      </c>
      <c r="AF300" s="71">
        <v>0.936746987951807</v>
      </c>
      <c r="AG300" s="71">
        <v>0.973941368078176</v>
      </c>
      <c r="AH300" s="71">
        <v>0.95938448654872799</v>
      </c>
      <c r="AI300" s="73">
        <v>0.92</v>
      </c>
      <c r="AJ300" s="71">
        <v>1</v>
      </c>
      <c r="AK300" s="71" t="s">
        <v>1710</v>
      </c>
      <c r="AL300" s="71" t="s">
        <v>1710</v>
      </c>
      <c r="AM300" s="71">
        <v>1</v>
      </c>
      <c r="AN300" s="70">
        <v>0.99</v>
      </c>
      <c r="AO300" s="75">
        <v>1</v>
      </c>
      <c r="AP300" s="75" t="s">
        <v>1710</v>
      </c>
      <c r="AQ300" s="75" t="s">
        <v>1710</v>
      </c>
      <c r="AR300" s="75">
        <v>1</v>
      </c>
      <c r="AS300" s="95">
        <v>9.2228725701943806E-2</v>
      </c>
      <c r="AT300" s="79" t="s">
        <v>1710</v>
      </c>
      <c r="AU300" s="79" t="s">
        <v>1710</v>
      </c>
      <c r="AV300" s="79" t="s">
        <v>1710</v>
      </c>
      <c r="AW300" s="79" t="s">
        <v>1710</v>
      </c>
      <c r="AX300" s="50"/>
      <c r="AY300" s="54"/>
    </row>
    <row r="301" spans="1:51" s="48" customFormat="1">
      <c r="A301" s="53"/>
      <c r="B301" s="50"/>
      <c r="C301" s="99" t="s">
        <v>255</v>
      </c>
      <c r="D301" s="230" t="s">
        <v>1759</v>
      </c>
      <c r="E301" s="68" t="s">
        <v>256</v>
      </c>
      <c r="F301" s="100" t="s">
        <v>320</v>
      </c>
      <c r="G301" s="100" t="s">
        <v>320</v>
      </c>
      <c r="H301" s="100" t="s">
        <v>320</v>
      </c>
      <c r="I301" s="100" t="s">
        <v>320</v>
      </c>
      <c r="J301" s="70">
        <v>0.9</v>
      </c>
      <c r="K301" s="71" t="s">
        <v>1710</v>
      </c>
      <c r="L301" s="71" t="s">
        <v>1710</v>
      </c>
      <c r="M301" s="72" t="s">
        <v>1710</v>
      </c>
      <c r="N301" s="71" t="s">
        <v>1710</v>
      </c>
      <c r="O301" s="73">
        <v>0.9</v>
      </c>
      <c r="P301" s="71" t="s">
        <v>1710</v>
      </c>
      <c r="Q301" s="71" t="s">
        <v>1710</v>
      </c>
      <c r="R301" s="71" t="s">
        <v>1710</v>
      </c>
      <c r="S301" s="71" t="s">
        <v>1710</v>
      </c>
      <c r="T301" s="73">
        <v>0.9</v>
      </c>
      <c r="U301" s="71" t="s">
        <v>1710</v>
      </c>
      <c r="V301" s="71" t="s">
        <v>1710</v>
      </c>
      <c r="W301" s="71" t="s">
        <v>1710</v>
      </c>
      <c r="X301" s="71" t="s">
        <v>1710</v>
      </c>
      <c r="Y301" s="73">
        <v>0.92</v>
      </c>
      <c r="Z301" s="73" t="s">
        <v>1710</v>
      </c>
      <c r="AA301" s="73" t="s">
        <v>1710</v>
      </c>
      <c r="AB301" s="73" t="s">
        <v>1710</v>
      </c>
      <c r="AC301" s="73" t="s">
        <v>1710</v>
      </c>
      <c r="AD301" s="73">
        <v>0.92</v>
      </c>
      <c r="AE301" s="71">
        <v>0.99425287356321801</v>
      </c>
      <c r="AF301" s="71">
        <v>0.99303135888501703</v>
      </c>
      <c r="AG301" s="71">
        <v>1</v>
      </c>
      <c r="AH301" s="71">
        <v>0.99507389162561599</v>
      </c>
      <c r="AI301" s="73">
        <v>0.92</v>
      </c>
      <c r="AJ301" s="71" t="s">
        <v>1710</v>
      </c>
      <c r="AK301" s="71" t="s">
        <v>1710</v>
      </c>
      <c r="AL301" s="71" t="s">
        <v>1710</v>
      </c>
      <c r="AM301" s="71" t="s">
        <v>1710</v>
      </c>
      <c r="AN301" s="70">
        <v>0.99</v>
      </c>
      <c r="AO301" s="75">
        <v>1</v>
      </c>
      <c r="AP301" s="75" t="s">
        <v>1710</v>
      </c>
      <c r="AQ301" s="75" t="s">
        <v>1710</v>
      </c>
      <c r="AR301" s="75">
        <v>1</v>
      </c>
      <c r="AS301" s="95">
        <v>9.2228725701943806E-2</v>
      </c>
      <c r="AT301" s="79" t="s">
        <v>1710</v>
      </c>
      <c r="AU301" s="79" t="s">
        <v>1710</v>
      </c>
      <c r="AV301" s="79" t="s">
        <v>1710</v>
      </c>
      <c r="AW301" s="79" t="s">
        <v>1710</v>
      </c>
      <c r="AX301" s="50"/>
      <c r="AY301" s="54"/>
    </row>
    <row r="302" spans="1:51" s="48" customFormat="1">
      <c r="A302" s="53"/>
      <c r="B302" s="50"/>
      <c r="C302" s="99" t="s">
        <v>255</v>
      </c>
      <c r="D302" s="230" t="s">
        <v>1759</v>
      </c>
      <c r="E302" s="68" t="s">
        <v>256</v>
      </c>
      <c r="F302" s="100" t="s">
        <v>321</v>
      </c>
      <c r="G302" s="100" t="s">
        <v>321</v>
      </c>
      <c r="H302" s="100" t="s">
        <v>321</v>
      </c>
      <c r="I302" s="100" t="s">
        <v>321</v>
      </c>
      <c r="J302" s="70">
        <v>0.9</v>
      </c>
      <c r="K302" s="71" t="s">
        <v>1710</v>
      </c>
      <c r="L302" s="71" t="s">
        <v>1710</v>
      </c>
      <c r="M302" s="72" t="s">
        <v>1710</v>
      </c>
      <c r="N302" s="71" t="s">
        <v>1710</v>
      </c>
      <c r="O302" s="73">
        <v>0.9</v>
      </c>
      <c r="P302" s="71">
        <v>0.97499999999999998</v>
      </c>
      <c r="Q302" s="71">
        <v>0.939393939393939</v>
      </c>
      <c r="R302" s="71">
        <v>0.97222222222222199</v>
      </c>
      <c r="S302" s="71">
        <v>0.97427652733118997</v>
      </c>
      <c r="T302" s="73">
        <v>0.9</v>
      </c>
      <c r="U302" s="71">
        <v>0.97499999999999998</v>
      </c>
      <c r="V302" s="71">
        <v>0.90909090909090895</v>
      </c>
      <c r="W302" s="71">
        <v>0.97222222222222199</v>
      </c>
      <c r="X302" s="71">
        <v>0.977491961414791</v>
      </c>
      <c r="Y302" s="73">
        <v>0.92</v>
      </c>
      <c r="Z302" s="73">
        <v>1</v>
      </c>
      <c r="AA302" s="73">
        <v>0.90909090909090895</v>
      </c>
      <c r="AB302" s="73">
        <v>0.875</v>
      </c>
      <c r="AC302" s="73">
        <v>0.95833333333333304</v>
      </c>
      <c r="AD302" s="73">
        <v>0.92</v>
      </c>
      <c r="AE302" s="71">
        <v>0.47607361963190198</v>
      </c>
      <c r="AF302" s="71">
        <v>0.99842519685039399</v>
      </c>
      <c r="AG302" s="71">
        <v>0.99889705882352897</v>
      </c>
      <c r="AH302" s="71">
        <v>0.93315362248606704</v>
      </c>
      <c r="AI302" s="73">
        <v>0.92</v>
      </c>
      <c r="AJ302" s="71">
        <v>1</v>
      </c>
      <c r="AK302" s="71">
        <v>0.90909090909090895</v>
      </c>
      <c r="AL302" s="71">
        <v>0.96296296296296302</v>
      </c>
      <c r="AM302" s="71">
        <v>0.97494780793319402</v>
      </c>
      <c r="AN302" s="70">
        <v>0.99</v>
      </c>
      <c r="AO302" s="75" t="s">
        <v>1710</v>
      </c>
      <c r="AP302" s="75">
        <v>1</v>
      </c>
      <c r="AQ302" s="75" t="s">
        <v>1710</v>
      </c>
      <c r="AR302" s="75">
        <v>1</v>
      </c>
      <c r="AS302" s="95">
        <v>9.2228725701943806E-2</v>
      </c>
      <c r="AT302" s="79">
        <v>0</v>
      </c>
      <c r="AU302" s="79" t="s">
        <v>1710</v>
      </c>
      <c r="AV302" s="79" t="s">
        <v>1710</v>
      </c>
      <c r="AW302" s="79">
        <v>0</v>
      </c>
      <c r="AX302" s="50"/>
      <c r="AY302" s="54"/>
    </row>
    <row r="303" spans="1:51" s="48" customFormat="1">
      <c r="A303" s="53"/>
      <c r="B303" s="50"/>
      <c r="C303" s="99" t="s">
        <v>255</v>
      </c>
      <c r="D303" s="230" t="s">
        <v>1759</v>
      </c>
      <c r="E303" s="68" t="s">
        <v>256</v>
      </c>
      <c r="F303" s="100" t="s">
        <v>322</v>
      </c>
      <c r="G303" s="100" t="s">
        <v>322</v>
      </c>
      <c r="H303" s="100" t="s">
        <v>322</v>
      </c>
      <c r="I303" s="100" t="s">
        <v>322</v>
      </c>
      <c r="J303" s="70">
        <v>0.9</v>
      </c>
      <c r="K303" s="71" t="s">
        <v>1710</v>
      </c>
      <c r="L303" s="71" t="s">
        <v>1710</v>
      </c>
      <c r="M303" s="72" t="s">
        <v>1710</v>
      </c>
      <c r="N303" s="71" t="s">
        <v>1710</v>
      </c>
      <c r="O303" s="73">
        <v>0.9</v>
      </c>
      <c r="P303" s="71" t="s">
        <v>1710</v>
      </c>
      <c r="Q303" s="71" t="s">
        <v>1710</v>
      </c>
      <c r="R303" s="71">
        <v>1</v>
      </c>
      <c r="S303" s="71">
        <v>1</v>
      </c>
      <c r="T303" s="73">
        <v>0.9</v>
      </c>
      <c r="U303" s="71" t="s">
        <v>1710</v>
      </c>
      <c r="V303" s="71" t="s">
        <v>1710</v>
      </c>
      <c r="W303" s="71">
        <v>0</v>
      </c>
      <c r="X303" s="71">
        <v>0</v>
      </c>
      <c r="Y303" s="73">
        <v>0.92</v>
      </c>
      <c r="Z303" s="73" t="s">
        <v>1710</v>
      </c>
      <c r="AA303" s="73" t="s">
        <v>1710</v>
      </c>
      <c r="AB303" s="73" t="s">
        <v>1710</v>
      </c>
      <c r="AC303" s="73">
        <v>0</v>
      </c>
      <c r="AD303" s="73">
        <v>0.92</v>
      </c>
      <c r="AE303" s="71">
        <v>0.99879518072289197</v>
      </c>
      <c r="AF303" s="71">
        <v>0.99850374064837899</v>
      </c>
      <c r="AG303" s="71">
        <v>0.99941804073714802</v>
      </c>
      <c r="AH303" s="71">
        <v>0.99271773054050305</v>
      </c>
      <c r="AI303" s="73">
        <v>0.92</v>
      </c>
      <c r="AJ303" s="71" t="s">
        <v>1710</v>
      </c>
      <c r="AK303" s="71" t="s">
        <v>1710</v>
      </c>
      <c r="AL303" s="71">
        <v>1</v>
      </c>
      <c r="AM303" s="71">
        <v>0.33333333333333298</v>
      </c>
      <c r="AN303" s="70">
        <v>0.99</v>
      </c>
      <c r="AO303" s="75">
        <v>1</v>
      </c>
      <c r="AP303" s="75">
        <v>1</v>
      </c>
      <c r="AQ303" s="75">
        <v>1</v>
      </c>
      <c r="AR303" s="75">
        <v>1</v>
      </c>
      <c r="AS303" s="95">
        <v>9.2228725701943806E-2</v>
      </c>
      <c r="AT303" s="79" t="s">
        <v>1710</v>
      </c>
      <c r="AU303" s="79" t="s">
        <v>1710</v>
      </c>
      <c r="AV303" s="79" t="s">
        <v>1710</v>
      </c>
      <c r="AW303" s="79" t="s">
        <v>1710</v>
      </c>
      <c r="AX303" s="50"/>
      <c r="AY303" s="54"/>
    </row>
    <row r="304" spans="1:51" s="48" customFormat="1">
      <c r="A304" s="53"/>
      <c r="B304" s="50"/>
      <c r="C304" s="99" t="s">
        <v>255</v>
      </c>
      <c r="D304" s="230" t="s">
        <v>1759</v>
      </c>
      <c r="E304" s="68" t="s">
        <v>256</v>
      </c>
      <c r="F304" s="100" t="s">
        <v>323</v>
      </c>
      <c r="G304" s="100" t="s">
        <v>323</v>
      </c>
      <c r="H304" s="100" t="s">
        <v>323</v>
      </c>
      <c r="I304" s="100" t="s">
        <v>323</v>
      </c>
      <c r="J304" s="70">
        <v>0.9</v>
      </c>
      <c r="K304" s="71" t="s">
        <v>1710</v>
      </c>
      <c r="L304" s="71" t="s">
        <v>1710</v>
      </c>
      <c r="M304" s="72" t="s">
        <v>1710</v>
      </c>
      <c r="N304" s="71" t="s">
        <v>1710</v>
      </c>
      <c r="O304" s="73">
        <v>0.9</v>
      </c>
      <c r="P304" s="71">
        <v>0.125</v>
      </c>
      <c r="Q304" s="71" t="s">
        <v>1710</v>
      </c>
      <c r="R304" s="71">
        <v>0.2</v>
      </c>
      <c r="S304" s="71">
        <v>0.104166666666667</v>
      </c>
      <c r="T304" s="73">
        <v>0.9</v>
      </c>
      <c r="U304" s="71">
        <v>0</v>
      </c>
      <c r="V304" s="71" t="s">
        <v>1710</v>
      </c>
      <c r="W304" s="71">
        <v>0</v>
      </c>
      <c r="X304" s="71">
        <v>0.64583333333333304</v>
      </c>
      <c r="Y304" s="73">
        <v>0.92</v>
      </c>
      <c r="Z304" s="73">
        <v>0</v>
      </c>
      <c r="AA304" s="73" t="s">
        <v>1710</v>
      </c>
      <c r="AB304" s="73">
        <v>0</v>
      </c>
      <c r="AC304" s="73">
        <v>0.33333333333333298</v>
      </c>
      <c r="AD304" s="73">
        <v>0.92</v>
      </c>
      <c r="AE304" s="71">
        <v>0.98569915254237295</v>
      </c>
      <c r="AF304" s="71">
        <v>0.93483709273183002</v>
      </c>
      <c r="AG304" s="71">
        <v>0.99880023995200995</v>
      </c>
      <c r="AH304" s="71">
        <v>0.97963553388347102</v>
      </c>
      <c r="AI304" s="73">
        <v>0.92</v>
      </c>
      <c r="AJ304" s="71">
        <v>0</v>
      </c>
      <c r="AK304" s="71" t="s">
        <v>1710</v>
      </c>
      <c r="AL304" s="71">
        <v>0.14285714285714299</v>
      </c>
      <c r="AM304" s="71">
        <v>0.56338028169014098</v>
      </c>
      <c r="AN304" s="70">
        <v>0.99</v>
      </c>
      <c r="AO304" s="75">
        <v>1</v>
      </c>
      <c r="AP304" s="75">
        <v>1</v>
      </c>
      <c r="AQ304" s="75">
        <v>1</v>
      </c>
      <c r="AR304" s="75">
        <v>1</v>
      </c>
      <c r="AS304" s="95">
        <v>9.2228725701943806E-2</v>
      </c>
      <c r="AT304" s="79">
        <v>0</v>
      </c>
      <c r="AU304" s="79" t="s">
        <v>1710</v>
      </c>
      <c r="AV304" s="79" t="s">
        <v>1710</v>
      </c>
      <c r="AW304" s="79">
        <v>0</v>
      </c>
      <c r="AX304" s="50"/>
      <c r="AY304" s="54"/>
    </row>
    <row r="305" spans="1:51" s="48" customFormat="1">
      <c r="A305" s="53"/>
      <c r="B305" s="50"/>
      <c r="C305" s="99" t="s">
        <v>255</v>
      </c>
      <c r="D305" s="230" t="s">
        <v>1759</v>
      </c>
      <c r="E305" s="68" t="s">
        <v>256</v>
      </c>
      <c r="F305" s="100" t="s">
        <v>324</v>
      </c>
      <c r="G305" s="100" t="s">
        <v>324</v>
      </c>
      <c r="H305" s="100" t="s">
        <v>324</v>
      </c>
      <c r="I305" s="100" t="s">
        <v>324</v>
      </c>
      <c r="J305" s="70">
        <v>0.9</v>
      </c>
      <c r="K305" s="71" t="s">
        <v>1710</v>
      </c>
      <c r="L305" s="71" t="s">
        <v>1710</v>
      </c>
      <c r="M305" s="72" t="s">
        <v>1710</v>
      </c>
      <c r="N305" s="71" t="s">
        <v>1710</v>
      </c>
      <c r="O305" s="73">
        <v>0.9</v>
      </c>
      <c r="P305" s="71" t="s">
        <v>1710</v>
      </c>
      <c r="Q305" s="71" t="s">
        <v>1710</v>
      </c>
      <c r="R305" s="71" t="s">
        <v>1710</v>
      </c>
      <c r="S305" s="71">
        <v>0</v>
      </c>
      <c r="T305" s="73">
        <v>0.9</v>
      </c>
      <c r="U305" s="71" t="s">
        <v>1710</v>
      </c>
      <c r="V305" s="71" t="s">
        <v>1710</v>
      </c>
      <c r="W305" s="71" t="s">
        <v>1710</v>
      </c>
      <c r="X305" s="71">
        <v>1</v>
      </c>
      <c r="Y305" s="73">
        <v>0.92</v>
      </c>
      <c r="Z305" s="73" t="s">
        <v>1710</v>
      </c>
      <c r="AA305" s="73" t="s">
        <v>1710</v>
      </c>
      <c r="AB305" s="73" t="s">
        <v>1710</v>
      </c>
      <c r="AC305" s="73" t="s">
        <v>1710</v>
      </c>
      <c r="AD305" s="73">
        <v>0.92</v>
      </c>
      <c r="AE305" s="71">
        <v>0.99925205684368001</v>
      </c>
      <c r="AF305" s="71">
        <v>0.99576834723733498</v>
      </c>
      <c r="AG305" s="71">
        <v>0.99973815134852095</v>
      </c>
      <c r="AH305" s="71">
        <v>0.99495002630194596</v>
      </c>
      <c r="AI305" s="73">
        <v>0.92</v>
      </c>
      <c r="AJ305" s="71" t="s">
        <v>1710</v>
      </c>
      <c r="AK305" s="71" t="s">
        <v>1710</v>
      </c>
      <c r="AL305" s="71" t="s">
        <v>1710</v>
      </c>
      <c r="AM305" s="71">
        <v>0.5</v>
      </c>
      <c r="AN305" s="70">
        <v>0.99</v>
      </c>
      <c r="AO305" s="75">
        <v>1</v>
      </c>
      <c r="AP305" s="75" t="s">
        <v>1710</v>
      </c>
      <c r="AQ305" s="75">
        <v>1</v>
      </c>
      <c r="AR305" s="75">
        <v>1</v>
      </c>
      <c r="AS305" s="95">
        <v>9.2228725701943806E-2</v>
      </c>
      <c r="AT305" s="79" t="s">
        <v>1710</v>
      </c>
      <c r="AU305" s="79" t="s">
        <v>1710</v>
      </c>
      <c r="AV305" s="79" t="s">
        <v>1710</v>
      </c>
      <c r="AW305" s="79" t="s">
        <v>1710</v>
      </c>
      <c r="AX305" s="50"/>
      <c r="AY305" s="54"/>
    </row>
    <row r="306" spans="1:51" s="48" customFormat="1">
      <c r="A306" s="53"/>
      <c r="B306" s="50"/>
      <c r="C306" s="99" t="s">
        <v>255</v>
      </c>
      <c r="D306" s="230" t="s">
        <v>1759</v>
      </c>
      <c r="E306" s="68" t="s">
        <v>256</v>
      </c>
      <c r="F306" s="100" t="s">
        <v>325</v>
      </c>
      <c r="G306" s="100" t="s">
        <v>325</v>
      </c>
      <c r="H306" s="100" t="s">
        <v>325</v>
      </c>
      <c r="I306" s="100" t="s">
        <v>325</v>
      </c>
      <c r="J306" s="70">
        <v>0.9</v>
      </c>
      <c r="K306" s="71" t="s">
        <v>1710</v>
      </c>
      <c r="L306" s="71" t="s">
        <v>1710</v>
      </c>
      <c r="M306" s="72" t="s">
        <v>1710</v>
      </c>
      <c r="N306" s="71" t="s">
        <v>1710</v>
      </c>
      <c r="O306" s="73">
        <v>0.9</v>
      </c>
      <c r="P306" s="71" t="s">
        <v>1710</v>
      </c>
      <c r="Q306" s="71" t="s">
        <v>1710</v>
      </c>
      <c r="R306" s="71" t="s">
        <v>1710</v>
      </c>
      <c r="S306" s="71">
        <v>0</v>
      </c>
      <c r="T306" s="73">
        <v>0.9</v>
      </c>
      <c r="U306" s="71" t="s">
        <v>1710</v>
      </c>
      <c r="V306" s="71" t="s">
        <v>1710</v>
      </c>
      <c r="W306" s="71" t="s">
        <v>1710</v>
      </c>
      <c r="X306" s="71">
        <v>0</v>
      </c>
      <c r="Y306" s="73">
        <v>0.92</v>
      </c>
      <c r="Z306" s="73" t="s">
        <v>1710</v>
      </c>
      <c r="AA306" s="73" t="s">
        <v>1710</v>
      </c>
      <c r="AB306" s="73" t="s">
        <v>1710</v>
      </c>
      <c r="AC306" s="73">
        <v>0</v>
      </c>
      <c r="AD306" s="73">
        <v>0.92</v>
      </c>
      <c r="AE306" s="71">
        <v>1</v>
      </c>
      <c r="AF306" s="71">
        <v>0.99133448873483498</v>
      </c>
      <c r="AG306" s="71">
        <v>0.98335315101070198</v>
      </c>
      <c r="AH306" s="71">
        <v>0.95266769360033599</v>
      </c>
      <c r="AI306" s="73">
        <v>0.92</v>
      </c>
      <c r="AJ306" s="71" t="s">
        <v>1710</v>
      </c>
      <c r="AK306" s="71" t="s">
        <v>1710</v>
      </c>
      <c r="AL306" s="71" t="s">
        <v>1710</v>
      </c>
      <c r="AM306" s="71">
        <v>0</v>
      </c>
      <c r="AN306" s="70">
        <v>0.99</v>
      </c>
      <c r="AO306" s="75" t="s">
        <v>1710</v>
      </c>
      <c r="AP306" s="75" t="s">
        <v>1710</v>
      </c>
      <c r="AQ306" s="75" t="s">
        <v>1710</v>
      </c>
      <c r="AR306" s="75">
        <v>1</v>
      </c>
      <c r="AS306" s="95">
        <v>9.2228725701943806E-2</v>
      </c>
      <c r="AT306" s="79" t="s">
        <v>1710</v>
      </c>
      <c r="AU306" s="79" t="s">
        <v>1710</v>
      </c>
      <c r="AV306" s="79" t="s">
        <v>1710</v>
      </c>
      <c r="AW306" s="79" t="s">
        <v>1710</v>
      </c>
      <c r="AX306" s="50"/>
      <c r="AY306" s="54"/>
    </row>
    <row r="307" spans="1:51" s="48" customFormat="1">
      <c r="A307" s="53"/>
      <c r="B307" s="50"/>
      <c r="C307" s="99" t="s">
        <v>255</v>
      </c>
      <c r="D307" s="230" t="s">
        <v>1757</v>
      </c>
      <c r="E307" s="68" t="s">
        <v>256</v>
      </c>
      <c r="F307" s="100" t="s">
        <v>326</v>
      </c>
      <c r="G307" s="100" t="s">
        <v>326</v>
      </c>
      <c r="H307" s="100" t="s">
        <v>326</v>
      </c>
      <c r="I307" s="100" t="s">
        <v>326</v>
      </c>
      <c r="J307" s="70">
        <v>0.9</v>
      </c>
      <c r="K307" s="71">
        <v>0.97368421052631604</v>
      </c>
      <c r="L307" s="71">
        <v>0.96739130434782605</v>
      </c>
      <c r="M307" s="72">
        <v>0.93636363636363595</v>
      </c>
      <c r="N307" s="71">
        <v>0.975650713685978</v>
      </c>
      <c r="O307" s="73">
        <v>0.9</v>
      </c>
      <c r="P307" s="71">
        <v>0.95431684828164298</v>
      </c>
      <c r="Q307" s="71">
        <v>0.92679228936538904</v>
      </c>
      <c r="R307" s="71">
        <v>0.94645140664961602</v>
      </c>
      <c r="S307" s="71">
        <v>0.95210733919309298</v>
      </c>
      <c r="T307" s="73">
        <v>0.9</v>
      </c>
      <c r="U307" s="71">
        <v>0.93650461022632003</v>
      </c>
      <c r="V307" s="71">
        <v>0.93415637860082301</v>
      </c>
      <c r="W307" s="71">
        <v>0.92135549872122802</v>
      </c>
      <c r="X307" s="71">
        <v>0.93766499984470597</v>
      </c>
      <c r="Y307" s="73">
        <v>0.92</v>
      </c>
      <c r="Z307" s="73">
        <v>0.97250718096019695</v>
      </c>
      <c r="AA307" s="73">
        <v>0.96558872305140997</v>
      </c>
      <c r="AB307" s="73">
        <v>0.98610609888126999</v>
      </c>
      <c r="AC307" s="73">
        <v>0.98346621007009505</v>
      </c>
      <c r="AD307" s="73">
        <v>0.92</v>
      </c>
      <c r="AE307" s="71">
        <v>0.99529278855206205</v>
      </c>
      <c r="AF307" s="71">
        <v>0.99396210701644805</v>
      </c>
      <c r="AG307" s="71">
        <v>0.98501702610669695</v>
      </c>
      <c r="AH307" s="71">
        <v>0.99216715578886405</v>
      </c>
      <c r="AI307" s="73">
        <v>0.92</v>
      </c>
      <c r="AJ307" s="71">
        <v>0.97832202548403102</v>
      </c>
      <c r="AK307" s="71">
        <v>0.98221653151230603</v>
      </c>
      <c r="AL307" s="71">
        <v>0.98847262247838596</v>
      </c>
      <c r="AM307" s="71">
        <v>0.98923535319163103</v>
      </c>
      <c r="AN307" s="70">
        <v>0.99</v>
      </c>
      <c r="AO307" s="75">
        <v>1</v>
      </c>
      <c r="AP307" s="75">
        <v>1</v>
      </c>
      <c r="AQ307" s="75">
        <v>1</v>
      </c>
      <c r="AR307" s="75">
        <v>1</v>
      </c>
      <c r="AS307" s="95">
        <v>9.2228725701943806E-2</v>
      </c>
      <c r="AT307" s="79">
        <v>6.4516129032258104E-2</v>
      </c>
      <c r="AU307" s="79">
        <v>9.0909090909090898E-2</v>
      </c>
      <c r="AV307" s="79">
        <v>3.4482758620689703E-2</v>
      </c>
      <c r="AW307" s="79">
        <v>5.09915014164306E-2</v>
      </c>
      <c r="AX307" s="50"/>
      <c r="AY307" s="54"/>
    </row>
    <row r="308" spans="1:51" s="48" customFormat="1">
      <c r="A308" s="53"/>
      <c r="B308" s="50"/>
      <c r="C308" s="99" t="s">
        <v>255</v>
      </c>
      <c r="D308" s="230" t="s">
        <v>1759</v>
      </c>
      <c r="E308" s="68" t="s">
        <v>256</v>
      </c>
      <c r="F308" s="100" t="s">
        <v>327</v>
      </c>
      <c r="G308" s="100" t="s">
        <v>327</v>
      </c>
      <c r="H308" s="100" t="s">
        <v>327</v>
      </c>
      <c r="I308" s="100" t="s">
        <v>327</v>
      </c>
      <c r="J308" s="70">
        <v>0.9</v>
      </c>
      <c r="K308" s="71" t="s">
        <v>1710</v>
      </c>
      <c r="L308" s="71" t="s">
        <v>1710</v>
      </c>
      <c r="M308" s="72" t="s">
        <v>1710</v>
      </c>
      <c r="N308" s="71" t="s">
        <v>1710</v>
      </c>
      <c r="O308" s="73">
        <v>0.9</v>
      </c>
      <c r="P308" s="71">
        <v>0</v>
      </c>
      <c r="Q308" s="71" t="s">
        <v>1710</v>
      </c>
      <c r="R308" s="71" t="s">
        <v>1710</v>
      </c>
      <c r="S308" s="71">
        <v>0</v>
      </c>
      <c r="T308" s="73">
        <v>0.9</v>
      </c>
      <c r="U308" s="71">
        <v>1</v>
      </c>
      <c r="V308" s="71" t="s">
        <v>1710</v>
      </c>
      <c r="W308" s="71" t="s">
        <v>1710</v>
      </c>
      <c r="X308" s="71">
        <v>1</v>
      </c>
      <c r="Y308" s="73">
        <v>0.92</v>
      </c>
      <c r="Z308" s="73" t="s">
        <v>1710</v>
      </c>
      <c r="AA308" s="73" t="s">
        <v>1710</v>
      </c>
      <c r="AB308" s="73" t="s">
        <v>1710</v>
      </c>
      <c r="AC308" s="73" t="s">
        <v>1710</v>
      </c>
      <c r="AD308" s="73">
        <v>0.92</v>
      </c>
      <c r="AE308" s="71">
        <v>1</v>
      </c>
      <c r="AF308" s="71">
        <v>1</v>
      </c>
      <c r="AG308" s="71">
        <v>0.86799999999999999</v>
      </c>
      <c r="AH308" s="71">
        <v>0.98554122704181302</v>
      </c>
      <c r="AI308" s="73">
        <v>0.92</v>
      </c>
      <c r="AJ308" s="71">
        <v>1</v>
      </c>
      <c r="AK308" s="71" t="s">
        <v>1710</v>
      </c>
      <c r="AL308" s="71" t="s">
        <v>1710</v>
      </c>
      <c r="AM308" s="71">
        <v>1</v>
      </c>
      <c r="AN308" s="70">
        <v>0.99</v>
      </c>
      <c r="AO308" s="75">
        <v>1</v>
      </c>
      <c r="AP308" s="75">
        <v>1</v>
      </c>
      <c r="AQ308" s="75" t="s">
        <v>1710</v>
      </c>
      <c r="AR308" s="75">
        <v>1</v>
      </c>
      <c r="AS308" s="95">
        <v>9.2228725701943806E-2</v>
      </c>
      <c r="AT308" s="79" t="s">
        <v>1710</v>
      </c>
      <c r="AU308" s="79" t="s">
        <v>1710</v>
      </c>
      <c r="AV308" s="79" t="s">
        <v>1710</v>
      </c>
      <c r="AW308" s="79" t="s">
        <v>1710</v>
      </c>
      <c r="AX308" s="50"/>
      <c r="AY308" s="54"/>
    </row>
    <row r="309" spans="1:51" s="48" customFormat="1">
      <c r="A309" s="53"/>
      <c r="B309" s="50"/>
      <c r="C309" s="99" t="s">
        <v>255</v>
      </c>
      <c r="D309" s="230" t="s">
        <v>1759</v>
      </c>
      <c r="E309" s="68" t="s">
        <v>256</v>
      </c>
      <c r="F309" s="100" t="s">
        <v>328</v>
      </c>
      <c r="G309" s="100" t="s">
        <v>328</v>
      </c>
      <c r="H309" s="100" t="s">
        <v>328</v>
      </c>
      <c r="I309" s="100" t="s">
        <v>328</v>
      </c>
      <c r="J309" s="70">
        <v>0.9</v>
      </c>
      <c r="K309" s="71" t="s">
        <v>1710</v>
      </c>
      <c r="L309" s="71" t="s">
        <v>1710</v>
      </c>
      <c r="M309" s="72" t="s">
        <v>1710</v>
      </c>
      <c r="N309" s="71" t="s">
        <v>1710</v>
      </c>
      <c r="O309" s="73">
        <v>0.9</v>
      </c>
      <c r="P309" s="71" t="s">
        <v>1710</v>
      </c>
      <c r="Q309" s="71" t="s">
        <v>1710</v>
      </c>
      <c r="R309" s="71">
        <v>1</v>
      </c>
      <c r="S309" s="71">
        <v>0.90909090909090895</v>
      </c>
      <c r="T309" s="73">
        <v>0.9</v>
      </c>
      <c r="U309" s="71" t="s">
        <v>1710</v>
      </c>
      <c r="V309" s="71" t="s">
        <v>1710</v>
      </c>
      <c r="W309" s="71">
        <v>1</v>
      </c>
      <c r="X309" s="71">
        <v>0.90909090909090895</v>
      </c>
      <c r="Y309" s="73">
        <v>0.92</v>
      </c>
      <c r="Z309" s="73">
        <v>1</v>
      </c>
      <c r="AA309" s="73" t="s">
        <v>1710</v>
      </c>
      <c r="AB309" s="73">
        <v>1</v>
      </c>
      <c r="AC309" s="73">
        <v>1</v>
      </c>
      <c r="AD309" s="73">
        <v>0.92</v>
      </c>
      <c r="AE309" s="71">
        <v>0.98674765323025904</v>
      </c>
      <c r="AF309" s="71">
        <v>0.99895205658894404</v>
      </c>
      <c r="AG309" s="71">
        <v>0.99977037887485698</v>
      </c>
      <c r="AH309" s="71">
        <v>0.99711172639085299</v>
      </c>
      <c r="AI309" s="73">
        <v>0.92</v>
      </c>
      <c r="AJ309" s="71">
        <v>0.5</v>
      </c>
      <c r="AK309" s="71" t="s">
        <v>1710</v>
      </c>
      <c r="AL309" s="71">
        <v>1</v>
      </c>
      <c r="AM309" s="71">
        <v>0.83333333333333304</v>
      </c>
      <c r="AN309" s="70">
        <v>0.99</v>
      </c>
      <c r="AO309" s="75" t="s">
        <v>1710</v>
      </c>
      <c r="AP309" s="75" t="s">
        <v>1710</v>
      </c>
      <c r="AQ309" s="75" t="s">
        <v>1710</v>
      </c>
      <c r="AR309" s="75">
        <v>1</v>
      </c>
      <c r="AS309" s="95">
        <v>9.2228725701943806E-2</v>
      </c>
      <c r="AT309" s="79" t="s">
        <v>1710</v>
      </c>
      <c r="AU309" s="79" t="s">
        <v>1710</v>
      </c>
      <c r="AV309" s="79" t="s">
        <v>1710</v>
      </c>
      <c r="AW309" s="79" t="s">
        <v>1710</v>
      </c>
      <c r="AX309" s="50"/>
      <c r="AY309" s="54"/>
    </row>
    <row r="310" spans="1:51" s="48" customFormat="1">
      <c r="A310" s="53"/>
      <c r="B310" s="50"/>
      <c r="C310" s="99" t="s">
        <v>255</v>
      </c>
      <c r="D310" s="230" t="s">
        <v>1757</v>
      </c>
      <c r="E310" s="68" t="s">
        <v>256</v>
      </c>
      <c r="F310" s="100" t="s">
        <v>329</v>
      </c>
      <c r="G310" s="100" t="s">
        <v>329</v>
      </c>
      <c r="H310" s="100" t="s">
        <v>329</v>
      </c>
      <c r="I310" s="100" t="s">
        <v>329</v>
      </c>
      <c r="J310" s="70">
        <v>0.9</v>
      </c>
      <c r="K310" s="71">
        <v>0.92771084337349397</v>
      </c>
      <c r="L310" s="71">
        <v>0.97101449275362295</v>
      </c>
      <c r="M310" s="72">
        <v>0.96153846153846201</v>
      </c>
      <c r="N310" s="71">
        <v>0.95730337078651695</v>
      </c>
      <c r="O310" s="73">
        <v>0.9</v>
      </c>
      <c r="P310" s="71">
        <v>0.96449375866851605</v>
      </c>
      <c r="Q310" s="71">
        <v>0.97273768613974798</v>
      </c>
      <c r="R310" s="71">
        <v>0.97216564833672803</v>
      </c>
      <c r="S310" s="71">
        <v>0.96094300497272001</v>
      </c>
      <c r="T310" s="73">
        <v>0.9</v>
      </c>
      <c r="U310" s="71">
        <v>0.934257975034674</v>
      </c>
      <c r="V310" s="71">
        <v>0.92256586483390601</v>
      </c>
      <c r="W310" s="71">
        <v>0.92781172210907403</v>
      </c>
      <c r="X310" s="71">
        <v>0.93130800668398095</v>
      </c>
      <c r="Y310" s="73">
        <v>0.92</v>
      </c>
      <c r="Z310" s="73">
        <v>0.98150698406452896</v>
      </c>
      <c r="AA310" s="73">
        <v>0.99155069582504995</v>
      </c>
      <c r="AB310" s="73">
        <v>0.99162355259916202</v>
      </c>
      <c r="AC310" s="73">
        <v>0.99010071658991805</v>
      </c>
      <c r="AD310" s="73">
        <v>0.92</v>
      </c>
      <c r="AE310" s="71">
        <v>0.98819171104422299</v>
      </c>
      <c r="AF310" s="71">
        <v>0.98483745754488095</v>
      </c>
      <c r="AG310" s="71">
        <v>0.98505434782608703</v>
      </c>
      <c r="AH310" s="71">
        <v>0.90679974679444697</v>
      </c>
      <c r="AI310" s="73">
        <v>0.92</v>
      </c>
      <c r="AJ310" s="71">
        <v>0.98687845303867405</v>
      </c>
      <c r="AK310" s="71">
        <v>0.99419789869844799</v>
      </c>
      <c r="AL310" s="71">
        <v>0.99469214437367304</v>
      </c>
      <c r="AM310" s="71">
        <v>0.99356532140167497</v>
      </c>
      <c r="AN310" s="70">
        <v>0.99</v>
      </c>
      <c r="AO310" s="75">
        <v>1</v>
      </c>
      <c r="AP310" s="75">
        <v>1</v>
      </c>
      <c r="AQ310" s="75">
        <v>1</v>
      </c>
      <c r="AR310" s="75">
        <v>1</v>
      </c>
      <c r="AS310" s="95">
        <v>9.2228725701943806E-2</v>
      </c>
      <c r="AT310" s="79">
        <v>0.125</v>
      </c>
      <c r="AU310" s="79">
        <v>6.25E-2</v>
      </c>
      <c r="AV310" s="79">
        <v>7.69230769230769E-2</v>
      </c>
      <c r="AW310" s="79">
        <v>0.105263157894737</v>
      </c>
      <c r="AX310" s="50"/>
      <c r="AY310" s="54"/>
    </row>
    <row r="311" spans="1:51" s="48" customFormat="1">
      <c r="A311" s="53"/>
      <c r="B311" s="50"/>
      <c r="C311" s="99" t="s">
        <v>255</v>
      </c>
      <c r="D311" s="230" t="s">
        <v>1757</v>
      </c>
      <c r="E311" s="68" t="s">
        <v>256</v>
      </c>
      <c r="F311" s="100" t="s">
        <v>330</v>
      </c>
      <c r="G311" s="100" t="s">
        <v>330</v>
      </c>
      <c r="H311" s="100" t="s">
        <v>330</v>
      </c>
      <c r="I311" s="100" t="s">
        <v>330</v>
      </c>
      <c r="J311" s="70">
        <v>0.9</v>
      </c>
      <c r="K311" s="71">
        <v>1</v>
      </c>
      <c r="L311" s="71">
        <v>0.98823529411764699</v>
      </c>
      <c r="M311" s="72">
        <v>0.96907216494845405</v>
      </c>
      <c r="N311" s="71">
        <v>0.98448108632395703</v>
      </c>
      <c r="O311" s="73">
        <v>0.9</v>
      </c>
      <c r="P311" s="71">
        <v>0.95713107996702396</v>
      </c>
      <c r="Q311" s="71">
        <v>0.96426056338028199</v>
      </c>
      <c r="R311" s="71">
        <v>0.95694939415538105</v>
      </c>
      <c r="S311" s="71">
        <v>0.96361402513940098</v>
      </c>
      <c r="T311" s="73">
        <v>0.9</v>
      </c>
      <c r="U311" s="71">
        <v>0.92456718878812905</v>
      </c>
      <c r="V311" s="71">
        <v>0.91795774647887296</v>
      </c>
      <c r="W311" s="71">
        <v>0.923022095509622</v>
      </c>
      <c r="X311" s="71">
        <v>0.93134594353760802</v>
      </c>
      <c r="Y311" s="73">
        <v>0.92</v>
      </c>
      <c r="Z311" s="73">
        <v>0.94188311688311699</v>
      </c>
      <c r="AA311" s="73">
        <v>0.92307692307692302</v>
      </c>
      <c r="AB311" s="73">
        <v>0.931708991077557</v>
      </c>
      <c r="AC311" s="73">
        <v>0.940556542332741</v>
      </c>
      <c r="AD311" s="73">
        <v>0.92</v>
      </c>
      <c r="AE311" s="71">
        <v>0.98207364341085301</v>
      </c>
      <c r="AF311" s="71">
        <v>0.86969253294289905</v>
      </c>
      <c r="AG311" s="71">
        <v>0.96558441558441599</v>
      </c>
      <c r="AH311" s="71">
        <v>0.96718809614650902</v>
      </c>
      <c r="AI311" s="73">
        <v>0.92</v>
      </c>
      <c r="AJ311" s="71">
        <v>0.95726172465960702</v>
      </c>
      <c r="AK311" s="71">
        <v>0.96819056073383603</v>
      </c>
      <c r="AL311" s="71">
        <v>0.96112398025984502</v>
      </c>
      <c r="AM311" s="71">
        <v>0.968677074112819</v>
      </c>
      <c r="AN311" s="70">
        <v>0.99</v>
      </c>
      <c r="AO311" s="75">
        <v>1</v>
      </c>
      <c r="AP311" s="75">
        <v>1</v>
      </c>
      <c r="AQ311" s="75">
        <v>1</v>
      </c>
      <c r="AR311" s="75">
        <v>1</v>
      </c>
      <c r="AS311" s="95">
        <v>9.2228725701943806E-2</v>
      </c>
      <c r="AT311" s="79">
        <v>0</v>
      </c>
      <c r="AU311" s="79">
        <v>0.05</v>
      </c>
      <c r="AV311" s="79">
        <v>0</v>
      </c>
      <c r="AW311" s="79">
        <v>4.8689138576778999E-2</v>
      </c>
      <c r="AX311" s="50"/>
      <c r="AY311" s="54"/>
    </row>
    <row r="312" spans="1:51" s="48" customFormat="1">
      <c r="A312" s="53"/>
      <c r="B312" s="50"/>
      <c r="C312" s="99" t="s">
        <v>255</v>
      </c>
      <c r="D312" s="230" t="s">
        <v>1757</v>
      </c>
      <c r="E312" s="68" t="s">
        <v>256</v>
      </c>
      <c r="F312" s="100" t="s">
        <v>331</v>
      </c>
      <c r="G312" s="100" t="s">
        <v>331</v>
      </c>
      <c r="H312" s="100" t="s">
        <v>331</v>
      </c>
      <c r="I312" s="100" t="s">
        <v>331</v>
      </c>
      <c r="J312" s="70">
        <v>0.9</v>
      </c>
      <c r="K312" s="71">
        <v>0.94845360824742297</v>
      </c>
      <c r="L312" s="71">
        <v>0.92168674698795205</v>
      </c>
      <c r="M312" s="72">
        <v>0.96067415730337102</v>
      </c>
      <c r="N312" s="71">
        <v>0.96588058203713001</v>
      </c>
      <c r="O312" s="73">
        <v>0.9</v>
      </c>
      <c r="P312" s="71">
        <v>0.97509386733416803</v>
      </c>
      <c r="Q312" s="71">
        <v>0.95968742247581196</v>
      </c>
      <c r="R312" s="71">
        <v>0.93096761683149098</v>
      </c>
      <c r="S312" s="71">
        <v>0.95013872141015498</v>
      </c>
      <c r="T312" s="73">
        <v>0.9</v>
      </c>
      <c r="U312" s="71">
        <v>0.95406758448060103</v>
      </c>
      <c r="V312" s="71">
        <v>0.94046142396427701</v>
      </c>
      <c r="W312" s="71">
        <v>0.94812875702928101</v>
      </c>
      <c r="X312" s="71">
        <v>0.944462417772026</v>
      </c>
      <c r="Y312" s="73">
        <v>0.92</v>
      </c>
      <c r="Z312" s="73">
        <v>0.96966919423381404</v>
      </c>
      <c r="AA312" s="73">
        <v>0.96774958501304198</v>
      </c>
      <c r="AB312" s="73">
        <v>0.97152806226956201</v>
      </c>
      <c r="AC312" s="73">
        <v>0.97310760250600703</v>
      </c>
      <c r="AD312" s="73">
        <v>0.92</v>
      </c>
      <c r="AE312" s="71">
        <v>0.99896225191334798</v>
      </c>
      <c r="AF312" s="71">
        <v>0.815545959284392</v>
      </c>
      <c r="AG312" s="71">
        <v>0.99290627687016297</v>
      </c>
      <c r="AH312" s="71">
        <v>0.98202202599464194</v>
      </c>
      <c r="AI312" s="73">
        <v>0.92</v>
      </c>
      <c r="AJ312" s="71">
        <v>0.97829131652661105</v>
      </c>
      <c r="AK312" s="71">
        <v>0.98126883296685397</v>
      </c>
      <c r="AL312" s="71">
        <v>0.98222023009114001</v>
      </c>
      <c r="AM312" s="71">
        <v>0.98363184594678499</v>
      </c>
      <c r="AN312" s="70">
        <v>0.99</v>
      </c>
      <c r="AO312" s="75">
        <v>1</v>
      </c>
      <c r="AP312" s="75">
        <v>1</v>
      </c>
      <c r="AQ312" s="75">
        <v>1</v>
      </c>
      <c r="AR312" s="75">
        <v>1</v>
      </c>
      <c r="AS312" s="95">
        <v>9.2228725701943806E-2</v>
      </c>
      <c r="AT312" s="79">
        <v>0.102564102564103</v>
      </c>
      <c r="AU312" s="79">
        <v>9.375E-2</v>
      </c>
      <c r="AV312" s="79">
        <v>2.3809523809523801E-2</v>
      </c>
      <c r="AW312" s="79">
        <v>7.8431372549019607E-2</v>
      </c>
      <c r="AX312" s="50"/>
      <c r="AY312" s="54"/>
    </row>
    <row r="313" spans="1:51" s="48" customFormat="1">
      <c r="A313" s="53"/>
      <c r="B313" s="50"/>
      <c r="C313" s="99" t="s">
        <v>255</v>
      </c>
      <c r="D313" s="230" t="s">
        <v>1757</v>
      </c>
      <c r="E313" s="68" t="s">
        <v>256</v>
      </c>
      <c r="F313" s="100" t="s">
        <v>332</v>
      </c>
      <c r="G313" s="100" t="s">
        <v>332</v>
      </c>
      <c r="H313" s="100" t="s">
        <v>332</v>
      </c>
      <c r="I313" s="100" t="s">
        <v>332</v>
      </c>
      <c r="J313" s="70">
        <v>0.9</v>
      </c>
      <c r="K313" s="71">
        <v>0.96969696969696995</v>
      </c>
      <c r="L313" s="71">
        <v>0.97530864197530898</v>
      </c>
      <c r="M313" s="72">
        <v>0.95833333333333304</v>
      </c>
      <c r="N313" s="71">
        <v>0.97676579925650597</v>
      </c>
      <c r="O313" s="73">
        <v>0.9</v>
      </c>
      <c r="P313" s="71">
        <v>0.982866043613707</v>
      </c>
      <c r="Q313" s="71">
        <v>0.92086330935251803</v>
      </c>
      <c r="R313" s="71">
        <v>0.96495901639344295</v>
      </c>
      <c r="S313" s="71">
        <v>0.966578906004401</v>
      </c>
      <c r="T313" s="73">
        <v>0.9</v>
      </c>
      <c r="U313" s="71">
        <v>0.95119418483904505</v>
      </c>
      <c r="V313" s="71">
        <v>0.92137718396711199</v>
      </c>
      <c r="W313" s="71">
        <v>0.95409836065573805</v>
      </c>
      <c r="X313" s="71">
        <v>0.95031043696950601</v>
      </c>
      <c r="Y313" s="73">
        <v>0.92</v>
      </c>
      <c r="Z313" s="73">
        <v>0.96706006693676205</v>
      </c>
      <c r="AA313" s="73">
        <v>0.93852459016393397</v>
      </c>
      <c r="AB313" s="73">
        <v>0.96922731356693603</v>
      </c>
      <c r="AC313" s="73">
        <v>0.97526625407308598</v>
      </c>
      <c r="AD313" s="73">
        <v>0.92</v>
      </c>
      <c r="AE313" s="71">
        <v>0.99836155106499203</v>
      </c>
      <c r="AF313" s="71">
        <v>0.99031216361679197</v>
      </c>
      <c r="AG313" s="71">
        <v>0.99778024417314104</v>
      </c>
      <c r="AH313" s="71">
        <v>0.99849881301494203</v>
      </c>
      <c r="AI313" s="73">
        <v>0.92</v>
      </c>
      <c r="AJ313" s="71">
        <v>0.97670269703011903</v>
      </c>
      <c r="AK313" s="71">
        <v>0.97176591375770005</v>
      </c>
      <c r="AL313" s="71">
        <v>0.98039635779325096</v>
      </c>
      <c r="AM313" s="71">
        <v>0.98479894037542204</v>
      </c>
      <c r="AN313" s="70">
        <v>0.99</v>
      </c>
      <c r="AO313" s="75">
        <v>1</v>
      </c>
      <c r="AP313" s="75">
        <v>1</v>
      </c>
      <c r="AQ313" s="75">
        <v>1</v>
      </c>
      <c r="AR313" s="75">
        <v>1</v>
      </c>
      <c r="AS313" s="95">
        <v>9.2228725701943806E-2</v>
      </c>
      <c r="AT313" s="79">
        <v>0</v>
      </c>
      <c r="AU313" s="79">
        <v>9.0909090909090898E-2</v>
      </c>
      <c r="AV313" s="79">
        <v>0</v>
      </c>
      <c r="AW313" s="79">
        <v>5.8823529411764698E-2</v>
      </c>
      <c r="AX313" s="50"/>
      <c r="AY313" s="54"/>
    </row>
    <row r="314" spans="1:51" s="48" customFormat="1">
      <c r="A314" s="53"/>
      <c r="B314" s="50"/>
      <c r="C314" s="99" t="s">
        <v>255</v>
      </c>
      <c r="D314" s="230" t="s">
        <v>1757</v>
      </c>
      <c r="E314" s="68" t="s">
        <v>256</v>
      </c>
      <c r="F314" s="100" t="s">
        <v>333</v>
      </c>
      <c r="G314" s="100" t="s">
        <v>333</v>
      </c>
      <c r="H314" s="100" t="s">
        <v>333</v>
      </c>
      <c r="I314" s="100" t="s">
        <v>333</v>
      </c>
      <c r="J314" s="70">
        <v>0.9</v>
      </c>
      <c r="K314" s="71">
        <v>1</v>
      </c>
      <c r="L314" s="71">
        <v>0.987179487179487</v>
      </c>
      <c r="M314" s="72">
        <v>1</v>
      </c>
      <c r="N314" s="71">
        <v>0.99110122358175801</v>
      </c>
      <c r="O314" s="73">
        <v>0.9</v>
      </c>
      <c r="P314" s="71">
        <v>0.98271446862996203</v>
      </c>
      <c r="Q314" s="71">
        <v>0.97925925925925905</v>
      </c>
      <c r="R314" s="71">
        <v>0.97405119152691999</v>
      </c>
      <c r="S314" s="71">
        <v>0.97077171667587103</v>
      </c>
      <c r="T314" s="73">
        <v>0.9</v>
      </c>
      <c r="U314" s="71">
        <v>0.97727272727272696</v>
      </c>
      <c r="V314" s="71">
        <v>0.96888888888888902</v>
      </c>
      <c r="W314" s="71">
        <v>0.97122683142100596</v>
      </c>
      <c r="X314" s="71">
        <v>0.96367429588267794</v>
      </c>
      <c r="Y314" s="73">
        <v>0.92</v>
      </c>
      <c r="Z314" s="73">
        <v>0.98652044779529402</v>
      </c>
      <c r="AA314" s="73">
        <v>0.97509578544061304</v>
      </c>
      <c r="AB314" s="73">
        <v>0.97820512820512795</v>
      </c>
      <c r="AC314" s="73">
        <v>0.97447554718451601</v>
      </c>
      <c r="AD314" s="73">
        <v>0.92</v>
      </c>
      <c r="AE314" s="71">
        <v>0.993723849372385</v>
      </c>
      <c r="AF314" s="71">
        <v>0.98306772908366502</v>
      </c>
      <c r="AG314" s="71">
        <v>0.70957613814756704</v>
      </c>
      <c r="AH314" s="71">
        <v>0.96298117448721599</v>
      </c>
      <c r="AI314" s="73">
        <v>0.92</v>
      </c>
      <c r="AJ314" s="71">
        <v>0.98880298587043503</v>
      </c>
      <c r="AK314" s="71">
        <v>0.989985693848355</v>
      </c>
      <c r="AL314" s="71">
        <v>0.98713304184884398</v>
      </c>
      <c r="AM314" s="71">
        <v>0.98390031496655805</v>
      </c>
      <c r="AN314" s="70">
        <v>0.99</v>
      </c>
      <c r="AO314" s="75">
        <v>1</v>
      </c>
      <c r="AP314" s="75">
        <v>1</v>
      </c>
      <c r="AQ314" s="75">
        <v>1</v>
      </c>
      <c r="AR314" s="75">
        <v>1</v>
      </c>
      <c r="AS314" s="95">
        <v>9.2228725701943806E-2</v>
      </c>
      <c r="AT314" s="79">
        <v>5.5555555555555601E-2</v>
      </c>
      <c r="AU314" s="79">
        <v>0.25</v>
      </c>
      <c r="AV314" s="79">
        <v>0.16666666666666699</v>
      </c>
      <c r="AW314" s="79">
        <v>0.10738255033557</v>
      </c>
      <c r="AX314" s="50"/>
      <c r="AY314" s="54"/>
    </row>
    <row r="315" spans="1:51" s="48" customFormat="1">
      <c r="A315" s="53"/>
      <c r="B315" s="50"/>
      <c r="C315" s="99" t="s">
        <v>255</v>
      </c>
      <c r="D315" s="230" t="s">
        <v>1759</v>
      </c>
      <c r="E315" s="68" t="s">
        <v>256</v>
      </c>
      <c r="F315" s="100" t="s">
        <v>334</v>
      </c>
      <c r="G315" s="100" t="s">
        <v>334</v>
      </c>
      <c r="H315" s="100" t="s">
        <v>334</v>
      </c>
      <c r="I315" s="100" t="s">
        <v>334</v>
      </c>
      <c r="J315" s="70">
        <v>0.9</v>
      </c>
      <c r="K315" s="71" t="s">
        <v>1710</v>
      </c>
      <c r="L315" s="71" t="s">
        <v>1710</v>
      </c>
      <c r="M315" s="72" t="s">
        <v>1710</v>
      </c>
      <c r="N315" s="71" t="s">
        <v>1710</v>
      </c>
      <c r="O315" s="73">
        <v>0.9</v>
      </c>
      <c r="P315" s="71" t="s">
        <v>1710</v>
      </c>
      <c r="Q315" s="71" t="s">
        <v>1710</v>
      </c>
      <c r="R315" s="71" t="s">
        <v>1710</v>
      </c>
      <c r="S315" s="71">
        <v>0</v>
      </c>
      <c r="T315" s="73">
        <v>0.9</v>
      </c>
      <c r="U315" s="71" t="s">
        <v>1710</v>
      </c>
      <c r="V315" s="71" t="s">
        <v>1710</v>
      </c>
      <c r="W315" s="71" t="s">
        <v>1710</v>
      </c>
      <c r="X315" s="71">
        <v>0</v>
      </c>
      <c r="Y315" s="73">
        <v>0.92</v>
      </c>
      <c r="Z315" s="73" t="s">
        <v>1710</v>
      </c>
      <c r="AA315" s="73" t="s">
        <v>1710</v>
      </c>
      <c r="AB315" s="73" t="s">
        <v>1710</v>
      </c>
      <c r="AC315" s="73" t="s">
        <v>1710</v>
      </c>
      <c r="AD315" s="73">
        <v>0.92</v>
      </c>
      <c r="AE315" s="71">
        <v>0.99402985074626904</v>
      </c>
      <c r="AF315" s="71">
        <v>0.97640117994100295</v>
      </c>
      <c r="AG315" s="71">
        <v>0.89247311827956999</v>
      </c>
      <c r="AH315" s="71">
        <v>0.97800159024648803</v>
      </c>
      <c r="AI315" s="73">
        <v>0.92</v>
      </c>
      <c r="AJ315" s="71" t="s">
        <v>1710</v>
      </c>
      <c r="AK315" s="71">
        <v>0</v>
      </c>
      <c r="AL315" s="71" t="s">
        <v>1710</v>
      </c>
      <c r="AM315" s="71">
        <v>0</v>
      </c>
      <c r="AN315" s="70">
        <v>0.99</v>
      </c>
      <c r="AO315" s="75">
        <v>1</v>
      </c>
      <c r="AP315" s="75" t="s">
        <v>1710</v>
      </c>
      <c r="AQ315" s="75">
        <v>1</v>
      </c>
      <c r="AR315" s="75">
        <v>1</v>
      </c>
      <c r="AS315" s="95">
        <v>9.2228725701943806E-2</v>
      </c>
      <c r="AT315" s="79" t="s">
        <v>1710</v>
      </c>
      <c r="AU315" s="79" t="s">
        <v>1710</v>
      </c>
      <c r="AV315" s="79" t="s">
        <v>1710</v>
      </c>
      <c r="AW315" s="79" t="s">
        <v>1710</v>
      </c>
      <c r="AX315" s="50"/>
      <c r="AY315" s="54"/>
    </row>
    <row r="316" spans="1:51" s="48" customFormat="1">
      <c r="A316" s="53"/>
      <c r="B316" s="50"/>
      <c r="C316" s="99" t="s">
        <v>255</v>
      </c>
      <c r="D316" s="230" t="s">
        <v>1759</v>
      </c>
      <c r="E316" s="68" t="s">
        <v>256</v>
      </c>
      <c r="F316" s="100" t="s">
        <v>335</v>
      </c>
      <c r="G316" s="100" t="s">
        <v>335</v>
      </c>
      <c r="H316" s="100" t="s">
        <v>335</v>
      </c>
      <c r="I316" s="100" t="s">
        <v>335</v>
      </c>
      <c r="J316" s="70">
        <v>0.9</v>
      </c>
      <c r="K316" s="71" t="s">
        <v>1710</v>
      </c>
      <c r="L316" s="71" t="s">
        <v>1710</v>
      </c>
      <c r="M316" s="72" t="s">
        <v>1710</v>
      </c>
      <c r="N316" s="71" t="s">
        <v>1710</v>
      </c>
      <c r="O316" s="73">
        <v>0.9</v>
      </c>
      <c r="P316" s="71" t="s">
        <v>1710</v>
      </c>
      <c r="Q316" s="71" t="s">
        <v>1710</v>
      </c>
      <c r="R316" s="71" t="s">
        <v>1710</v>
      </c>
      <c r="S316" s="71">
        <v>6.0606060606060601E-2</v>
      </c>
      <c r="T316" s="73">
        <v>0.9</v>
      </c>
      <c r="U316" s="71" t="s">
        <v>1710</v>
      </c>
      <c r="V316" s="71" t="s">
        <v>1710</v>
      </c>
      <c r="W316" s="71" t="s">
        <v>1710</v>
      </c>
      <c r="X316" s="71">
        <v>0.87878787878787901</v>
      </c>
      <c r="Y316" s="73">
        <v>0.92</v>
      </c>
      <c r="Z316" s="73">
        <v>0</v>
      </c>
      <c r="AA316" s="73" t="s">
        <v>1710</v>
      </c>
      <c r="AB316" s="73" t="s">
        <v>1710</v>
      </c>
      <c r="AC316" s="73">
        <v>0</v>
      </c>
      <c r="AD316" s="73">
        <v>0.92</v>
      </c>
      <c r="AE316" s="71">
        <v>0.99944484098659703</v>
      </c>
      <c r="AF316" s="71">
        <v>0.999859154929577</v>
      </c>
      <c r="AG316" s="71">
        <v>0.99985763097949898</v>
      </c>
      <c r="AH316" s="71">
        <v>0.99971764862201495</v>
      </c>
      <c r="AI316" s="73">
        <v>0.92</v>
      </c>
      <c r="AJ316" s="71">
        <v>0</v>
      </c>
      <c r="AK316" s="71" t="s">
        <v>1710</v>
      </c>
      <c r="AL316" s="71">
        <v>1</v>
      </c>
      <c r="AM316" s="71">
        <v>0.86842105263157898</v>
      </c>
      <c r="AN316" s="70">
        <v>0.99</v>
      </c>
      <c r="AO316" s="75" t="s">
        <v>1710</v>
      </c>
      <c r="AP316" s="75" t="s">
        <v>1710</v>
      </c>
      <c r="AQ316" s="75">
        <v>1</v>
      </c>
      <c r="AR316" s="75">
        <v>1</v>
      </c>
      <c r="AS316" s="95">
        <v>9.2228725701943806E-2</v>
      </c>
      <c r="AT316" s="79" t="s">
        <v>1710</v>
      </c>
      <c r="AU316" s="79" t="s">
        <v>1710</v>
      </c>
      <c r="AV316" s="79" t="s">
        <v>1710</v>
      </c>
      <c r="AW316" s="79">
        <v>0</v>
      </c>
      <c r="AX316" s="50"/>
      <c r="AY316" s="54"/>
    </row>
    <row r="317" spans="1:51" s="48" customFormat="1">
      <c r="A317" s="53"/>
      <c r="B317" s="50"/>
      <c r="C317" s="99" t="s">
        <v>255</v>
      </c>
      <c r="D317" s="230" t="s">
        <v>1759</v>
      </c>
      <c r="E317" s="68" t="s">
        <v>256</v>
      </c>
      <c r="F317" s="100" t="s">
        <v>336</v>
      </c>
      <c r="G317" s="100" t="s">
        <v>336</v>
      </c>
      <c r="H317" s="100" t="s">
        <v>336</v>
      </c>
      <c r="I317" s="100" t="s">
        <v>336</v>
      </c>
      <c r="J317" s="70">
        <v>0.9</v>
      </c>
      <c r="K317" s="71" t="s">
        <v>1710</v>
      </c>
      <c r="L317" s="71" t="s">
        <v>1710</v>
      </c>
      <c r="M317" s="72" t="s">
        <v>1710</v>
      </c>
      <c r="N317" s="71" t="s">
        <v>1710</v>
      </c>
      <c r="O317" s="73">
        <v>0.9</v>
      </c>
      <c r="P317" s="71" t="s">
        <v>1710</v>
      </c>
      <c r="Q317" s="71" t="s">
        <v>1710</v>
      </c>
      <c r="R317" s="71">
        <v>0</v>
      </c>
      <c r="S317" s="71">
        <v>0.5</v>
      </c>
      <c r="T317" s="73">
        <v>0.9</v>
      </c>
      <c r="U317" s="71" t="s">
        <v>1710</v>
      </c>
      <c r="V317" s="71" t="s">
        <v>1710</v>
      </c>
      <c r="W317" s="71">
        <v>0</v>
      </c>
      <c r="X317" s="71">
        <v>0</v>
      </c>
      <c r="Y317" s="73">
        <v>0.92</v>
      </c>
      <c r="Z317" s="73" t="s">
        <v>1710</v>
      </c>
      <c r="AA317" s="73" t="s">
        <v>1710</v>
      </c>
      <c r="AB317" s="73" t="s">
        <v>1710</v>
      </c>
      <c r="AC317" s="73">
        <v>1</v>
      </c>
      <c r="AD317" s="73">
        <v>0.92</v>
      </c>
      <c r="AE317" s="71">
        <v>0.99949904819156399</v>
      </c>
      <c r="AF317" s="71">
        <v>0.98870056497175096</v>
      </c>
      <c r="AG317" s="71">
        <v>0.99881678347137504</v>
      </c>
      <c r="AH317" s="71">
        <v>0.99843420795100002</v>
      </c>
      <c r="AI317" s="73">
        <v>0.92</v>
      </c>
      <c r="AJ317" s="71" t="s">
        <v>1710</v>
      </c>
      <c r="AK317" s="71" t="s">
        <v>1710</v>
      </c>
      <c r="AL317" s="71">
        <v>0</v>
      </c>
      <c r="AM317" s="71">
        <v>0.2</v>
      </c>
      <c r="AN317" s="70">
        <v>0.99</v>
      </c>
      <c r="AO317" s="75">
        <v>1</v>
      </c>
      <c r="AP317" s="75">
        <v>1</v>
      </c>
      <c r="AQ317" s="75">
        <v>1</v>
      </c>
      <c r="AR317" s="75">
        <v>1</v>
      </c>
      <c r="AS317" s="95">
        <v>9.2228725701943806E-2</v>
      </c>
      <c r="AT317" s="79" t="s">
        <v>1710</v>
      </c>
      <c r="AU317" s="79" t="s">
        <v>1710</v>
      </c>
      <c r="AV317" s="79" t="s">
        <v>1710</v>
      </c>
      <c r="AW317" s="79">
        <v>0</v>
      </c>
      <c r="AX317" s="50"/>
      <c r="AY317" s="54"/>
    </row>
    <row r="318" spans="1:51" s="48" customFormat="1">
      <c r="A318" s="53"/>
      <c r="B318" s="50"/>
      <c r="C318" s="99" t="s">
        <v>255</v>
      </c>
      <c r="D318" s="230" t="s">
        <v>1759</v>
      </c>
      <c r="E318" s="68" t="s">
        <v>256</v>
      </c>
      <c r="F318" s="100" t="s">
        <v>337</v>
      </c>
      <c r="G318" s="100" t="s">
        <v>337</v>
      </c>
      <c r="H318" s="100" t="s">
        <v>337</v>
      </c>
      <c r="I318" s="100" t="s">
        <v>337</v>
      </c>
      <c r="J318" s="70">
        <v>0.9</v>
      </c>
      <c r="K318" s="71" t="s">
        <v>1710</v>
      </c>
      <c r="L318" s="71" t="s">
        <v>1710</v>
      </c>
      <c r="M318" s="72" t="s">
        <v>1710</v>
      </c>
      <c r="N318" s="71" t="s">
        <v>1710</v>
      </c>
      <c r="O318" s="73">
        <v>0.9</v>
      </c>
      <c r="P318" s="71">
        <v>0</v>
      </c>
      <c r="Q318" s="71" t="s">
        <v>1710</v>
      </c>
      <c r="R318" s="71">
        <v>0</v>
      </c>
      <c r="S318" s="71">
        <v>0</v>
      </c>
      <c r="T318" s="73">
        <v>0.9</v>
      </c>
      <c r="U318" s="71">
        <v>0</v>
      </c>
      <c r="V318" s="71" t="s">
        <v>1710</v>
      </c>
      <c r="W318" s="71">
        <v>0.5</v>
      </c>
      <c r="X318" s="71">
        <v>0.33333333333333298</v>
      </c>
      <c r="Y318" s="73">
        <v>0.92</v>
      </c>
      <c r="Z318" s="73" t="s">
        <v>1710</v>
      </c>
      <c r="AA318" s="73" t="s">
        <v>1710</v>
      </c>
      <c r="AB318" s="73" t="s">
        <v>1710</v>
      </c>
      <c r="AC318" s="73">
        <v>0</v>
      </c>
      <c r="AD318" s="73">
        <v>0.92</v>
      </c>
      <c r="AE318" s="71">
        <v>0.94932753701942696</v>
      </c>
      <c r="AF318" s="71">
        <v>0.81272509003601401</v>
      </c>
      <c r="AG318" s="71">
        <v>0.998104864181933</v>
      </c>
      <c r="AH318" s="71">
        <v>0.95670028383356498</v>
      </c>
      <c r="AI318" s="73">
        <v>0.92</v>
      </c>
      <c r="AJ318" s="71">
        <v>1</v>
      </c>
      <c r="AK318" s="71" t="s">
        <v>1710</v>
      </c>
      <c r="AL318" s="71">
        <v>0.5</v>
      </c>
      <c r="AM318" s="71">
        <v>0.5</v>
      </c>
      <c r="AN318" s="70">
        <v>0.99</v>
      </c>
      <c r="AO318" s="75">
        <v>1</v>
      </c>
      <c r="AP318" s="75">
        <v>1</v>
      </c>
      <c r="AQ318" s="75">
        <v>1</v>
      </c>
      <c r="AR318" s="75">
        <v>1</v>
      </c>
      <c r="AS318" s="95">
        <v>9.2228725701943806E-2</v>
      </c>
      <c r="AT318" s="79" t="s">
        <v>1710</v>
      </c>
      <c r="AU318" s="79" t="s">
        <v>1710</v>
      </c>
      <c r="AV318" s="79" t="s">
        <v>1710</v>
      </c>
      <c r="AW318" s="79" t="s">
        <v>1710</v>
      </c>
      <c r="AX318" s="50"/>
      <c r="AY318" s="54"/>
    </row>
    <row r="319" spans="1:51" s="48" customFormat="1">
      <c r="A319" s="53"/>
      <c r="B319" s="50"/>
      <c r="C319" s="99" t="s">
        <v>255</v>
      </c>
      <c r="D319" s="230" t="s">
        <v>1759</v>
      </c>
      <c r="E319" s="68" t="s">
        <v>256</v>
      </c>
      <c r="F319" s="100" t="s">
        <v>338</v>
      </c>
      <c r="G319" s="100" t="s">
        <v>338</v>
      </c>
      <c r="H319" s="100" t="s">
        <v>338</v>
      </c>
      <c r="I319" s="100" t="s">
        <v>338</v>
      </c>
      <c r="J319" s="70">
        <v>0.9</v>
      </c>
      <c r="K319" s="71" t="s">
        <v>1710</v>
      </c>
      <c r="L319" s="71" t="s">
        <v>1710</v>
      </c>
      <c r="M319" s="72" t="s">
        <v>1710</v>
      </c>
      <c r="N319" s="71" t="s">
        <v>1710</v>
      </c>
      <c r="O319" s="73">
        <v>0.9</v>
      </c>
      <c r="P319" s="71">
        <v>0</v>
      </c>
      <c r="Q319" s="71">
        <v>0</v>
      </c>
      <c r="R319" s="71" t="s">
        <v>1710</v>
      </c>
      <c r="S319" s="71">
        <v>0</v>
      </c>
      <c r="T319" s="73">
        <v>0.9</v>
      </c>
      <c r="U319" s="71">
        <v>0.75</v>
      </c>
      <c r="V319" s="71">
        <v>0</v>
      </c>
      <c r="W319" s="71" t="s">
        <v>1710</v>
      </c>
      <c r="X319" s="71">
        <v>0.73333333333333295</v>
      </c>
      <c r="Y319" s="73">
        <v>0.92</v>
      </c>
      <c r="Z319" s="73">
        <v>0.25</v>
      </c>
      <c r="AA319" s="73" t="s">
        <v>1710</v>
      </c>
      <c r="AB319" s="73" t="s">
        <v>1710</v>
      </c>
      <c r="AC319" s="73">
        <v>0.25</v>
      </c>
      <c r="AD319" s="73">
        <v>0.92</v>
      </c>
      <c r="AE319" s="71">
        <v>0.99757134183363705</v>
      </c>
      <c r="AF319" s="71">
        <v>0.99719593410445195</v>
      </c>
      <c r="AG319" s="71">
        <v>0.99973954942049703</v>
      </c>
      <c r="AH319" s="71">
        <v>0.97194922743218304</v>
      </c>
      <c r="AI319" s="73">
        <v>0.92</v>
      </c>
      <c r="AJ319" s="71">
        <v>0.75</v>
      </c>
      <c r="AK319" s="71">
        <v>0</v>
      </c>
      <c r="AL319" s="71" t="s">
        <v>1710</v>
      </c>
      <c r="AM319" s="71">
        <v>0.74074074074074103</v>
      </c>
      <c r="AN319" s="70">
        <v>0.99</v>
      </c>
      <c r="AO319" s="75">
        <v>1</v>
      </c>
      <c r="AP319" s="75">
        <v>1</v>
      </c>
      <c r="AQ319" s="75">
        <v>1</v>
      </c>
      <c r="AR319" s="75">
        <v>1</v>
      </c>
      <c r="AS319" s="95">
        <v>9.2228725701943806E-2</v>
      </c>
      <c r="AT319" s="79" t="s">
        <v>1710</v>
      </c>
      <c r="AU319" s="79" t="s">
        <v>1710</v>
      </c>
      <c r="AV319" s="79" t="s">
        <v>1710</v>
      </c>
      <c r="AW319" s="79" t="s">
        <v>1710</v>
      </c>
      <c r="AX319" s="50"/>
      <c r="AY319" s="54"/>
    </row>
    <row r="320" spans="1:51" s="48" customFormat="1">
      <c r="A320" s="53"/>
      <c r="B320" s="50"/>
      <c r="C320" s="99" t="s">
        <v>255</v>
      </c>
      <c r="D320" s="230" t="s">
        <v>1759</v>
      </c>
      <c r="E320" s="68" t="s">
        <v>256</v>
      </c>
      <c r="F320" s="100" t="s">
        <v>339</v>
      </c>
      <c r="G320" s="100" t="s">
        <v>339</v>
      </c>
      <c r="H320" s="100" t="s">
        <v>339</v>
      </c>
      <c r="I320" s="100" t="s">
        <v>339</v>
      </c>
      <c r="J320" s="70">
        <v>0.9</v>
      </c>
      <c r="K320" s="71" t="s">
        <v>1710</v>
      </c>
      <c r="L320" s="71" t="s">
        <v>1710</v>
      </c>
      <c r="M320" s="72" t="s">
        <v>1710</v>
      </c>
      <c r="N320" s="71" t="s">
        <v>1710</v>
      </c>
      <c r="O320" s="73">
        <v>0.9</v>
      </c>
      <c r="P320" s="71">
        <v>0.33333333333333298</v>
      </c>
      <c r="Q320" s="71">
        <v>0</v>
      </c>
      <c r="R320" s="71">
        <v>1</v>
      </c>
      <c r="S320" s="71">
        <v>0.38461538461538503</v>
      </c>
      <c r="T320" s="73">
        <v>0.9</v>
      </c>
      <c r="U320" s="71">
        <v>0.66666666666666696</v>
      </c>
      <c r="V320" s="71">
        <v>0</v>
      </c>
      <c r="W320" s="71">
        <v>0.5</v>
      </c>
      <c r="X320" s="71">
        <v>0.61538461538461497</v>
      </c>
      <c r="Y320" s="73">
        <v>0.92</v>
      </c>
      <c r="Z320" s="73" t="s">
        <v>1710</v>
      </c>
      <c r="AA320" s="73" t="s">
        <v>1710</v>
      </c>
      <c r="AB320" s="73">
        <v>0</v>
      </c>
      <c r="AC320" s="73">
        <v>0</v>
      </c>
      <c r="AD320" s="73">
        <v>0.92</v>
      </c>
      <c r="AE320" s="71">
        <v>0.67008797653958896</v>
      </c>
      <c r="AF320" s="71">
        <v>0.90321034978437997</v>
      </c>
      <c r="AG320" s="71">
        <v>0.99501968959925902</v>
      </c>
      <c r="AH320" s="71">
        <v>0.92813475688303704</v>
      </c>
      <c r="AI320" s="73">
        <v>0.92</v>
      </c>
      <c r="AJ320" s="71">
        <v>0.66666666666666696</v>
      </c>
      <c r="AK320" s="71">
        <v>0.33333333333333298</v>
      </c>
      <c r="AL320" s="71">
        <v>0.33333333333333298</v>
      </c>
      <c r="AM320" s="71">
        <v>0.64705882352941202</v>
      </c>
      <c r="AN320" s="70">
        <v>0.99</v>
      </c>
      <c r="AO320" s="75" t="s">
        <v>1710</v>
      </c>
      <c r="AP320" s="75">
        <v>1</v>
      </c>
      <c r="AQ320" s="75" t="s">
        <v>1710</v>
      </c>
      <c r="AR320" s="75">
        <v>1</v>
      </c>
      <c r="AS320" s="95">
        <v>9.2228725701943806E-2</v>
      </c>
      <c r="AT320" s="79" t="s">
        <v>1710</v>
      </c>
      <c r="AU320" s="79" t="s">
        <v>1710</v>
      </c>
      <c r="AV320" s="79" t="s">
        <v>1710</v>
      </c>
      <c r="AW320" s="79" t="s">
        <v>1710</v>
      </c>
      <c r="AX320" s="50"/>
      <c r="AY320" s="54"/>
    </row>
    <row r="321" spans="1:51" s="48" customFormat="1">
      <c r="A321" s="53"/>
      <c r="B321" s="50"/>
      <c r="C321" s="99" t="s">
        <v>255</v>
      </c>
      <c r="D321" s="230" t="s">
        <v>1757</v>
      </c>
      <c r="E321" s="68" t="s">
        <v>256</v>
      </c>
      <c r="F321" s="100" t="s">
        <v>340</v>
      </c>
      <c r="G321" s="100" t="s">
        <v>340</v>
      </c>
      <c r="H321" s="100" t="s">
        <v>340</v>
      </c>
      <c r="I321" s="100" t="s">
        <v>340</v>
      </c>
      <c r="J321" s="70">
        <v>0.9</v>
      </c>
      <c r="K321" s="71">
        <v>0.95575221238938102</v>
      </c>
      <c r="L321" s="71">
        <v>0.97802197802197799</v>
      </c>
      <c r="M321" s="72">
        <v>0.934579439252336</v>
      </c>
      <c r="N321" s="71">
        <v>0.96224832214765099</v>
      </c>
      <c r="O321" s="73">
        <v>0.9</v>
      </c>
      <c r="P321" s="71">
        <v>0.97893755824790296</v>
      </c>
      <c r="Q321" s="71">
        <v>0.97952726595942696</v>
      </c>
      <c r="R321" s="71">
        <v>0.96368218203379796</v>
      </c>
      <c r="S321" s="71">
        <v>0.97042579725636902</v>
      </c>
      <c r="T321" s="73">
        <v>0.9</v>
      </c>
      <c r="U321" s="71">
        <v>0.96197576887232095</v>
      </c>
      <c r="V321" s="71">
        <v>0.95626279545877502</v>
      </c>
      <c r="W321" s="71">
        <v>0.96249629410020798</v>
      </c>
      <c r="X321" s="71">
        <v>0.95868222578537898</v>
      </c>
      <c r="Y321" s="73">
        <v>0.92</v>
      </c>
      <c r="Z321" s="73">
        <v>0.96733056311792498</v>
      </c>
      <c r="AA321" s="73">
        <v>0.97420965058236297</v>
      </c>
      <c r="AB321" s="73">
        <v>0.97999310106933402</v>
      </c>
      <c r="AC321" s="73">
        <v>0.97766976613130496</v>
      </c>
      <c r="AD321" s="73">
        <v>0.92</v>
      </c>
      <c r="AE321" s="71">
        <v>0.84545454545454501</v>
      </c>
      <c r="AF321" s="71">
        <v>0.73761355828689201</v>
      </c>
      <c r="AG321" s="71">
        <v>0.97670083876980396</v>
      </c>
      <c r="AH321" s="71">
        <v>0.86076437756761803</v>
      </c>
      <c r="AI321" s="73">
        <v>0.92</v>
      </c>
      <c r="AJ321" s="71">
        <v>0.97804779262859498</v>
      </c>
      <c r="AK321" s="71">
        <v>0.98637006557798601</v>
      </c>
      <c r="AL321" s="71">
        <v>0.98716722461342299</v>
      </c>
      <c r="AM321" s="71">
        <v>0.98674291237113398</v>
      </c>
      <c r="AN321" s="70">
        <v>0.99</v>
      </c>
      <c r="AO321" s="75">
        <v>1</v>
      </c>
      <c r="AP321" s="75">
        <v>1</v>
      </c>
      <c r="AQ321" s="75">
        <v>1</v>
      </c>
      <c r="AR321" s="75">
        <v>1</v>
      </c>
      <c r="AS321" s="95">
        <v>9.2228725701943806E-2</v>
      </c>
      <c r="AT321" s="79">
        <v>3.3333333333333298E-2</v>
      </c>
      <c r="AU321" s="79">
        <v>6.6666666666666693E-2</v>
      </c>
      <c r="AV321" s="79">
        <v>2.7777777777777801E-2</v>
      </c>
      <c r="AW321" s="79">
        <v>3.1446540880503103E-2</v>
      </c>
      <c r="AX321" s="50"/>
      <c r="AY321" s="54"/>
    </row>
    <row r="322" spans="1:51" s="48" customFormat="1">
      <c r="A322" s="53"/>
      <c r="B322" s="50"/>
      <c r="C322" s="99" t="s">
        <v>255</v>
      </c>
      <c r="D322" s="230" t="s">
        <v>1759</v>
      </c>
      <c r="E322" s="68" t="s">
        <v>256</v>
      </c>
      <c r="F322" s="100" t="s">
        <v>341</v>
      </c>
      <c r="G322" s="100" t="s">
        <v>341</v>
      </c>
      <c r="H322" s="100" t="s">
        <v>341</v>
      </c>
      <c r="I322" s="100" t="s">
        <v>341</v>
      </c>
      <c r="J322" s="70">
        <v>0.9</v>
      </c>
      <c r="K322" s="71" t="s">
        <v>1710</v>
      </c>
      <c r="L322" s="71" t="s">
        <v>1710</v>
      </c>
      <c r="M322" s="72" t="s">
        <v>1710</v>
      </c>
      <c r="N322" s="71" t="s">
        <v>1710</v>
      </c>
      <c r="O322" s="73">
        <v>0.9</v>
      </c>
      <c r="P322" s="71">
        <v>0</v>
      </c>
      <c r="Q322" s="71" t="s">
        <v>1710</v>
      </c>
      <c r="R322" s="71" t="s">
        <v>1710</v>
      </c>
      <c r="S322" s="71">
        <v>0</v>
      </c>
      <c r="T322" s="73">
        <v>0.9</v>
      </c>
      <c r="U322" s="71">
        <v>0</v>
      </c>
      <c r="V322" s="71" t="s">
        <v>1710</v>
      </c>
      <c r="W322" s="71" t="s">
        <v>1710</v>
      </c>
      <c r="X322" s="71">
        <v>0</v>
      </c>
      <c r="Y322" s="73">
        <v>0.92</v>
      </c>
      <c r="Z322" s="73" t="s">
        <v>1710</v>
      </c>
      <c r="AA322" s="73" t="s">
        <v>1710</v>
      </c>
      <c r="AB322" s="73" t="s">
        <v>1710</v>
      </c>
      <c r="AC322" s="73">
        <v>0</v>
      </c>
      <c r="AD322" s="73">
        <v>0.92</v>
      </c>
      <c r="AE322" s="71">
        <v>0.66569140745303401</v>
      </c>
      <c r="AF322" s="71">
        <v>0.89821331889550604</v>
      </c>
      <c r="AG322" s="71">
        <v>0.79123173277661796</v>
      </c>
      <c r="AH322" s="71">
        <v>0.86610490927115202</v>
      </c>
      <c r="AI322" s="73">
        <v>0.92</v>
      </c>
      <c r="AJ322" s="71">
        <v>0</v>
      </c>
      <c r="AK322" s="71" t="s">
        <v>1710</v>
      </c>
      <c r="AL322" s="71" t="s">
        <v>1710</v>
      </c>
      <c r="AM322" s="71">
        <v>0.33333333333333298</v>
      </c>
      <c r="AN322" s="70">
        <v>0.99</v>
      </c>
      <c r="AO322" s="75">
        <v>1</v>
      </c>
      <c r="AP322" s="75">
        <v>1</v>
      </c>
      <c r="AQ322" s="75">
        <v>1</v>
      </c>
      <c r="AR322" s="75">
        <v>1</v>
      </c>
      <c r="AS322" s="95">
        <v>9.2228725701943806E-2</v>
      </c>
      <c r="AT322" s="79" t="s">
        <v>1710</v>
      </c>
      <c r="AU322" s="79" t="s">
        <v>1710</v>
      </c>
      <c r="AV322" s="79" t="s">
        <v>1710</v>
      </c>
      <c r="AW322" s="79" t="s">
        <v>1710</v>
      </c>
      <c r="AX322" s="50"/>
      <c r="AY322" s="54"/>
    </row>
    <row r="323" spans="1:51" s="48" customFormat="1">
      <c r="A323" s="53"/>
      <c r="B323" s="50"/>
      <c r="C323" s="99" t="s">
        <v>255</v>
      </c>
      <c r="D323" s="230" t="s">
        <v>1757</v>
      </c>
      <c r="E323" s="68" t="s">
        <v>256</v>
      </c>
      <c r="F323" s="100" t="s">
        <v>342</v>
      </c>
      <c r="G323" s="100" t="s">
        <v>342</v>
      </c>
      <c r="H323" s="100" t="s">
        <v>342</v>
      </c>
      <c r="I323" s="100" t="s">
        <v>342</v>
      </c>
      <c r="J323" s="70">
        <v>0.9</v>
      </c>
      <c r="K323" s="71">
        <v>0.71428571428571397</v>
      </c>
      <c r="L323" s="71">
        <v>0.64285714285714302</v>
      </c>
      <c r="M323" s="72">
        <v>0.64285714285714302</v>
      </c>
      <c r="N323" s="71">
        <v>0.72516556291390699</v>
      </c>
      <c r="O323" s="73">
        <v>0.9</v>
      </c>
      <c r="P323" s="71">
        <v>0.97643097643097598</v>
      </c>
      <c r="Q323" s="71">
        <v>0.97712274527056797</v>
      </c>
      <c r="R323" s="71">
        <v>0.90169351507641504</v>
      </c>
      <c r="S323" s="71">
        <v>0.94529437212412004</v>
      </c>
      <c r="T323" s="73">
        <v>0.9</v>
      </c>
      <c r="U323" s="71">
        <v>0.93025493025493</v>
      </c>
      <c r="V323" s="71">
        <v>0.92696876374835002</v>
      </c>
      <c r="W323" s="71">
        <v>0.91408508880627803</v>
      </c>
      <c r="X323" s="71">
        <v>0.91512958665985</v>
      </c>
      <c r="Y323" s="73">
        <v>0.92</v>
      </c>
      <c r="Z323" s="73">
        <v>0.92508561643835596</v>
      </c>
      <c r="AA323" s="73">
        <v>0.90243902439024404</v>
      </c>
      <c r="AB323" s="73">
        <v>0.91566951566951604</v>
      </c>
      <c r="AC323" s="73">
        <v>0.93681347979097795</v>
      </c>
      <c r="AD323" s="73">
        <v>0.92</v>
      </c>
      <c r="AE323" s="71">
        <v>0.99987222896569306</v>
      </c>
      <c r="AF323" s="71">
        <v>0.99992266646044403</v>
      </c>
      <c r="AG323" s="71">
        <v>0.99995845968512398</v>
      </c>
      <c r="AH323" s="71">
        <v>0.99994946464104095</v>
      </c>
      <c r="AI323" s="73">
        <v>0.92</v>
      </c>
      <c r="AJ323" s="71">
        <v>0.950407608695652</v>
      </c>
      <c r="AK323" s="71">
        <v>0.957178841309824</v>
      </c>
      <c r="AL323" s="71">
        <v>0.95045476304451904</v>
      </c>
      <c r="AM323" s="71">
        <v>0.96162114457695003</v>
      </c>
      <c r="AN323" s="70">
        <v>0.99</v>
      </c>
      <c r="AO323" s="75">
        <v>1</v>
      </c>
      <c r="AP323" s="75">
        <v>1</v>
      </c>
      <c r="AQ323" s="75">
        <v>1</v>
      </c>
      <c r="AR323" s="75">
        <v>1</v>
      </c>
      <c r="AS323" s="95">
        <v>9.2228725701943806E-2</v>
      </c>
      <c r="AT323" s="79">
        <v>0.375</v>
      </c>
      <c r="AU323" s="79">
        <v>0</v>
      </c>
      <c r="AV323" s="79">
        <v>6.6666666666666693E-2</v>
      </c>
      <c r="AW323" s="79">
        <v>0.115384615384615</v>
      </c>
      <c r="AX323" s="50"/>
      <c r="AY323" s="54"/>
    </row>
    <row r="324" spans="1:51" s="48" customFormat="1">
      <c r="A324" s="53"/>
      <c r="B324" s="50"/>
      <c r="C324" s="99" t="s">
        <v>255</v>
      </c>
      <c r="D324" s="230" t="s">
        <v>1757</v>
      </c>
      <c r="E324" s="68" t="s">
        <v>256</v>
      </c>
      <c r="F324" s="100" t="s">
        <v>343</v>
      </c>
      <c r="G324" s="100" t="s">
        <v>343</v>
      </c>
      <c r="H324" s="100" t="s">
        <v>343</v>
      </c>
      <c r="I324" s="100" t="s">
        <v>343</v>
      </c>
      <c r="J324" s="70">
        <v>0.9</v>
      </c>
      <c r="K324" s="71">
        <v>0.93548387096774199</v>
      </c>
      <c r="L324" s="71">
        <v>0.92</v>
      </c>
      <c r="M324" s="72">
        <v>0.96</v>
      </c>
      <c r="N324" s="71">
        <v>0.92182410423452799</v>
      </c>
      <c r="O324" s="73">
        <v>0.9</v>
      </c>
      <c r="P324" s="71">
        <v>0.98065601345668596</v>
      </c>
      <c r="Q324" s="71">
        <v>0.98266351457840795</v>
      </c>
      <c r="R324" s="71">
        <v>0.95448460508701505</v>
      </c>
      <c r="S324" s="71">
        <v>0.95807827861250205</v>
      </c>
      <c r="T324" s="73">
        <v>0.9</v>
      </c>
      <c r="U324" s="71">
        <v>0.920100925147183</v>
      </c>
      <c r="V324" s="71">
        <v>0.92592592592592604</v>
      </c>
      <c r="W324" s="71">
        <v>0.87282463186077597</v>
      </c>
      <c r="X324" s="71">
        <v>0.91263216471897601</v>
      </c>
      <c r="Y324" s="73">
        <v>0.92</v>
      </c>
      <c r="Z324" s="73">
        <v>0.94155844155844204</v>
      </c>
      <c r="AA324" s="73">
        <v>0.96979865771812102</v>
      </c>
      <c r="AB324" s="73">
        <v>0.94876912840984695</v>
      </c>
      <c r="AC324" s="73">
        <v>0.95642822451953102</v>
      </c>
      <c r="AD324" s="73">
        <v>0.92</v>
      </c>
      <c r="AE324" s="71">
        <v>1</v>
      </c>
      <c r="AF324" s="71">
        <v>0.99755501222493903</v>
      </c>
      <c r="AG324" s="71">
        <v>0.97604790419161702</v>
      </c>
      <c r="AH324" s="71">
        <v>0.99153458213256496</v>
      </c>
      <c r="AI324" s="73">
        <v>0.92</v>
      </c>
      <c r="AJ324" s="71">
        <v>0.95819618169848597</v>
      </c>
      <c r="AK324" s="71">
        <v>0.97855227882037499</v>
      </c>
      <c r="AL324" s="71">
        <v>0.96529863196529897</v>
      </c>
      <c r="AM324" s="71">
        <v>0.97120350395502397</v>
      </c>
      <c r="AN324" s="70">
        <v>0.99</v>
      </c>
      <c r="AO324" s="75">
        <v>1</v>
      </c>
      <c r="AP324" s="75">
        <v>1</v>
      </c>
      <c r="AQ324" s="75">
        <v>1</v>
      </c>
      <c r="AR324" s="75">
        <v>1</v>
      </c>
      <c r="AS324" s="95">
        <v>9.2228725701943806E-2</v>
      </c>
      <c r="AT324" s="79">
        <v>0</v>
      </c>
      <c r="AU324" s="79">
        <v>0</v>
      </c>
      <c r="AV324" s="79">
        <v>0</v>
      </c>
      <c r="AW324" s="79">
        <v>8.4507042253521097E-2</v>
      </c>
      <c r="AX324" s="50"/>
      <c r="AY324" s="54"/>
    </row>
    <row r="325" spans="1:51" s="48" customFormat="1">
      <c r="A325" s="53"/>
      <c r="B325" s="50"/>
      <c r="C325" s="99" t="s">
        <v>255</v>
      </c>
      <c r="D325" s="230" t="s">
        <v>1759</v>
      </c>
      <c r="E325" s="68" t="s">
        <v>256</v>
      </c>
      <c r="F325" s="100" t="s">
        <v>344</v>
      </c>
      <c r="G325" s="100" t="s">
        <v>344</v>
      </c>
      <c r="H325" s="100" t="s">
        <v>344</v>
      </c>
      <c r="I325" s="100" t="s">
        <v>344</v>
      </c>
      <c r="J325" s="70">
        <v>0.9</v>
      </c>
      <c r="K325" s="71" t="s">
        <v>1710</v>
      </c>
      <c r="L325" s="71" t="s">
        <v>1710</v>
      </c>
      <c r="M325" s="72" t="s">
        <v>1710</v>
      </c>
      <c r="N325" s="71" t="s">
        <v>1710</v>
      </c>
      <c r="O325" s="73">
        <v>0.9</v>
      </c>
      <c r="P325" s="71" t="s">
        <v>1710</v>
      </c>
      <c r="Q325" s="71" t="s">
        <v>1710</v>
      </c>
      <c r="R325" s="71">
        <v>1</v>
      </c>
      <c r="S325" s="71">
        <v>1</v>
      </c>
      <c r="T325" s="73">
        <v>0.9</v>
      </c>
      <c r="U325" s="71" t="s">
        <v>1710</v>
      </c>
      <c r="V325" s="71" t="s">
        <v>1710</v>
      </c>
      <c r="W325" s="71">
        <v>1</v>
      </c>
      <c r="X325" s="71">
        <v>1</v>
      </c>
      <c r="Y325" s="73">
        <v>0.92</v>
      </c>
      <c r="Z325" s="73" t="s">
        <v>1710</v>
      </c>
      <c r="AA325" s="73" t="s">
        <v>1710</v>
      </c>
      <c r="AB325" s="73" t="s">
        <v>1710</v>
      </c>
      <c r="AC325" s="73">
        <v>1</v>
      </c>
      <c r="AD325" s="73">
        <v>0.92</v>
      </c>
      <c r="AE325" s="71">
        <v>0.99991080984659297</v>
      </c>
      <c r="AF325" s="71">
        <v>0.99975707518523005</v>
      </c>
      <c r="AG325" s="71">
        <v>0.99989567031820503</v>
      </c>
      <c r="AH325" s="71">
        <v>0.99984662023169402</v>
      </c>
      <c r="AI325" s="73">
        <v>0.92</v>
      </c>
      <c r="AJ325" s="71" t="s">
        <v>1710</v>
      </c>
      <c r="AK325" s="71" t="s">
        <v>1710</v>
      </c>
      <c r="AL325" s="71">
        <v>1</v>
      </c>
      <c r="AM325" s="71">
        <v>1</v>
      </c>
      <c r="AN325" s="70">
        <v>0.99</v>
      </c>
      <c r="AO325" s="75" t="s">
        <v>1710</v>
      </c>
      <c r="AP325" s="75">
        <v>1</v>
      </c>
      <c r="AQ325" s="75" t="s">
        <v>1710</v>
      </c>
      <c r="AR325" s="75">
        <v>1</v>
      </c>
      <c r="AS325" s="95">
        <v>9.2228725701943806E-2</v>
      </c>
      <c r="AT325" s="79" t="s">
        <v>1710</v>
      </c>
      <c r="AU325" s="79" t="s">
        <v>1710</v>
      </c>
      <c r="AV325" s="79" t="s">
        <v>1710</v>
      </c>
      <c r="AW325" s="79">
        <v>0</v>
      </c>
      <c r="AX325" s="50"/>
      <c r="AY325" s="54"/>
    </row>
    <row r="326" spans="1:51">
      <c r="A326" s="53"/>
      <c r="C326" s="102"/>
      <c r="D326" s="232"/>
      <c r="E326" s="102"/>
      <c r="F326" s="102"/>
      <c r="G326" s="102"/>
      <c r="H326" s="102"/>
      <c r="I326" s="102"/>
      <c r="J326" s="103"/>
      <c r="K326" s="104"/>
      <c r="L326" s="104"/>
      <c r="M326" s="72"/>
      <c r="N326" s="104"/>
      <c r="O326" s="88"/>
      <c r="P326" s="104"/>
      <c r="Q326" s="104"/>
      <c r="R326" s="71"/>
      <c r="S326" s="104"/>
      <c r="T326" s="88"/>
      <c r="U326" s="104"/>
      <c r="V326" s="104"/>
      <c r="W326" s="71"/>
      <c r="X326" s="104"/>
      <c r="Y326" s="88"/>
      <c r="Z326" s="88"/>
      <c r="AA326" s="88"/>
      <c r="AB326" s="73"/>
      <c r="AC326" s="88"/>
      <c r="AD326" s="104"/>
      <c r="AE326" s="104"/>
      <c r="AF326" s="104"/>
      <c r="AG326" s="71"/>
      <c r="AH326" s="104"/>
      <c r="AI326" s="104"/>
      <c r="AJ326" s="104"/>
      <c r="AK326" s="104"/>
      <c r="AL326" s="71"/>
      <c r="AM326" s="104"/>
      <c r="AN326" s="105"/>
      <c r="AO326" s="105"/>
      <c r="AP326" s="105"/>
      <c r="AQ326" s="75"/>
      <c r="AR326" s="105"/>
      <c r="AS326" s="104"/>
      <c r="AT326" s="105"/>
      <c r="AU326" s="105"/>
      <c r="AV326" s="79"/>
      <c r="AW326" s="105"/>
      <c r="AX326" s="56"/>
      <c r="AY326" s="54"/>
    </row>
    <row r="327" spans="1:51">
      <c r="A327" s="53"/>
      <c r="B327" s="56"/>
      <c r="C327" s="99" t="s">
        <v>345</v>
      </c>
      <c r="D327" s="230" t="s">
        <v>1757</v>
      </c>
      <c r="E327" s="68" t="s">
        <v>346</v>
      </c>
      <c r="F327" s="106" t="s">
        <v>347</v>
      </c>
      <c r="G327" s="106" t="s">
        <v>347</v>
      </c>
      <c r="H327" s="106" t="s">
        <v>347</v>
      </c>
      <c r="I327" s="106" t="s">
        <v>347</v>
      </c>
      <c r="J327" s="70">
        <v>0.9</v>
      </c>
      <c r="K327" s="71">
        <v>0.94623655913978499</v>
      </c>
      <c r="L327" s="71">
        <v>0.831168831168831</v>
      </c>
      <c r="M327" s="72">
        <v>0.97560975609756095</v>
      </c>
      <c r="N327" s="71">
        <v>0.92497430626927002</v>
      </c>
      <c r="O327" s="73">
        <v>0.9</v>
      </c>
      <c r="P327" s="71">
        <v>0.91741507223740704</v>
      </c>
      <c r="Q327" s="71">
        <v>0.91708244238536496</v>
      </c>
      <c r="R327" s="71">
        <v>0.92247018083878396</v>
      </c>
      <c r="S327" s="71">
        <v>0.92687113160769097</v>
      </c>
      <c r="T327" s="73">
        <v>0.9</v>
      </c>
      <c r="U327" s="71">
        <v>0.90980085903943797</v>
      </c>
      <c r="V327" s="71">
        <v>0.90258968876217605</v>
      </c>
      <c r="W327" s="71">
        <v>0.90669488264717202</v>
      </c>
      <c r="X327" s="71">
        <v>0.91298392829279296</v>
      </c>
      <c r="Y327" s="73">
        <v>0.92</v>
      </c>
      <c r="Z327" s="73">
        <v>0.93616037008481101</v>
      </c>
      <c r="AA327" s="73">
        <v>0.90599503369989398</v>
      </c>
      <c r="AB327" s="73">
        <v>0.92114123693071104</v>
      </c>
      <c r="AC327" s="73">
        <v>0.93877736068041295</v>
      </c>
      <c r="AD327" s="73">
        <v>0.92</v>
      </c>
      <c r="AE327" s="71">
        <v>0.99428358394432703</v>
      </c>
      <c r="AF327" s="71">
        <v>0.81825938566552903</v>
      </c>
      <c r="AG327" s="71">
        <v>0.99469847581179605</v>
      </c>
      <c r="AH327" s="71">
        <v>0.97730309150225303</v>
      </c>
      <c r="AI327" s="73">
        <v>0.92</v>
      </c>
      <c r="AJ327" s="71">
        <v>0.94736389438376201</v>
      </c>
      <c r="AK327" s="71">
        <v>0.93511667615253302</v>
      </c>
      <c r="AL327" s="71">
        <v>0.93969247767240605</v>
      </c>
      <c r="AM327" s="71">
        <v>0.95436767776873299</v>
      </c>
      <c r="AN327" s="70">
        <v>0.99</v>
      </c>
      <c r="AO327" s="75">
        <v>1</v>
      </c>
      <c r="AP327" s="75">
        <v>1</v>
      </c>
      <c r="AQ327" s="75">
        <v>1</v>
      </c>
      <c r="AR327" s="75">
        <v>1</v>
      </c>
      <c r="AS327" s="95">
        <v>7.3985255698344701E-2</v>
      </c>
      <c r="AT327" s="79">
        <v>0.05</v>
      </c>
      <c r="AU327" s="79">
        <v>8.3333333333333301E-2</v>
      </c>
      <c r="AV327" s="79">
        <v>4.2253521126760597E-2</v>
      </c>
      <c r="AW327" s="79">
        <v>4.61361014994233E-2</v>
      </c>
      <c r="AX327" s="56"/>
      <c r="AY327" s="54"/>
    </row>
    <row r="328" spans="1:51">
      <c r="A328" s="53"/>
      <c r="B328" s="56"/>
      <c r="C328" s="99" t="s">
        <v>345</v>
      </c>
      <c r="D328" s="230" t="s">
        <v>1759</v>
      </c>
      <c r="E328" s="68" t="s">
        <v>346</v>
      </c>
      <c r="F328" s="106" t="s">
        <v>348</v>
      </c>
      <c r="G328" s="106" t="s">
        <v>348</v>
      </c>
      <c r="H328" s="106" t="s">
        <v>348</v>
      </c>
      <c r="I328" s="106" t="s">
        <v>348</v>
      </c>
      <c r="J328" s="70">
        <v>0.9</v>
      </c>
      <c r="K328" s="71" t="s">
        <v>1710</v>
      </c>
      <c r="L328" s="71" t="s">
        <v>1710</v>
      </c>
      <c r="M328" s="72" t="s">
        <v>1710</v>
      </c>
      <c r="N328" s="71" t="s">
        <v>1710</v>
      </c>
      <c r="O328" s="73">
        <v>0.9</v>
      </c>
      <c r="P328" s="71" t="s">
        <v>1710</v>
      </c>
      <c r="Q328" s="71" t="s">
        <v>1710</v>
      </c>
      <c r="R328" s="71" t="s">
        <v>1710</v>
      </c>
      <c r="S328" s="71" t="s">
        <v>1710</v>
      </c>
      <c r="T328" s="73">
        <v>0.9</v>
      </c>
      <c r="U328" s="71" t="s">
        <v>1710</v>
      </c>
      <c r="V328" s="71" t="s">
        <v>1710</v>
      </c>
      <c r="W328" s="71" t="s">
        <v>1710</v>
      </c>
      <c r="X328" s="71" t="s">
        <v>1710</v>
      </c>
      <c r="Y328" s="73">
        <v>0.92</v>
      </c>
      <c r="Z328" s="73" t="s">
        <v>1710</v>
      </c>
      <c r="AA328" s="73" t="s">
        <v>1710</v>
      </c>
      <c r="AB328" s="73" t="s">
        <v>1710</v>
      </c>
      <c r="AC328" s="73">
        <v>1</v>
      </c>
      <c r="AD328" s="73">
        <v>0.92</v>
      </c>
      <c r="AE328" s="71">
        <v>0.99037138927097701</v>
      </c>
      <c r="AF328" s="71">
        <v>0.96711798839458396</v>
      </c>
      <c r="AG328" s="71">
        <v>0.99319727891156495</v>
      </c>
      <c r="AH328" s="71">
        <v>0.90986151323821796</v>
      </c>
      <c r="AI328" s="73">
        <v>0.92</v>
      </c>
      <c r="AJ328" s="71" t="s">
        <v>1710</v>
      </c>
      <c r="AK328" s="71" t="s">
        <v>1710</v>
      </c>
      <c r="AL328" s="71" t="s">
        <v>1710</v>
      </c>
      <c r="AM328" s="71">
        <v>1</v>
      </c>
      <c r="AN328" s="70">
        <v>0.99</v>
      </c>
      <c r="AO328" s="75">
        <v>1</v>
      </c>
      <c r="AP328" s="75">
        <v>1</v>
      </c>
      <c r="AQ328" s="75">
        <v>1</v>
      </c>
      <c r="AR328" s="75">
        <v>1</v>
      </c>
      <c r="AS328" s="95">
        <v>7.3985255698344701E-2</v>
      </c>
      <c r="AT328" s="79" t="s">
        <v>1710</v>
      </c>
      <c r="AU328" s="79" t="s">
        <v>1710</v>
      </c>
      <c r="AV328" s="79" t="s">
        <v>1710</v>
      </c>
      <c r="AW328" s="79" t="s">
        <v>1710</v>
      </c>
      <c r="AX328" s="56"/>
      <c r="AY328" s="54"/>
    </row>
    <row r="329" spans="1:51">
      <c r="A329" s="53"/>
      <c r="B329" s="56"/>
      <c r="C329" s="99" t="s">
        <v>345</v>
      </c>
      <c r="D329" s="230" t="s">
        <v>1757</v>
      </c>
      <c r="E329" s="68" t="s">
        <v>346</v>
      </c>
      <c r="F329" s="106" t="s">
        <v>349</v>
      </c>
      <c r="G329" s="106" t="s">
        <v>349</v>
      </c>
      <c r="H329" s="106" t="s">
        <v>349</v>
      </c>
      <c r="I329" s="106" t="s">
        <v>349</v>
      </c>
      <c r="J329" s="70">
        <v>0.9</v>
      </c>
      <c r="K329" s="71">
        <v>0.90566037735849103</v>
      </c>
      <c r="L329" s="71">
        <v>0.81443298969072198</v>
      </c>
      <c r="M329" s="72">
        <v>0.86315789473684201</v>
      </c>
      <c r="N329" s="71">
        <v>0.88434782608695695</v>
      </c>
      <c r="O329" s="73">
        <v>0.9</v>
      </c>
      <c r="P329" s="71">
        <v>0.94133837949423704</v>
      </c>
      <c r="Q329" s="71">
        <v>0.92523537013106905</v>
      </c>
      <c r="R329" s="71">
        <v>0.93835286562851195</v>
      </c>
      <c r="S329" s="71">
        <v>0.92706207139605601</v>
      </c>
      <c r="T329" s="73">
        <v>0.9</v>
      </c>
      <c r="U329" s="71">
        <v>0.86530190951315999</v>
      </c>
      <c r="V329" s="71">
        <v>0.85268598855455002</v>
      </c>
      <c r="W329" s="71">
        <v>0.85567506822924999</v>
      </c>
      <c r="X329" s="71">
        <v>0.85949867105243805</v>
      </c>
      <c r="Y329" s="73">
        <v>0.92</v>
      </c>
      <c r="Z329" s="73">
        <v>0.934391534391534</v>
      </c>
      <c r="AA329" s="73">
        <v>0.91416423066702102</v>
      </c>
      <c r="AB329" s="73">
        <v>0.92391304347826098</v>
      </c>
      <c r="AC329" s="73">
        <v>0.93774112384679897</v>
      </c>
      <c r="AD329" s="73">
        <v>0.92</v>
      </c>
      <c r="AE329" s="71">
        <v>0.99339933993399299</v>
      </c>
      <c r="AF329" s="71">
        <v>0.99043284413895605</v>
      </c>
      <c r="AG329" s="71">
        <v>0.980854197349043</v>
      </c>
      <c r="AH329" s="71">
        <v>0.99021519151859505</v>
      </c>
      <c r="AI329" s="73">
        <v>0.92</v>
      </c>
      <c r="AJ329" s="71">
        <v>0.94789341517857095</v>
      </c>
      <c r="AK329" s="71">
        <v>0.94031801350468303</v>
      </c>
      <c r="AL329" s="71">
        <v>0.93716735659373196</v>
      </c>
      <c r="AM329" s="71">
        <v>0.95169879836732396</v>
      </c>
      <c r="AN329" s="70">
        <v>0.99</v>
      </c>
      <c r="AO329" s="75">
        <v>1</v>
      </c>
      <c r="AP329" s="75">
        <v>1</v>
      </c>
      <c r="AQ329" s="75">
        <v>1</v>
      </c>
      <c r="AR329" s="75">
        <v>1</v>
      </c>
      <c r="AS329" s="95">
        <v>7.3985255698344701E-2</v>
      </c>
      <c r="AT329" s="79">
        <v>9.90990990990991E-2</v>
      </c>
      <c r="AU329" s="79">
        <v>1.16279069767442E-2</v>
      </c>
      <c r="AV329" s="79">
        <v>5.5045871559633003E-2</v>
      </c>
      <c r="AW329" s="79">
        <v>5.0566695727986E-2</v>
      </c>
      <c r="AX329" s="56"/>
      <c r="AY329" s="54"/>
    </row>
    <row r="330" spans="1:51">
      <c r="A330" s="53"/>
      <c r="B330" s="56"/>
      <c r="C330" s="99" t="s">
        <v>345</v>
      </c>
      <c r="D330" s="230" t="s">
        <v>1759</v>
      </c>
      <c r="E330" s="68" t="s">
        <v>346</v>
      </c>
      <c r="F330" s="106" t="s">
        <v>350</v>
      </c>
      <c r="G330" s="106" t="s">
        <v>350</v>
      </c>
      <c r="H330" s="106" t="s">
        <v>350</v>
      </c>
      <c r="I330" s="106" t="s">
        <v>350</v>
      </c>
      <c r="J330" s="70">
        <v>0.9</v>
      </c>
      <c r="K330" s="71" t="s">
        <v>1710</v>
      </c>
      <c r="L330" s="71" t="s">
        <v>1710</v>
      </c>
      <c r="M330" s="72" t="s">
        <v>1710</v>
      </c>
      <c r="N330" s="71" t="s">
        <v>1710</v>
      </c>
      <c r="O330" s="73">
        <v>0.9</v>
      </c>
      <c r="P330" s="71" t="s">
        <v>1710</v>
      </c>
      <c r="Q330" s="71" t="s">
        <v>1710</v>
      </c>
      <c r="R330" s="71" t="s">
        <v>1710</v>
      </c>
      <c r="S330" s="71" t="s">
        <v>1710</v>
      </c>
      <c r="T330" s="73">
        <v>0.9</v>
      </c>
      <c r="U330" s="71" t="s">
        <v>1710</v>
      </c>
      <c r="V330" s="71" t="s">
        <v>1710</v>
      </c>
      <c r="W330" s="71" t="s">
        <v>1710</v>
      </c>
      <c r="X330" s="71" t="s">
        <v>1710</v>
      </c>
      <c r="Y330" s="73">
        <v>0.92</v>
      </c>
      <c r="Z330" s="73" t="s">
        <v>1710</v>
      </c>
      <c r="AA330" s="73" t="s">
        <v>1710</v>
      </c>
      <c r="AB330" s="73" t="s">
        <v>1710</v>
      </c>
      <c r="AC330" s="73" t="s">
        <v>1710</v>
      </c>
      <c r="AD330" s="73">
        <v>0.92</v>
      </c>
      <c r="AE330" s="71">
        <v>1</v>
      </c>
      <c r="AF330" s="71">
        <v>1</v>
      </c>
      <c r="AG330" s="71">
        <v>1</v>
      </c>
      <c r="AH330" s="71">
        <v>0.99872773536895698</v>
      </c>
      <c r="AI330" s="73">
        <v>0.92</v>
      </c>
      <c r="AJ330" s="71" t="s">
        <v>1710</v>
      </c>
      <c r="AK330" s="71" t="s">
        <v>1710</v>
      </c>
      <c r="AL330" s="71" t="s">
        <v>1710</v>
      </c>
      <c r="AM330" s="71" t="s">
        <v>1710</v>
      </c>
      <c r="AN330" s="70">
        <v>0.99</v>
      </c>
      <c r="AO330" s="75">
        <v>1</v>
      </c>
      <c r="AP330" s="75">
        <v>1</v>
      </c>
      <c r="AQ330" s="75">
        <v>1</v>
      </c>
      <c r="AR330" s="75">
        <v>1</v>
      </c>
      <c r="AS330" s="95">
        <v>7.3985255698344701E-2</v>
      </c>
      <c r="AT330" s="79" t="s">
        <v>1710</v>
      </c>
      <c r="AU330" s="79" t="s">
        <v>1710</v>
      </c>
      <c r="AV330" s="79" t="s">
        <v>1710</v>
      </c>
      <c r="AW330" s="79" t="s">
        <v>1710</v>
      </c>
      <c r="AX330" s="56"/>
      <c r="AY330" s="54"/>
    </row>
    <row r="331" spans="1:51">
      <c r="A331" s="53"/>
      <c r="B331" s="56"/>
      <c r="C331" s="99" t="s">
        <v>345</v>
      </c>
      <c r="D331" s="230" t="s">
        <v>1757</v>
      </c>
      <c r="E331" s="68" t="s">
        <v>346</v>
      </c>
      <c r="F331" s="106" t="s">
        <v>351</v>
      </c>
      <c r="G331" s="106" t="s">
        <v>351</v>
      </c>
      <c r="H331" s="106" t="s">
        <v>351</v>
      </c>
      <c r="I331" s="106" t="s">
        <v>351</v>
      </c>
      <c r="J331" s="70">
        <v>0.9</v>
      </c>
      <c r="K331" s="71">
        <v>0.86746987951807197</v>
      </c>
      <c r="L331" s="71">
        <v>0.88888888888888895</v>
      </c>
      <c r="M331" s="72">
        <v>0.91891891891891897</v>
      </c>
      <c r="N331" s="71">
        <v>0.93333333333333302</v>
      </c>
      <c r="O331" s="73">
        <v>0.9</v>
      </c>
      <c r="P331" s="71">
        <v>0.94691814116274597</v>
      </c>
      <c r="Q331" s="71">
        <v>0.95106964041875297</v>
      </c>
      <c r="R331" s="71">
        <v>0.95104500094144195</v>
      </c>
      <c r="S331" s="71">
        <v>0.95081196365895804</v>
      </c>
      <c r="T331" s="73">
        <v>0.9</v>
      </c>
      <c r="U331" s="71">
        <v>0.89208633093525203</v>
      </c>
      <c r="V331" s="71">
        <v>0.91807009558488895</v>
      </c>
      <c r="W331" s="71">
        <v>0.91847109772170998</v>
      </c>
      <c r="X331" s="71">
        <v>0.92083564243370797</v>
      </c>
      <c r="Y331" s="73">
        <v>0.92</v>
      </c>
      <c r="Z331" s="73">
        <v>0.94226657163221705</v>
      </c>
      <c r="AA331" s="73">
        <v>0.90867418899858998</v>
      </c>
      <c r="AB331" s="73">
        <v>0.91771292840176499</v>
      </c>
      <c r="AC331" s="73">
        <v>0.94097174699384101</v>
      </c>
      <c r="AD331" s="73">
        <v>0.92</v>
      </c>
      <c r="AE331" s="71">
        <v>0.95131385068762297</v>
      </c>
      <c r="AF331" s="71">
        <v>0.96558415032679701</v>
      </c>
      <c r="AG331" s="71">
        <v>0.97866455946266295</v>
      </c>
      <c r="AH331" s="71">
        <v>0.96350167743678605</v>
      </c>
      <c r="AI331" s="73">
        <v>0.92</v>
      </c>
      <c r="AJ331" s="71">
        <v>0.95585090131377903</v>
      </c>
      <c r="AK331" s="71">
        <v>0.94164016042041199</v>
      </c>
      <c r="AL331" s="71">
        <v>0.93778966131907304</v>
      </c>
      <c r="AM331" s="71">
        <v>0.95838634292468605</v>
      </c>
      <c r="AN331" s="70">
        <v>0.99</v>
      </c>
      <c r="AO331" s="75">
        <v>1</v>
      </c>
      <c r="AP331" s="75">
        <v>1</v>
      </c>
      <c r="AQ331" s="75">
        <v>1</v>
      </c>
      <c r="AR331" s="75">
        <v>0.99911190053286003</v>
      </c>
      <c r="AS331" s="95">
        <v>7.3985255698344701E-2</v>
      </c>
      <c r="AT331" s="79">
        <v>4.5454545454545497E-2</v>
      </c>
      <c r="AU331" s="79">
        <v>0.16666666666666699</v>
      </c>
      <c r="AV331" s="79">
        <v>0.15384615384615399</v>
      </c>
      <c r="AW331" s="79">
        <v>5.77689243027888E-2</v>
      </c>
      <c r="AX331" s="56"/>
      <c r="AY331" s="54"/>
    </row>
    <row r="332" spans="1:51">
      <c r="A332" s="53"/>
      <c r="B332" s="56"/>
      <c r="C332" s="99" t="s">
        <v>345</v>
      </c>
      <c r="D332" s="230" t="s">
        <v>1757</v>
      </c>
      <c r="E332" s="68" t="s">
        <v>346</v>
      </c>
      <c r="F332" s="106" t="s">
        <v>352</v>
      </c>
      <c r="G332" s="106" t="s">
        <v>352</v>
      </c>
      <c r="H332" s="106" t="s">
        <v>352</v>
      </c>
      <c r="I332" s="106" t="s">
        <v>352</v>
      </c>
      <c r="J332" s="70">
        <v>0.9</v>
      </c>
      <c r="K332" s="71">
        <v>0.97826086956521696</v>
      </c>
      <c r="L332" s="71">
        <v>1</v>
      </c>
      <c r="M332" s="72">
        <v>0.92500000000000004</v>
      </c>
      <c r="N332" s="71">
        <v>0.96703296703296704</v>
      </c>
      <c r="O332" s="73">
        <v>0.9</v>
      </c>
      <c r="P332" s="71">
        <v>0.93628465039304898</v>
      </c>
      <c r="Q332" s="71">
        <v>0.92537980339588899</v>
      </c>
      <c r="R332" s="71">
        <v>0.94229217110573005</v>
      </c>
      <c r="S332" s="71">
        <v>0.93918288217132195</v>
      </c>
      <c r="T332" s="73">
        <v>0.9</v>
      </c>
      <c r="U332" s="71">
        <v>0.91973520893669802</v>
      </c>
      <c r="V332" s="71">
        <v>0.90169794459338704</v>
      </c>
      <c r="W332" s="71">
        <v>0.92009685230024196</v>
      </c>
      <c r="X332" s="71">
        <v>0.92029870036619499</v>
      </c>
      <c r="Y332" s="73">
        <v>0.92</v>
      </c>
      <c r="Z332" s="73">
        <v>0.95666949872557305</v>
      </c>
      <c r="AA332" s="73">
        <v>0.96257018091079205</v>
      </c>
      <c r="AB332" s="73">
        <v>0.96728971962616805</v>
      </c>
      <c r="AC332" s="73">
        <v>0.97092381302907604</v>
      </c>
      <c r="AD332" s="73">
        <v>0.92</v>
      </c>
      <c r="AE332" s="71">
        <v>0.99483494273523498</v>
      </c>
      <c r="AF332" s="71">
        <v>0.98292220113852002</v>
      </c>
      <c r="AG332" s="71">
        <v>0.98124879180359603</v>
      </c>
      <c r="AH332" s="71">
        <v>0.98166746787584303</v>
      </c>
      <c r="AI332" s="73">
        <v>0.92</v>
      </c>
      <c r="AJ332" s="71">
        <v>0.96429768689239004</v>
      </c>
      <c r="AK332" s="71">
        <v>0.96642373763664802</v>
      </c>
      <c r="AL332" s="71">
        <v>0.97426537689359405</v>
      </c>
      <c r="AM332" s="71">
        <v>0.976682280953451</v>
      </c>
      <c r="AN332" s="70">
        <v>0.99</v>
      </c>
      <c r="AO332" s="75">
        <v>1</v>
      </c>
      <c r="AP332" s="75">
        <v>1</v>
      </c>
      <c r="AQ332" s="75">
        <v>1</v>
      </c>
      <c r="AR332" s="75">
        <v>1</v>
      </c>
      <c r="AS332" s="95">
        <v>7.3985255698344701E-2</v>
      </c>
      <c r="AT332" s="79">
        <v>0.08</v>
      </c>
      <c r="AU332" s="79">
        <v>0</v>
      </c>
      <c r="AV332" s="79">
        <v>8.5714285714285701E-2</v>
      </c>
      <c r="AW332" s="79">
        <v>2.0833333333333301E-2</v>
      </c>
      <c r="AX332" s="56"/>
      <c r="AY332" s="54"/>
    </row>
    <row r="333" spans="1:51">
      <c r="A333" s="53"/>
      <c r="B333" s="56"/>
      <c r="C333" s="99" t="s">
        <v>345</v>
      </c>
      <c r="D333" s="230" t="s">
        <v>1757</v>
      </c>
      <c r="E333" s="68" t="s">
        <v>346</v>
      </c>
      <c r="F333" s="106" t="s">
        <v>353</v>
      </c>
      <c r="G333" s="106" t="s">
        <v>353</v>
      </c>
      <c r="H333" s="106" t="s">
        <v>353</v>
      </c>
      <c r="I333" s="106" t="s">
        <v>353</v>
      </c>
      <c r="J333" s="70">
        <v>0.9</v>
      </c>
      <c r="K333" s="71">
        <v>0.92105263157894701</v>
      </c>
      <c r="L333" s="71">
        <v>0.90322580645161299</v>
      </c>
      <c r="M333" s="72">
        <v>0.97058823529411797</v>
      </c>
      <c r="N333" s="71">
        <v>0.93893129770992401</v>
      </c>
      <c r="O333" s="73">
        <v>0.9</v>
      </c>
      <c r="P333" s="71">
        <v>0.95775984812529702</v>
      </c>
      <c r="Q333" s="71">
        <v>0.96564102564102605</v>
      </c>
      <c r="R333" s="71">
        <v>0.95871761089152396</v>
      </c>
      <c r="S333" s="71">
        <v>0.96219683303267201</v>
      </c>
      <c r="T333" s="73">
        <v>0.9</v>
      </c>
      <c r="U333" s="71">
        <v>0.93592785951589896</v>
      </c>
      <c r="V333" s="71">
        <v>0.92256410256410304</v>
      </c>
      <c r="W333" s="71">
        <v>0.87395696091348296</v>
      </c>
      <c r="X333" s="71">
        <v>0.92190819803567803</v>
      </c>
      <c r="Y333" s="73">
        <v>0.92</v>
      </c>
      <c r="Z333" s="73">
        <v>0.94556059624108901</v>
      </c>
      <c r="AA333" s="73">
        <v>0.95403165033911097</v>
      </c>
      <c r="AB333" s="73">
        <v>0.96439280359820101</v>
      </c>
      <c r="AC333" s="73">
        <v>0.96156877462938595</v>
      </c>
      <c r="AD333" s="73">
        <v>0.92</v>
      </c>
      <c r="AE333" s="71">
        <v>1</v>
      </c>
      <c r="AF333" s="71">
        <v>0.99839486356340301</v>
      </c>
      <c r="AG333" s="71">
        <v>0.98855835240274603</v>
      </c>
      <c r="AH333" s="71">
        <v>0.99375589066918002</v>
      </c>
      <c r="AI333" s="73">
        <v>0.92</v>
      </c>
      <c r="AJ333" s="71">
        <v>0.95750000000000002</v>
      </c>
      <c r="AK333" s="71">
        <v>0.96612755569118103</v>
      </c>
      <c r="AL333" s="71">
        <v>0.97112277867528296</v>
      </c>
      <c r="AM333" s="71">
        <v>0.97113003095975203</v>
      </c>
      <c r="AN333" s="70">
        <v>0.99</v>
      </c>
      <c r="AO333" s="75">
        <v>1</v>
      </c>
      <c r="AP333" s="75">
        <v>1</v>
      </c>
      <c r="AQ333" s="75">
        <v>1</v>
      </c>
      <c r="AR333" s="75">
        <v>1</v>
      </c>
      <c r="AS333" s="95">
        <v>7.3985255698344701E-2</v>
      </c>
      <c r="AT333" s="79">
        <v>8.8235294117647106E-2</v>
      </c>
      <c r="AU333" s="79">
        <v>0</v>
      </c>
      <c r="AV333" s="79">
        <v>0</v>
      </c>
      <c r="AW333" s="79">
        <v>5.4421768707482998E-2</v>
      </c>
      <c r="AX333" s="56"/>
      <c r="AY333" s="54"/>
    </row>
    <row r="334" spans="1:51">
      <c r="A334" s="53"/>
      <c r="B334" s="56"/>
      <c r="C334" s="99" t="s">
        <v>345</v>
      </c>
      <c r="D334" s="230" t="s">
        <v>1757</v>
      </c>
      <c r="E334" s="68" t="s">
        <v>346</v>
      </c>
      <c r="F334" s="106" t="s">
        <v>354</v>
      </c>
      <c r="G334" s="106" t="s">
        <v>354</v>
      </c>
      <c r="H334" s="106" t="s">
        <v>354</v>
      </c>
      <c r="I334" s="106" t="s">
        <v>354</v>
      </c>
      <c r="J334" s="70">
        <v>0.9</v>
      </c>
      <c r="K334" s="71">
        <v>0.94736842105263197</v>
      </c>
      <c r="L334" s="71">
        <v>0.94117647058823495</v>
      </c>
      <c r="M334" s="72">
        <v>0.91666666666666696</v>
      </c>
      <c r="N334" s="71">
        <v>0.91419141914191404</v>
      </c>
      <c r="O334" s="73">
        <v>0.9</v>
      </c>
      <c r="P334" s="71">
        <v>0.97591888466413201</v>
      </c>
      <c r="Q334" s="71">
        <v>0.97593483894853805</v>
      </c>
      <c r="R334" s="71">
        <v>0.91073919107391899</v>
      </c>
      <c r="S334" s="71">
        <v>0.96870718474269701</v>
      </c>
      <c r="T334" s="73">
        <v>0.9</v>
      </c>
      <c r="U334" s="71">
        <v>0.88846641318124198</v>
      </c>
      <c r="V334" s="71">
        <v>0.88411699370603503</v>
      </c>
      <c r="W334" s="71">
        <v>0.85355648535564899</v>
      </c>
      <c r="X334" s="71">
        <v>0.90297035129062297</v>
      </c>
      <c r="Y334" s="73">
        <v>0.92</v>
      </c>
      <c r="Z334" s="73">
        <v>0.96270343580470197</v>
      </c>
      <c r="AA334" s="73">
        <v>0.95592004100461303</v>
      </c>
      <c r="AB334" s="73">
        <v>0.93645213628988599</v>
      </c>
      <c r="AC334" s="73">
        <v>0.95806584929053595</v>
      </c>
      <c r="AD334" s="73">
        <v>0.92</v>
      </c>
      <c r="AE334" s="71">
        <v>0.99551066217732898</v>
      </c>
      <c r="AF334" s="71">
        <v>0.97023225384363798</v>
      </c>
      <c r="AG334" s="71">
        <v>0.99179487179487202</v>
      </c>
      <c r="AH334" s="71">
        <v>0.98715384134525197</v>
      </c>
      <c r="AI334" s="73">
        <v>0.92</v>
      </c>
      <c r="AJ334" s="71">
        <v>0.96906673686981704</v>
      </c>
      <c r="AK334" s="71">
        <v>0.96431642304385201</v>
      </c>
      <c r="AL334" s="71">
        <v>0.92692624074581897</v>
      </c>
      <c r="AM334" s="71">
        <v>0.96441256736927305</v>
      </c>
      <c r="AN334" s="70">
        <v>0.99</v>
      </c>
      <c r="AO334" s="75">
        <v>1</v>
      </c>
      <c r="AP334" s="75">
        <v>1</v>
      </c>
      <c r="AQ334" s="75">
        <v>1</v>
      </c>
      <c r="AR334" s="75">
        <v>1</v>
      </c>
      <c r="AS334" s="95">
        <v>7.3985255698344701E-2</v>
      </c>
      <c r="AT334" s="79">
        <v>8.3333333333333301E-2</v>
      </c>
      <c r="AU334" s="79">
        <v>6.25E-2</v>
      </c>
      <c r="AV334" s="79">
        <v>9.7560975609756101E-2</v>
      </c>
      <c r="AW334" s="79">
        <v>4.4680851063829803E-2</v>
      </c>
      <c r="AX334" s="56"/>
      <c r="AY334" s="54"/>
    </row>
    <row r="335" spans="1:51">
      <c r="A335" s="53"/>
      <c r="B335" s="56"/>
      <c r="C335" s="99" t="s">
        <v>345</v>
      </c>
      <c r="D335" s="230" t="s">
        <v>1757</v>
      </c>
      <c r="E335" s="68" t="s">
        <v>346</v>
      </c>
      <c r="F335" s="106" t="s">
        <v>355</v>
      </c>
      <c r="G335" s="106" t="s">
        <v>355</v>
      </c>
      <c r="H335" s="106" t="s">
        <v>355</v>
      </c>
      <c r="I335" s="106" t="s">
        <v>355</v>
      </c>
      <c r="J335" s="70">
        <v>0.9</v>
      </c>
      <c r="K335" s="71">
        <v>0.92592592592592604</v>
      </c>
      <c r="L335" s="71">
        <v>0.91891891891891897</v>
      </c>
      <c r="M335" s="72">
        <v>0.88311688311688297</v>
      </c>
      <c r="N335" s="71">
        <v>0.92141230068337099</v>
      </c>
      <c r="O335" s="73">
        <v>0.9</v>
      </c>
      <c r="P335" s="71">
        <v>0.96762657632222804</v>
      </c>
      <c r="Q335" s="71">
        <v>0.97976103389417202</v>
      </c>
      <c r="R335" s="71">
        <v>0.97488670694863999</v>
      </c>
      <c r="S335" s="71">
        <v>0.97441166484998998</v>
      </c>
      <c r="T335" s="73">
        <v>0.9</v>
      </c>
      <c r="U335" s="71">
        <v>0.91737248258987403</v>
      </c>
      <c r="V335" s="71">
        <v>0.90880273104120901</v>
      </c>
      <c r="W335" s="71">
        <v>0.90030211480362499</v>
      </c>
      <c r="X335" s="71">
        <v>0.91783857191358598</v>
      </c>
      <c r="Y335" s="73">
        <v>0.92</v>
      </c>
      <c r="Z335" s="73">
        <v>0.96220400728597499</v>
      </c>
      <c r="AA335" s="73">
        <v>0.96460481099656403</v>
      </c>
      <c r="AB335" s="73">
        <v>0.955921052631579</v>
      </c>
      <c r="AC335" s="73">
        <v>0.96561318773624505</v>
      </c>
      <c r="AD335" s="73">
        <v>0.92</v>
      </c>
      <c r="AE335" s="71">
        <v>0.98968347010551005</v>
      </c>
      <c r="AF335" s="71">
        <v>0.96035062684741601</v>
      </c>
      <c r="AG335" s="71">
        <v>0.99782514136581102</v>
      </c>
      <c r="AH335" s="71">
        <v>0.95164586237485704</v>
      </c>
      <c r="AI335" s="73">
        <v>0.92</v>
      </c>
      <c r="AJ335" s="71">
        <v>0.967430538067657</v>
      </c>
      <c r="AK335" s="71">
        <v>0.973192642235848</v>
      </c>
      <c r="AL335" s="71">
        <v>0.95988765031159495</v>
      </c>
      <c r="AM335" s="71">
        <v>0.97255895674592296</v>
      </c>
      <c r="AN335" s="70">
        <v>0.99</v>
      </c>
      <c r="AO335" s="75">
        <v>1</v>
      </c>
      <c r="AP335" s="75">
        <v>1</v>
      </c>
      <c r="AQ335" s="75">
        <v>1</v>
      </c>
      <c r="AR335" s="75">
        <v>1</v>
      </c>
      <c r="AS335" s="95">
        <v>7.3985255698344701E-2</v>
      </c>
      <c r="AT335" s="79">
        <v>0.108695652173913</v>
      </c>
      <c r="AU335" s="79">
        <v>5.3571428571428603E-2</v>
      </c>
      <c r="AV335" s="79">
        <v>0</v>
      </c>
      <c r="AW335" s="79">
        <v>3.1152647975077899E-2</v>
      </c>
      <c r="AX335" s="56"/>
      <c r="AY335" s="54"/>
    </row>
    <row r="336" spans="1:51">
      <c r="A336" s="53"/>
      <c r="B336" s="56"/>
      <c r="C336" s="99" t="s">
        <v>345</v>
      </c>
      <c r="D336" s="230" t="s">
        <v>1759</v>
      </c>
      <c r="E336" s="68" t="s">
        <v>346</v>
      </c>
      <c r="F336" s="106" t="s">
        <v>356</v>
      </c>
      <c r="G336" s="106" t="s">
        <v>356</v>
      </c>
      <c r="H336" s="106" t="s">
        <v>356</v>
      </c>
      <c r="I336" s="106" t="s">
        <v>356</v>
      </c>
      <c r="J336" s="70">
        <v>0.9</v>
      </c>
      <c r="K336" s="71" t="s">
        <v>1710</v>
      </c>
      <c r="L336" s="71" t="s">
        <v>1710</v>
      </c>
      <c r="M336" s="72" t="s">
        <v>1710</v>
      </c>
      <c r="N336" s="71" t="s">
        <v>1710</v>
      </c>
      <c r="O336" s="73">
        <v>0.9</v>
      </c>
      <c r="P336" s="71" t="s">
        <v>1710</v>
      </c>
      <c r="Q336" s="71" t="s">
        <v>1710</v>
      </c>
      <c r="R336" s="71" t="s">
        <v>1710</v>
      </c>
      <c r="S336" s="71" t="s">
        <v>1710</v>
      </c>
      <c r="T336" s="73">
        <v>0.9</v>
      </c>
      <c r="U336" s="71" t="s">
        <v>1710</v>
      </c>
      <c r="V336" s="71" t="s">
        <v>1710</v>
      </c>
      <c r="W336" s="71" t="s">
        <v>1710</v>
      </c>
      <c r="X336" s="71" t="s">
        <v>1710</v>
      </c>
      <c r="Y336" s="73">
        <v>0.92</v>
      </c>
      <c r="Z336" s="73" t="s">
        <v>1710</v>
      </c>
      <c r="AA336" s="73" t="s">
        <v>1710</v>
      </c>
      <c r="AB336" s="73" t="s">
        <v>1710</v>
      </c>
      <c r="AC336" s="73" t="s">
        <v>1710</v>
      </c>
      <c r="AD336" s="73">
        <v>0.92</v>
      </c>
      <c r="AE336" s="71">
        <v>0.99896480331262905</v>
      </c>
      <c r="AF336" s="71">
        <v>0.82535211267605602</v>
      </c>
      <c r="AG336" s="71">
        <v>0.99329758713136695</v>
      </c>
      <c r="AH336" s="71">
        <v>0.97031053294167002</v>
      </c>
      <c r="AI336" s="73">
        <v>0.92</v>
      </c>
      <c r="AJ336" s="71" t="s">
        <v>1710</v>
      </c>
      <c r="AK336" s="71" t="s">
        <v>1710</v>
      </c>
      <c r="AL336" s="71" t="s">
        <v>1710</v>
      </c>
      <c r="AM336" s="71" t="s">
        <v>1710</v>
      </c>
      <c r="AN336" s="70">
        <v>0.99</v>
      </c>
      <c r="AO336" s="75">
        <v>1</v>
      </c>
      <c r="AP336" s="75">
        <v>1</v>
      </c>
      <c r="AQ336" s="75">
        <v>1</v>
      </c>
      <c r="AR336" s="75">
        <v>1</v>
      </c>
      <c r="AS336" s="95">
        <v>7.3985255698344701E-2</v>
      </c>
      <c r="AT336" s="79" t="s">
        <v>1710</v>
      </c>
      <c r="AU336" s="79" t="s">
        <v>1710</v>
      </c>
      <c r="AV336" s="79" t="s">
        <v>1710</v>
      </c>
      <c r="AW336" s="79" t="s">
        <v>1710</v>
      </c>
      <c r="AX336" s="56"/>
      <c r="AY336" s="54"/>
    </row>
    <row r="337" spans="1:51">
      <c r="A337" s="53"/>
      <c r="B337" s="56"/>
      <c r="C337" s="99" t="s">
        <v>345</v>
      </c>
      <c r="D337" s="230" t="s">
        <v>1757</v>
      </c>
      <c r="E337" s="68" t="s">
        <v>346</v>
      </c>
      <c r="F337" s="106" t="s">
        <v>357</v>
      </c>
      <c r="G337" s="106" t="s">
        <v>357</v>
      </c>
      <c r="H337" s="106" t="s">
        <v>357</v>
      </c>
      <c r="I337" s="106" t="s">
        <v>357</v>
      </c>
      <c r="J337" s="70">
        <v>0.9</v>
      </c>
      <c r="K337" s="71">
        <v>0.92424242424242398</v>
      </c>
      <c r="L337" s="71">
        <v>0.89166666666666705</v>
      </c>
      <c r="M337" s="72">
        <v>0.87096774193548399</v>
      </c>
      <c r="N337" s="71">
        <v>0.90526315789473699</v>
      </c>
      <c r="O337" s="73">
        <v>0.9</v>
      </c>
      <c r="P337" s="71">
        <v>0.95846174460672695</v>
      </c>
      <c r="Q337" s="71">
        <v>0.95662213425696896</v>
      </c>
      <c r="R337" s="71">
        <v>0.95719220330619303</v>
      </c>
      <c r="S337" s="71">
        <v>0.95666070501355804</v>
      </c>
      <c r="T337" s="73">
        <v>0.9</v>
      </c>
      <c r="U337" s="71">
        <v>0.901246147661798</v>
      </c>
      <c r="V337" s="71">
        <v>0.91951179284182705</v>
      </c>
      <c r="W337" s="71">
        <v>0.91685171477917604</v>
      </c>
      <c r="X337" s="71">
        <v>0.91710609819419597</v>
      </c>
      <c r="Y337" s="73">
        <v>0.92</v>
      </c>
      <c r="Z337" s="73">
        <v>0.94391479859142802</v>
      </c>
      <c r="AA337" s="73">
        <v>0.92095662748277296</v>
      </c>
      <c r="AB337" s="73">
        <v>0.94618876489502601</v>
      </c>
      <c r="AC337" s="73">
        <v>0.94928670671806803</v>
      </c>
      <c r="AD337" s="73">
        <v>0.92</v>
      </c>
      <c r="AE337" s="71">
        <v>0.99231215549753404</v>
      </c>
      <c r="AF337" s="71">
        <v>0.99175084175084205</v>
      </c>
      <c r="AG337" s="71">
        <v>0.98268698060941795</v>
      </c>
      <c r="AH337" s="71">
        <v>0.98350019402405897</v>
      </c>
      <c r="AI337" s="73">
        <v>0.92</v>
      </c>
      <c r="AJ337" s="71">
        <v>0.95330230612351596</v>
      </c>
      <c r="AK337" s="71">
        <v>0.946818181818182</v>
      </c>
      <c r="AL337" s="71">
        <v>0.95799037947621601</v>
      </c>
      <c r="AM337" s="71">
        <v>0.96218884959588102</v>
      </c>
      <c r="AN337" s="70">
        <v>0.99</v>
      </c>
      <c r="AO337" s="75">
        <v>1</v>
      </c>
      <c r="AP337" s="75">
        <v>1</v>
      </c>
      <c r="AQ337" s="75">
        <v>1</v>
      </c>
      <c r="AR337" s="75">
        <v>1</v>
      </c>
      <c r="AS337" s="95">
        <v>7.3985255698344701E-2</v>
      </c>
      <c r="AT337" s="79">
        <v>0.06</v>
      </c>
      <c r="AU337" s="79">
        <v>9.3023255813953501E-2</v>
      </c>
      <c r="AV337" s="79">
        <v>5.4794520547945202E-2</v>
      </c>
      <c r="AW337" s="79">
        <v>4.4260027662517298E-2</v>
      </c>
      <c r="AX337" s="56"/>
      <c r="AY337" s="54"/>
    </row>
    <row r="338" spans="1:51">
      <c r="A338" s="53"/>
      <c r="B338" s="56"/>
      <c r="C338" s="99" t="s">
        <v>345</v>
      </c>
      <c r="D338" s="230" t="s">
        <v>1757</v>
      </c>
      <c r="E338" s="68" t="s">
        <v>346</v>
      </c>
      <c r="F338" s="106" t="s">
        <v>358</v>
      </c>
      <c r="G338" s="106" t="s">
        <v>358</v>
      </c>
      <c r="H338" s="106" t="s">
        <v>358</v>
      </c>
      <c r="I338" s="106" t="s">
        <v>358</v>
      </c>
      <c r="J338" s="70">
        <v>0.9</v>
      </c>
      <c r="K338" s="71">
        <v>0.93220338983050799</v>
      </c>
      <c r="L338" s="71">
        <v>0.98076923076923095</v>
      </c>
      <c r="M338" s="72">
        <v>0.94915254237288105</v>
      </c>
      <c r="N338" s="71">
        <v>0.95718654434250805</v>
      </c>
      <c r="O338" s="73">
        <v>0.9</v>
      </c>
      <c r="P338" s="71">
        <v>0.96334444107846096</v>
      </c>
      <c r="Q338" s="71">
        <v>0.96411092985318103</v>
      </c>
      <c r="R338" s="71">
        <v>0.95449101796407199</v>
      </c>
      <c r="S338" s="71">
        <v>0.96204928302937498</v>
      </c>
      <c r="T338" s="73">
        <v>0.9</v>
      </c>
      <c r="U338" s="71">
        <v>0.91245077249318396</v>
      </c>
      <c r="V338" s="71">
        <v>0.92495921696574201</v>
      </c>
      <c r="W338" s="71">
        <v>0.907784431137725</v>
      </c>
      <c r="X338" s="71">
        <v>0.92006125574272601</v>
      </c>
      <c r="Y338" s="73">
        <v>0.92</v>
      </c>
      <c r="Z338" s="73">
        <v>0.94937603013892202</v>
      </c>
      <c r="AA338" s="73">
        <v>0.95915279878971305</v>
      </c>
      <c r="AB338" s="73">
        <v>0.95554350772567098</v>
      </c>
      <c r="AC338" s="73">
        <v>0.96111318839805604</v>
      </c>
      <c r="AD338" s="73">
        <v>0.92</v>
      </c>
      <c r="AE338" s="71">
        <v>0.99815001681802895</v>
      </c>
      <c r="AF338" s="71">
        <v>0.99420689655172401</v>
      </c>
      <c r="AG338" s="71">
        <v>1</v>
      </c>
      <c r="AH338" s="71">
        <v>0.98994259471871404</v>
      </c>
      <c r="AI338" s="73">
        <v>0.92</v>
      </c>
      <c r="AJ338" s="71">
        <v>0.96081027406328601</v>
      </c>
      <c r="AK338" s="71">
        <v>0.96956717763751099</v>
      </c>
      <c r="AL338" s="71">
        <v>0.96306818181818199</v>
      </c>
      <c r="AM338" s="71">
        <v>0.96991396209976</v>
      </c>
      <c r="AN338" s="70">
        <v>0.99</v>
      </c>
      <c r="AO338" s="75">
        <v>1</v>
      </c>
      <c r="AP338" s="75">
        <v>1</v>
      </c>
      <c r="AQ338" s="75">
        <v>1</v>
      </c>
      <c r="AR338" s="75">
        <v>1</v>
      </c>
      <c r="AS338" s="95">
        <v>7.3985255698344701E-2</v>
      </c>
      <c r="AT338" s="79">
        <v>0.108108108108108</v>
      </c>
      <c r="AU338" s="79">
        <v>0</v>
      </c>
      <c r="AV338" s="79">
        <v>4.2553191489361701E-2</v>
      </c>
      <c r="AW338" s="79">
        <v>5.0880626223092001E-2</v>
      </c>
      <c r="AX338" s="56"/>
      <c r="AY338" s="54"/>
    </row>
    <row r="339" spans="1:51">
      <c r="A339" s="53"/>
      <c r="B339" s="56"/>
      <c r="C339" s="99" t="s">
        <v>345</v>
      </c>
      <c r="D339" s="230" t="s">
        <v>1759</v>
      </c>
      <c r="E339" s="68" t="s">
        <v>346</v>
      </c>
      <c r="F339" s="106" t="s">
        <v>359</v>
      </c>
      <c r="G339" s="106" t="s">
        <v>359</v>
      </c>
      <c r="H339" s="106" t="s">
        <v>359</v>
      </c>
      <c r="I339" s="106" t="s">
        <v>359</v>
      </c>
      <c r="J339" s="70">
        <v>0.9</v>
      </c>
      <c r="K339" s="71" t="s">
        <v>1710</v>
      </c>
      <c r="L339" s="71" t="s">
        <v>1710</v>
      </c>
      <c r="M339" s="72" t="s">
        <v>1710</v>
      </c>
      <c r="N339" s="71" t="s">
        <v>1710</v>
      </c>
      <c r="O339" s="73">
        <v>0.9</v>
      </c>
      <c r="P339" s="71">
        <v>0</v>
      </c>
      <c r="Q339" s="71" t="s">
        <v>1710</v>
      </c>
      <c r="R339" s="71" t="s">
        <v>1710</v>
      </c>
      <c r="S339" s="71">
        <v>0</v>
      </c>
      <c r="T339" s="73">
        <v>0.9</v>
      </c>
      <c r="U339" s="71">
        <v>0</v>
      </c>
      <c r="V339" s="71" t="s">
        <v>1710</v>
      </c>
      <c r="W339" s="71" t="s">
        <v>1710</v>
      </c>
      <c r="X339" s="71">
        <v>0</v>
      </c>
      <c r="Y339" s="73">
        <v>0.92</v>
      </c>
      <c r="Z339" s="73" t="s">
        <v>1710</v>
      </c>
      <c r="AA339" s="73" t="s">
        <v>1710</v>
      </c>
      <c r="AB339" s="73" t="s">
        <v>1710</v>
      </c>
      <c r="AC339" s="73" t="s">
        <v>1710</v>
      </c>
      <c r="AD339" s="73">
        <v>0.92</v>
      </c>
      <c r="AE339" s="71">
        <v>1</v>
      </c>
      <c r="AF339" s="71">
        <v>0.99591836734693895</v>
      </c>
      <c r="AG339" s="71">
        <v>1</v>
      </c>
      <c r="AH339" s="71">
        <v>0.99948638931689804</v>
      </c>
      <c r="AI339" s="73">
        <v>0.92</v>
      </c>
      <c r="AJ339" s="71">
        <v>0</v>
      </c>
      <c r="AK339" s="71" t="s">
        <v>1710</v>
      </c>
      <c r="AL339" s="71" t="s">
        <v>1710</v>
      </c>
      <c r="AM339" s="71">
        <v>0</v>
      </c>
      <c r="AN339" s="70">
        <v>0.99</v>
      </c>
      <c r="AO339" s="75">
        <v>1</v>
      </c>
      <c r="AP339" s="75">
        <v>1</v>
      </c>
      <c r="AQ339" s="75" t="s">
        <v>1710</v>
      </c>
      <c r="AR339" s="75">
        <v>1</v>
      </c>
      <c r="AS339" s="95">
        <v>7.3985255698344701E-2</v>
      </c>
      <c r="AT339" s="79" t="s">
        <v>1710</v>
      </c>
      <c r="AU339" s="79" t="s">
        <v>1710</v>
      </c>
      <c r="AV339" s="79" t="s">
        <v>1710</v>
      </c>
      <c r="AW339" s="79" t="s">
        <v>1710</v>
      </c>
      <c r="AX339" s="56"/>
      <c r="AY339" s="54"/>
    </row>
    <row r="340" spans="1:51">
      <c r="A340" s="53"/>
      <c r="B340" s="56"/>
      <c r="C340" s="99" t="s">
        <v>345</v>
      </c>
      <c r="D340" s="230" t="s">
        <v>1757</v>
      </c>
      <c r="E340" s="68" t="s">
        <v>346</v>
      </c>
      <c r="F340" s="106" t="s">
        <v>360</v>
      </c>
      <c r="G340" s="106" t="s">
        <v>360</v>
      </c>
      <c r="H340" s="106" t="s">
        <v>360</v>
      </c>
      <c r="I340" s="106" t="s">
        <v>360</v>
      </c>
      <c r="J340" s="70">
        <v>0.9</v>
      </c>
      <c r="K340" s="71">
        <v>0.97752808988763995</v>
      </c>
      <c r="L340" s="71">
        <v>0.96385542168674698</v>
      </c>
      <c r="M340" s="72">
        <v>0.96250000000000002</v>
      </c>
      <c r="N340" s="71">
        <v>0.97166841552990602</v>
      </c>
      <c r="O340" s="73">
        <v>0.9</v>
      </c>
      <c r="P340" s="71">
        <v>0.97782397782397801</v>
      </c>
      <c r="Q340" s="71">
        <v>0.975977287617384</v>
      </c>
      <c r="R340" s="71">
        <v>0.95984769816545501</v>
      </c>
      <c r="S340" s="71">
        <v>0.97196545658084099</v>
      </c>
      <c r="T340" s="73">
        <v>0.9</v>
      </c>
      <c r="U340" s="71">
        <v>0.92394317394317405</v>
      </c>
      <c r="V340" s="71">
        <v>0.93404673509499903</v>
      </c>
      <c r="W340" s="71">
        <v>0.93302180685358305</v>
      </c>
      <c r="X340" s="71">
        <v>0.93814169198784603</v>
      </c>
      <c r="Y340" s="73">
        <v>0.92</v>
      </c>
      <c r="Z340" s="73">
        <v>0.96300326441784501</v>
      </c>
      <c r="AA340" s="73">
        <v>0.97108644859813098</v>
      </c>
      <c r="AB340" s="73">
        <v>0.96581548599670497</v>
      </c>
      <c r="AC340" s="73">
        <v>0.97200176053838405</v>
      </c>
      <c r="AD340" s="73">
        <v>0.92</v>
      </c>
      <c r="AE340" s="71">
        <v>0.99891352975011205</v>
      </c>
      <c r="AF340" s="71">
        <v>0.99711515345780899</v>
      </c>
      <c r="AG340" s="71">
        <v>0.99623925501432697</v>
      </c>
      <c r="AH340" s="71">
        <v>0.99757490838542795</v>
      </c>
      <c r="AI340" s="73">
        <v>0.92</v>
      </c>
      <c r="AJ340" s="71">
        <v>0.96864334470989799</v>
      </c>
      <c r="AK340" s="71">
        <v>0.97688655672163904</v>
      </c>
      <c r="AL340" s="71">
        <v>0.97316924017734296</v>
      </c>
      <c r="AM340" s="71">
        <v>0.978038232246633</v>
      </c>
      <c r="AN340" s="70">
        <v>0.99</v>
      </c>
      <c r="AO340" s="75">
        <v>1</v>
      </c>
      <c r="AP340" s="75">
        <v>1</v>
      </c>
      <c r="AQ340" s="75">
        <v>1</v>
      </c>
      <c r="AR340" s="75">
        <v>1</v>
      </c>
      <c r="AS340" s="95">
        <v>7.3985255698344701E-2</v>
      </c>
      <c r="AT340" s="79">
        <v>0.06</v>
      </c>
      <c r="AU340" s="79">
        <v>3.4482758620689703E-2</v>
      </c>
      <c r="AV340" s="79">
        <v>6.6666666666666693E-2</v>
      </c>
      <c r="AW340" s="79">
        <v>5.80524344569288E-2</v>
      </c>
      <c r="AX340" s="56"/>
      <c r="AY340" s="54"/>
    </row>
    <row r="341" spans="1:51">
      <c r="A341" s="53"/>
      <c r="B341" s="56"/>
      <c r="C341" s="99" t="s">
        <v>345</v>
      </c>
      <c r="D341" s="230" t="s">
        <v>1759</v>
      </c>
      <c r="E341" s="68" t="s">
        <v>346</v>
      </c>
      <c r="F341" s="106" t="s">
        <v>361</v>
      </c>
      <c r="G341" s="106" t="s">
        <v>361</v>
      </c>
      <c r="H341" s="106" t="s">
        <v>361</v>
      </c>
      <c r="I341" s="106" t="s">
        <v>361</v>
      </c>
      <c r="J341" s="70">
        <v>0.9</v>
      </c>
      <c r="K341" s="71" t="s">
        <v>1710</v>
      </c>
      <c r="L341" s="71" t="s">
        <v>1710</v>
      </c>
      <c r="M341" s="72" t="s">
        <v>1710</v>
      </c>
      <c r="N341" s="71" t="s">
        <v>1710</v>
      </c>
      <c r="O341" s="73">
        <v>0.9</v>
      </c>
      <c r="P341" s="71" t="s">
        <v>1710</v>
      </c>
      <c r="Q341" s="71" t="s">
        <v>1710</v>
      </c>
      <c r="R341" s="71" t="s">
        <v>1710</v>
      </c>
      <c r="S341" s="71" t="s">
        <v>1710</v>
      </c>
      <c r="T341" s="73">
        <v>0.9</v>
      </c>
      <c r="U341" s="71" t="s">
        <v>1710</v>
      </c>
      <c r="V341" s="71" t="s">
        <v>1710</v>
      </c>
      <c r="W341" s="71" t="s">
        <v>1710</v>
      </c>
      <c r="X341" s="71" t="s">
        <v>1710</v>
      </c>
      <c r="Y341" s="73">
        <v>0.92</v>
      </c>
      <c r="Z341" s="73" t="s">
        <v>1710</v>
      </c>
      <c r="AA341" s="73" t="s">
        <v>1710</v>
      </c>
      <c r="AB341" s="73" t="s">
        <v>1710</v>
      </c>
      <c r="AC341" s="73" t="s">
        <v>1710</v>
      </c>
      <c r="AD341" s="73">
        <v>0.92</v>
      </c>
      <c r="AE341" s="71">
        <v>0.99006622516556297</v>
      </c>
      <c r="AF341" s="71">
        <v>0.98943661971830998</v>
      </c>
      <c r="AG341" s="71">
        <v>0.96969696969696995</v>
      </c>
      <c r="AH341" s="71">
        <v>0.98218181818181804</v>
      </c>
      <c r="AI341" s="73">
        <v>0.92</v>
      </c>
      <c r="AJ341" s="71" t="s">
        <v>1710</v>
      </c>
      <c r="AK341" s="71" t="s">
        <v>1710</v>
      </c>
      <c r="AL341" s="71" t="s">
        <v>1710</v>
      </c>
      <c r="AM341" s="71" t="s">
        <v>1710</v>
      </c>
      <c r="AN341" s="70">
        <v>0.99</v>
      </c>
      <c r="AO341" s="75" t="s">
        <v>1710</v>
      </c>
      <c r="AP341" s="75" t="s">
        <v>1710</v>
      </c>
      <c r="AQ341" s="75" t="s">
        <v>1710</v>
      </c>
      <c r="AR341" s="75" t="s">
        <v>1710</v>
      </c>
      <c r="AS341" s="95">
        <v>7.3985255698344701E-2</v>
      </c>
      <c r="AT341" s="79" t="s">
        <v>1710</v>
      </c>
      <c r="AU341" s="79" t="s">
        <v>1710</v>
      </c>
      <c r="AV341" s="79" t="s">
        <v>1710</v>
      </c>
      <c r="AW341" s="79" t="s">
        <v>1710</v>
      </c>
      <c r="AX341" s="56"/>
      <c r="AY341" s="54"/>
    </row>
    <row r="342" spans="1:51">
      <c r="A342" s="53"/>
      <c r="B342" s="56"/>
      <c r="C342" s="99" t="s">
        <v>345</v>
      </c>
      <c r="D342" s="230" t="s">
        <v>1757</v>
      </c>
      <c r="E342" s="68" t="s">
        <v>346</v>
      </c>
      <c r="F342" s="106" t="s">
        <v>362</v>
      </c>
      <c r="G342" s="106" t="s">
        <v>362</v>
      </c>
      <c r="H342" s="106" t="s">
        <v>362</v>
      </c>
      <c r="I342" s="106" t="s">
        <v>362</v>
      </c>
      <c r="J342" s="70">
        <v>0.9</v>
      </c>
      <c r="K342" s="71">
        <v>0.88679245283018904</v>
      </c>
      <c r="L342" s="71">
        <v>0.86440677966101698</v>
      </c>
      <c r="M342" s="72">
        <v>0.78947368421052599</v>
      </c>
      <c r="N342" s="71">
        <v>0.89694041867954899</v>
      </c>
      <c r="O342" s="73">
        <v>0.9</v>
      </c>
      <c r="P342" s="71">
        <v>0.88205841446453404</v>
      </c>
      <c r="Q342" s="71">
        <v>0.92349206349206303</v>
      </c>
      <c r="R342" s="71">
        <v>0.90683870967741897</v>
      </c>
      <c r="S342" s="71">
        <v>0.90740218871823797</v>
      </c>
      <c r="T342" s="73">
        <v>0.9</v>
      </c>
      <c r="U342" s="71">
        <v>0.88511821974965199</v>
      </c>
      <c r="V342" s="71">
        <v>0.906984126984127</v>
      </c>
      <c r="W342" s="71">
        <v>0.89470967741935503</v>
      </c>
      <c r="X342" s="71">
        <v>0.89939411018740301</v>
      </c>
      <c r="Y342" s="73">
        <v>0.92</v>
      </c>
      <c r="Z342" s="73">
        <v>0.92805307899647504</v>
      </c>
      <c r="AA342" s="73">
        <v>0.84078711985688703</v>
      </c>
      <c r="AB342" s="73">
        <v>0.93001409112259303</v>
      </c>
      <c r="AC342" s="73">
        <v>0.93418811506434496</v>
      </c>
      <c r="AD342" s="73">
        <v>0.92</v>
      </c>
      <c r="AE342" s="71">
        <v>0.99277029247453197</v>
      </c>
      <c r="AF342" s="71">
        <v>0.956923645775559</v>
      </c>
      <c r="AG342" s="71">
        <v>0.99804432855280301</v>
      </c>
      <c r="AH342" s="71">
        <v>0.92034161983680995</v>
      </c>
      <c r="AI342" s="73">
        <v>0.92</v>
      </c>
      <c r="AJ342" s="71">
        <v>0.94363355879909805</v>
      </c>
      <c r="AK342" s="71">
        <v>0.91067780872794801</v>
      </c>
      <c r="AL342" s="71">
        <v>0.94547464079577503</v>
      </c>
      <c r="AM342" s="71">
        <v>0.95050670307552898</v>
      </c>
      <c r="AN342" s="70">
        <v>0.99</v>
      </c>
      <c r="AO342" s="75">
        <v>1</v>
      </c>
      <c r="AP342" s="75">
        <v>1</v>
      </c>
      <c r="AQ342" s="75">
        <v>1</v>
      </c>
      <c r="AR342" s="75">
        <v>1</v>
      </c>
      <c r="AS342" s="95">
        <v>7.3985255698344701E-2</v>
      </c>
      <c r="AT342" s="79">
        <v>6.3829787234042507E-2</v>
      </c>
      <c r="AU342" s="79">
        <v>2.2222222222222199E-2</v>
      </c>
      <c r="AV342" s="79">
        <v>7.5471698113207503E-2</v>
      </c>
      <c r="AW342" s="79">
        <v>5.2845528455284597E-2</v>
      </c>
      <c r="AX342" s="56"/>
      <c r="AY342" s="54"/>
    </row>
    <row r="343" spans="1:51">
      <c r="A343" s="53"/>
      <c r="B343" s="56"/>
      <c r="C343" s="99" t="s">
        <v>345</v>
      </c>
      <c r="D343" s="230" t="s">
        <v>1759</v>
      </c>
      <c r="E343" s="68" t="s">
        <v>346</v>
      </c>
      <c r="F343" s="106" t="s">
        <v>363</v>
      </c>
      <c r="G343" s="106" t="s">
        <v>363</v>
      </c>
      <c r="H343" s="106" t="s">
        <v>363</v>
      </c>
      <c r="I343" s="106" t="s">
        <v>363</v>
      </c>
      <c r="J343" s="70">
        <v>0.9</v>
      </c>
      <c r="K343" s="71" t="s">
        <v>1710</v>
      </c>
      <c r="L343" s="71" t="s">
        <v>1710</v>
      </c>
      <c r="M343" s="72" t="s">
        <v>1710</v>
      </c>
      <c r="N343" s="71" t="s">
        <v>1710</v>
      </c>
      <c r="O343" s="73">
        <v>0.9</v>
      </c>
      <c r="P343" s="71" t="s">
        <v>1710</v>
      </c>
      <c r="Q343" s="71" t="s">
        <v>1710</v>
      </c>
      <c r="R343" s="71" t="s">
        <v>1710</v>
      </c>
      <c r="S343" s="71" t="s">
        <v>1710</v>
      </c>
      <c r="T343" s="73">
        <v>0.9</v>
      </c>
      <c r="U343" s="71" t="s">
        <v>1710</v>
      </c>
      <c r="V343" s="71" t="s">
        <v>1710</v>
      </c>
      <c r="W343" s="71" t="s">
        <v>1710</v>
      </c>
      <c r="X343" s="71" t="s">
        <v>1710</v>
      </c>
      <c r="Y343" s="73">
        <v>0.92</v>
      </c>
      <c r="Z343" s="73" t="s">
        <v>1710</v>
      </c>
      <c r="AA343" s="73" t="s">
        <v>1710</v>
      </c>
      <c r="AB343" s="73" t="s">
        <v>1710</v>
      </c>
      <c r="AC343" s="73" t="s">
        <v>1710</v>
      </c>
      <c r="AD343" s="73">
        <v>0.92</v>
      </c>
      <c r="AE343" s="71">
        <v>1</v>
      </c>
      <c r="AF343" s="71">
        <v>1</v>
      </c>
      <c r="AG343" s="71">
        <v>1</v>
      </c>
      <c r="AH343" s="71">
        <v>0.98526456798392503</v>
      </c>
      <c r="AI343" s="73">
        <v>0.92</v>
      </c>
      <c r="AJ343" s="71" t="s">
        <v>1710</v>
      </c>
      <c r="AK343" s="71" t="s">
        <v>1710</v>
      </c>
      <c r="AL343" s="71" t="s">
        <v>1710</v>
      </c>
      <c r="AM343" s="71" t="s">
        <v>1710</v>
      </c>
      <c r="AN343" s="70">
        <v>0.99</v>
      </c>
      <c r="AO343" s="75">
        <v>1</v>
      </c>
      <c r="AP343" s="75">
        <v>1</v>
      </c>
      <c r="AQ343" s="75" t="s">
        <v>1710</v>
      </c>
      <c r="AR343" s="75">
        <v>1</v>
      </c>
      <c r="AS343" s="95">
        <v>7.3985255698344701E-2</v>
      </c>
      <c r="AT343" s="79" t="s">
        <v>1710</v>
      </c>
      <c r="AU343" s="79" t="s">
        <v>1710</v>
      </c>
      <c r="AV343" s="79" t="s">
        <v>1710</v>
      </c>
      <c r="AW343" s="79" t="s">
        <v>1710</v>
      </c>
      <c r="AX343" s="56"/>
      <c r="AY343" s="54"/>
    </row>
    <row r="344" spans="1:51">
      <c r="A344" s="53"/>
      <c r="B344" s="56"/>
      <c r="C344" s="99" t="s">
        <v>345</v>
      </c>
      <c r="D344" s="230" t="s">
        <v>1757</v>
      </c>
      <c r="E344" s="68" t="s">
        <v>346</v>
      </c>
      <c r="F344" s="106" t="s">
        <v>364</v>
      </c>
      <c r="G344" s="106" t="s">
        <v>364</v>
      </c>
      <c r="H344" s="106" t="s">
        <v>364</v>
      </c>
      <c r="I344" s="106" t="s">
        <v>364</v>
      </c>
      <c r="J344" s="70">
        <v>0.9</v>
      </c>
      <c r="K344" s="71">
        <v>0.936708860759494</v>
      </c>
      <c r="L344" s="71">
        <v>0.95161290322580605</v>
      </c>
      <c r="M344" s="72">
        <v>0.90277777777777801</v>
      </c>
      <c r="N344" s="71">
        <v>0.93277310924369705</v>
      </c>
      <c r="O344" s="73">
        <v>0.9</v>
      </c>
      <c r="P344" s="71">
        <v>0.94294294294294301</v>
      </c>
      <c r="Q344" s="71">
        <v>0.93188622754491002</v>
      </c>
      <c r="R344" s="71">
        <v>0.93041237113402098</v>
      </c>
      <c r="S344" s="71">
        <v>0.93421521241414396</v>
      </c>
      <c r="T344" s="73">
        <v>0.9</v>
      </c>
      <c r="U344" s="71">
        <v>0.91431431431431398</v>
      </c>
      <c r="V344" s="71">
        <v>0.90868263473053901</v>
      </c>
      <c r="W344" s="71">
        <v>0.91365979381443296</v>
      </c>
      <c r="X344" s="71">
        <v>0.92152972102094499</v>
      </c>
      <c r="Y344" s="73">
        <v>0.92</v>
      </c>
      <c r="Z344" s="73">
        <v>0.944436649361583</v>
      </c>
      <c r="AA344" s="73">
        <v>0.94689378757514997</v>
      </c>
      <c r="AB344" s="73">
        <v>0.94747601824186201</v>
      </c>
      <c r="AC344" s="73">
        <v>0.95625079083892195</v>
      </c>
      <c r="AD344" s="73">
        <v>0.92</v>
      </c>
      <c r="AE344" s="71">
        <v>0.99257932446264097</v>
      </c>
      <c r="AF344" s="71">
        <v>0.974633546914772</v>
      </c>
      <c r="AG344" s="71">
        <v>0.99639076034648699</v>
      </c>
      <c r="AH344" s="71">
        <v>0.99025013785152105</v>
      </c>
      <c r="AI344" s="73">
        <v>0.92</v>
      </c>
      <c r="AJ344" s="71">
        <v>0.95710986473111204</v>
      </c>
      <c r="AK344" s="71">
        <v>0.96229648671808099</v>
      </c>
      <c r="AL344" s="71">
        <v>0.95992883768214199</v>
      </c>
      <c r="AM344" s="71">
        <v>0.96811466300581805</v>
      </c>
      <c r="AN344" s="70">
        <v>0.99</v>
      </c>
      <c r="AO344" s="75">
        <v>1</v>
      </c>
      <c r="AP344" s="75">
        <v>1</v>
      </c>
      <c r="AQ344" s="75">
        <v>1</v>
      </c>
      <c r="AR344" s="75">
        <v>1</v>
      </c>
      <c r="AS344" s="95">
        <v>7.3985255698344701E-2</v>
      </c>
      <c r="AT344" s="79">
        <v>9.0909090909090898E-2</v>
      </c>
      <c r="AU344" s="79">
        <v>8.8235294117647106E-2</v>
      </c>
      <c r="AV344" s="79">
        <v>2.2222222222222199E-2</v>
      </c>
      <c r="AW344" s="79">
        <v>3.8461538461538498E-2</v>
      </c>
      <c r="AX344" s="56"/>
      <c r="AY344" s="54"/>
    </row>
    <row r="345" spans="1:51">
      <c r="A345" s="53"/>
      <c r="B345" s="56"/>
      <c r="C345" s="99" t="s">
        <v>345</v>
      </c>
      <c r="D345" s="230" t="s">
        <v>1759</v>
      </c>
      <c r="E345" s="68" t="s">
        <v>346</v>
      </c>
      <c r="F345" s="106" t="s">
        <v>365</v>
      </c>
      <c r="G345" s="106" t="s">
        <v>365</v>
      </c>
      <c r="H345" s="106" t="s">
        <v>365</v>
      </c>
      <c r="I345" s="106" t="s">
        <v>365</v>
      </c>
      <c r="J345" s="70">
        <v>0.9</v>
      </c>
      <c r="K345" s="71" t="s">
        <v>1710</v>
      </c>
      <c r="L345" s="71" t="s">
        <v>1710</v>
      </c>
      <c r="M345" s="72" t="s">
        <v>1710</v>
      </c>
      <c r="N345" s="71" t="s">
        <v>1710</v>
      </c>
      <c r="O345" s="73">
        <v>0.9</v>
      </c>
      <c r="P345" s="71">
        <v>1</v>
      </c>
      <c r="Q345" s="71">
        <v>1</v>
      </c>
      <c r="R345" s="71">
        <v>0.66666666666666696</v>
      </c>
      <c r="S345" s="71">
        <v>0.86666666666666703</v>
      </c>
      <c r="T345" s="73">
        <v>0.9</v>
      </c>
      <c r="U345" s="71">
        <v>1</v>
      </c>
      <c r="V345" s="71">
        <v>0.5</v>
      </c>
      <c r="W345" s="71">
        <v>0.33333333333333298</v>
      </c>
      <c r="X345" s="71">
        <v>0.73333333333333295</v>
      </c>
      <c r="Y345" s="73">
        <v>0.92</v>
      </c>
      <c r="Z345" s="73">
        <v>1</v>
      </c>
      <c r="AA345" s="73" t="s">
        <v>1710</v>
      </c>
      <c r="AB345" s="73" t="s">
        <v>1710</v>
      </c>
      <c r="AC345" s="73">
        <v>1</v>
      </c>
      <c r="AD345" s="73">
        <v>0.92</v>
      </c>
      <c r="AE345" s="71">
        <v>0.99814365272026295</v>
      </c>
      <c r="AF345" s="71">
        <v>0.99668569324249701</v>
      </c>
      <c r="AG345" s="71">
        <v>0.99959823222177602</v>
      </c>
      <c r="AH345" s="71">
        <v>0.99295220664964901</v>
      </c>
      <c r="AI345" s="73">
        <v>0.92</v>
      </c>
      <c r="AJ345" s="71">
        <v>1</v>
      </c>
      <c r="AK345" s="71">
        <v>1</v>
      </c>
      <c r="AL345" s="71">
        <v>0.5</v>
      </c>
      <c r="AM345" s="71">
        <v>0.83333333333333304</v>
      </c>
      <c r="AN345" s="70">
        <v>0.99</v>
      </c>
      <c r="AO345" s="75">
        <v>1</v>
      </c>
      <c r="AP345" s="75">
        <v>1</v>
      </c>
      <c r="AQ345" s="75">
        <v>1</v>
      </c>
      <c r="AR345" s="75">
        <v>1</v>
      </c>
      <c r="AS345" s="95">
        <v>7.3985255698344701E-2</v>
      </c>
      <c r="AT345" s="79" t="s">
        <v>1710</v>
      </c>
      <c r="AU345" s="79">
        <v>0</v>
      </c>
      <c r="AV345" s="79" t="s">
        <v>1710</v>
      </c>
      <c r="AW345" s="79">
        <v>0</v>
      </c>
      <c r="AX345" s="56"/>
      <c r="AY345" s="54"/>
    </row>
    <row r="346" spans="1:51">
      <c r="A346" s="53"/>
      <c r="B346" s="56"/>
      <c r="C346" s="99" t="s">
        <v>345</v>
      </c>
      <c r="D346" s="230" t="s">
        <v>1759</v>
      </c>
      <c r="E346" s="68" t="s">
        <v>346</v>
      </c>
      <c r="F346" s="106" t="s">
        <v>366</v>
      </c>
      <c r="G346" s="106" t="s">
        <v>366</v>
      </c>
      <c r="H346" s="106" t="s">
        <v>366</v>
      </c>
      <c r="I346" s="106" t="s">
        <v>366</v>
      </c>
      <c r="J346" s="70">
        <v>0.9</v>
      </c>
      <c r="K346" s="71" t="s">
        <v>1710</v>
      </c>
      <c r="L346" s="71" t="s">
        <v>1710</v>
      </c>
      <c r="M346" s="72" t="s">
        <v>1710</v>
      </c>
      <c r="N346" s="71" t="s">
        <v>1710</v>
      </c>
      <c r="O346" s="73">
        <v>0.9</v>
      </c>
      <c r="P346" s="71" t="s">
        <v>1710</v>
      </c>
      <c r="Q346" s="71" t="s">
        <v>1710</v>
      </c>
      <c r="R346" s="71" t="s">
        <v>1710</v>
      </c>
      <c r="S346" s="71">
        <v>0</v>
      </c>
      <c r="T346" s="73">
        <v>0.9</v>
      </c>
      <c r="U346" s="71" t="s">
        <v>1710</v>
      </c>
      <c r="V346" s="71" t="s">
        <v>1710</v>
      </c>
      <c r="W346" s="71" t="s">
        <v>1710</v>
      </c>
      <c r="X346" s="71">
        <v>0</v>
      </c>
      <c r="Y346" s="73">
        <v>0.92</v>
      </c>
      <c r="Z346" s="73" t="s">
        <v>1710</v>
      </c>
      <c r="AA346" s="73" t="s">
        <v>1710</v>
      </c>
      <c r="AB346" s="73" t="s">
        <v>1710</v>
      </c>
      <c r="AC346" s="73" t="s">
        <v>1710</v>
      </c>
      <c r="AD346" s="73">
        <v>0.92</v>
      </c>
      <c r="AE346" s="71">
        <v>0.98515283842794799</v>
      </c>
      <c r="AF346" s="71">
        <v>0.77337662337662305</v>
      </c>
      <c r="AG346" s="71">
        <v>0.98928571428571399</v>
      </c>
      <c r="AH346" s="71">
        <v>0.94665418811417901</v>
      </c>
      <c r="AI346" s="73">
        <v>0.92</v>
      </c>
      <c r="AJ346" s="71" t="s">
        <v>1710</v>
      </c>
      <c r="AK346" s="71" t="s">
        <v>1710</v>
      </c>
      <c r="AL346" s="71" t="s">
        <v>1710</v>
      </c>
      <c r="AM346" s="71">
        <v>0</v>
      </c>
      <c r="AN346" s="70">
        <v>0.99</v>
      </c>
      <c r="AO346" s="75">
        <v>1</v>
      </c>
      <c r="AP346" s="75">
        <v>1</v>
      </c>
      <c r="AQ346" s="75" t="s">
        <v>1710</v>
      </c>
      <c r="AR346" s="75">
        <v>1</v>
      </c>
      <c r="AS346" s="95">
        <v>7.3985255698344701E-2</v>
      </c>
      <c r="AT346" s="79" t="s">
        <v>1710</v>
      </c>
      <c r="AU346" s="79" t="s">
        <v>1710</v>
      </c>
      <c r="AV346" s="79" t="s">
        <v>1710</v>
      </c>
      <c r="AW346" s="79" t="s">
        <v>1710</v>
      </c>
      <c r="AX346" s="56"/>
      <c r="AY346" s="54"/>
    </row>
    <row r="347" spans="1:51">
      <c r="A347" s="53"/>
      <c r="B347" s="56"/>
      <c r="C347" s="99" t="s">
        <v>345</v>
      </c>
      <c r="D347" s="230" t="s">
        <v>1759</v>
      </c>
      <c r="E347" s="68" t="s">
        <v>346</v>
      </c>
      <c r="F347" s="106" t="s">
        <v>367</v>
      </c>
      <c r="G347" s="106" t="s">
        <v>367</v>
      </c>
      <c r="H347" s="106" t="s">
        <v>367</v>
      </c>
      <c r="I347" s="106" t="s">
        <v>367</v>
      </c>
      <c r="J347" s="70">
        <v>0.9</v>
      </c>
      <c r="K347" s="71" t="s">
        <v>1710</v>
      </c>
      <c r="L347" s="71" t="s">
        <v>1710</v>
      </c>
      <c r="M347" s="72" t="s">
        <v>1710</v>
      </c>
      <c r="N347" s="71" t="s">
        <v>1710</v>
      </c>
      <c r="O347" s="73">
        <v>0.9</v>
      </c>
      <c r="P347" s="71" t="s">
        <v>1710</v>
      </c>
      <c r="Q347" s="71" t="s">
        <v>1710</v>
      </c>
      <c r="R347" s="71" t="s">
        <v>1710</v>
      </c>
      <c r="S347" s="71">
        <v>0</v>
      </c>
      <c r="T347" s="73">
        <v>0.9</v>
      </c>
      <c r="U347" s="71" t="s">
        <v>1710</v>
      </c>
      <c r="V347" s="71" t="s">
        <v>1710</v>
      </c>
      <c r="W347" s="71" t="s">
        <v>1710</v>
      </c>
      <c r="X347" s="71">
        <v>0.5</v>
      </c>
      <c r="Y347" s="73">
        <v>0.92</v>
      </c>
      <c r="Z347" s="73" t="s">
        <v>1710</v>
      </c>
      <c r="AA347" s="73">
        <v>0</v>
      </c>
      <c r="AB347" s="73" t="s">
        <v>1710</v>
      </c>
      <c r="AC347" s="73">
        <v>0</v>
      </c>
      <c r="AD347" s="73">
        <v>0.92</v>
      </c>
      <c r="AE347" s="71">
        <v>0.99788762146176602</v>
      </c>
      <c r="AF347" s="71">
        <v>0.50423649030314399</v>
      </c>
      <c r="AG347" s="71">
        <v>0.98869073510221805</v>
      </c>
      <c r="AH347" s="71">
        <v>0.93378346363421005</v>
      </c>
      <c r="AI347" s="73">
        <v>0.92</v>
      </c>
      <c r="AJ347" s="71" t="s">
        <v>1710</v>
      </c>
      <c r="AK347" s="71">
        <v>0</v>
      </c>
      <c r="AL347" s="71" t="s">
        <v>1710</v>
      </c>
      <c r="AM347" s="71">
        <v>0.5</v>
      </c>
      <c r="AN347" s="70">
        <v>0.99</v>
      </c>
      <c r="AO347" s="75">
        <v>1</v>
      </c>
      <c r="AP347" s="75">
        <v>1</v>
      </c>
      <c r="AQ347" s="75">
        <v>1</v>
      </c>
      <c r="AR347" s="75">
        <v>1</v>
      </c>
      <c r="AS347" s="95">
        <v>7.3985255698344701E-2</v>
      </c>
      <c r="AT347" s="79" t="s">
        <v>1710</v>
      </c>
      <c r="AU347" s="79" t="s">
        <v>1710</v>
      </c>
      <c r="AV347" s="79">
        <v>0</v>
      </c>
      <c r="AW347" s="79">
        <v>0</v>
      </c>
      <c r="AX347" s="56"/>
      <c r="AY347" s="54"/>
    </row>
    <row r="348" spans="1:51">
      <c r="A348" s="53"/>
      <c r="B348" s="56"/>
      <c r="C348" s="99" t="s">
        <v>345</v>
      </c>
      <c r="D348" s="230" t="s">
        <v>1759</v>
      </c>
      <c r="E348" s="68" t="s">
        <v>346</v>
      </c>
      <c r="F348" s="106" t="s">
        <v>368</v>
      </c>
      <c r="G348" s="106" t="s">
        <v>368</v>
      </c>
      <c r="H348" s="106" t="s">
        <v>368</v>
      </c>
      <c r="I348" s="106" t="s">
        <v>368</v>
      </c>
      <c r="J348" s="70">
        <v>0.9</v>
      </c>
      <c r="K348" s="71" t="s">
        <v>1710</v>
      </c>
      <c r="L348" s="71" t="s">
        <v>1710</v>
      </c>
      <c r="M348" s="72" t="s">
        <v>1710</v>
      </c>
      <c r="N348" s="71" t="s">
        <v>1710</v>
      </c>
      <c r="O348" s="73">
        <v>0.9</v>
      </c>
      <c r="P348" s="71">
        <v>1</v>
      </c>
      <c r="Q348" s="71">
        <v>1</v>
      </c>
      <c r="R348" s="71">
        <v>0.71428571428571397</v>
      </c>
      <c r="S348" s="71">
        <v>0.88235294117647101</v>
      </c>
      <c r="T348" s="73">
        <v>0.9</v>
      </c>
      <c r="U348" s="71">
        <v>1</v>
      </c>
      <c r="V348" s="71">
        <v>1</v>
      </c>
      <c r="W348" s="71">
        <v>0.85714285714285698</v>
      </c>
      <c r="X348" s="71">
        <v>0.85294117647058798</v>
      </c>
      <c r="Y348" s="73">
        <v>0.92</v>
      </c>
      <c r="Z348" s="73" t="s">
        <v>1710</v>
      </c>
      <c r="AA348" s="73" t="s">
        <v>1710</v>
      </c>
      <c r="AB348" s="73" t="s">
        <v>1710</v>
      </c>
      <c r="AC348" s="73">
        <v>0.14285714285714299</v>
      </c>
      <c r="AD348" s="73">
        <v>0.92</v>
      </c>
      <c r="AE348" s="71">
        <v>0.98184870422830794</v>
      </c>
      <c r="AF348" s="71">
        <v>0.95595126522961604</v>
      </c>
      <c r="AG348" s="71">
        <v>0.98165891048453302</v>
      </c>
      <c r="AH348" s="71">
        <v>0.79377734167382197</v>
      </c>
      <c r="AI348" s="73">
        <v>0.92</v>
      </c>
      <c r="AJ348" s="71">
        <v>1</v>
      </c>
      <c r="AK348" s="71">
        <v>1</v>
      </c>
      <c r="AL348" s="71">
        <v>0.85714285714285698</v>
      </c>
      <c r="AM348" s="71">
        <v>0.73333333333333295</v>
      </c>
      <c r="AN348" s="70">
        <v>0.99</v>
      </c>
      <c r="AO348" s="75">
        <v>1</v>
      </c>
      <c r="AP348" s="75">
        <v>1</v>
      </c>
      <c r="AQ348" s="75">
        <v>1</v>
      </c>
      <c r="AR348" s="75">
        <v>1</v>
      </c>
      <c r="AS348" s="95">
        <v>7.3985255698344701E-2</v>
      </c>
      <c r="AT348" s="79">
        <v>0</v>
      </c>
      <c r="AU348" s="79" t="s">
        <v>1710</v>
      </c>
      <c r="AV348" s="79" t="s">
        <v>1710</v>
      </c>
      <c r="AW348" s="79">
        <v>0</v>
      </c>
      <c r="AX348" s="56"/>
      <c r="AY348" s="54"/>
    </row>
    <row r="349" spans="1:51">
      <c r="A349" s="53"/>
      <c r="B349" s="56"/>
      <c r="C349" s="99" t="s">
        <v>345</v>
      </c>
      <c r="D349" s="230" t="s">
        <v>1759</v>
      </c>
      <c r="E349" s="68" t="s">
        <v>346</v>
      </c>
      <c r="F349" s="106" t="s">
        <v>369</v>
      </c>
      <c r="G349" s="106" t="s">
        <v>369</v>
      </c>
      <c r="H349" s="106" t="s">
        <v>369</v>
      </c>
      <c r="I349" s="106" t="s">
        <v>369</v>
      </c>
      <c r="J349" s="70">
        <v>0.9</v>
      </c>
      <c r="K349" s="71" t="s">
        <v>1710</v>
      </c>
      <c r="L349" s="71" t="s">
        <v>1710</v>
      </c>
      <c r="M349" s="72" t="s">
        <v>1710</v>
      </c>
      <c r="N349" s="71" t="s">
        <v>1710</v>
      </c>
      <c r="O349" s="73">
        <v>0.9</v>
      </c>
      <c r="P349" s="71">
        <v>0</v>
      </c>
      <c r="Q349" s="71">
        <v>0</v>
      </c>
      <c r="R349" s="71">
        <v>0</v>
      </c>
      <c r="S349" s="71">
        <v>2.8106508875739601E-2</v>
      </c>
      <c r="T349" s="73">
        <v>0.9</v>
      </c>
      <c r="U349" s="71">
        <v>0</v>
      </c>
      <c r="V349" s="71">
        <v>1.1764705882352899E-2</v>
      </c>
      <c r="W349" s="71">
        <v>0</v>
      </c>
      <c r="X349" s="71">
        <v>2.8106508875739601E-2</v>
      </c>
      <c r="Y349" s="73">
        <v>0.92</v>
      </c>
      <c r="Z349" s="73" t="s">
        <v>1710</v>
      </c>
      <c r="AA349" s="73">
        <v>1</v>
      </c>
      <c r="AB349" s="73" t="s">
        <v>1710</v>
      </c>
      <c r="AC349" s="73">
        <v>0.33333333333333298</v>
      </c>
      <c r="AD349" s="73">
        <v>0.92</v>
      </c>
      <c r="AE349" s="71">
        <v>1</v>
      </c>
      <c r="AF349" s="71">
        <v>0.92800889465394198</v>
      </c>
      <c r="AG349" s="71">
        <v>0.89635736196319005</v>
      </c>
      <c r="AH349" s="71">
        <v>0.91356053694773898</v>
      </c>
      <c r="AI349" s="73">
        <v>0.92</v>
      </c>
      <c r="AJ349" s="71">
        <v>0.19047619047618999</v>
      </c>
      <c r="AK349" s="71">
        <v>0.89534883720930203</v>
      </c>
      <c r="AL349" s="71">
        <v>0</v>
      </c>
      <c r="AM349" s="71">
        <v>0.70735294117647096</v>
      </c>
      <c r="AN349" s="70">
        <v>0.99</v>
      </c>
      <c r="AO349" s="75">
        <v>1</v>
      </c>
      <c r="AP349" s="75">
        <v>1</v>
      </c>
      <c r="AQ349" s="75">
        <v>1</v>
      </c>
      <c r="AR349" s="75">
        <v>1</v>
      </c>
      <c r="AS349" s="95">
        <v>7.3985255698344701E-2</v>
      </c>
      <c r="AT349" s="79">
        <v>0</v>
      </c>
      <c r="AU349" s="79">
        <v>0</v>
      </c>
      <c r="AV349" s="79">
        <v>0</v>
      </c>
      <c r="AW349" s="79">
        <v>0</v>
      </c>
      <c r="AX349" s="56"/>
      <c r="AY349" s="54"/>
    </row>
    <row r="350" spans="1:51">
      <c r="A350" s="53"/>
      <c r="B350" s="56"/>
      <c r="C350" s="96"/>
      <c r="D350" s="231"/>
      <c r="E350" s="96"/>
      <c r="F350" s="96"/>
      <c r="G350" s="96"/>
      <c r="H350" s="96"/>
      <c r="I350" s="96"/>
      <c r="J350" s="98"/>
      <c r="K350" s="85"/>
      <c r="L350" s="85"/>
      <c r="M350" s="72"/>
      <c r="N350" s="85"/>
      <c r="O350" s="88"/>
      <c r="P350" s="85"/>
      <c r="Q350" s="85"/>
      <c r="R350" s="71"/>
      <c r="S350" s="85"/>
      <c r="T350" s="88"/>
      <c r="U350" s="85"/>
      <c r="V350" s="85"/>
      <c r="W350" s="71"/>
      <c r="X350" s="85"/>
      <c r="Y350" s="88"/>
      <c r="Z350" s="88"/>
      <c r="AA350" s="88"/>
      <c r="AB350" s="73"/>
      <c r="AC350" s="88"/>
      <c r="AD350" s="85"/>
      <c r="AE350" s="85"/>
      <c r="AF350" s="85"/>
      <c r="AG350" s="71"/>
      <c r="AH350" s="85"/>
      <c r="AI350" s="85"/>
      <c r="AJ350" s="85"/>
      <c r="AK350" s="85"/>
      <c r="AL350" s="71"/>
      <c r="AM350" s="85"/>
      <c r="AN350" s="84"/>
      <c r="AO350" s="84"/>
      <c r="AP350" s="84"/>
      <c r="AQ350" s="75"/>
      <c r="AR350" s="84"/>
      <c r="AS350" s="85"/>
      <c r="AT350" s="84"/>
      <c r="AU350" s="84"/>
      <c r="AV350" s="79"/>
      <c r="AW350" s="84"/>
      <c r="AX350" s="56"/>
      <c r="AY350" s="54"/>
    </row>
    <row r="351" spans="1:51">
      <c r="A351" s="53"/>
      <c r="B351" s="56"/>
      <c r="C351" s="90" t="s">
        <v>370</v>
      </c>
      <c r="D351" s="230" t="s">
        <v>1757</v>
      </c>
      <c r="E351" s="68" t="s">
        <v>371</v>
      </c>
      <c r="F351" s="91" t="s">
        <v>372</v>
      </c>
      <c r="G351" s="91" t="s">
        <v>372</v>
      </c>
      <c r="H351" s="91" t="s">
        <v>372</v>
      </c>
      <c r="I351" s="91" t="s">
        <v>372</v>
      </c>
      <c r="J351" s="70">
        <v>0.9</v>
      </c>
      <c r="K351" s="71">
        <v>0.89743589743589702</v>
      </c>
      <c r="L351" s="71">
        <v>0.90697674418604601</v>
      </c>
      <c r="M351" s="72">
        <v>0.87804878048780499</v>
      </c>
      <c r="N351" s="71">
        <v>0.90444444444444405</v>
      </c>
      <c r="O351" s="73">
        <v>0.9</v>
      </c>
      <c r="P351" s="71">
        <v>0.97676767676767695</v>
      </c>
      <c r="Q351" s="71">
        <v>0.97928918435182799</v>
      </c>
      <c r="R351" s="71">
        <v>0.96508299942759002</v>
      </c>
      <c r="S351" s="71">
        <v>0.96644467213114704</v>
      </c>
      <c r="T351" s="73">
        <v>0.9</v>
      </c>
      <c r="U351" s="71">
        <v>0.82020202020202004</v>
      </c>
      <c r="V351" s="71">
        <v>0.79493735617489103</v>
      </c>
      <c r="W351" s="71">
        <v>0.835432169433314</v>
      </c>
      <c r="X351" s="71">
        <v>0.81933060109289602</v>
      </c>
      <c r="Y351" s="73">
        <v>0.92</v>
      </c>
      <c r="Z351" s="73">
        <v>0.88003095975232204</v>
      </c>
      <c r="AA351" s="73">
        <v>0.85122897800776198</v>
      </c>
      <c r="AB351" s="73">
        <v>0.85440340909090895</v>
      </c>
      <c r="AC351" s="73">
        <v>0.85357373868046604</v>
      </c>
      <c r="AD351" s="73">
        <v>0.92</v>
      </c>
      <c r="AE351" s="71">
        <v>0.99472759226713503</v>
      </c>
      <c r="AF351" s="71">
        <v>0.96361502347417805</v>
      </c>
      <c r="AG351" s="71">
        <v>0.97590361445783103</v>
      </c>
      <c r="AH351" s="71">
        <v>0.97218358831710705</v>
      </c>
      <c r="AI351" s="73">
        <v>0.92</v>
      </c>
      <c r="AJ351" s="71">
        <v>0.91811793461655999</v>
      </c>
      <c r="AK351" s="71">
        <v>0.94302176696542905</v>
      </c>
      <c r="AL351" s="71">
        <v>0.92574459404324805</v>
      </c>
      <c r="AM351" s="71">
        <v>0.93298958223718798</v>
      </c>
      <c r="AN351" s="70">
        <v>0.99</v>
      </c>
      <c r="AO351" s="75">
        <v>1</v>
      </c>
      <c r="AP351" s="75">
        <v>1</v>
      </c>
      <c r="AQ351" s="75">
        <v>1</v>
      </c>
      <c r="AR351" s="75">
        <v>1</v>
      </c>
      <c r="AS351" s="95">
        <v>0.05</v>
      </c>
      <c r="AT351" s="79">
        <v>0.27272727272727298</v>
      </c>
      <c r="AU351" s="79">
        <v>0.11111111111111099</v>
      </c>
      <c r="AV351" s="79">
        <v>0.15384615384615399</v>
      </c>
      <c r="AW351" s="79">
        <v>6.7114093959731502E-2</v>
      </c>
      <c r="AX351" s="56"/>
      <c r="AY351" s="54"/>
    </row>
    <row r="352" spans="1:51">
      <c r="A352" s="53"/>
      <c r="B352" s="56"/>
      <c r="C352" s="90" t="s">
        <v>370</v>
      </c>
      <c r="D352" s="230" t="s">
        <v>1757</v>
      </c>
      <c r="E352" s="68" t="s">
        <v>371</v>
      </c>
      <c r="F352" s="91" t="s">
        <v>373</v>
      </c>
      <c r="G352" s="91" t="s">
        <v>373</v>
      </c>
      <c r="H352" s="91" t="s">
        <v>373</v>
      </c>
      <c r="I352" s="91" t="s">
        <v>373</v>
      </c>
      <c r="J352" s="70">
        <v>0.9</v>
      </c>
      <c r="K352" s="71">
        <v>1</v>
      </c>
      <c r="L352" s="71">
        <v>1</v>
      </c>
      <c r="M352" s="72">
        <v>0.91666666666666696</v>
      </c>
      <c r="N352" s="71">
        <v>0.97683397683397699</v>
      </c>
      <c r="O352" s="73">
        <v>0.9</v>
      </c>
      <c r="P352" s="71">
        <v>0.98727915194346305</v>
      </c>
      <c r="Q352" s="71">
        <v>0.97939346811819605</v>
      </c>
      <c r="R352" s="71">
        <v>0.99640575079872196</v>
      </c>
      <c r="S352" s="71">
        <v>0.99369877682138297</v>
      </c>
      <c r="T352" s="73">
        <v>0.9</v>
      </c>
      <c r="U352" s="71">
        <v>0.86289752650176699</v>
      </c>
      <c r="V352" s="71">
        <v>0.80093312597200605</v>
      </c>
      <c r="W352" s="71">
        <v>0.83027156549520797</v>
      </c>
      <c r="X352" s="71">
        <v>0.84057493513446702</v>
      </c>
      <c r="Y352" s="73">
        <v>0.92</v>
      </c>
      <c r="Z352" s="73">
        <v>0.93913778529163106</v>
      </c>
      <c r="AA352" s="73">
        <v>0.94262295081967196</v>
      </c>
      <c r="AB352" s="73">
        <v>0.94656488549618301</v>
      </c>
      <c r="AC352" s="73">
        <v>0.94703549848942603</v>
      </c>
      <c r="AD352" s="73">
        <v>0.92</v>
      </c>
      <c r="AE352" s="71">
        <v>0.99891186071817195</v>
      </c>
      <c r="AF352" s="71">
        <v>0.99134199134199097</v>
      </c>
      <c r="AG352" s="71">
        <v>0.98542274052478096</v>
      </c>
      <c r="AH352" s="71">
        <v>0.99564595384711096</v>
      </c>
      <c r="AI352" s="73">
        <v>0.92</v>
      </c>
      <c r="AJ352" s="71">
        <v>0.95613697575990797</v>
      </c>
      <c r="AK352" s="71">
        <v>0.97485857950974197</v>
      </c>
      <c r="AL352" s="71">
        <v>0.97068403908794798</v>
      </c>
      <c r="AM352" s="71">
        <v>0.97304968605751296</v>
      </c>
      <c r="AN352" s="70">
        <v>0.99</v>
      </c>
      <c r="AO352" s="75">
        <v>1</v>
      </c>
      <c r="AP352" s="75">
        <v>1</v>
      </c>
      <c r="AQ352" s="75">
        <v>1</v>
      </c>
      <c r="AR352" s="75">
        <v>1</v>
      </c>
      <c r="AS352" s="95">
        <v>0.05</v>
      </c>
      <c r="AT352" s="79">
        <v>0.2</v>
      </c>
      <c r="AU352" s="79">
        <v>0</v>
      </c>
      <c r="AV352" s="79">
        <v>0</v>
      </c>
      <c r="AW352" s="79">
        <v>6.0975609756097601E-2</v>
      </c>
      <c r="AX352" s="56"/>
      <c r="AY352" s="54"/>
    </row>
    <row r="353" spans="1:51">
      <c r="A353" s="53"/>
      <c r="B353" s="56"/>
      <c r="C353" s="90" t="s">
        <v>370</v>
      </c>
      <c r="D353" s="230" t="s">
        <v>1757</v>
      </c>
      <c r="E353" s="68" t="s">
        <v>371</v>
      </c>
      <c r="F353" s="91" t="s">
        <v>374</v>
      </c>
      <c r="G353" s="91" t="s">
        <v>374</v>
      </c>
      <c r="H353" s="91" t="s">
        <v>374</v>
      </c>
      <c r="I353" s="91" t="s">
        <v>374</v>
      </c>
      <c r="J353" s="70">
        <v>0.9</v>
      </c>
      <c r="K353" s="71">
        <v>0.97222222222222199</v>
      </c>
      <c r="L353" s="71">
        <v>0.91111111111111098</v>
      </c>
      <c r="M353" s="72">
        <v>0.86046511627906996</v>
      </c>
      <c r="N353" s="71">
        <v>0.95286885245901598</v>
      </c>
      <c r="O353" s="73">
        <v>0.9</v>
      </c>
      <c r="P353" s="71">
        <v>0.97082557417752902</v>
      </c>
      <c r="Q353" s="71">
        <v>0.92252866439417402</v>
      </c>
      <c r="R353" s="71">
        <v>0.89268449887205903</v>
      </c>
      <c r="S353" s="71">
        <v>0.95222096591826799</v>
      </c>
      <c r="T353" s="73">
        <v>0.9</v>
      </c>
      <c r="U353" s="71">
        <v>0.84792054624456903</v>
      </c>
      <c r="V353" s="71">
        <v>0.78834831112488402</v>
      </c>
      <c r="W353" s="71">
        <v>0.77473412826297094</v>
      </c>
      <c r="X353" s="71">
        <v>0.80032304958811196</v>
      </c>
      <c r="Y353" s="73">
        <v>0.92</v>
      </c>
      <c r="Z353" s="73">
        <v>0.91237579042457095</v>
      </c>
      <c r="AA353" s="73">
        <v>0.91419656786271497</v>
      </c>
      <c r="AB353" s="73">
        <v>0.860206513105639</v>
      </c>
      <c r="AC353" s="73">
        <v>0.87578548678660595</v>
      </c>
      <c r="AD353" s="73">
        <v>0.92</v>
      </c>
      <c r="AE353" s="71">
        <v>0.998690242305174</v>
      </c>
      <c r="AF353" s="71">
        <v>0.996114763897191</v>
      </c>
      <c r="AG353" s="71">
        <v>0.99676480103526399</v>
      </c>
      <c r="AH353" s="71">
        <v>0.98061772483166598</v>
      </c>
      <c r="AI353" s="73">
        <v>0.92</v>
      </c>
      <c r="AJ353" s="71">
        <v>0.94851048179477704</v>
      </c>
      <c r="AK353" s="71">
        <v>0.972085810286896</v>
      </c>
      <c r="AL353" s="71">
        <v>0.94887666208161403</v>
      </c>
      <c r="AM353" s="71">
        <v>0.95159926729604105</v>
      </c>
      <c r="AN353" s="70">
        <v>0.99</v>
      </c>
      <c r="AO353" s="75">
        <v>1</v>
      </c>
      <c r="AP353" s="75">
        <v>1</v>
      </c>
      <c r="AQ353" s="75">
        <v>1</v>
      </c>
      <c r="AR353" s="75">
        <v>1</v>
      </c>
      <c r="AS353" s="95">
        <v>0.05</v>
      </c>
      <c r="AT353" s="79">
        <v>0</v>
      </c>
      <c r="AU353" s="79">
        <v>0</v>
      </c>
      <c r="AV353" s="79">
        <v>0</v>
      </c>
      <c r="AW353" s="79">
        <v>5.7971014492753603E-2</v>
      </c>
      <c r="AX353" s="56"/>
      <c r="AY353" s="54"/>
    </row>
    <row r="354" spans="1:51">
      <c r="A354" s="53"/>
      <c r="B354" s="56"/>
      <c r="C354" s="90" t="s">
        <v>370</v>
      </c>
      <c r="D354" s="230" t="s">
        <v>1757</v>
      </c>
      <c r="E354" s="68" t="s">
        <v>371</v>
      </c>
      <c r="F354" s="91" t="s">
        <v>375</v>
      </c>
      <c r="G354" s="91" t="s">
        <v>375</v>
      </c>
      <c r="H354" s="91" t="s">
        <v>375</v>
      </c>
      <c r="I354" s="91" t="s">
        <v>375</v>
      </c>
      <c r="J354" s="70">
        <v>0.9</v>
      </c>
      <c r="K354" s="71">
        <v>0.97727272727272696</v>
      </c>
      <c r="L354" s="71">
        <v>1</v>
      </c>
      <c r="M354" s="72">
        <v>0.96</v>
      </c>
      <c r="N354" s="71">
        <v>0.93148148148148102</v>
      </c>
      <c r="O354" s="73">
        <v>0.9</v>
      </c>
      <c r="P354" s="71">
        <v>0.894972451790634</v>
      </c>
      <c r="Q354" s="71">
        <v>0.90559082531230795</v>
      </c>
      <c r="R354" s="71">
        <v>0.90405117270788904</v>
      </c>
      <c r="S354" s="71">
        <v>0.90418867748118403</v>
      </c>
      <c r="T354" s="73">
        <v>0.9</v>
      </c>
      <c r="U354" s="71">
        <v>0.71246556473829203</v>
      </c>
      <c r="V354" s="71">
        <v>0.66434568912553804</v>
      </c>
      <c r="W354" s="71">
        <v>0.73394930111348</v>
      </c>
      <c r="X354" s="71">
        <v>0.69999065027347995</v>
      </c>
      <c r="Y354" s="73">
        <v>0.92</v>
      </c>
      <c r="Z354" s="73">
        <v>0.82778658214474399</v>
      </c>
      <c r="AA354" s="73">
        <v>0.80145530145530097</v>
      </c>
      <c r="AB354" s="73">
        <v>0.75581395348837199</v>
      </c>
      <c r="AC354" s="73">
        <v>0.80522850993796702</v>
      </c>
      <c r="AD354" s="73">
        <v>0.92</v>
      </c>
      <c r="AE354" s="71">
        <v>0.99354838709677396</v>
      </c>
      <c r="AF354" s="71">
        <v>0.88365243004418303</v>
      </c>
      <c r="AG354" s="71">
        <v>0.98351648351648302</v>
      </c>
      <c r="AH354" s="71">
        <v>0.97649601512900197</v>
      </c>
      <c r="AI354" s="73">
        <v>0.92</v>
      </c>
      <c r="AJ354" s="71">
        <v>0.91018962283809102</v>
      </c>
      <c r="AK354" s="71">
        <v>0.94032147742818095</v>
      </c>
      <c r="AL354" s="71">
        <v>0.90004907574022597</v>
      </c>
      <c r="AM354" s="71">
        <v>0.92504735737324395</v>
      </c>
      <c r="AN354" s="70">
        <v>0.99</v>
      </c>
      <c r="AO354" s="75">
        <v>1</v>
      </c>
      <c r="AP354" s="75">
        <v>1</v>
      </c>
      <c r="AQ354" s="75">
        <v>1</v>
      </c>
      <c r="AR354" s="75">
        <v>1</v>
      </c>
      <c r="AS354" s="95">
        <v>0.05</v>
      </c>
      <c r="AT354" s="79">
        <v>0</v>
      </c>
      <c r="AU354" s="79">
        <v>0</v>
      </c>
      <c r="AV354" s="79">
        <v>0</v>
      </c>
      <c r="AW354" s="79">
        <v>6.6666666666666693E-2</v>
      </c>
      <c r="AX354" s="56"/>
      <c r="AY354" s="54"/>
    </row>
    <row r="355" spans="1:51">
      <c r="A355" s="53"/>
      <c r="B355" s="56"/>
      <c r="C355" s="90" t="s">
        <v>370</v>
      </c>
      <c r="D355" s="230" t="s">
        <v>1757</v>
      </c>
      <c r="E355" s="68" t="s">
        <v>371</v>
      </c>
      <c r="F355" s="91" t="s">
        <v>376</v>
      </c>
      <c r="G355" s="91" t="s">
        <v>376</v>
      </c>
      <c r="H355" s="91" t="s">
        <v>376</v>
      </c>
      <c r="I355" s="91" t="s">
        <v>376</v>
      </c>
      <c r="J355" s="70">
        <v>0.9</v>
      </c>
      <c r="K355" s="71">
        <v>1</v>
      </c>
      <c r="L355" s="71">
        <v>1</v>
      </c>
      <c r="M355" s="72">
        <v>0.96428571428571397</v>
      </c>
      <c r="N355" s="71">
        <v>0.97575757575757605</v>
      </c>
      <c r="O355" s="73">
        <v>0.9</v>
      </c>
      <c r="P355" s="71">
        <v>0.97658862876254204</v>
      </c>
      <c r="Q355" s="71">
        <v>0.98536942209217304</v>
      </c>
      <c r="R355" s="71">
        <v>0.98456325301204795</v>
      </c>
      <c r="S355" s="71">
        <v>0.98749853039150404</v>
      </c>
      <c r="T355" s="73">
        <v>0.9</v>
      </c>
      <c r="U355" s="71">
        <v>0.90635451505016695</v>
      </c>
      <c r="V355" s="71">
        <v>0.78273591806876397</v>
      </c>
      <c r="W355" s="71">
        <v>0.80911144578313299</v>
      </c>
      <c r="X355" s="71">
        <v>0.86099463103029295</v>
      </c>
      <c r="Y355" s="73">
        <v>0.92</v>
      </c>
      <c r="Z355" s="73">
        <v>0.926981300089047</v>
      </c>
      <c r="AA355" s="73">
        <v>0.80094043887147304</v>
      </c>
      <c r="AB355" s="73">
        <v>0.81788351107465096</v>
      </c>
      <c r="AC355" s="73">
        <v>0.88603108243206397</v>
      </c>
      <c r="AD355" s="73">
        <v>0.92</v>
      </c>
      <c r="AE355" s="71">
        <v>1</v>
      </c>
      <c r="AF355" s="71">
        <v>0.995820668693009</v>
      </c>
      <c r="AG355" s="71">
        <v>0.99251870324189495</v>
      </c>
      <c r="AH355" s="71">
        <v>0.99850769309936704</v>
      </c>
      <c r="AI355" s="73">
        <v>0.92</v>
      </c>
      <c r="AJ355" s="71">
        <v>0.95645530939648604</v>
      </c>
      <c r="AK355" s="71">
        <v>0.94721233689205198</v>
      </c>
      <c r="AL355" s="71">
        <v>0.92774193548387096</v>
      </c>
      <c r="AM355" s="71">
        <v>0.95370167561055696</v>
      </c>
      <c r="AN355" s="70">
        <v>0.99</v>
      </c>
      <c r="AO355" s="75">
        <v>1</v>
      </c>
      <c r="AP355" s="75">
        <v>1</v>
      </c>
      <c r="AQ355" s="75">
        <v>1</v>
      </c>
      <c r="AR355" s="75">
        <v>1</v>
      </c>
      <c r="AS355" s="95">
        <v>0.05</v>
      </c>
      <c r="AT355" s="79">
        <v>0</v>
      </c>
      <c r="AU355" s="79">
        <v>0.125</v>
      </c>
      <c r="AV355" s="79">
        <v>0</v>
      </c>
      <c r="AW355" s="79">
        <v>5.1546391752577303E-2</v>
      </c>
      <c r="AX355" s="56"/>
      <c r="AY355" s="54"/>
    </row>
    <row r="356" spans="1:51">
      <c r="A356" s="53"/>
      <c r="B356" s="56"/>
      <c r="C356" s="90" t="s">
        <v>370</v>
      </c>
      <c r="D356" s="230" t="s">
        <v>1757</v>
      </c>
      <c r="E356" s="68" t="s">
        <v>371</v>
      </c>
      <c r="F356" s="91" t="s">
        <v>377</v>
      </c>
      <c r="G356" s="91" t="s">
        <v>377</v>
      </c>
      <c r="H356" s="91" t="s">
        <v>377</v>
      </c>
      <c r="I356" s="91" t="s">
        <v>377</v>
      </c>
      <c r="J356" s="70">
        <v>0.9</v>
      </c>
      <c r="K356" s="71">
        <v>0.91304347826086996</v>
      </c>
      <c r="L356" s="71">
        <v>0.92307692307692302</v>
      </c>
      <c r="M356" s="72">
        <v>0.95918367346938804</v>
      </c>
      <c r="N356" s="71">
        <v>0.92857142857142905</v>
      </c>
      <c r="O356" s="73">
        <v>0.9</v>
      </c>
      <c r="P356" s="71">
        <v>0.96735187424425595</v>
      </c>
      <c r="Q356" s="71">
        <v>0.98039798039797998</v>
      </c>
      <c r="R356" s="71">
        <v>0.98664643399089502</v>
      </c>
      <c r="S356" s="71">
        <v>0.97836686828786601</v>
      </c>
      <c r="T356" s="73">
        <v>0.9</v>
      </c>
      <c r="U356" s="71">
        <v>0.90266021765417204</v>
      </c>
      <c r="V356" s="71">
        <v>0.89040689040689003</v>
      </c>
      <c r="W356" s="71">
        <v>0.92503793626707098</v>
      </c>
      <c r="X356" s="71">
        <v>0.91177015183310695</v>
      </c>
      <c r="Y356" s="73">
        <v>0.92</v>
      </c>
      <c r="Z356" s="73">
        <v>0.87901811805961405</v>
      </c>
      <c r="AA356" s="73">
        <v>0.85847107438016501</v>
      </c>
      <c r="AB356" s="73">
        <v>0.87957824639289695</v>
      </c>
      <c r="AC356" s="73">
        <v>0.87865584338068503</v>
      </c>
      <c r="AD356" s="73">
        <v>0.92</v>
      </c>
      <c r="AE356" s="71">
        <v>0.99308755760368705</v>
      </c>
      <c r="AF356" s="71">
        <v>0.99013157894736803</v>
      </c>
      <c r="AG356" s="71">
        <v>0.99397590361445798</v>
      </c>
      <c r="AH356" s="71">
        <v>0.98990645002461797</v>
      </c>
      <c r="AI356" s="73">
        <v>0.92</v>
      </c>
      <c r="AJ356" s="71">
        <v>0.92109166419460098</v>
      </c>
      <c r="AK356" s="71">
        <v>0.95524798154555901</v>
      </c>
      <c r="AL356" s="71">
        <v>0.947812438689425</v>
      </c>
      <c r="AM356" s="71">
        <v>0.94568046855934296</v>
      </c>
      <c r="AN356" s="70">
        <v>0.99</v>
      </c>
      <c r="AO356" s="75">
        <v>1</v>
      </c>
      <c r="AP356" s="75">
        <v>1</v>
      </c>
      <c r="AQ356" s="75">
        <v>1</v>
      </c>
      <c r="AR356" s="75">
        <v>1</v>
      </c>
      <c r="AS356" s="95">
        <v>0.05</v>
      </c>
      <c r="AT356" s="79">
        <v>0.25</v>
      </c>
      <c r="AU356" s="79">
        <v>0</v>
      </c>
      <c r="AV356" s="79">
        <v>9.0909090909090898E-2</v>
      </c>
      <c r="AW356" s="79">
        <v>4.31034482758621E-2</v>
      </c>
      <c r="AX356" s="56"/>
      <c r="AY356" s="54"/>
    </row>
    <row r="357" spans="1:51">
      <c r="A357" s="53"/>
      <c r="B357" s="56"/>
      <c r="C357" s="90" t="s">
        <v>370</v>
      </c>
      <c r="D357" s="230" t="s">
        <v>1757</v>
      </c>
      <c r="E357" s="68" t="s">
        <v>371</v>
      </c>
      <c r="F357" s="91" t="s">
        <v>378</v>
      </c>
      <c r="G357" s="91" t="s">
        <v>378</v>
      </c>
      <c r="H357" s="91" t="s">
        <v>378</v>
      </c>
      <c r="I357" s="91" t="s">
        <v>378</v>
      </c>
      <c r="J357" s="70">
        <v>0.9</v>
      </c>
      <c r="K357" s="71">
        <v>0.96296296296296302</v>
      </c>
      <c r="L357" s="71">
        <v>0.92592592592592604</v>
      </c>
      <c r="M357" s="72">
        <v>0.9375</v>
      </c>
      <c r="N357" s="71">
        <v>0.98198198198198205</v>
      </c>
      <c r="O357" s="73">
        <v>0.9</v>
      </c>
      <c r="P357" s="71">
        <v>0.97434166103983799</v>
      </c>
      <c r="Q357" s="71">
        <v>0.95158102766798403</v>
      </c>
      <c r="R357" s="71">
        <v>0.98303167420814497</v>
      </c>
      <c r="S357" s="71">
        <v>0.97623028276513801</v>
      </c>
      <c r="T357" s="73">
        <v>0.9</v>
      </c>
      <c r="U357" s="71">
        <v>0.91897366644159395</v>
      </c>
      <c r="V357" s="71">
        <v>0.877799736495389</v>
      </c>
      <c r="W357" s="71">
        <v>0.93024132730015097</v>
      </c>
      <c r="X357" s="71">
        <v>0.926473795158828</v>
      </c>
      <c r="Y357" s="73">
        <v>0.92</v>
      </c>
      <c r="Z357" s="73">
        <v>0.91286727456940198</v>
      </c>
      <c r="AA357" s="73">
        <v>0.90185185185185202</v>
      </c>
      <c r="AB357" s="73">
        <v>0.91758241758241799</v>
      </c>
      <c r="AC357" s="73">
        <v>0.91696492483894099</v>
      </c>
      <c r="AD357" s="73">
        <v>0.92</v>
      </c>
      <c r="AE357" s="71">
        <v>1</v>
      </c>
      <c r="AF357" s="71">
        <v>0.99099099099099097</v>
      </c>
      <c r="AG357" s="71">
        <v>0.99431818181818199</v>
      </c>
      <c r="AH357" s="71">
        <v>0.99709864603481602</v>
      </c>
      <c r="AI357" s="73">
        <v>0.92</v>
      </c>
      <c r="AJ357" s="71">
        <v>0.94251012145749002</v>
      </c>
      <c r="AK357" s="71">
        <v>0.93903803131991004</v>
      </c>
      <c r="AL357" s="71">
        <v>0.95807743658210998</v>
      </c>
      <c r="AM357" s="71">
        <v>0.95826184859532504</v>
      </c>
      <c r="AN357" s="70">
        <v>0.99</v>
      </c>
      <c r="AO357" s="75">
        <v>1</v>
      </c>
      <c r="AP357" s="75">
        <v>1</v>
      </c>
      <c r="AQ357" s="75">
        <v>1</v>
      </c>
      <c r="AR357" s="75">
        <v>1</v>
      </c>
      <c r="AS357" s="95">
        <v>0.05</v>
      </c>
      <c r="AT357" s="79">
        <v>0</v>
      </c>
      <c r="AU357" s="79">
        <v>0.2</v>
      </c>
      <c r="AV357" s="79">
        <v>0.11111111111111099</v>
      </c>
      <c r="AW357" s="79">
        <v>3.8961038961039002E-2</v>
      </c>
      <c r="AX357" s="56"/>
      <c r="AY357" s="54"/>
    </row>
    <row r="358" spans="1:51" ht="15">
      <c r="A358" s="53"/>
      <c r="B358" s="56"/>
      <c r="C358" s="90" t="s">
        <v>370</v>
      </c>
      <c r="D358" s="230" t="s">
        <v>1757</v>
      </c>
      <c r="E358" s="68" t="s">
        <v>371</v>
      </c>
      <c r="F358" s="107" t="s">
        <v>379</v>
      </c>
      <c r="G358" s="107" t="s">
        <v>379</v>
      </c>
      <c r="H358" s="107" t="s">
        <v>379</v>
      </c>
      <c r="I358" s="107" t="s">
        <v>379</v>
      </c>
      <c r="J358" s="70">
        <v>0.9</v>
      </c>
      <c r="K358" s="71">
        <v>0.82352941176470595</v>
      </c>
      <c r="L358" s="71">
        <v>0.85</v>
      </c>
      <c r="M358" s="72">
        <v>0.88888888888888895</v>
      </c>
      <c r="N358" s="71">
        <v>0.89903846153846201</v>
      </c>
      <c r="O358" s="73">
        <v>0.9</v>
      </c>
      <c r="P358" s="71">
        <v>0.88692579505300395</v>
      </c>
      <c r="Q358" s="71">
        <v>0.93160723009281898</v>
      </c>
      <c r="R358" s="71">
        <v>0.90488301119023395</v>
      </c>
      <c r="S358" s="71">
        <v>0.951242187903517</v>
      </c>
      <c r="T358" s="73">
        <v>0.9</v>
      </c>
      <c r="U358" s="71">
        <v>0.83657243816254401</v>
      </c>
      <c r="V358" s="71">
        <v>0.74108451392281405</v>
      </c>
      <c r="W358" s="71">
        <v>0.78077314343845405</v>
      </c>
      <c r="X358" s="71">
        <v>0.79443210577965995</v>
      </c>
      <c r="Y358" s="73">
        <v>0.92</v>
      </c>
      <c r="Z358" s="73">
        <v>0.820175438596491</v>
      </c>
      <c r="AA358" s="73">
        <v>0.68709677419354798</v>
      </c>
      <c r="AB358" s="73">
        <v>0.68843537414966005</v>
      </c>
      <c r="AC358" s="73">
        <v>0.81411694332286499</v>
      </c>
      <c r="AD358" s="73">
        <v>0.92</v>
      </c>
      <c r="AE358" s="71">
        <v>1</v>
      </c>
      <c r="AF358" s="71">
        <v>0.97701149425287404</v>
      </c>
      <c r="AG358" s="71">
        <v>0.93333333333333302</v>
      </c>
      <c r="AH358" s="71">
        <v>0.96511627906976705</v>
      </c>
      <c r="AI358" s="73">
        <v>0.92</v>
      </c>
      <c r="AJ358" s="71">
        <v>0.90533847000550405</v>
      </c>
      <c r="AK358" s="71">
        <v>0.89944845142129803</v>
      </c>
      <c r="AL358" s="71">
        <v>0.86560533135875595</v>
      </c>
      <c r="AM358" s="71">
        <v>0.92358472462099395</v>
      </c>
      <c r="AN358" s="70">
        <v>0.99</v>
      </c>
      <c r="AO358" s="75">
        <v>1</v>
      </c>
      <c r="AP358" s="75">
        <v>1</v>
      </c>
      <c r="AQ358" s="75">
        <v>1</v>
      </c>
      <c r="AR358" s="75">
        <v>1</v>
      </c>
      <c r="AS358" s="95">
        <v>0.05</v>
      </c>
      <c r="AT358" s="79">
        <v>0.4</v>
      </c>
      <c r="AU358" s="79">
        <v>0</v>
      </c>
      <c r="AV358" s="79">
        <v>0</v>
      </c>
      <c r="AW358" s="79">
        <v>8.2352941176470601E-2</v>
      </c>
      <c r="AX358" s="56"/>
      <c r="AY358" s="54"/>
    </row>
    <row r="359" spans="1:51">
      <c r="A359" s="53"/>
      <c r="B359" s="56"/>
      <c r="C359" s="90" t="s">
        <v>370</v>
      </c>
      <c r="D359" s="230" t="s">
        <v>1757</v>
      </c>
      <c r="E359" s="68" t="s">
        <v>371</v>
      </c>
      <c r="F359" s="91" t="s">
        <v>380</v>
      </c>
      <c r="G359" s="91" t="s">
        <v>380</v>
      </c>
      <c r="H359" s="91" t="s">
        <v>380</v>
      </c>
      <c r="I359" s="91" t="s">
        <v>380</v>
      </c>
      <c r="J359" s="70">
        <v>0.9</v>
      </c>
      <c r="K359" s="71">
        <v>0.96</v>
      </c>
      <c r="L359" s="71">
        <v>0.96153846153846201</v>
      </c>
      <c r="M359" s="72">
        <v>0.96153846153846201</v>
      </c>
      <c r="N359" s="71">
        <v>0.958620689655172</v>
      </c>
      <c r="O359" s="73">
        <v>0.9</v>
      </c>
      <c r="P359" s="71">
        <v>0</v>
      </c>
      <c r="Q359" s="71" t="s">
        <v>1710</v>
      </c>
      <c r="R359" s="71">
        <v>0</v>
      </c>
      <c r="S359" s="71">
        <v>0.4</v>
      </c>
      <c r="T359" s="73">
        <v>0.9</v>
      </c>
      <c r="U359" s="71">
        <v>0</v>
      </c>
      <c r="V359" s="71" t="s">
        <v>1710</v>
      </c>
      <c r="W359" s="71">
        <v>0</v>
      </c>
      <c r="X359" s="71">
        <v>0.4</v>
      </c>
      <c r="Y359" s="73">
        <v>0.92</v>
      </c>
      <c r="Z359" s="73">
        <v>8.3333333333333301E-2</v>
      </c>
      <c r="AA359" s="73">
        <v>0.25</v>
      </c>
      <c r="AB359" s="73">
        <v>0.66666666666666696</v>
      </c>
      <c r="AC359" s="73">
        <v>0.54545454545454497</v>
      </c>
      <c r="AD359" s="73">
        <v>0.92</v>
      </c>
      <c r="AE359" s="71">
        <v>1</v>
      </c>
      <c r="AF359" s="71">
        <v>0.98731501057082405</v>
      </c>
      <c r="AG359" s="71">
        <v>0.98776758409785903</v>
      </c>
      <c r="AH359" s="71">
        <v>0.99387710474524404</v>
      </c>
      <c r="AI359" s="73">
        <v>0.92</v>
      </c>
      <c r="AJ359" s="71">
        <v>0.96074270557029195</v>
      </c>
      <c r="AK359" s="71">
        <v>0.98160856437002497</v>
      </c>
      <c r="AL359" s="71">
        <v>0.98699763593380596</v>
      </c>
      <c r="AM359" s="71">
        <v>0.98698972099853199</v>
      </c>
      <c r="AN359" s="70">
        <v>0.99</v>
      </c>
      <c r="AO359" s="75">
        <v>1</v>
      </c>
      <c r="AP359" s="75">
        <v>1</v>
      </c>
      <c r="AQ359" s="75">
        <v>1</v>
      </c>
      <c r="AR359" s="75">
        <v>1</v>
      </c>
      <c r="AS359" s="95">
        <v>0.05</v>
      </c>
      <c r="AT359" s="79">
        <v>0.25</v>
      </c>
      <c r="AU359" s="79">
        <v>0</v>
      </c>
      <c r="AV359" s="79">
        <v>0.1</v>
      </c>
      <c r="AW359" s="79">
        <v>7.0707070707070704E-2</v>
      </c>
      <c r="AX359" s="56"/>
      <c r="AY359" s="54"/>
    </row>
    <row r="360" spans="1:51">
      <c r="A360" s="53"/>
      <c r="B360" s="56"/>
      <c r="C360" s="90" t="s">
        <v>370</v>
      </c>
      <c r="D360" s="230" t="s">
        <v>1757</v>
      </c>
      <c r="E360" s="68" t="s">
        <v>371</v>
      </c>
      <c r="F360" s="91" t="s">
        <v>381</v>
      </c>
      <c r="G360" s="91" t="s">
        <v>381</v>
      </c>
      <c r="H360" s="91" t="s">
        <v>381</v>
      </c>
      <c r="I360" s="91" t="s">
        <v>381</v>
      </c>
      <c r="J360" s="70">
        <v>0.9</v>
      </c>
      <c r="K360" s="71">
        <v>0.97674418604651203</v>
      </c>
      <c r="L360" s="71">
        <v>1</v>
      </c>
      <c r="M360" s="72">
        <v>0.95121951219512202</v>
      </c>
      <c r="N360" s="71">
        <v>0.98343685300206996</v>
      </c>
      <c r="O360" s="73">
        <v>0.9</v>
      </c>
      <c r="P360" s="71">
        <v>0.97852233676975897</v>
      </c>
      <c r="Q360" s="71">
        <v>0.954661114966458</v>
      </c>
      <c r="R360" s="71">
        <v>0.96838644410723296</v>
      </c>
      <c r="S360" s="71">
        <v>0.96938247257487997</v>
      </c>
      <c r="T360" s="73">
        <v>0.9</v>
      </c>
      <c r="U360" s="71">
        <v>0.90034364261168398</v>
      </c>
      <c r="V360" s="71">
        <v>0.80684709692343304</v>
      </c>
      <c r="W360" s="71">
        <v>0.79742033383915001</v>
      </c>
      <c r="X360" s="71">
        <v>0.84314063848144905</v>
      </c>
      <c r="Y360" s="73">
        <v>0.92</v>
      </c>
      <c r="Z360" s="73">
        <v>0.86114352392065296</v>
      </c>
      <c r="AA360" s="73">
        <v>0.87556053811659196</v>
      </c>
      <c r="AB360" s="73">
        <v>0.80741953082378604</v>
      </c>
      <c r="AC360" s="73">
        <v>0.866894197952218</v>
      </c>
      <c r="AD360" s="73">
        <v>0.92</v>
      </c>
      <c r="AE360" s="71">
        <v>0.99547218628719303</v>
      </c>
      <c r="AF360" s="71">
        <v>0.99634769905040199</v>
      </c>
      <c r="AG360" s="71">
        <v>0.99840820657941298</v>
      </c>
      <c r="AH360" s="71">
        <v>0.99725079395174698</v>
      </c>
      <c r="AI360" s="73">
        <v>0.92</v>
      </c>
      <c r="AJ360" s="71">
        <v>0.92040413997042902</v>
      </c>
      <c r="AK360" s="71">
        <v>0.94402913551849699</v>
      </c>
      <c r="AL360" s="71">
        <v>0.90081216519785701</v>
      </c>
      <c r="AM360" s="71">
        <v>0.93973340896199697</v>
      </c>
      <c r="AN360" s="70">
        <v>0.99</v>
      </c>
      <c r="AO360" s="75">
        <v>1</v>
      </c>
      <c r="AP360" s="75">
        <v>1</v>
      </c>
      <c r="AQ360" s="75">
        <v>1</v>
      </c>
      <c r="AR360" s="75">
        <v>1</v>
      </c>
      <c r="AS360" s="95">
        <v>0.05</v>
      </c>
      <c r="AT360" s="79">
        <v>0</v>
      </c>
      <c r="AU360" s="79">
        <v>2.1276595744680899E-2</v>
      </c>
      <c r="AV360" s="79">
        <v>7.4626865671641798E-3</v>
      </c>
      <c r="AW360" s="79">
        <v>6.6061106523534301E-3</v>
      </c>
      <c r="AX360" s="56"/>
      <c r="AY360" s="54"/>
    </row>
    <row r="361" spans="1:51">
      <c r="A361" s="53"/>
      <c r="B361" s="56"/>
      <c r="C361" s="90" t="s">
        <v>370</v>
      </c>
      <c r="D361" s="230" t="s">
        <v>1757</v>
      </c>
      <c r="E361" s="68" t="s">
        <v>371</v>
      </c>
      <c r="F361" s="91" t="s">
        <v>382</v>
      </c>
      <c r="G361" s="91" t="s">
        <v>382</v>
      </c>
      <c r="H361" s="91" t="s">
        <v>382</v>
      </c>
      <c r="I361" s="91" t="s">
        <v>382</v>
      </c>
      <c r="J361" s="70">
        <v>0.9</v>
      </c>
      <c r="K361" s="71">
        <v>0.8</v>
      </c>
      <c r="L361" s="71">
        <v>0.84905660377358505</v>
      </c>
      <c r="M361" s="72">
        <v>0.84</v>
      </c>
      <c r="N361" s="71">
        <v>0.87385740402193801</v>
      </c>
      <c r="O361" s="73">
        <v>0.9</v>
      </c>
      <c r="P361" s="71">
        <v>0.84034090909090897</v>
      </c>
      <c r="Q361" s="71">
        <v>0.84512214593645196</v>
      </c>
      <c r="R361" s="71">
        <v>0.876425217974514</v>
      </c>
      <c r="S361" s="71">
        <v>0.89412219486887301</v>
      </c>
      <c r="T361" s="73">
        <v>0.9</v>
      </c>
      <c r="U361" s="71">
        <v>0.77556818181818199</v>
      </c>
      <c r="V361" s="71">
        <v>0.63004949704614399</v>
      </c>
      <c r="W361" s="71">
        <v>0.63799463447350802</v>
      </c>
      <c r="X361" s="71">
        <v>0.72743179182519202</v>
      </c>
      <c r="Y361" s="73">
        <v>0.92</v>
      </c>
      <c r="Z361" s="73">
        <v>0.83767441860465097</v>
      </c>
      <c r="AA361" s="73">
        <v>0.91520000000000001</v>
      </c>
      <c r="AB361" s="73">
        <v>0.859375</v>
      </c>
      <c r="AC361" s="73">
        <v>0.87099167859225102</v>
      </c>
      <c r="AD361" s="73">
        <v>0.92</v>
      </c>
      <c r="AE361" s="71">
        <v>0.98765432098765404</v>
      </c>
      <c r="AF361" s="71">
        <v>0.96119402985074598</v>
      </c>
      <c r="AG361" s="71">
        <v>0.98680351906158403</v>
      </c>
      <c r="AH361" s="71">
        <v>0.98580246913580205</v>
      </c>
      <c r="AI361" s="73">
        <v>0.92</v>
      </c>
      <c r="AJ361" s="71">
        <v>0.91200846411567604</v>
      </c>
      <c r="AK361" s="71">
        <v>0.95993077742278998</v>
      </c>
      <c r="AL361" s="71">
        <v>0.939716312056738</v>
      </c>
      <c r="AM361" s="71">
        <v>0.94417168896075299</v>
      </c>
      <c r="AN361" s="70">
        <v>0.99</v>
      </c>
      <c r="AO361" s="75">
        <v>1</v>
      </c>
      <c r="AP361" s="75">
        <v>1</v>
      </c>
      <c r="AQ361" s="75">
        <v>1</v>
      </c>
      <c r="AR361" s="75">
        <v>1</v>
      </c>
      <c r="AS361" s="95">
        <v>0.05</v>
      </c>
      <c r="AT361" s="79">
        <v>0.133333333333333</v>
      </c>
      <c r="AU361" s="79">
        <v>0</v>
      </c>
      <c r="AV361" s="79">
        <v>7.1428571428571397E-2</v>
      </c>
      <c r="AW361" s="79">
        <v>4.9645390070922002E-2</v>
      </c>
      <c r="AX361" s="56"/>
      <c r="AY361" s="54"/>
    </row>
    <row r="362" spans="1:51">
      <c r="A362" s="53"/>
      <c r="B362" s="56"/>
      <c r="C362" s="90" t="s">
        <v>370</v>
      </c>
      <c r="D362" s="230" t="s">
        <v>1757</v>
      </c>
      <c r="E362" s="68" t="s">
        <v>371</v>
      </c>
      <c r="F362" s="91" t="s">
        <v>383</v>
      </c>
      <c r="G362" s="91" t="s">
        <v>383</v>
      </c>
      <c r="H362" s="91" t="s">
        <v>383</v>
      </c>
      <c r="I362" s="91" t="s">
        <v>383</v>
      </c>
      <c r="J362" s="70">
        <v>0.9</v>
      </c>
      <c r="K362" s="71">
        <v>0.95121951219512202</v>
      </c>
      <c r="L362" s="71">
        <v>1</v>
      </c>
      <c r="M362" s="72">
        <v>1</v>
      </c>
      <c r="N362" s="71">
        <v>0.98962655601659799</v>
      </c>
      <c r="O362" s="73">
        <v>0.9</v>
      </c>
      <c r="P362" s="71">
        <v>0</v>
      </c>
      <c r="Q362" s="71" t="s">
        <v>1710</v>
      </c>
      <c r="R362" s="71" t="s">
        <v>1710</v>
      </c>
      <c r="S362" s="71">
        <v>0.2</v>
      </c>
      <c r="T362" s="73">
        <v>0.9</v>
      </c>
      <c r="U362" s="71">
        <v>0</v>
      </c>
      <c r="V362" s="71" t="s">
        <v>1710</v>
      </c>
      <c r="W362" s="71" t="s">
        <v>1710</v>
      </c>
      <c r="X362" s="71">
        <v>0.2</v>
      </c>
      <c r="Y362" s="73">
        <v>0.92</v>
      </c>
      <c r="Z362" s="73">
        <v>0</v>
      </c>
      <c r="AA362" s="73" t="s">
        <v>1710</v>
      </c>
      <c r="AB362" s="73" t="s">
        <v>1710</v>
      </c>
      <c r="AC362" s="73">
        <v>0.875</v>
      </c>
      <c r="AD362" s="73">
        <v>0.92</v>
      </c>
      <c r="AE362" s="71">
        <v>0.99619047619047596</v>
      </c>
      <c r="AF362" s="71">
        <v>0.99455782312925201</v>
      </c>
      <c r="AG362" s="71">
        <v>0.96888888888888902</v>
      </c>
      <c r="AH362" s="71">
        <v>0.983719892952721</v>
      </c>
      <c r="AI362" s="73">
        <v>0.92</v>
      </c>
      <c r="AJ362" s="71">
        <v>0.96840399675938404</v>
      </c>
      <c r="AK362" s="71">
        <v>0.97489067569473797</v>
      </c>
      <c r="AL362" s="71">
        <v>0.97738396624472601</v>
      </c>
      <c r="AM362" s="71">
        <v>0.97984813554950101</v>
      </c>
      <c r="AN362" s="70">
        <v>0.99</v>
      </c>
      <c r="AO362" s="75">
        <v>1</v>
      </c>
      <c r="AP362" s="75">
        <v>1</v>
      </c>
      <c r="AQ362" s="75">
        <v>1</v>
      </c>
      <c r="AR362" s="75">
        <v>1</v>
      </c>
      <c r="AS362" s="95">
        <v>0.05</v>
      </c>
      <c r="AT362" s="79">
        <v>0</v>
      </c>
      <c r="AU362" s="79">
        <v>0</v>
      </c>
      <c r="AV362" s="79">
        <v>0.11111111111111099</v>
      </c>
      <c r="AW362" s="79">
        <v>6.5476190476190493E-2</v>
      </c>
      <c r="AX362" s="56"/>
      <c r="AY362" s="54"/>
    </row>
    <row r="363" spans="1:51">
      <c r="A363" s="53"/>
      <c r="B363" s="56"/>
      <c r="C363" s="90" t="s">
        <v>370</v>
      </c>
      <c r="D363" s="230" t="s">
        <v>1757</v>
      </c>
      <c r="E363" s="68" t="s">
        <v>371</v>
      </c>
      <c r="F363" s="91" t="s">
        <v>384</v>
      </c>
      <c r="G363" s="91" t="s">
        <v>384</v>
      </c>
      <c r="H363" s="91" t="s">
        <v>384</v>
      </c>
      <c r="I363" s="91" t="s">
        <v>384</v>
      </c>
      <c r="J363" s="70">
        <v>0.9</v>
      </c>
      <c r="K363" s="71">
        <v>0.91666666666666696</v>
      </c>
      <c r="L363" s="71">
        <v>0.96363636363636396</v>
      </c>
      <c r="M363" s="72">
        <v>0.93877551020408201</v>
      </c>
      <c r="N363" s="71">
        <v>0.93240901213171601</v>
      </c>
      <c r="O363" s="73">
        <v>0.9</v>
      </c>
      <c r="P363" s="71">
        <v>0.97784160853508395</v>
      </c>
      <c r="Q363" s="71">
        <v>0.997506799637353</v>
      </c>
      <c r="R363" s="71">
        <v>0.98074110190151098</v>
      </c>
      <c r="S363" s="71">
        <v>0.98538779479698502</v>
      </c>
      <c r="T363" s="73">
        <v>0.9</v>
      </c>
      <c r="U363" s="71">
        <v>0.84694296265900704</v>
      </c>
      <c r="V363" s="71">
        <v>0.78286491387126</v>
      </c>
      <c r="W363" s="71">
        <v>0.74914675767918104</v>
      </c>
      <c r="X363" s="71">
        <v>0.81135424264527101</v>
      </c>
      <c r="Y363" s="73">
        <v>0.92</v>
      </c>
      <c r="Z363" s="73">
        <v>0.90503875968992298</v>
      </c>
      <c r="AA363" s="73">
        <v>0.86696730552423895</v>
      </c>
      <c r="AB363" s="73">
        <v>0.84917472965281704</v>
      </c>
      <c r="AC363" s="73">
        <v>0.86931855233126798</v>
      </c>
      <c r="AD363" s="73">
        <v>0.92</v>
      </c>
      <c r="AE363" s="71">
        <v>0.99734748010610097</v>
      </c>
      <c r="AF363" s="71">
        <v>0.99875207986688896</v>
      </c>
      <c r="AG363" s="71">
        <v>0.99859550561797705</v>
      </c>
      <c r="AH363" s="71">
        <v>0.99763554382492003</v>
      </c>
      <c r="AI363" s="73">
        <v>0.92</v>
      </c>
      <c r="AJ363" s="71">
        <v>0.944834503510532</v>
      </c>
      <c r="AK363" s="71">
        <v>0.95904887714663101</v>
      </c>
      <c r="AL363" s="71">
        <v>0.92012288786482299</v>
      </c>
      <c r="AM363" s="71">
        <v>0.94195661797255403</v>
      </c>
      <c r="AN363" s="70">
        <v>0.99</v>
      </c>
      <c r="AO363" s="75">
        <v>1</v>
      </c>
      <c r="AP363" s="75">
        <v>1</v>
      </c>
      <c r="AQ363" s="75">
        <v>1</v>
      </c>
      <c r="AR363" s="75">
        <v>1</v>
      </c>
      <c r="AS363" s="95">
        <v>0.05</v>
      </c>
      <c r="AT363" s="79">
        <v>0</v>
      </c>
      <c r="AU363" s="79">
        <v>0.11111111111111099</v>
      </c>
      <c r="AV363" s="79">
        <v>0</v>
      </c>
      <c r="AW363" s="79">
        <v>5.9171597633136098E-2</v>
      </c>
      <c r="AX363" s="56"/>
      <c r="AY363" s="54"/>
    </row>
    <row r="364" spans="1:51">
      <c r="A364" s="53"/>
      <c r="B364" s="56"/>
      <c r="C364" s="90" t="s">
        <v>370</v>
      </c>
      <c r="D364" s="230" t="s">
        <v>1757</v>
      </c>
      <c r="E364" s="68" t="s">
        <v>371</v>
      </c>
      <c r="F364" s="91" t="s">
        <v>385</v>
      </c>
      <c r="G364" s="91" t="s">
        <v>385</v>
      </c>
      <c r="H364" s="91" t="s">
        <v>385</v>
      </c>
      <c r="I364" s="91" t="s">
        <v>385</v>
      </c>
      <c r="J364" s="70">
        <v>0.9</v>
      </c>
      <c r="K364" s="71">
        <v>0.77586206896551702</v>
      </c>
      <c r="L364" s="71">
        <v>0.76785714285714302</v>
      </c>
      <c r="M364" s="72">
        <v>0.72</v>
      </c>
      <c r="N364" s="71">
        <v>0.79905808477237095</v>
      </c>
      <c r="O364" s="73">
        <v>0.9</v>
      </c>
      <c r="P364" s="71">
        <v>0.93851132686084104</v>
      </c>
      <c r="Q364" s="71">
        <v>0.81081936096172103</v>
      </c>
      <c r="R364" s="71">
        <v>0.74019463285166598</v>
      </c>
      <c r="S364" s="71">
        <v>0.86554212959208499</v>
      </c>
      <c r="T364" s="73">
        <v>0.9</v>
      </c>
      <c r="U364" s="71">
        <v>0.77249190938511303</v>
      </c>
      <c r="V364" s="71">
        <v>0.68838975007908898</v>
      </c>
      <c r="W364" s="71">
        <v>0.61279858448835201</v>
      </c>
      <c r="X364" s="71">
        <v>0.71081015327224095</v>
      </c>
      <c r="Y364" s="73">
        <v>0.92</v>
      </c>
      <c r="Z364" s="73">
        <v>0.85298895386614704</v>
      </c>
      <c r="AA364" s="73">
        <v>0.88711879836140195</v>
      </c>
      <c r="AB364" s="73">
        <v>0.82520925652388</v>
      </c>
      <c r="AC364" s="73">
        <v>0.86502507011132801</v>
      </c>
      <c r="AD364" s="73">
        <v>0.92</v>
      </c>
      <c r="AE364" s="71">
        <v>0.98156389065479999</v>
      </c>
      <c r="AF364" s="71">
        <v>0.57589478223372104</v>
      </c>
      <c r="AG364" s="71">
        <v>0.98408984557791301</v>
      </c>
      <c r="AH364" s="71">
        <v>0.95072952663046495</v>
      </c>
      <c r="AI364" s="73">
        <v>0.92</v>
      </c>
      <c r="AJ364" s="71">
        <v>0.883723438679754</v>
      </c>
      <c r="AK364" s="71">
        <v>0.92208760484622598</v>
      </c>
      <c r="AL364" s="71">
        <v>0.85553772070626</v>
      </c>
      <c r="AM364" s="71">
        <v>0.90059167379526694</v>
      </c>
      <c r="AN364" s="70">
        <v>0.99</v>
      </c>
      <c r="AO364" s="75">
        <v>1</v>
      </c>
      <c r="AP364" s="75">
        <v>1</v>
      </c>
      <c r="AQ364" s="75">
        <v>1</v>
      </c>
      <c r="AR364" s="75">
        <v>1</v>
      </c>
      <c r="AS364" s="95">
        <v>0.05</v>
      </c>
      <c r="AT364" s="79">
        <v>4.2553191489361701E-2</v>
      </c>
      <c r="AU364" s="79">
        <v>0.13793103448275901</v>
      </c>
      <c r="AV364" s="79">
        <v>3.5714285714285698E-2</v>
      </c>
      <c r="AW364" s="79">
        <v>4.2521994134897399E-2</v>
      </c>
      <c r="AX364" s="56"/>
      <c r="AY364" s="54"/>
    </row>
    <row r="365" spans="1:51">
      <c r="A365" s="53"/>
      <c r="B365" s="56"/>
      <c r="C365" s="90" t="s">
        <v>370</v>
      </c>
      <c r="D365" s="230" t="s">
        <v>1757</v>
      </c>
      <c r="E365" s="68" t="s">
        <v>371</v>
      </c>
      <c r="F365" s="91" t="s">
        <v>386</v>
      </c>
      <c r="G365" s="91" t="s">
        <v>386</v>
      </c>
      <c r="H365" s="91" t="s">
        <v>386</v>
      </c>
      <c r="I365" s="91" t="s">
        <v>386</v>
      </c>
      <c r="J365" s="70">
        <v>0.9</v>
      </c>
      <c r="K365" s="71">
        <v>0.65384615384615397</v>
      </c>
      <c r="L365" s="71">
        <v>0.73333333333333295</v>
      </c>
      <c r="M365" s="72">
        <v>0.69767441860465096</v>
      </c>
      <c r="N365" s="71">
        <v>0.71348314606741603</v>
      </c>
      <c r="O365" s="73">
        <v>0.9</v>
      </c>
      <c r="P365" s="71">
        <v>0.83117870722433496</v>
      </c>
      <c r="Q365" s="71">
        <v>0.937291280148423</v>
      </c>
      <c r="R365" s="71">
        <v>0.95492957746478901</v>
      </c>
      <c r="S365" s="71">
        <v>0.76357978121463599</v>
      </c>
      <c r="T365" s="73">
        <v>0.9</v>
      </c>
      <c r="U365" s="71">
        <v>0.83307984790874501</v>
      </c>
      <c r="V365" s="71">
        <v>0.720222634508349</v>
      </c>
      <c r="W365" s="71">
        <v>0.73767605633802802</v>
      </c>
      <c r="X365" s="71">
        <v>0.77062114925185499</v>
      </c>
      <c r="Y365" s="73">
        <v>0.92</v>
      </c>
      <c r="Z365" s="73">
        <v>0.93169247787610598</v>
      </c>
      <c r="AA365" s="73">
        <v>0.95596681557115504</v>
      </c>
      <c r="AB365" s="73">
        <v>0.91780406430088002</v>
      </c>
      <c r="AC365" s="73">
        <v>0.93683169540762701</v>
      </c>
      <c r="AD365" s="73">
        <v>0.92</v>
      </c>
      <c r="AE365" s="71">
        <v>0.99268680445151003</v>
      </c>
      <c r="AF365" s="71">
        <v>0.98796930097490099</v>
      </c>
      <c r="AG365" s="71">
        <v>0.99492385786801996</v>
      </c>
      <c r="AH365" s="71">
        <v>0.94880185791196003</v>
      </c>
      <c r="AI365" s="73">
        <v>0.92</v>
      </c>
      <c r="AJ365" s="71">
        <v>0.94648562300319505</v>
      </c>
      <c r="AK365" s="71">
        <v>0.96998827667057397</v>
      </c>
      <c r="AL365" s="71">
        <v>0.939768842585056</v>
      </c>
      <c r="AM365" s="71">
        <v>0.95776511613425497</v>
      </c>
      <c r="AN365" s="70">
        <v>0.99</v>
      </c>
      <c r="AO365" s="75">
        <v>1</v>
      </c>
      <c r="AP365" s="75">
        <v>1</v>
      </c>
      <c r="AQ365" s="75">
        <v>1</v>
      </c>
      <c r="AR365" s="75">
        <v>0.99748743718593003</v>
      </c>
      <c r="AS365" s="95">
        <v>0.05</v>
      </c>
      <c r="AT365" s="79">
        <v>5.7142857142857099E-2</v>
      </c>
      <c r="AU365" s="79">
        <v>0.125</v>
      </c>
      <c r="AV365" s="79">
        <v>0.17948717948717899</v>
      </c>
      <c r="AW365" s="79">
        <v>6.6831683168316794E-2</v>
      </c>
      <c r="AX365" s="56"/>
      <c r="AY365" s="54"/>
    </row>
    <row r="366" spans="1:51">
      <c r="A366" s="53"/>
      <c r="B366" s="56"/>
      <c r="C366" s="90" t="s">
        <v>370</v>
      </c>
      <c r="D366" s="230" t="s">
        <v>1757</v>
      </c>
      <c r="E366" s="68" t="s">
        <v>371</v>
      </c>
      <c r="F366" s="91" t="s">
        <v>387</v>
      </c>
      <c r="G366" s="91" t="s">
        <v>387</v>
      </c>
      <c r="H366" s="91" t="s">
        <v>387</v>
      </c>
      <c r="I366" s="91" t="s">
        <v>387</v>
      </c>
      <c r="J366" s="70">
        <v>0.9</v>
      </c>
      <c r="K366" s="71">
        <v>0.68421052631578905</v>
      </c>
      <c r="L366" s="71">
        <v>0.55555555555555602</v>
      </c>
      <c r="M366" s="72">
        <v>0.55172413793103403</v>
      </c>
      <c r="N366" s="71">
        <v>0.61989100817438703</v>
      </c>
      <c r="O366" s="73">
        <v>0.9</v>
      </c>
      <c r="P366" s="71">
        <v>0.89663143989432004</v>
      </c>
      <c r="Q366" s="71">
        <v>0.76067199118700102</v>
      </c>
      <c r="R366" s="71">
        <v>0.75143717492471895</v>
      </c>
      <c r="S366" s="71">
        <v>0.818525175171264</v>
      </c>
      <c r="T366" s="73">
        <v>0.9</v>
      </c>
      <c r="U366" s="71">
        <v>0.74636723910171698</v>
      </c>
      <c r="V366" s="71">
        <v>0.63646378408152005</v>
      </c>
      <c r="W366" s="71">
        <v>0.67998905009581201</v>
      </c>
      <c r="X366" s="71">
        <v>0.71232841030449801</v>
      </c>
      <c r="Y366" s="73">
        <v>0.92</v>
      </c>
      <c r="Z366" s="73">
        <v>0.94086120864904799</v>
      </c>
      <c r="AA366" s="73">
        <v>0.90428321678321699</v>
      </c>
      <c r="AB366" s="73">
        <v>0.80877443967572704</v>
      </c>
      <c r="AC366" s="73">
        <v>0.904464585431353</v>
      </c>
      <c r="AD366" s="73">
        <v>0.92</v>
      </c>
      <c r="AE366" s="71">
        <v>0.99156372401325699</v>
      </c>
      <c r="AF366" s="71">
        <v>0.89905477460009697</v>
      </c>
      <c r="AG366" s="71">
        <v>0.98371844420689103</v>
      </c>
      <c r="AH366" s="71">
        <v>0.979642793987622</v>
      </c>
      <c r="AI366" s="73">
        <v>0.92</v>
      </c>
      <c r="AJ366" s="71">
        <v>0.94768611670020098</v>
      </c>
      <c r="AK366" s="71">
        <v>0.93817567567567595</v>
      </c>
      <c r="AL366" s="71">
        <v>0.84828025477707003</v>
      </c>
      <c r="AM366" s="71">
        <v>0.92667813699421298</v>
      </c>
      <c r="AN366" s="70">
        <v>0.99</v>
      </c>
      <c r="AO366" s="75">
        <v>1</v>
      </c>
      <c r="AP366" s="75">
        <v>1</v>
      </c>
      <c r="AQ366" s="75">
        <v>1</v>
      </c>
      <c r="AR366" s="75">
        <v>1</v>
      </c>
      <c r="AS366" s="95">
        <v>0.05</v>
      </c>
      <c r="AT366" s="79">
        <v>0.06</v>
      </c>
      <c r="AU366" s="79">
        <v>6.8965517241379296E-2</v>
      </c>
      <c r="AV366" s="79">
        <v>4.5454545454545497E-2</v>
      </c>
      <c r="AW366" s="79">
        <v>4.8109965635738799E-2</v>
      </c>
      <c r="AX366" s="56"/>
      <c r="AY366" s="54"/>
    </row>
    <row r="367" spans="1:51">
      <c r="A367" s="53"/>
      <c r="B367" s="56"/>
      <c r="C367" s="90" t="s">
        <v>370</v>
      </c>
      <c r="D367" s="230" t="s">
        <v>1757</v>
      </c>
      <c r="E367" s="68" t="s">
        <v>371</v>
      </c>
      <c r="F367" s="91" t="s">
        <v>388</v>
      </c>
      <c r="G367" s="91" t="s">
        <v>388</v>
      </c>
      <c r="H367" s="91" t="s">
        <v>388</v>
      </c>
      <c r="I367" s="91" t="s">
        <v>388</v>
      </c>
      <c r="J367" s="70">
        <v>0.9</v>
      </c>
      <c r="K367" s="71">
        <v>0.86206896551724099</v>
      </c>
      <c r="L367" s="71">
        <v>0.92156862745098</v>
      </c>
      <c r="M367" s="72">
        <v>0.92</v>
      </c>
      <c r="N367" s="71">
        <v>0.893719806763285</v>
      </c>
      <c r="O367" s="73">
        <v>0.9</v>
      </c>
      <c r="P367" s="71">
        <v>0.98027967013266404</v>
      </c>
      <c r="Q367" s="71">
        <v>0.91542461005199305</v>
      </c>
      <c r="R367" s="71">
        <v>0.925844548201044</v>
      </c>
      <c r="S367" s="71">
        <v>0.95661878326561001</v>
      </c>
      <c r="T367" s="73">
        <v>0.9</v>
      </c>
      <c r="U367" s="71">
        <v>0.85406955898171399</v>
      </c>
      <c r="V367" s="71">
        <v>0.75320623916811102</v>
      </c>
      <c r="W367" s="71">
        <v>0.70502609173303998</v>
      </c>
      <c r="X367" s="71">
        <v>0.79557030847593402</v>
      </c>
      <c r="Y367" s="73">
        <v>0.92</v>
      </c>
      <c r="Z367" s="73">
        <v>0.78989560029828498</v>
      </c>
      <c r="AA367" s="73">
        <v>0.73284671532846701</v>
      </c>
      <c r="AB367" s="73">
        <v>0.70046179680940401</v>
      </c>
      <c r="AC367" s="73">
        <v>0.75138076340874704</v>
      </c>
      <c r="AD367" s="73">
        <v>0.92</v>
      </c>
      <c r="AE367" s="71">
        <v>0.87730534020320705</v>
      </c>
      <c r="AF367" s="71">
        <v>0.84220779220779196</v>
      </c>
      <c r="AG367" s="71">
        <v>0.99627268268759195</v>
      </c>
      <c r="AH367" s="71">
        <v>0.95835452156962497</v>
      </c>
      <c r="AI367" s="73">
        <v>0.92</v>
      </c>
      <c r="AJ367" s="71">
        <v>0.83814887365328095</v>
      </c>
      <c r="AK367" s="71">
        <v>0.84901841732442795</v>
      </c>
      <c r="AL367" s="71">
        <v>0.79740815598620896</v>
      </c>
      <c r="AM367" s="71">
        <v>0.82750810604615699</v>
      </c>
      <c r="AN367" s="70">
        <v>0.99</v>
      </c>
      <c r="AO367" s="75">
        <v>1</v>
      </c>
      <c r="AP367" s="75">
        <v>1</v>
      </c>
      <c r="AQ367" s="75">
        <v>1</v>
      </c>
      <c r="AR367" s="75">
        <v>1</v>
      </c>
      <c r="AS367" s="95">
        <v>0.05</v>
      </c>
      <c r="AT367" s="79">
        <v>0.102564102564103</v>
      </c>
      <c r="AU367" s="79">
        <v>0.16129032258064499</v>
      </c>
      <c r="AV367" s="79">
        <v>0</v>
      </c>
      <c r="AW367" s="79">
        <v>7.3239436619718296E-2</v>
      </c>
      <c r="AX367" s="56"/>
      <c r="AY367" s="54"/>
    </row>
    <row r="368" spans="1:51">
      <c r="A368" s="53"/>
      <c r="B368" s="56"/>
      <c r="C368" s="90" t="s">
        <v>370</v>
      </c>
      <c r="D368" s="230" t="s">
        <v>1757</v>
      </c>
      <c r="E368" s="68" t="s">
        <v>371</v>
      </c>
      <c r="F368" s="91" t="s">
        <v>389</v>
      </c>
      <c r="G368" s="91" t="s">
        <v>389</v>
      </c>
      <c r="H368" s="91" t="s">
        <v>389</v>
      </c>
      <c r="I368" s="91" t="s">
        <v>389</v>
      </c>
      <c r="J368" s="70">
        <v>0.9</v>
      </c>
      <c r="K368" s="71">
        <v>0.875</v>
      </c>
      <c r="L368" s="71">
        <v>0.83673469387755095</v>
      </c>
      <c r="M368" s="72">
        <v>0.64</v>
      </c>
      <c r="N368" s="71">
        <v>0.81587837837837796</v>
      </c>
      <c r="O368" s="73">
        <v>0.9</v>
      </c>
      <c r="P368" s="71">
        <v>0.96637525218560905</v>
      </c>
      <c r="Q368" s="71">
        <v>0.97999384425977198</v>
      </c>
      <c r="R368" s="71">
        <v>0.80399385560675896</v>
      </c>
      <c r="S368" s="71">
        <v>0.920238355565274</v>
      </c>
      <c r="T368" s="73">
        <v>0.9</v>
      </c>
      <c r="U368" s="71">
        <v>0.87592468056489603</v>
      </c>
      <c r="V368" s="71">
        <v>0.77223761157279203</v>
      </c>
      <c r="W368" s="71">
        <v>0.76221198156682002</v>
      </c>
      <c r="X368" s="71">
        <v>0.81185764268532701</v>
      </c>
      <c r="Y368" s="73">
        <v>0.92</v>
      </c>
      <c r="Z368" s="73">
        <v>0.94425756847669395</v>
      </c>
      <c r="AA368" s="73">
        <v>0.89482961222091695</v>
      </c>
      <c r="AB368" s="73">
        <v>0.91425509110396597</v>
      </c>
      <c r="AC368" s="73">
        <v>0.93341185493590495</v>
      </c>
      <c r="AD368" s="73">
        <v>0.92</v>
      </c>
      <c r="AE368" s="71">
        <v>0.99732461355529101</v>
      </c>
      <c r="AF368" s="71">
        <v>0.97494053686714199</v>
      </c>
      <c r="AG368" s="71">
        <v>0.96111334405144699</v>
      </c>
      <c r="AH368" s="71">
        <v>0.98518071986537104</v>
      </c>
      <c r="AI368" s="73">
        <v>0.92</v>
      </c>
      <c r="AJ368" s="71">
        <v>0.95587617313349205</v>
      </c>
      <c r="AK368" s="71">
        <v>0.94346860488592799</v>
      </c>
      <c r="AL368" s="71">
        <v>0.93963667572593301</v>
      </c>
      <c r="AM368" s="71">
        <v>0.95512916945884196</v>
      </c>
      <c r="AN368" s="70">
        <v>0.99</v>
      </c>
      <c r="AO368" s="75">
        <v>1</v>
      </c>
      <c r="AP368" s="75">
        <v>1</v>
      </c>
      <c r="AQ368" s="75">
        <v>1</v>
      </c>
      <c r="AR368" s="75">
        <v>1</v>
      </c>
      <c r="AS368" s="95">
        <v>0.05</v>
      </c>
      <c r="AT368" s="79">
        <v>2.1276595744680899E-2</v>
      </c>
      <c r="AU368" s="79">
        <v>2.7027027027027001E-2</v>
      </c>
      <c r="AV368" s="79">
        <v>0</v>
      </c>
      <c r="AW368" s="79">
        <v>2.7816411682892901E-2</v>
      </c>
      <c r="AX368" s="56"/>
      <c r="AY368" s="54"/>
    </row>
    <row r="369" spans="1:51">
      <c r="A369" s="53"/>
      <c r="B369" s="56"/>
      <c r="C369" s="90" t="s">
        <v>370</v>
      </c>
      <c r="D369" s="230" t="s">
        <v>1757</v>
      </c>
      <c r="E369" s="68" t="s">
        <v>371</v>
      </c>
      <c r="F369" s="91" t="s">
        <v>390</v>
      </c>
      <c r="G369" s="91" t="s">
        <v>390</v>
      </c>
      <c r="H369" s="91" t="s">
        <v>390</v>
      </c>
      <c r="I369" s="91" t="s">
        <v>390</v>
      </c>
      <c r="J369" s="70">
        <v>0.9</v>
      </c>
      <c r="K369" s="71">
        <v>0.71186440677966101</v>
      </c>
      <c r="L369" s="71">
        <v>0.85</v>
      </c>
      <c r="M369" s="72">
        <v>0.660377358490566</v>
      </c>
      <c r="N369" s="71">
        <v>0.73899848254931699</v>
      </c>
      <c r="O369" s="73">
        <v>0.9</v>
      </c>
      <c r="P369" s="71">
        <v>0.76695842450765905</v>
      </c>
      <c r="Q369" s="71">
        <v>0.54624177346726699</v>
      </c>
      <c r="R369" s="71">
        <v>0.71201019432940404</v>
      </c>
      <c r="S369" s="71">
        <v>0.68823424706301195</v>
      </c>
      <c r="T369" s="73">
        <v>0.9</v>
      </c>
      <c r="U369" s="71">
        <v>0.64514952589350805</v>
      </c>
      <c r="V369" s="71">
        <v>0.56356078974714197</v>
      </c>
      <c r="W369" s="71">
        <v>0.53074227460974799</v>
      </c>
      <c r="X369" s="71">
        <v>0.62459950160199396</v>
      </c>
      <c r="Y369" s="73">
        <v>0.92</v>
      </c>
      <c r="Z369" s="73">
        <v>0.77426015141087401</v>
      </c>
      <c r="AA369" s="73">
        <v>0.79695697796432297</v>
      </c>
      <c r="AB369" s="73">
        <v>0.75910290237467004</v>
      </c>
      <c r="AC369" s="73">
        <v>0.82430653852839697</v>
      </c>
      <c r="AD369" s="73">
        <v>0.92</v>
      </c>
      <c r="AE369" s="71">
        <v>0.98357851522408501</v>
      </c>
      <c r="AF369" s="71">
        <v>7.7302631578947401E-2</v>
      </c>
      <c r="AG369" s="71">
        <v>0.99271667880553505</v>
      </c>
      <c r="AH369" s="71">
        <v>0.96028315946348697</v>
      </c>
      <c r="AI369" s="73">
        <v>0.92</v>
      </c>
      <c r="AJ369" s="71">
        <v>0.81050260453329603</v>
      </c>
      <c r="AK369" s="71">
        <v>0.85457959524306304</v>
      </c>
      <c r="AL369" s="71">
        <v>0.79945173856586305</v>
      </c>
      <c r="AM369" s="71">
        <v>0.86120756042530799</v>
      </c>
      <c r="AN369" s="70">
        <v>0.99</v>
      </c>
      <c r="AO369" s="75">
        <v>1</v>
      </c>
      <c r="AP369" s="75">
        <v>1</v>
      </c>
      <c r="AQ369" s="75">
        <v>1</v>
      </c>
      <c r="AR369" s="75">
        <v>1</v>
      </c>
      <c r="AS369" s="95">
        <v>0.05</v>
      </c>
      <c r="AT369" s="79">
        <v>7.1428571428571397E-2</v>
      </c>
      <c r="AU369" s="79">
        <v>4.4444444444444398E-2</v>
      </c>
      <c r="AV369" s="79">
        <v>9.6153846153846201E-2</v>
      </c>
      <c r="AW369" s="79">
        <v>4.2158516020236098E-2</v>
      </c>
      <c r="AX369" s="56"/>
      <c r="AY369" s="54"/>
    </row>
    <row r="370" spans="1:51">
      <c r="A370" s="53"/>
      <c r="B370" s="56"/>
      <c r="C370" s="90" t="s">
        <v>370</v>
      </c>
      <c r="D370" s="230" t="s">
        <v>1757</v>
      </c>
      <c r="E370" s="68" t="s">
        <v>371</v>
      </c>
      <c r="F370" s="91" t="s">
        <v>391</v>
      </c>
      <c r="G370" s="91" t="s">
        <v>391</v>
      </c>
      <c r="H370" s="91" t="s">
        <v>391</v>
      </c>
      <c r="I370" s="91" t="s">
        <v>391</v>
      </c>
      <c r="J370" s="70">
        <v>0.9</v>
      </c>
      <c r="K370" s="71">
        <v>0.76543209876543195</v>
      </c>
      <c r="L370" s="71">
        <v>0.82608695652173902</v>
      </c>
      <c r="M370" s="72">
        <v>0.78260869565217395</v>
      </c>
      <c r="N370" s="71">
        <v>0.79374275782155301</v>
      </c>
      <c r="O370" s="73">
        <v>0.9</v>
      </c>
      <c r="P370" s="71">
        <v>0.92270628387873899</v>
      </c>
      <c r="Q370" s="71">
        <v>0.85163887291546903</v>
      </c>
      <c r="R370" s="71">
        <v>0.90089722675367001</v>
      </c>
      <c r="S370" s="71">
        <v>0.92479822584163496</v>
      </c>
      <c r="T370" s="73">
        <v>0.9</v>
      </c>
      <c r="U370" s="71">
        <v>0.86287893997189302</v>
      </c>
      <c r="V370" s="71">
        <v>0.79643473260494502</v>
      </c>
      <c r="W370" s="71">
        <v>0.82830342577487803</v>
      </c>
      <c r="X370" s="71">
        <v>0.854413582491093</v>
      </c>
      <c r="Y370" s="73">
        <v>0.92</v>
      </c>
      <c r="Z370" s="73">
        <v>0.89966555183946495</v>
      </c>
      <c r="AA370" s="73">
        <v>0.93231810490693701</v>
      </c>
      <c r="AB370" s="73">
        <v>0.87647710487444597</v>
      </c>
      <c r="AC370" s="73">
        <v>0.93941646179940197</v>
      </c>
      <c r="AD370" s="73">
        <v>0.92</v>
      </c>
      <c r="AE370" s="71">
        <v>0.98867560528600396</v>
      </c>
      <c r="AF370" s="71">
        <v>0.98707374861290198</v>
      </c>
      <c r="AG370" s="71">
        <v>0.99862275593785499</v>
      </c>
      <c r="AH370" s="71">
        <v>0.99161451001624301</v>
      </c>
      <c r="AI370" s="73">
        <v>0.92</v>
      </c>
      <c r="AJ370" s="71">
        <v>0.926744805540757</v>
      </c>
      <c r="AK370" s="71">
        <v>0.94508317025440303</v>
      </c>
      <c r="AL370" s="71">
        <v>0.91711048707272202</v>
      </c>
      <c r="AM370" s="71">
        <v>0.95823180372388905</v>
      </c>
      <c r="AN370" s="70">
        <v>0.99</v>
      </c>
      <c r="AO370" s="75">
        <v>1</v>
      </c>
      <c r="AP370" s="75">
        <v>1</v>
      </c>
      <c r="AQ370" s="75">
        <v>1</v>
      </c>
      <c r="AR370" s="75">
        <v>1</v>
      </c>
      <c r="AS370" s="95">
        <v>0.05</v>
      </c>
      <c r="AT370" s="79">
        <v>9.7560975609756101E-2</v>
      </c>
      <c r="AU370" s="79">
        <v>0.134615384615385</v>
      </c>
      <c r="AV370" s="79">
        <v>1.35135135135135E-2</v>
      </c>
      <c r="AW370" s="79">
        <v>6.3553826199740607E-2</v>
      </c>
      <c r="AX370" s="56"/>
      <c r="AY370" s="54"/>
    </row>
    <row r="371" spans="1:51">
      <c r="A371" s="53"/>
      <c r="B371" s="56"/>
      <c r="C371" s="90" t="s">
        <v>370</v>
      </c>
      <c r="D371" s="230" t="s">
        <v>1757</v>
      </c>
      <c r="E371" s="68" t="s">
        <v>371</v>
      </c>
      <c r="F371" s="91" t="s">
        <v>392</v>
      </c>
      <c r="G371" s="91" t="s">
        <v>392</v>
      </c>
      <c r="H371" s="91" t="s">
        <v>392</v>
      </c>
      <c r="I371" s="91" t="s">
        <v>392</v>
      </c>
      <c r="J371" s="70">
        <v>0.9</v>
      </c>
      <c r="K371" s="71">
        <v>0.91304347826086996</v>
      </c>
      <c r="L371" s="71">
        <v>0.94339622641509402</v>
      </c>
      <c r="M371" s="72">
        <v>0.93877551020408201</v>
      </c>
      <c r="N371" s="71">
        <v>0.92127303182579601</v>
      </c>
      <c r="O371" s="73">
        <v>0.9</v>
      </c>
      <c r="P371" s="71">
        <v>0.91926803013993497</v>
      </c>
      <c r="Q371" s="71">
        <v>0.92655991165102203</v>
      </c>
      <c r="R371" s="71">
        <v>0.94962686567164201</v>
      </c>
      <c r="S371" s="71">
        <v>0.93306153930912905</v>
      </c>
      <c r="T371" s="73">
        <v>0.9</v>
      </c>
      <c r="U371" s="71">
        <v>0.85791173304628598</v>
      </c>
      <c r="V371" s="71">
        <v>0.84870237437879603</v>
      </c>
      <c r="W371" s="71">
        <v>0.86913646055437099</v>
      </c>
      <c r="X371" s="71">
        <v>0.87788551594953401</v>
      </c>
      <c r="Y371" s="73">
        <v>0.92</v>
      </c>
      <c r="Z371" s="73">
        <v>0.93010456796917995</v>
      </c>
      <c r="AA371" s="73">
        <v>0.91116974494283198</v>
      </c>
      <c r="AB371" s="73">
        <v>0.90270867882808203</v>
      </c>
      <c r="AC371" s="73">
        <v>0.92622904871349299</v>
      </c>
      <c r="AD371" s="73">
        <v>0.92</v>
      </c>
      <c r="AE371" s="71">
        <v>0.99706744868035202</v>
      </c>
      <c r="AF371" s="71">
        <v>0.987714987714988</v>
      </c>
      <c r="AG371" s="71">
        <v>0.97333333333333305</v>
      </c>
      <c r="AH371" s="71">
        <v>0.98517940717628705</v>
      </c>
      <c r="AI371" s="73">
        <v>0.92</v>
      </c>
      <c r="AJ371" s="71">
        <v>0.94341675734494002</v>
      </c>
      <c r="AK371" s="71">
        <v>0.95</v>
      </c>
      <c r="AL371" s="71">
        <v>0.94857040100701295</v>
      </c>
      <c r="AM371" s="71">
        <v>0.95865189289011998</v>
      </c>
      <c r="AN371" s="70">
        <v>0.99</v>
      </c>
      <c r="AO371" s="75">
        <v>1</v>
      </c>
      <c r="AP371" s="75">
        <v>1</v>
      </c>
      <c r="AQ371" s="75">
        <v>1</v>
      </c>
      <c r="AR371" s="75">
        <v>1</v>
      </c>
      <c r="AS371" s="95">
        <v>0.05</v>
      </c>
      <c r="AT371" s="79">
        <v>0</v>
      </c>
      <c r="AU371" s="79">
        <v>0</v>
      </c>
      <c r="AV371" s="79">
        <v>0.23529411764705899</v>
      </c>
      <c r="AW371" s="79">
        <v>8.8888888888888906E-2</v>
      </c>
      <c r="AX371" s="56"/>
      <c r="AY371" s="54"/>
    </row>
    <row r="372" spans="1:51">
      <c r="A372" s="53"/>
      <c r="B372" s="56"/>
      <c r="C372" s="90" t="s">
        <v>370</v>
      </c>
      <c r="D372" s="230" t="s">
        <v>1757</v>
      </c>
      <c r="E372" s="68" t="s">
        <v>371</v>
      </c>
      <c r="F372" s="91" t="s">
        <v>393</v>
      </c>
      <c r="G372" s="91" t="s">
        <v>393</v>
      </c>
      <c r="H372" s="91" t="s">
        <v>393</v>
      </c>
      <c r="I372" s="91" t="s">
        <v>393</v>
      </c>
      <c r="J372" s="70">
        <v>0.9</v>
      </c>
      <c r="K372" s="71">
        <v>0.74390243902439002</v>
      </c>
      <c r="L372" s="71">
        <v>0.72499999999999998</v>
      </c>
      <c r="M372" s="72">
        <v>0.76712328767123295</v>
      </c>
      <c r="N372" s="71">
        <v>0.80199115044247804</v>
      </c>
      <c r="O372" s="73">
        <v>0.9</v>
      </c>
      <c r="P372" s="71">
        <v>0.88001205908953894</v>
      </c>
      <c r="Q372" s="71">
        <v>0.816455696202532</v>
      </c>
      <c r="R372" s="71">
        <v>0.85337752525252497</v>
      </c>
      <c r="S372" s="71">
        <v>0.87428589924098998</v>
      </c>
      <c r="T372" s="73">
        <v>0.9</v>
      </c>
      <c r="U372" s="71">
        <v>0.41061199879409099</v>
      </c>
      <c r="V372" s="71">
        <v>0.227848101265823</v>
      </c>
      <c r="W372" s="71">
        <v>0.27193813131313099</v>
      </c>
      <c r="X372" s="71">
        <v>0.32409250538104301</v>
      </c>
      <c r="Y372" s="73">
        <v>0.92</v>
      </c>
      <c r="Z372" s="73">
        <v>0.48152295632698799</v>
      </c>
      <c r="AA372" s="73">
        <v>0.26639621365787702</v>
      </c>
      <c r="AB372" s="73">
        <v>0.273732119635891</v>
      </c>
      <c r="AC372" s="73">
        <v>0.35054158252248901</v>
      </c>
      <c r="AD372" s="73">
        <v>0.92</v>
      </c>
      <c r="AE372" s="71">
        <v>0.99862700228833001</v>
      </c>
      <c r="AF372" s="71">
        <v>0.99470899470899499</v>
      </c>
      <c r="AG372" s="71">
        <v>0.91684210526315801</v>
      </c>
      <c r="AH372" s="71">
        <v>0.96176137970031095</v>
      </c>
      <c r="AI372" s="73">
        <v>0.92</v>
      </c>
      <c r="AJ372" s="71">
        <v>0.64854951650550197</v>
      </c>
      <c r="AK372" s="71">
        <v>0.659088116013273</v>
      </c>
      <c r="AL372" s="71">
        <v>0.57947301317467104</v>
      </c>
      <c r="AM372" s="71">
        <v>0.67597062852266898</v>
      </c>
      <c r="AN372" s="70">
        <v>0.99</v>
      </c>
      <c r="AO372" s="75">
        <v>1</v>
      </c>
      <c r="AP372" s="75">
        <v>1</v>
      </c>
      <c r="AQ372" s="75">
        <v>1</v>
      </c>
      <c r="AR372" s="75">
        <v>1</v>
      </c>
      <c r="AS372" s="95">
        <v>0.05</v>
      </c>
      <c r="AT372" s="79">
        <v>0.135135135135135</v>
      </c>
      <c r="AU372" s="79">
        <v>0.125</v>
      </c>
      <c r="AV372" s="79">
        <v>0.162162162162162</v>
      </c>
      <c r="AW372" s="79">
        <v>0.101990049751244</v>
      </c>
      <c r="AX372" s="56"/>
      <c r="AY372" s="54"/>
    </row>
    <row r="373" spans="1:51">
      <c r="A373" s="53"/>
      <c r="B373" s="56"/>
      <c r="C373" s="90" t="s">
        <v>370</v>
      </c>
      <c r="D373" s="230" t="s">
        <v>1757</v>
      </c>
      <c r="E373" s="68" t="s">
        <v>371</v>
      </c>
      <c r="F373" s="91" t="s">
        <v>394</v>
      </c>
      <c r="G373" s="91" t="s">
        <v>394</v>
      </c>
      <c r="H373" s="91" t="s">
        <v>394</v>
      </c>
      <c r="I373" s="91" t="s">
        <v>394</v>
      </c>
      <c r="J373" s="70">
        <v>0.9</v>
      </c>
      <c r="K373" s="71">
        <v>0.74074074074074103</v>
      </c>
      <c r="L373" s="71">
        <v>0.61290322580645196</v>
      </c>
      <c r="M373" s="72">
        <v>0.70967741935483897</v>
      </c>
      <c r="N373" s="71">
        <v>0.692098092643052</v>
      </c>
      <c r="O373" s="73">
        <v>0.9</v>
      </c>
      <c r="P373" s="71">
        <v>0.90769230769230802</v>
      </c>
      <c r="Q373" s="71">
        <v>0.63974692966133195</v>
      </c>
      <c r="R373" s="71">
        <v>0.55007587253414303</v>
      </c>
      <c r="S373" s="71">
        <v>0.70823654073440101</v>
      </c>
      <c r="T373" s="73">
        <v>0.9</v>
      </c>
      <c r="U373" s="71">
        <v>0.441471571906354</v>
      </c>
      <c r="V373" s="71">
        <v>0.43133606252326001</v>
      </c>
      <c r="W373" s="71">
        <v>0.58990895295902901</v>
      </c>
      <c r="X373" s="71">
        <v>0.52573664262134701</v>
      </c>
      <c r="Y373" s="73">
        <v>0.92</v>
      </c>
      <c r="Z373" s="73">
        <v>0.50758341759352898</v>
      </c>
      <c r="AA373" s="73">
        <v>0.320175438596491</v>
      </c>
      <c r="AB373" s="73">
        <v>0.36611489776046702</v>
      </c>
      <c r="AC373" s="73">
        <v>0.50649679379007795</v>
      </c>
      <c r="AD373" s="73">
        <v>0.92</v>
      </c>
      <c r="AE373" s="71">
        <v>0.95652173913043503</v>
      </c>
      <c r="AF373" s="71">
        <v>0.99354838709677396</v>
      </c>
      <c r="AG373" s="71">
        <v>0.95161290322580605</v>
      </c>
      <c r="AH373" s="71">
        <v>0.95829713292788898</v>
      </c>
      <c r="AI373" s="73">
        <v>0.92</v>
      </c>
      <c r="AJ373" s="71">
        <v>0.60579243765084501</v>
      </c>
      <c r="AK373" s="71">
        <v>0.64567430025445305</v>
      </c>
      <c r="AL373" s="71">
        <v>0.680676855895197</v>
      </c>
      <c r="AM373" s="71">
        <v>0.72360649432707902</v>
      </c>
      <c r="AN373" s="70">
        <v>0.99</v>
      </c>
      <c r="AO373" s="75">
        <v>1</v>
      </c>
      <c r="AP373" s="75">
        <v>1</v>
      </c>
      <c r="AQ373" s="75">
        <v>1</v>
      </c>
      <c r="AR373" s="75">
        <v>1</v>
      </c>
      <c r="AS373" s="95">
        <v>0.05</v>
      </c>
      <c r="AT373" s="79">
        <v>0.18181818181818199</v>
      </c>
      <c r="AU373" s="79">
        <v>0.42857142857142899</v>
      </c>
      <c r="AV373" s="79">
        <v>0.4</v>
      </c>
      <c r="AW373" s="79">
        <v>0.1</v>
      </c>
      <c r="AX373" s="56"/>
      <c r="AY373" s="54"/>
    </row>
    <row r="374" spans="1:51">
      <c r="A374" s="53"/>
      <c r="B374" s="56"/>
      <c r="C374" s="90" t="s">
        <v>370</v>
      </c>
      <c r="D374" s="230" t="s">
        <v>1757</v>
      </c>
      <c r="E374" s="68" t="s">
        <v>371</v>
      </c>
      <c r="F374" s="91" t="s">
        <v>395</v>
      </c>
      <c r="G374" s="91" t="s">
        <v>395</v>
      </c>
      <c r="H374" s="91" t="s">
        <v>395</v>
      </c>
      <c r="I374" s="91" t="s">
        <v>395</v>
      </c>
      <c r="J374" s="70">
        <v>0.9</v>
      </c>
      <c r="K374" s="71">
        <v>0.79166666666666696</v>
      </c>
      <c r="L374" s="71">
        <v>0.77586206896551702</v>
      </c>
      <c r="M374" s="72">
        <v>0.81632653061224503</v>
      </c>
      <c r="N374" s="71">
        <v>0.82705479452054798</v>
      </c>
      <c r="O374" s="73">
        <v>0.9</v>
      </c>
      <c r="P374" s="71">
        <v>7.69230769230769E-2</v>
      </c>
      <c r="Q374" s="71" t="s">
        <v>1710</v>
      </c>
      <c r="R374" s="71">
        <v>0.14285714285714299</v>
      </c>
      <c r="S374" s="71">
        <v>0.13636363636363599</v>
      </c>
      <c r="T374" s="73">
        <v>0.9</v>
      </c>
      <c r="U374" s="71">
        <v>7.69230769230769E-2</v>
      </c>
      <c r="V374" s="71" t="s">
        <v>1710</v>
      </c>
      <c r="W374" s="71">
        <v>0</v>
      </c>
      <c r="X374" s="71">
        <v>4.5454545454545497E-2</v>
      </c>
      <c r="Y374" s="73">
        <v>0.92</v>
      </c>
      <c r="Z374" s="73">
        <v>0</v>
      </c>
      <c r="AA374" s="73">
        <v>0</v>
      </c>
      <c r="AB374" s="73">
        <v>0</v>
      </c>
      <c r="AC374" s="73">
        <v>0.17647058823529399</v>
      </c>
      <c r="AD374" s="73">
        <v>0.92</v>
      </c>
      <c r="AE374" s="71">
        <v>0.98787878787878802</v>
      </c>
      <c r="AF374" s="71">
        <v>0.97044334975369495</v>
      </c>
      <c r="AG374" s="71">
        <v>0.99156118143459904</v>
      </c>
      <c r="AH374" s="71">
        <v>0.97873094647288195</v>
      </c>
      <c r="AI374" s="73">
        <v>0.92</v>
      </c>
      <c r="AJ374" s="71">
        <v>0.92512543419529103</v>
      </c>
      <c r="AK374" s="71">
        <v>0.95053475935828902</v>
      </c>
      <c r="AL374" s="71">
        <v>0.93326509723643802</v>
      </c>
      <c r="AM374" s="71">
        <v>0.946960266117018</v>
      </c>
      <c r="AN374" s="70">
        <v>0.99</v>
      </c>
      <c r="AO374" s="75">
        <v>1</v>
      </c>
      <c r="AP374" s="75">
        <v>1</v>
      </c>
      <c r="AQ374" s="75">
        <v>1</v>
      </c>
      <c r="AR374" s="75">
        <v>1</v>
      </c>
      <c r="AS374" s="95">
        <v>0.05</v>
      </c>
      <c r="AT374" s="79">
        <v>0</v>
      </c>
      <c r="AU374" s="79">
        <v>0</v>
      </c>
      <c r="AV374" s="79">
        <v>0</v>
      </c>
      <c r="AW374" s="79">
        <v>0.10370370370370401</v>
      </c>
      <c r="AX374" s="56"/>
      <c r="AY374" s="54"/>
    </row>
    <row r="375" spans="1:51">
      <c r="A375" s="53"/>
      <c r="B375" s="56"/>
      <c r="C375" s="90" t="s">
        <v>370</v>
      </c>
      <c r="D375" s="230" t="s">
        <v>1757</v>
      </c>
      <c r="E375" s="68" t="s">
        <v>371</v>
      </c>
      <c r="F375" s="91" t="s">
        <v>396</v>
      </c>
      <c r="G375" s="91" t="s">
        <v>396</v>
      </c>
      <c r="H375" s="91" t="s">
        <v>396</v>
      </c>
      <c r="I375" s="91" t="s">
        <v>396</v>
      </c>
      <c r="J375" s="70">
        <v>0.9</v>
      </c>
      <c r="K375" s="71">
        <v>0.52</v>
      </c>
      <c r="L375" s="71">
        <v>0.66666666666666696</v>
      </c>
      <c r="M375" s="72">
        <v>0.72340425531914898</v>
      </c>
      <c r="N375" s="71">
        <v>0.64586846543001697</v>
      </c>
      <c r="O375" s="73">
        <v>0.9</v>
      </c>
      <c r="P375" s="71">
        <v>0.33333333333333298</v>
      </c>
      <c r="Q375" s="71">
        <v>0</v>
      </c>
      <c r="R375" s="71">
        <v>0</v>
      </c>
      <c r="S375" s="71">
        <v>0.25</v>
      </c>
      <c r="T375" s="73">
        <v>0.9</v>
      </c>
      <c r="U375" s="71">
        <v>0</v>
      </c>
      <c r="V375" s="71">
        <v>0</v>
      </c>
      <c r="W375" s="71">
        <v>0</v>
      </c>
      <c r="X375" s="71">
        <v>0.25</v>
      </c>
      <c r="Y375" s="73">
        <v>0.92</v>
      </c>
      <c r="Z375" s="73">
        <v>0.36363636363636398</v>
      </c>
      <c r="AA375" s="73">
        <v>0</v>
      </c>
      <c r="AB375" s="73" t="s">
        <v>1710</v>
      </c>
      <c r="AC375" s="73">
        <v>0.5</v>
      </c>
      <c r="AD375" s="73">
        <v>0.92</v>
      </c>
      <c r="AE375" s="71">
        <v>0.99418604651162801</v>
      </c>
      <c r="AF375" s="71">
        <v>0.98113207547169801</v>
      </c>
      <c r="AG375" s="71">
        <v>0.88333333333333297</v>
      </c>
      <c r="AH375" s="71">
        <v>0.97837617299061597</v>
      </c>
      <c r="AI375" s="73">
        <v>0.92</v>
      </c>
      <c r="AJ375" s="71">
        <v>0.83216193421422502</v>
      </c>
      <c r="AK375" s="71">
        <v>0.89671966766938804</v>
      </c>
      <c r="AL375" s="71">
        <v>0.81297037630104096</v>
      </c>
      <c r="AM375" s="71">
        <v>0.87972078318438596</v>
      </c>
      <c r="AN375" s="70">
        <v>0.99</v>
      </c>
      <c r="AO375" s="75">
        <v>1</v>
      </c>
      <c r="AP375" s="75">
        <v>1</v>
      </c>
      <c r="AQ375" s="75">
        <v>1</v>
      </c>
      <c r="AR375" s="75">
        <v>1</v>
      </c>
      <c r="AS375" s="95">
        <v>0.05</v>
      </c>
      <c r="AT375" s="79">
        <v>0.19047619047618999</v>
      </c>
      <c r="AU375" s="79">
        <v>0.23529411764705899</v>
      </c>
      <c r="AV375" s="79">
        <v>0.157894736842105</v>
      </c>
      <c r="AW375" s="79">
        <v>0.19341563786008201</v>
      </c>
      <c r="AX375" s="56"/>
      <c r="AY375" s="54"/>
    </row>
    <row r="376" spans="1:51">
      <c r="A376" s="53"/>
      <c r="B376" s="56"/>
      <c r="C376" s="90" t="s">
        <v>370</v>
      </c>
      <c r="D376" s="230" t="s">
        <v>1757</v>
      </c>
      <c r="E376" s="68" t="s">
        <v>371</v>
      </c>
      <c r="F376" s="91" t="s">
        <v>397</v>
      </c>
      <c r="G376" s="91" t="s">
        <v>397</v>
      </c>
      <c r="H376" s="91" t="s">
        <v>397</v>
      </c>
      <c r="I376" s="91" t="s">
        <v>397</v>
      </c>
      <c r="J376" s="70">
        <v>0.9</v>
      </c>
      <c r="K376" s="71">
        <v>1</v>
      </c>
      <c r="L376" s="71">
        <v>0.98245614035087703</v>
      </c>
      <c r="M376" s="72">
        <v>1</v>
      </c>
      <c r="N376" s="71">
        <v>0.98904538341158099</v>
      </c>
      <c r="O376" s="73">
        <v>0.9</v>
      </c>
      <c r="P376" s="71">
        <v>0.977574750830565</v>
      </c>
      <c r="Q376" s="71">
        <v>0.98357588357588399</v>
      </c>
      <c r="R376" s="71">
        <v>0.98467432950191602</v>
      </c>
      <c r="S376" s="71">
        <v>0.98033416803384898</v>
      </c>
      <c r="T376" s="73">
        <v>0.9</v>
      </c>
      <c r="U376" s="71">
        <v>0.89244186046511598</v>
      </c>
      <c r="V376" s="71">
        <v>0.87193347193347204</v>
      </c>
      <c r="W376" s="71">
        <v>0.89587559161595698</v>
      </c>
      <c r="X376" s="71">
        <v>0.89657628874881301</v>
      </c>
      <c r="Y376" s="73">
        <v>0.92</v>
      </c>
      <c r="Z376" s="73">
        <v>0.93650793650793696</v>
      </c>
      <c r="AA376" s="73">
        <v>0.92427315753887795</v>
      </c>
      <c r="AB376" s="73">
        <v>0.91988613257421703</v>
      </c>
      <c r="AC376" s="73">
        <v>0.93623554153522603</v>
      </c>
      <c r="AD376" s="73">
        <v>0.92</v>
      </c>
      <c r="AE376" s="71">
        <v>1</v>
      </c>
      <c r="AF376" s="71">
        <v>0.99756295694557295</v>
      </c>
      <c r="AG376" s="71">
        <v>1</v>
      </c>
      <c r="AH376" s="71">
        <v>0.99619530754597296</v>
      </c>
      <c r="AI376" s="73">
        <v>0.92</v>
      </c>
      <c r="AJ376" s="71">
        <v>0.95815115552779495</v>
      </c>
      <c r="AK376" s="71">
        <v>0.968357449515026</v>
      </c>
      <c r="AL376" s="71">
        <v>0.96143250688705195</v>
      </c>
      <c r="AM376" s="71">
        <v>0.96792229464706003</v>
      </c>
      <c r="AN376" s="70">
        <v>0.99</v>
      </c>
      <c r="AO376" s="75">
        <v>1</v>
      </c>
      <c r="AP376" s="75">
        <v>1</v>
      </c>
      <c r="AQ376" s="75">
        <v>1</v>
      </c>
      <c r="AR376" s="75">
        <v>1</v>
      </c>
      <c r="AS376" s="95">
        <v>0.05</v>
      </c>
      <c r="AT376" s="79">
        <v>0</v>
      </c>
      <c r="AU376" s="79">
        <v>0.105263157894737</v>
      </c>
      <c r="AV376" s="79">
        <v>7.69230769230769E-2</v>
      </c>
      <c r="AW376" s="79">
        <v>7.9787234042553196E-2</v>
      </c>
      <c r="AX376" s="56"/>
      <c r="AY376" s="54"/>
    </row>
    <row r="377" spans="1:51">
      <c r="A377" s="53"/>
      <c r="B377" s="56"/>
      <c r="C377" s="90" t="s">
        <v>370</v>
      </c>
      <c r="D377" s="230" t="s">
        <v>1757</v>
      </c>
      <c r="E377" s="68" t="s">
        <v>371</v>
      </c>
      <c r="F377" s="91" t="s">
        <v>398</v>
      </c>
      <c r="G377" s="91" t="s">
        <v>398</v>
      </c>
      <c r="H377" s="91" t="s">
        <v>398</v>
      </c>
      <c r="I377" s="91" t="s">
        <v>398</v>
      </c>
      <c r="J377" s="70">
        <v>0.9</v>
      </c>
      <c r="K377" s="71">
        <v>0.891891891891892</v>
      </c>
      <c r="L377" s="71">
        <v>0.85897435897435903</v>
      </c>
      <c r="M377" s="72">
        <v>0.86567164179104505</v>
      </c>
      <c r="N377" s="71">
        <v>0.88044831880448304</v>
      </c>
      <c r="O377" s="73">
        <v>0.9</v>
      </c>
      <c r="P377" s="71">
        <v>0.83093994778067903</v>
      </c>
      <c r="Q377" s="71">
        <v>0.85671090206618505</v>
      </c>
      <c r="R377" s="71">
        <v>0.86950173389304597</v>
      </c>
      <c r="S377" s="71">
        <v>0.91212540341171</v>
      </c>
      <c r="T377" s="73">
        <v>0.9</v>
      </c>
      <c r="U377" s="71">
        <v>0.77545691906005199</v>
      </c>
      <c r="V377" s="71">
        <v>0.69275995296489201</v>
      </c>
      <c r="W377" s="71">
        <v>0.68151122467603598</v>
      </c>
      <c r="X377" s="71">
        <v>0.72883356385431097</v>
      </c>
      <c r="Y377" s="73">
        <v>0.92</v>
      </c>
      <c r="Z377" s="73">
        <v>0.78222907036466405</v>
      </c>
      <c r="AA377" s="73">
        <v>0.74115044247787598</v>
      </c>
      <c r="AB377" s="73">
        <v>0.72524407252440704</v>
      </c>
      <c r="AC377" s="73">
        <v>0.80194184785415501</v>
      </c>
      <c r="AD377" s="73">
        <v>0.92</v>
      </c>
      <c r="AE377" s="71">
        <v>0.99476439790575899</v>
      </c>
      <c r="AF377" s="71">
        <v>0.99598393574297195</v>
      </c>
      <c r="AG377" s="71">
        <v>0.96581196581196604</v>
      </c>
      <c r="AH377" s="71">
        <v>0.98006644518272401</v>
      </c>
      <c r="AI377" s="73">
        <v>0.92</v>
      </c>
      <c r="AJ377" s="71">
        <v>0.882704967085578</v>
      </c>
      <c r="AK377" s="71">
        <v>0.93015456401283203</v>
      </c>
      <c r="AL377" s="71">
        <v>0.87472153059887303</v>
      </c>
      <c r="AM377" s="71">
        <v>0.91559897284004299</v>
      </c>
      <c r="AN377" s="70">
        <v>0.99</v>
      </c>
      <c r="AO377" s="75">
        <v>1</v>
      </c>
      <c r="AP377" s="75">
        <v>1</v>
      </c>
      <c r="AQ377" s="75">
        <v>1</v>
      </c>
      <c r="AR377" s="75">
        <v>1</v>
      </c>
      <c r="AS377" s="95">
        <v>0.05</v>
      </c>
      <c r="AT377" s="79">
        <v>8.3333333333333301E-2</v>
      </c>
      <c r="AU377" s="79">
        <v>7.4074074074074098E-2</v>
      </c>
      <c r="AV377" s="79">
        <v>0.04</v>
      </c>
      <c r="AW377" s="79">
        <v>0.109489051094891</v>
      </c>
      <c r="AX377" s="56"/>
      <c r="AY377" s="54"/>
    </row>
    <row r="378" spans="1:51">
      <c r="A378" s="53"/>
      <c r="B378" s="56"/>
      <c r="C378" s="90" t="s">
        <v>370</v>
      </c>
      <c r="D378" s="230" t="s">
        <v>1757</v>
      </c>
      <c r="E378" s="68" t="s">
        <v>371</v>
      </c>
      <c r="F378" s="91" t="s">
        <v>399</v>
      </c>
      <c r="G378" s="91" t="s">
        <v>399</v>
      </c>
      <c r="H378" s="91" t="s">
        <v>399</v>
      </c>
      <c r="I378" s="91" t="s">
        <v>399</v>
      </c>
      <c r="J378" s="70">
        <v>0.9</v>
      </c>
      <c r="K378" s="71">
        <v>0.89855072463768104</v>
      </c>
      <c r="L378" s="71">
        <v>0.89285714285714302</v>
      </c>
      <c r="M378" s="72">
        <v>0.95061728395061695</v>
      </c>
      <c r="N378" s="71">
        <v>0.94397463002114201</v>
      </c>
      <c r="O378" s="73">
        <v>0.9</v>
      </c>
      <c r="P378" s="71">
        <v>0.93882978723404298</v>
      </c>
      <c r="Q378" s="71">
        <v>0.89137833238797504</v>
      </c>
      <c r="R378" s="71">
        <v>0.98180733671339104</v>
      </c>
      <c r="S378" s="71">
        <v>0.95421615639985202</v>
      </c>
      <c r="T378" s="73">
        <v>0.9</v>
      </c>
      <c r="U378" s="71">
        <v>0.73510638297872299</v>
      </c>
      <c r="V378" s="71">
        <v>0.71667612024957505</v>
      </c>
      <c r="W378" s="71">
        <v>0.80256486728303</v>
      </c>
      <c r="X378" s="71">
        <v>0.78317963850977501</v>
      </c>
      <c r="Y378" s="73">
        <v>0.92</v>
      </c>
      <c r="Z378" s="73">
        <v>0.82175533717383897</v>
      </c>
      <c r="AA378" s="73">
        <v>0.82334581772783999</v>
      </c>
      <c r="AB378" s="73">
        <v>0.86283185840707999</v>
      </c>
      <c r="AC378" s="73">
        <v>0.86166291214417401</v>
      </c>
      <c r="AD378" s="73">
        <v>0.92</v>
      </c>
      <c r="AE378" s="71">
        <v>0.97872340425531901</v>
      </c>
      <c r="AF378" s="71">
        <v>0.97513321492007099</v>
      </c>
      <c r="AG378" s="71">
        <v>0.95949367088607596</v>
      </c>
      <c r="AH378" s="71">
        <v>0.96002880806625901</v>
      </c>
      <c r="AI378" s="73">
        <v>0.92</v>
      </c>
      <c r="AJ378" s="71">
        <v>0.87890974084003604</v>
      </c>
      <c r="AK378" s="71">
        <v>0.92085499711149599</v>
      </c>
      <c r="AL378" s="71">
        <v>0.92441742654508596</v>
      </c>
      <c r="AM378" s="71">
        <v>0.92968741953756595</v>
      </c>
      <c r="AN378" s="70">
        <v>0.99</v>
      </c>
      <c r="AO378" s="75">
        <v>1</v>
      </c>
      <c r="AP378" s="75">
        <v>1</v>
      </c>
      <c r="AQ378" s="75">
        <v>1</v>
      </c>
      <c r="AR378" s="75">
        <v>1</v>
      </c>
      <c r="AS378" s="95">
        <v>0.05</v>
      </c>
      <c r="AT378" s="79">
        <v>0.18421052631578899</v>
      </c>
      <c r="AU378" s="79">
        <v>4.8780487804878099E-2</v>
      </c>
      <c r="AV378" s="79">
        <v>0.15625</v>
      </c>
      <c r="AW378" s="79">
        <v>0.124087591240876</v>
      </c>
      <c r="AX378" s="56"/>
      <c r="AY378" s="54"/>
    </row>
    <row r="379" spans="1:51">
      <c r="A379" s="53"/>
      <c r="B379" s="56"/>
      <c r="C379" s="90" t="s">
        <v>370</v>
      </c>
      <c r="D379" s="230" t="s">
        <v>1757</v>
      </c>
      <c r="E379" s="68" t="s">
        <v>371</v>
      </c>
      <c r="F379" s="91" t="s">
        <v>400</v>
      </c>
      <c r="G379" s="91" t="s">
        <v>400</v>
      </c>
      <c r="H379" s="91" t="s">
        <v>400</v>
      </c>
      <c r="I379" s="91" t="s">
        <v>400</v>
      </c>
      <c r="J379" s="70">
        <v>0.9</v>
      </c>
      <c r="K379" s="71">
        <v>0.84848484848484895</v>
      </c>
      <c r="L379" s="71">
        <v>0.875</v>
      </c>
      <c r="M379" s="72">
        <v>0.93333333333333302</v>
      </c>
      <c r="N379" s="71">
        <v>0.904371584699454</v>
      </c>
      <c r="O379" s="73">
        <v>0.9</v>
      </c>
      <c r="P379" s="71">
        <v>0</v>
      </c>
      <c r="Q379" s="71">
        <v>1</v>
      </c>
      <c r="R379" s="71" t="s">
        <v>1710</v>
      </c>
      <c r="S379" s="71">
        <v>0.2</v>
      </c>
      <c r="T379" s="73">
        <v>0.9</v>
      </c>
      <c r="U379" s="71">
        <v>0</v>
      </c>
      <c r="V379" s="71">
        <v>1</v>
      </c>
      <c r="W379" s="71" t="s">
        <v>1710</v>
      </c>
      <c r="X379" s="71">
        <v>0.6</v>
      </c>
      <c r="Y379" s="73">
        <v>0.92</v>
      </c>
      <c r="Z379" s="73">
        <v>0.125</v>
      </c>
      <c r="AA379" s="73" t="s">
        <v>1710</v>
      </c>
      <c r="AB379" s="73">
        <v>1</v>
      </c>
      <c r="AC379" s="73">
        <v>0.62068965517241403</v>
      </c>
      <c r="AD379" s="73">
        <v>0.92</v>
      </c>
      <c r="AE379" s="71">
        <v>1</v>
      </c>
      <c r="AF379" s="71">
        <v>0.98571428571428599</v>
      </c>
      <c r="AG379" s="71">
        <v>0.93548387096774199</v>
      </c>
      <c r="AH379" s="71">
        <v>0.98715782358905002</v>
      </c>
      <c r="AI379" s="73">
        <v>0.92</v>
      </c>
      <c r="AJ379" s="71">
        <v>0.86792452830188704</v>
      </c>
      <c r="AK379" s="71">
        <v>0.85375139977603598</v>
      </c>
      <c r="AL379" s="71">
        <v>0.82953995157384997</v>
      </c>
      <c r="AM379" s="71">
        <v>0.904906059295565</v>
      </c>
      <c r="AN379" s="70">
        <v>0.99</v>
      </c>
      <c r="AO379" s="75">
        <v>1</v>
      </c>
      <c r="AP379" s="75">
        <v>1</v>
      </c>
      <c r="AQ379" s="75">
        <v>1</v>
      </c>
      <c r="AR379" s="75">
        <v>1</v>
      </c>
      <c r="AS379" s="95">
        <v>0.05</v>
      </c>
      <c r="AT379" s="79">
        <v>0</v>
      </c>
      <c r="AU379" s="79">
        <v>0.105263157894737</v>
      </c>
      <c r="AV379" s="79">
        <v>0.14285714285714299</v>
      </c>
      <c r="AW379" s="79">
        <v>0.12711864406779699</v>
      </c>
      <c r="AX379" s="56"/>
      <c r="AY379" s="54"/>
    </row>
    <row r="380" spans="1:51">
      <c r="A380" s="53"/>
      <c r="B380" s="56"/>
      <c r="C380" s="90" t="s">
        <v>370</v>
      </c>
      <c r="D380" s="230" t="s">
        <v>1757</v>
      </c>
      <c r="E380" s="68" t="s">
        <v>371</v>
      </c>
      <c r="F380" s="91" t="s">
        <v>401</v>
      </c>
      <c r="G380" s="91" t="s">
        <v>401</v>
      </c>
      <c r="H380" s="91" t="s">
        <v>401</v>
      </c>
      <c r="I380" s="91" t="s">
        <v>401</v>
      </c>
      <c r="J380" s="70">
        <v>0.9</v>
      </c>
      <c r="K380" s="71">
        <v>0.952380952380952</v>
      </c>
      <c r="L380" s="71">
        <v>1</v>
      </c>
      <c r="M380" s="72">
        <v>1</v>
      </c>
      <c r="N380" s="71">
        <v>0.984375</v>
      </c>
      <c r="O380" s="73">
        <v>0.9</v>
      </c>
      <c r="P380" s="71">
        <v>0.89631480324796997</v>
      </c>
      <c r="Q380" s="71">
        <v>0.92452830188679203</v>
      </c>
      <c r="R380" s="71">
        <v>0.93674889310562903</v>
      </c>
      <c r="S380" s="71">
        <v>0.93227115769067703</v>
      </c>
      <c r="T380" s="73">
        <v>0.9</v>
      </c>
      <c r="U380" s="71">
        <v>0.82073703935040598</v>
      </c>
      <c r="V380" s="71">
        <v>0.84758254716981096</v>
      </c>
      <c r="W380" s="71">
        <v>0.86812144212523701</v>
      </c>
      <c r="X380" s="71">
        <v>0.86445144484158198</v>
      </c>
      <c r="Y380" s="73">
        <v>0.92</v>
      </c>
      <c r="Z380" s="73">
        <v>0.89740634005763698</v>
      </c>
      <c r="AA380" s="73">
        <v>0.87250237868696501</v>
      </c>
      <c r="AB380" s="73">
        <v>0.90174059517125205</v>
      </c>
      <c r="AC380" s="73">
        <v>0.90781658351152295</v>
      </c>
      <c r="AD380" s="73">
        <v>0.92</v>
      </c>
      <c r="AE380" s="71">
        <v>0.99019607843137303</v>
      </c>
      <c r="AF380" s="71">
        <v>0.97222222222222199</v>
      </c>
      <c r="AG380" s="71">
        <v>0.97058823529411797</v>
      </c>
      <c r="AH380" s="71">
        <v>0.98106995884773696</v>
      </c>
      <c r="AI380" s="73">
        <v>0.92</v>
      </c>
      <c r="AJ380" s="71">
        <v>0.91489361702127703</v>
      </c>
      <c r="AK380" s="71">
        <v>0.93495386000450098</v>
      </c>
      <c r="AL380" s="71">
        <v>0.93891585760517804</v>
      </c>
      <c r="AM380" s="71">
        <v>0.94648695268467797</v>
      </c>
      <c r="AN380" s="70">
        <v>0.99</v>
      </c>
      <c r="AO380" s="75">
        <v>1</v>
      </c>
      <c r="AP380" s="75">
        <v>1</v>
      </c>
      <c r="AQ380" s="75">
        <v>1</v>
      </c>
      <c r="AR380" s="75">
        <v>1</v>
      </c>
      <c r="AS380" s="95">
        <v>0.05</v>
      </c>
      <c r="AT380" s="79">
        <v>0.25</v>
      </c>
      <c r="AU380" s="79">
        <v>0.3</v>
      </c>
      <c r="AV380" s="79">
        <v>7.69230769230769E-2</v>
      </c>
      <c r="AW380" s="79">
        <v>9.7701149425287404E-2</v>
      </c>
      <c r="AX380" s="56"/>
      <c r="AY380" s="54"/>
    </row>
    <row r="381" spans="1:51">
      <c r="A381" s="53"/>
      <c r="B381" s="56"/>
      <c r="C381" s="90" t="s">
        <v>370</v>
      </c>
      <c r="D381" s="230" t="s">
        <v>1757</v>
      </c>
      <c r="E381" s="68" t="s">
        <v>371</v>
      </c>
      <c r="F381" s="91" t="s">
        <v>402</v>
      </c>
      <c r="G381" s="91" t="s">
        <v>402</v>
      </c>
      <c r="H381" s="91" t="s">
        <v>402</v>
      </c>
      <c r="I381" s="91" t="s">
        <v>402</v>
      </c>
      <c r="J381" s="70">
        <v>0.9</v>
      </c>
      <c r="K381" s="71">
        <v>0.73170731707317105</v>
      </c>
      <c r="L381" s="71">
        <v>0.680851063829787</v>
      </c>
      <c r="M381" s="72">
        <v>0.69047619047619002</v>
      </c>
      <c r="N381" s="71">
        <v>0.75708502024291502</v>
      </c>
      <c r="O381" s="73">
        <v>0.9</v>
      </c>
      <c r="P381" s="71">
        <v>0</v>
      </c>
      <c r="Q381" s="71">
        <v>0.25</v>
      </c>
      <c r="R381" s="71">
        <v>0</v>
      </c>
      <c r="S381" s="71">
        <v>0.16666666666666699</v>
      </c>
      <c r="T381" s="73">
        <v>0.9</v>
      </c>
      <c r="U381" s="71">
        <v>0</v>
      </c>
      <c r="V381" s="71">
        <v>0.25</v>
      </c>
      <c r="W381" s="71">
        <v>0</v>
      </c>
      <c r="X381" s="71">
        <v>8.3333333333333301E-2</v>
      </c>
      <c r="Y381" s="73">
        <v>0.92</v>
      </c>
      <c r="Z381" s="73">
        <v>0</v>
      </c>
      <c r="AA381" s="73">
        <v>0</v>
      </c>
      <c r="AB381" s="73">
        <v>0</v>
      </c>
      <c r="AC381" s="73">
        <v>0.5</v>
      </c>
      <c r="AD381" s="73">
        <v>0.92</v>
      </c>
      <c r="AE381" s="71">
        <v>0.88461538461538503</v>
      </c>
      <c r="AF381" s="71">
        <v>0.71428571428571397</v>
      </c>
      <c r="AG381" s="71">
        <v>0.77500000000000002</v>
      </c>
      <c r="AH381" s="71">
        <v>0.85714285714285698</v>
      </c>
      <c r="AI381" s="73">
        <v>0.92</v>
      </c>
      <c r="AJ381" s="71">
        <v>0.80314643001210195</v>
      </c>
      <c r="AK381" s="71">
        <v>0.83721856943614303</v>
      </c>
      <c r="AL381" s="71">
        <v>0.76246266942338603</v>
      </c>
      <c r="AM381" s="71">
        <v>0.83742911153119104</v>
      </c>
      <c r="AN381" s="70">
        <v>0.99</v>
      </c>
      <c r="AO381" s="75">
        <v>1</v>
      </c>
      <c r="AP381" s="75">
        <v>1</v>
      </c>
      <c r="AQ381" s="75">
        <v>1</v>
      </c>
      <c r="AR381" s="75">
        <v>1</v>
      </c>
      <c r="AS381" s="95">
        <v>0.05</v>
      </c>
      <c r="AT381" s="79">
        <v>0.13043478260869601</v>
      </c>
      <c r="AU381" s="79">
        <v>9.0909090909090898E-2</v>
      </c>
      <c r="AV381" s="79">
        <v>0</v>
      </c>
      <c r="AW381" s="79">
        <v>0.128205128205128</v>
      </c>
      <c r="AX381" s="56"/>
      <c r="AY381" s="54"/>
    </row>
    <row r="382" spans="1:51">
      <c r="A382" s="53"/>
      <c r="B382" s="56"/>
      <c r="C382" s="90" t="s">
        <v>370</v>
      </c>
      <c r="D382" s="230" t="s">
        <v>1757</v>
      </c>
      <c r="E382" s="68" t="s">
        <v>371</v>
      </c>
      <c r="F382" s="91" t="s">
        <v>403</v>
      </c>
      <c r="G382" s="91" t="s">
        <v>403</v>
      </c>
      <c r="H382" s="91" t="s">
        <v>403</v>
      </c>
      <c r="I382" s="91" t="s">
        <v>403</v>
      </c>
      <c r="J382" s="70">
        <v>0.9</v>
      </c>
      <c r="K382" s="71">
        <v>0.63636363636363602</v>
      </c>
      <c r="L382" s="71">
        <v>0.61194029850746301</v>
      </c>
      <c r="M382" s="72">
        <v>0.55384615384615399</v>
      </c>
      <c r="N382" s="71">
        <v>0.60617760617760597</v>
      </c>
      <c r="O382" s="73">
        <v>0.9</v>
      </c>
      <c r="P382" s="71">
        <v>0.89173967459324199</v>
      </c>
      <c r="Q382" s="71">
        <v>0.52768194512896305</v>
      </c>
      <c r="R382" s="71">
        <v>0.482428670842032</v>
      </c>
      <c r="S382" s="71">
        <v>0.66244425225958503</v>
      </c>
      <c r="T382" s="73">
        <v>0.9</v>
      </c>
      <c r="U382" s="71">
        <v>0.54693366708385505</v>
      </c>
      <c r="V382" s="71">
        <v>0.34696895022178398</v>
      </c>
      <c r="W382" s="71">
        <v>0.43928322894920002</v>
      </c>
      <c r="X382" s="71">
        <v>0.48281358633904797</v>
      </c>
      <c r="Y382" s="73">
        <v>0.92</v>
      </c>
      <c r="Z382" s="73">
        <v>0.72922960725075503</v>
      </c>
      <c r="AA382" s="73">
        <v>0.53117048346055995</v>
      </c>
      <c r="AB382" s="73">
        <v>0.51071181755355899</v>
      </c>
      <c r="AC382" s="73">
        <v>0.67013184584178498</v>
      </c>
      <c r="AD382" s="73">
        <v>0.92</v>
      </c>
      <c r="AE382" s="71">
        <v>0.910485933503836</v>
      </c>
      <c r="AF382" s="71">
        <v>0.988683989941324</v>
      </c>
      <c r="AG382" s="71">
        <v>0.59484536082474204</v>
      </c>
      <c r="AH382" s="71">
        <v>0.90333001988071604</v>
      </c>
      <c r="AI382" s="73">
        <v>0.92</v>
      </c>
      <c r="AJ382" s="71">
        <v>0.79169514695830501</v>
      </c>
      <c r="AK382" s="71">
        <v>0.75962919441180299</v>
      </c>
      <c r="AL382" s="71">
        <v>0.69971081550028902</v>
      </c>
      <c r="AM382" s="71">
        <v>0.80793524324199495</v>
      </c>
      <c r="AN382" s="70">
        <v>0.99</v>
      </c>
      <c r="AO382" s="75">
        <v>1</v>
      </c>
      <c r="AP382" s="75">
        <v>1</v>
      </c>
      <c r="AQ382" s="75">
        <v>1</v>
      </c>
      <c r="AR382" s="75">
        <v>1</v>
      </c>
      <c r="AS382" s="95">
        <v>0.05</v>
      </c>
      <c r="AT382" s="79">
        <v>0.15686274509803899</v>
      </c>
      <c r="AU382" s="79">
        <v>0.16666666666666699</v>
      </c>
      <c r="AV382" s="79">
        <v>0.15384615384615399</v>
      </c>
      <c r="AW382" s="79">
        <v>8.2051282051282107E-2</v>
      </c>
      <c r="AX382" s="56"/>
      <c r="AY382" s="54"/>
    </row>
    <row r="383" spans="1:51">
      <c r="A383" s="53"/>
      <c r="B383" s="56"/>
      <c r="C383" s="90" t="s">
        <v>370</v>
      </c>
      <c r="D383" s="230" t="s">
        <v>1759</v>
      </c>
      <c r="E383" s="68" t="s">
        <v>371</v>
      </c>
      <c r="F383" s="91" t="s">
        <v>404</v>
      </c>
      <c r="G383" s="91" t="s">
        <v>404</v>
      </c>
      <c r="H383" s="91" t="s">
        <v>404</v>
      </c>
      <c r="I383" s="91" t="s">
        <v>404</v>
      </c>
      <c r="J383" s="70">
        <v>0.9</v>
      </c>
      <c r="K383" s="71" t="s">
        <v>1710</v>
      </c>
      <c r="L383" s="71" t="s">
        <v>1710</v>
      </c>
      <c r="M383" s="72" t="s">
        <v>1710</v>
      </c>
      <c r="N383" s="71" t="s">
        <v>1710</v>
      </c>
      <c r="O383" s="73">
        <v>0.9</v>
      </c>
      <c r="P383" s="71">
        <v>1</v>
      </c>
      <c r="Q383" s="71" t="s">
        <v>1710</v>
      </c>
      <c r="R383" s="71">
        <v>1</v>
      </c>
      <c r="S383" s="71">
        <v>0.98181818181818203</v>
      </c>
      <c r="T383" s="73">
        <v>0.9</v>
      </c>
      <c r="U383" s="71">
        <v>1</v>
      </c>
      <c r="V383" s="71" t="s">
        <v>1710</v>
      </c>
      <c r="W383" s="71">
        <v>1</v>
      </c>
      <c r="X383" s="71">
        <v>0.98181818181818203</v>
      </c>
      <c r="Y383" s="73">
        <v>0.92</v>
      </c>
      <c r="Z383" s="73" t="s">
        <v>1710</v>
      </c>
      <c r="AA383" s="73" t="s">
        <v>1710</v>
      </c>
      <c r="AB383" s="73" t="s">
        <v>1710</v>
      </c>
      <c r="AC383" s="73" t="s">
        <v>1710</v>
      </c>
      <c r="AD383" s="73">
        <v>0.92</v>
      </c>
      <c r="AE383" s="71">
        <v>1</v>
      </c>
      <c r="AF383" s="71">
        <v>1</v>
      </c>
      <c r="AG383" s="71">
        <v>1</v>
      </c>
      <c r="AH383" s="71">
        <v>0.99967277486910999</v>
      </c>
      <c r="AI383" s="73">
        <v>0.92</v>
      </c>
      <c r="AJ383" s="71">
        <v>1</v>
      </c>
      <c r="AK383" s="71" t="s">
        <v>1710</v>
      </c>
      <c r="AL383" s="71">
        <v>1</v>
      </c>
      <c r="AM383" s="71">
        <v>1</v>
      </c>
      <c r="AN383" s="70">
        <v>0.99</v>
      </c>
      <c r="AO383" s="75">
        <v>1</v>
      </c>
      <c r="AP383" s="75">
        <v>1</v>
      </c>
      <c r="AQ383" s="75" t="s">
        <v>1710</v>
      </c>
      <c r="AR383" s="75">
        <v>1</v>
      </c>
      <c r="AS383" s="95">
        <v>0.05</v>
      </c>
      <c r="AT383" s="79" t="s">
        <v>1710</v>
      </c>
      <c r="AU383" s="79" t="s">
        <v>1710</v>
      </c>
      <c r="AV383" s="79" t="s">
        <v>1710</v>
      </c>
      <c r="AW383" s="79" t="s">
        <v>1710</v>
      </c>
      <c r="AX383" s="56"/>
      <c r="AY383" s="54"/>
    </row>
    <row r="384" spans="1:51">
      <c r="A384" s="53"/>
      <c r="B384" s="56"/>
      <c r="C384" s="90" t="s">
        <v>370</v>
      </c>
      <c r="D384" s="230" t="s">
        <v>1757</v>
      </c>
      <c r="E384" s="68" t="s">
        <v>371</v>
      </c>
      <c r="F384" s="91" t="s">
        <v>405</v>
      </c>
      <c r="G384" s="91" t="s">
        <v>405</v>
      </c>
      <c r="H384" s="91" t="s">
        <v>405</v>
      </c>
      <c r="I384" s="91" t="s">
        <v>405</v>
      </c>
      <c r="J384" s="70">
        <v>0.9</v>
      </c>
      <c r="K384" s="71">
        <v>0.90322580645161299</v>
      </c>
      <c r="L384" s="71">
        <v>0.83783783783783805</v>
      </c>
      <c r="M384" s="72">
        <v>0.96875</v>
      </c>
      <c r="N384" s="71">
        <v>0.93963254593175805</v>
      </c>
      <c r="O384" s="73">
        <v>0.9</v>
      </c>
      <c r="P384" s="71">
        <v>0.98147402335884004</v>
      </c>
      <c r="Q384" s="71">
        <v>0.97670588235294098</v>
      </c>
      <c r="R384" s="71">
        <v>0.94869831546707495</v>
      </c>
      <c r="S384" s="71">
        <v>0.97300777699222296</v>
      </c>
      <c r="T384" s="73">
        <v>0.9</v>
      </c>
      <c r="U384" s="71">
        <v>0.90495368505839702</v>
      </c>
      <c r="V384" s="71">
        <v>0.80941176470588205</v>
      </c>
      <c r="W384" s="71">
        <v>0.83511995916283799</v>
      </c>
      <c r="X384" s="71">
        <v>0.85549439450560505</v>
      </c>
      <c r="Y384" s="73">
        <v>0.92</v>
      </c>
      <c r="Z384" s="73">
        <v>0</v>
      </c>
      <c r="AA384" s="73">
        <v>0</v>
      </c>
      <c r="AB384" s="73" t="s">
        <v>1710</v>
      </c>
      <c r="AC384" s="73">
        <v>0</v>
      </c>
      <c r="AD384" s="73">
        <v>0.92</v>
      </c>
      <c r="AE384" s="71">
        <v>0.98795722117372198</v>
      </c>
      <c r="AF384" s="71">
        <v>0.99751552795031095</v>
      </c>
      <c r="AG384" s="71">
        <v>0.99028806584362095</v>
      </c>
      <c r="AH384" s="71">
        <v>0.94608748820331501</v>
      </c>
      <c r="AI384" s="73">
        <v>0.92</v>
      </c>
      <c r="AJ384" s="71">
        <v>0.96124650419496604</v>
      </c>
      <c r="AK384" s="71">
        <v>0.95913574448097705</v>
      </c>
      <c r="AL384" s="71">
        <v>0.91768603465851195</v>
      </c>
      <c r="AM384" s="71">
        <v>0.94988030742093998</v>
      </c>
      <c r="AN384" s="70">
        <v>0.99</v>
      </c>
      <c r="AO384" s="75">
        <v>1</v>
      </c>
      <c r="AP384" s="75">
        <v>1</v>
      </c>
      <c r="AQ384" s="75">
        <v>1</v>
      </c>
      <c r="AR384" s="75">
        <v>1</v>
      </c>
      <c r="AS384" s="95">
        <v>0.05</v>
      </c>
      <c r="AT384" s="79">
        <v>0</v>
      </c>
      <c r="AU384" s="79">
        <v>7.1428571428571397E-2</v>
      </c>
      <c r="AV384" s="79">
        <v>5.5555555555555601E-2</v>
      </c>
      <c r="AW384" s="79">
        <v>2.2988505747126398E-2</v>
      </c>
      <c r="AX384" s="56"/>
      <c r="AY384" s="54"/>
    </row>
    <row r="385" spans="1:51">
      <c r="A385" s="53"/>
      <c r="B385" s="56"/>
      <c r="C385" s="90" t="s">
        <v>370</v>
      </c>
      <c r="D385" s="230" t="s">
        <v>1757</v>
      </c>
      <c r="E385" s="68" t="s">
        <v>371</v>
      </c>
      <c r="F385" s="91" t="s">
        <v>406</v>
      </c>
      <c r="G385" s="91" t="s">
        <v>406</v>
      </c>
      <c r="H385" s="91" t="s">
        <v>406</v>
      </c>
      <c r="I385" s="91" t="s">
        <v>406</v>
      </c>
      <c r="J385" s="70">
        <v>0.9</v>
      </c>
      <c r="K385" s="71">
        <v>0.76</v>
      </c>
      <c r="L385" s="71">
        <v>0.86206896551724099</v>
      </c>
      <c r="M385" s="72">
        <v>0.79310344827586199</v>
      </c>
      <c r="N385" s="71">
        <v>0.88509316770186297</v>
      </c>
      <c r="O385" s="73">
        <v>0.9</v>
      </c>
      <c r="P385" s="71">
        <v>0</v>
      </c>
      <c r="Q385" s="71" t="s">
        <v>1710</v>
      </c>
      <c r="R385" s="71" t="s">
        <v>1710</v>
      </c>
      <c r="S385" s="71">
        <v>0</v>
      </c>
      <c r="T385" s="73">
        <v>0.9</v>
      </c>
      <c r="U385" s="71">
        <v>0</v>
      </c>
      <c r="V385" s="71" t="s">
        <v>1710</v>
      </c>
      <c r="W385" s="71" t="s">
        <v>1710</v>
      </c>
      <c r="X385" s="71">
        <v>0</v>
      </c>
      <c r="Y385" s="73">
        <v>0.92</v>
      </c>
      <c r="Z385" s="73">
        <v>1</v>
      </c>
      <c r="AA385" s="73" t="s">
        <v>1710</v>
      </c>
      <c r="AB385" s="73" t="s">
        <v>1710</v>
      </c>
      <c r="AC385" s="73">
        <v>1</v>
      </c>
      <c r="AD385" s="73">
        <v>0.92</v>
      </c>
      <c r="AE385" s="71">
        <v>0.99236349751813702</v>
      </c>
      <c r="AF385" s="71">
        <v>0.99850671976107497</v>
      </c>
      <c r="AG385" s="71">
        <v>0.99728155339805802</v>
      </c>
      <c r="AH385" s="71">
        <v>0.99542364450339904</v>
      </c>
      <c r="AI385" s="73">
        <v>0.92</v>
      </c>
      <c r="AJ385" s="71">
        <v>0.93876464323748698</v>
      </c>
      <c r="AK385" s="71">
        <v>0.96957964601769897</v>
      </c>
      <c r="AL385" s="71">
        <v>0.97700814901047695</v>
      </c>
      <c r="AM385" s="71">
        <v>0.96982684724841395</v>
      </c>
      <c r="AN385" s="70">
        <v>0.99</v>
      </c>
      <c r="AO385" s="75">
        <v>1</v>
      </c>
      <c r="AP385" s="75">
        <v>1</v>
      </c>
      <c r="AQ385" s="75">
        <v>1</v>
      </c>
      <c r="AR385" s="75">
        <v>1</v>
      </c>
      <c r="AS385" s="95">
        <v>0.05</v>
      </c>
      <c r="AT385" s="79">
        <v>8.3333333333333301E-2</v>
      </c>
      <c r="AU385" s="79">
        <v>0</v>
      </c>
      <c r="AV385" s="79">
        <v>6.25E-2</v>
      </c>
      <c r="AW385" s="79">
        <v>5.0420168067226899E-2</v>
      </c>
      <c r="AX385" s="56"/>
      <c r="AY385" s="54"/>
    </row>
    <row r="386" spans="1:51">
      <c r="A386" s="53"/>
      <c r="B386" s="56"/>
      <c r="C386" s="90" t="s">
        <v>370</v>
      </c>
      <c r="D386" s="230" t="s">
        <v>1757</v>
      </c>
      <c r="E386" s="68" t="s">
        <v>371</v>
      </c>
      <c r="F386" s="91" t="s">
        <v>407</v>
      </c>
      <c r="G386" s="91" t="s">
        <v>407</v>
      </c>
      <c r="H386" s="91" t="s">
        <v>407</v>
      </c>
      <c r="I386" s="91" t="s">
        <v>407</v>
      </c>
      <c r="J386" s="70">
        <v>0.9</v>
      </c>
      <c r="K386" s="71">
        <v>0.90909090909090895</v>
      </c>
      <c r="L386" s="71">
        <v>0.96</v>
      </c>
      <c r="M386" s="72">
        <v>0.92307692307692302</v>
      </c>
      <c r="N386" s="71">
        <v>0.90592334494773497</v>
      </c>
      <c r="O386" s="73">
        <v>0.9</v>
      </c>
      <c r="P386" s="71" t="s">
        <v>1710</v>
      </c>
      <c r="Q386" s="71" t="s">
        <v>1710</v>
      </c>
      <c r="R386" s="71" t="s">
        <v>1710</v>
      </c>
      <c r="S386" s="71">
        <v>0.33333333333333298</v>
      </c>
      <c r="T386" s="73">
        <v>0.9</v>
      </c>
      <c r="U386" s="71" t="s">
        <v>1710</v>
      </c>
      <c r="V386" s="71" t="s">
        <v>1710</v>
      </c>
      <c r="W386" s="71" t="s">
        <v>1710</v>
      </c>
      <c r="X386" s="71">
        <v>0.66666666666666696</v>
      </c>
      <c r="Y386" s="73">
        <v>0.92</v>
      </c>
      <c r="Z386" s="73" t="s">
        <v>1710</v>
      </c>
      <c r="AA386" s="73" t="s">
        <v>1710</v>
      </c>
      <c r="AB386" s="73" t="s">
        <v>1710</v>
      </c>
      <c r="AC386" s="73" t="s">
        <v>1710</v>
      </c>
      <c r="AD386" s="73">
        <v>0.92</v>
      </c>
      <c r="AE386" s="71">
        <v>1</v>
      </c>
      <c r="AF386" s="71">
        <v>1</v>
      </c>
      <c r="AG386" s="71">
        <v>1</v>
      </c>
      <c r="AH386" s="71">
        <v>0.98940397350993403</v>
      </c>
      <c r="AI386" s="73">
        <v>0.92</v>
      </c>
      <c r="AJ386" s="71">
        <v>0.92938620315046205</v>
      </c>
      <c r="AK386" s="71">
        <v>0.89216061185468498</v>
      </c>
      <c r="AL386" s="71">
        <v>0.91322662173546798</v>
      </c>
      <c r="AM386" s="71">
        <v>0.89949519869434802</v>
      </c>
      <c r="AN386" s="70">
        <v>0.99</v>
      </c>
      <c r="AO386" s="75">
        <v>1</v>
      </c>
      <c r="AP386" s="75">
        <v>1</v>
      </c>
      <c r="AQ386" s="75">
        <v>1</v>
      </c>
      <c r="AR386" s="75">
        <v>1</v>
      </c>
      <c r="AS386" s="95">
        <v>0.05</v>
      </c>
      <c r="AT386" s="79">
        <v>0</v>
      </c>
      <c r="AU386" s="79">
        <v>0.25</v>
      </c>
      <c r="AV386" s="79">
        <v>0.33333333333333298</v>
      </c>
      <c r="AW386" s="79">
        <v>0.128205128205128</v>
      </c>
      <c r="AX386" s="56"/>
      <c r="AY386" s="54"/>
    </row>
    <row r="387" spans="1:51">
      <c r="A387" s="53"/>
      <c r="B387" s="56"/>
      <c r="C387" s="90" t="s">
        <v>370</v>
      </c>
      <c r="D387" s="230" t="s">
        <v>1757</v>
      </c>
      <c r="E387" s="68" t="s">
        <v>371</v>
      </c>
      <c r="F387" s="91" t="s">
        <v>408</v>
      </c>
      <c r="G387" s="91" t="s">
        <v>408</v>
      </c>
      <c r="H387" s="91" t="s">
        <v>408</v>
      </c>
      <c r="I387" s="91" t="s">
        <v>408</v>
      </c>
      <c r="J387" s="70">
        <v>0.9</v>
      </c>
      <c r="K387" s="71">
        <v>0.8</v>
      </c>
      <c r="L387" s="71">
        <v>0.80487804878048796</v>
      </c>
      <c r="M387" s="72">
        <v>0.87878787878787901</v>
      </c>
      <c r="N387" s="71">
        <v>0.90632318501171005</v>
      </c>
      <c r="O387" s="73">
        <v>0.9</v>
      </c>
      <c r="P387" s="71">
        <v>0.66666666666666696</v>
      </c>
      <c r="Q387" s="71">
        <v>0</v>
      </c>
      <c r="R387" s="71" t="s">
        <v>1710</v>
      </c>
      <c r="S387" s="71">
        <v>0.26315789473684198</v>
      </c>
      <c r="T387" s="73">
        <v>0.9</v>
      </c>
      <c r="U387" s="71">
        <v>0.33333333333333298</v>
      </c>
      <c r="V387" s="71">
        <v>0</v>
      </c>
      <c r="W387" s="71" t="s">
        <v>1710</v>
      </c>
      <c r="X387" s="71">
        <v>0.21052631578947401</v>
      </c>
      <c r="Y387" s="73">
        <v>0.92</v>
      </c>
      <c r="Z387" s="73" t="s">
        <v>1710</v>
      </c>
      <c r="AA387" s="73" t="s">
        <v>1710</v>
      </c>
      <c r="AB387" s="73" t="s">
        <v>1710</v>
      </c>
      <c r="AC387" s="73" t="s">
        <v>1710</v>
      </c>
      <c r="AD387" s="73">
        <v>0.92</v>
      </c>
      <c r="AE387" s="71">
        <v>0.91487455197132606</v>
      </c>
      <c r="AF387" s="71">
        <v>0.99804432855280301</v>
      </c>
      <c r="AG387" s="71">
        <v>0.99943181818181803</v>
      </c>
      <c r="AH387" s="71">
        <v>0.98968384003883703</v>
      </c>
      <c r="AI387" s="73">
        <v>0.92</v>
      </c>
      <c r="AJ387" s="71">
        <v>0.94003451251078496</v>
      </c>
      <c r="AK387" s="71">
        <v>0.92966157929661597</v>
      </c>
      <c r="AL387" s="71">
        <v>0.85517580526186399</v>
      </c>
      <c r="AM387" s="71">
        <v>0.92375895045413003</v>
      </c>
      <c r="AN387" s="70">
        <v>0.99</v>
      </c>
      <c r="AO387" s="75">
        <v>1</v>
      </c>
      <c r="AP387" s="75">
        <v>1</v>
      </c>
      <c r="AQ387" s="75">
        <v>1</v>
      </c>
      <c r="AR387" s="75">
        <v>1</v>
      </c>
      <c r="AS387" s="95">
        <v>0.05</v>
      </c>
      <c r="AT387" s="79">
        <v>6.6666666666666693E-2</v>
      </c>
      <c r="AU387" s="79">
        <v>7.1428571428571397E-2</v>
      </c>
      <c r="AV387" s="79">
        <v>0</v>
      </c>
      <c r="AW387" s="79">
        <v>5.8479532163742701E-2</v>
      </c>
      <c r="AX387" s="56"/>
      <c r="AY387" s="54"/>
    </row>
    <row r="388" spans="1:51">
      <c r="A388" s="53"/>
      <c r="B388" s="56"/>
      <c r="C388" s="90" t="s">
        <v>370</v>
      </c>
      <c r="D388" s="230" t="s">
        <v>1757</v>
      </c>
      <c r="E388" s="68" t="s">
        <v>371</v>
      </c>
      <c r="F388" s="91" t="s">
        <v>409</v>
      </c>
      <c r="G388" s="91" t="s">
        <v>409</v>
      </c>
      <c r="H388" s="91" t="s">
        <v>409</v>
      </c>
      <c r="I388" s="91" t="s">
        <v>409</v>
      </c>
      <c r="J388" s="70">
        <v>0.9</v>
      </c>
      <c r="K388" s="71">
        <v>0.94736842105263197</v>
      </c>
      <c r="L388" s="71">
        <v>0.93333333333333302</v>
      </c>
      <c r="M388" s="72">
        <v>0.98245614035087703</v>
      </c>
      <c r="N388" s="71">
        <v>0.969135802469136</v>
      </c>
      <c r="O388" s="73">
        <v>0.9</v>
      </c>
      <c r="P388" s="71">
        <v>0</v>
      </c>
      <c r="Q388" s="71">
        <v>0.73684210526315796</v>
      </c>
      <c r="R388" s="71">
        <v>0</v>
      </c>
      <c r="S388" s="71">
        <v>0.5</v>
      </c>
      <c r="T388" s="73">
        <v>0.9</v>
      </c>
      <c r="U388" s="71">
        <v>0</v>
      </c>
      <c r="V388" s="71">
        <v>0.73684210526315796</v>
      </c>
      <c r="W388" s="71">
        <v>0</v>
      </c>
      <c r="X388" s="71">
        <v>0.4375</v>
      </c>
      <c r="Y388" s="73">
        <v>0.92</v>
      </c>
      <c r="Z388" s="73" t="s">
        <v>1710</v>
      </c>
      <c r="AA388" s="73" t="s">
        <v>1710</v>
      </c>
      <c r="AB388" s="73">
        <v>0</v>
      </c>
      <c r="AC388" s="73">
        <v>0.57142857142857095</v>
      </c>
      <c r="AD388" s="73">
        <v>0.92</v>
      </c>
      <c r="AE388" s="71">
        <v>0.995101733232856</v>
      </c>
      <c r="AF388" s="71">
        <v>0.99610591900311496</v>
      </c>
      <c r="AG388" s="71">
        <v>0.99637243047158397</v>
      </c>
      <c r="AH388" s="71">
        <v>0.99561760028273505</v>
      </c>
      <c r="AI388" s="73">
        <v>0.92</v>
      </c>
      <c r="AJ388" s="71">
        <v>0.93576900412492603</v>
      </c>
      <c r="AK388" s="71">
        <v>0.92908711695812596</v>
      </c>
      <c r="AL388" s="71">
        <v>0.94015107495642103</v>
      </c>
      <c r="AM388" s="71">
        <v>0.94962303569806505</v>
      </c>
      <c r="AN388" s="70">
        <v>0.99</v>
      </c>
      <c r="AO388" s="75">
        <v>1</v>
      </c>
      <c r="AP388" s="75">
        <v>1</v>
      </c>
      <c r="AQ388" s="75">
        <v>1</v>
      </c>
      <c r="AR388" s="75">
        <v>1</v>
      </c>
      <c r="AS388" s="95">
        <v>0.05</v>
      </c>
      <c r="AT388" s="79">
        <v>0.13636363636363599</v>
      </c>
      <c r="AU388" s="79">
        <v>0</v>
      </c>
      <c r="AV388" s="79">
        <v>0</v>
      </c>
      <c r="AW388" s="79">
        <v>5.1948051948052E-2</v>
      </c>
      <c r="AX388" s="56"/>
      <c r="AY388" s="54"/>
    </row>
    <row r="389" spans="1:51">
      <c r="A389" s="53"/>
      <c r="B389" s="56"/>
      <c r="C389" s="90" t="s">
        <v>370</v>
      </c>
      <c r="D389" s="230" t="s">
        <v>1757</v>
      </c>
      <c r="E389" s="68" t="s">
        <v>371</v>
      </c>
      <c r="F389" s="91" t="s">
        <v>410</v>
      </c>
      <c r="G389" s="91" t="s">
        <v>410</v>
      </c>
      <c r="H389" s="91" t="s">
        <v>410</v>
      </c>
      <c r="I389" s="91" t="s">
        <v>410</v>
      </c>
      <c r="J389" s="70">
        <v>0.9</v>
      </c>
      <c r="K389" s="71">
        <v>0.92105263157894701</v>
      </c>
      <c r="L389" s="71">
        <v>0.93181818181818199</v>
      </c>
      <c r="M389" s="72">
        <v>0.90909090909090895</v>
      </c>
      <c r="N389" s="71">
        <v>0.92494929006085203</v>
      </c>
      <c r="O389" s="73">
        <v>0.9</v>
      </c>
      <c r="P389" s="71" t="s">
        <v>1710</v>
      </c>
      <c r="Q389" s="71">
        <v>1</v>
      </c>
      <c r="R389" s="71" t="s">
        <v>1710</v>
      </c>
      <c r="S389" s="71">
        <v>0.66666666666666696</v>
      </c>
      <c r="T389" s="73">
        <v>0.9</v>
      </c>
      <c r="U389" s="71" t="s">
        <v>1710</v>
      </c>
      <c r="V389" s="71">
        <v>0.5</v>
      </c>
      <c r="W389" s="71" t="s">
        <v>1710</v>
      </c>
      <c r="X389" s="71">
        <v>0.33333333333333298</v>
      </c>
      <c r="Y389" s="73">
        <v>0.92</v>
      </c>
      <c r="Z389" s="73" t="s">
        <v>1710</v>
      </c>
      <c r="AA389" s="73" t="s">
        <v>1710</v>
      </c>
      <c r="AB389" s="73" t="s">
        <v>1710</v>
      </c>
      <c r="AC389" s="73">
        <v>1</v>
      </c>
      <c r="AD389" s="73">
        <v>0.92</v>
      </c>
      <c r="AE389" s="71">
        <v>0.99453551912568305</v>
      </c>
      <c r="AF389" s="71">
        <v>1</v>
      </c>
      <c r="AG389" s="71">
        <v>0.97391304347826102</v>
      </c>
      <c r="AH389" s="71">
        <v>0.98453261600538</v>
      </c>
      <c r="AI389" s="73">
        <v>0.92</v>
      </c>
      <c r="AJ389" s="71">
        <v>0.86692844677137904</v>
      </c>
      <c r="AK389" s="71">
        <v>0.90658321743161796</v>
      </c>
      <c r="AL389" s="71">
        <v>0.86567164179104505</v>
      </c>
      <c r="AM389" s="71">
        <v>0.91707491934520302</v>
      </c>
      <c r="AN389" s="70">
        <v>0.99</v>
      </c>
      <c r="AO389" s="75">
        <v>1</v>
      </c>
      <c r="AP389" s="75">
        <v>1</v>
      </c>
      <c r="AQ389" s="75">
        <v>1</v>
      </c>
      <c r="AR389" s="75">
        <v>1</v>
      </c>
      <c r="AS389" s="95">
        <v>0.05</v>
      </c>
      <c r="AT389" s="79">
        <v>0</v>
      </c>
      <c r="AU389" s="79">
        <v>0</v>
      </c>
      <c r="AV389" s="79">
        <v>0</v>
      </c>
      <c r="AW389" s="79">
        <v>3.4883720930232599E-2</v>
      </c>
      <c r="AX389" s="56"/>
      <c r="AY389" s="54"/>
    </row>
    <row r="390" spans="1:51">
      <c r="A390" s="53"/>
      <c r="B390" s="56"/>
      <c r="C390" s="90" t="s">
        <v>370</v>
      </c>
      <c r="D390" s="230" t="s">
        <v>1757</v>
      </c>
      <c r="E390" s="68" t="s">
        <v>371</v>
      </c>
      <c r="F390" s="91" t="s">
        <v>411</v>
      </c>
      <c r="G390" s="91" t="s">
        <v>411</v>
      </c>
      <c r="H390" s="91" t="s">
        <v>411</v>
      </c>
      <c r="I390" s="91" t="s">
        <v>411</v>
      </c>
      <c r="J390" s="70">
        <v>0.9</v>
      </c>
      <c r="K390" s="71">
        <v>0.97142857142857097</v>
      </c>
      <c r="L390" s="71">
        <v>0.97727272727272696</v>
      </c>
      <c r="M390" s="72">
        <v>0.875</v>
      </c>
      <c r="N390" s="71">
        <v>0.95132743362831895</v>
      </c>
      <c r="O390" s="73">
        <v>0.9</v>
      </c>
      <c r="P390" s="71">
        <v>1</v>
      </c>
      <c r="Q390" s="71">
        <v>0</v>
      </c>
      <c r="R390" s="71">
        <v>0</v>
      </c>
      <c r="S390" s="71">
        <v>0.25</v>
      </c>
      <c r="T390" s="73">
        <v>0.9</v>
      </c>
      <c r="U390" s="71">
        <v>0</v>
      </c>
      <c r="V390" s="71">
        <v>0</v>
      </c>
      <c r="W390" s="71">
        <v>0</v>
      </c>
      <c r="X390" s="71">
        <v>0.25</v>
      </c>
      <c r="Y390" s="73">
        <v>0.92</v>
      </c>
      <c r="Z390" s="73" t="s">
        <v>1710</v>
      </c>
      <c r="AA390" s="73" t="s">
        <v>1710</v>
      </c>
      <c r="AB390" s="73" t="s">
        <v>1710</v>
      </c>
      <c r="AC390" s="73">
        <v>1</v>
      </c>
      <c r="AD390" s="73">
        <v>0.92</v>
      </c>
      <c r="AE390" s="71">
        <v>0.996201329534663</v>
      </c>
      <c r="AF390" s="71">
        <v>0.99730941704035903</v>
      </c>
      <c r="AG390" s="71">
        <v>0.99748174263409695</v>
      </c>
      <c r="AH390" s="71">
        <v>0.99799280383002797</v>
      </c>
      <c r="AI390" s="73">
        <v>0.92</v>
      </c>
      <c r="AJ390" s="71">
        <v>0.91837420221699695</v>
      </c>
      <c r="AK390" s="71">
        <v>0.94046545192134201</v>
      </c>
      <c r="AL390" s="71">
        <v>0.932159810126582</v>
      </c>
      <c r="AM390" s="71">
        <v>0.94321772753145305</v>
      </c>
      <c r="AN390" s="70">
        <v>0.99</v>
      </c>
      <c r="AO390" s="75">
        <v>1</v>
      </c>
      <c r="AP390" s="75">
        <v>1</v>
      </c>
      <c r="AQ390" s="75">
        <v>1</v>
      </c>
      <c r="AR390" s="75">
        <v>1</v>
      </c>
      <c r="AS390" s="95">
        <v>0.05</v>
      </c>
      <c r="AT390" s="79">
        <v>0</v>
      </c>
      <c r="AU390" s="79">
        <v>5.5555555555555601E-2</v>
      </c>
      <c r="AV390" s="79">
        <v>6.6666666666666693E-2</v>
      </c>
      <c r="AW390" s="79">
        <v>4.4585987261146501E-2</v>
      </c>
      <c r="AX390" s="56"/>
      <c r="AY390" s="54"/>
    </row>
    <row r="391" spans="1:51">
      <c r="A391" s="53"/>
      <c r="B391" s="56"/>
      <c r="C391" s="90" t="s">
        <v>370</v>
      </c>
      <c r="D391" s="230" t="s">
        <v>1757</v>
      </c>
      <c r="E391" s="68" t="s">
        <v>371</v>
      </c>
      <c r="F391" s="91" t="s">
        <v>412</v>
      </c>
      <c r="G391" s="91" t="s">
        <v>412</v>
      </c>
      <c r="H391" s="91" t="s">
        <v>412</v>
      </c>
      <c r="I391" s="91" t="s">
        <v>412</v>
      </c>
      <c r="J391" s="70">
        <v>0.9</v>
      </c>
      <c r="K391" s="71">
        <v>0.92682926829268297</v>
      </c>
      <c r="L391" s="71">
        <v>0.86363636363636398</v>
      </c>
      <c r="M391" s="72">
        <v>0.88372093023255804</v>
      </c>
      <c r="N391" s="71">
        <v>0.93176972281449899</v>
      </c>
      <c r="O391" s="73">
        <v>0.9</v>
      </c>
      <c r="P391" s="71">
        <v>0.97995283018867896</v>
      </c>
      <c r="Q391" s="71">
        <v>0.90995548360987499</v>
      </c>
      <c r="R391" s="71">
        <v>0.91859450021824496</v>
      </c>
      <c r="S391" s="71">
        <v>0.947570794298218</v>
      </c>
      <c r="T391" s="73">
        <v>0.9</v>
      </c>
      <c r="U391" s="71">
        <v>0.90251572327044005</v>
      </c>
      <c r="V391" s="71">
        <v>0.82598138405503796</v>
      </c>
      <c r="W391" s="71">
        <v>0.82431252728066395</v>
      </c>
      <c r="X391" s="71">
        <v>0.87226223100291</v>
      </c>
      <c r="Y391" s="73">
        <v>0.92</v>
      </c>
      <c r="Z391" s="73" t="s">
        <v>1710</v>
      </c>
      <c r="AA391" s="73" t="s">
        <v>1710</v>
      </c>
      <c r="AB391" s="73" t="s">
        <v>1710</v>
      </c>
      <c r="AC391" s="73">
        <v>0.83333333333333304</v>
      </c>
      <c r="AD391" s="73">
        <v>0.92</v>
      </c>
      <c r="AE391" s="71">
        <v>0.99742509363295895</v>
      </c>
      <c r="AF391" s="71">
        <v>0.99658491151816198</v>
      </c>
      <c r="AG391" s="71">
        <v>0.99894492508968102</v>
      </c>
      <c r="AH391" s="71">
        <v>0.98242887363467601</v>
      </c>
      <c r="AI391" s="73">
        <v>0.92</v>
      </c>
      <c r="AJ391" s="71">
        <v>0.958855799373041</v>
      </c>
      <c r="AK391" s="71">
        <v>0.961165048543689</v>
      </c>
      <c r="AL391" s="71">
        <v>0.95067656045394999</v>
      </c>
      <c r="AM391" s="71">
        <v>0.96443283645474998</v>
      </c>
      <c r="AN391" s="70">
        <v>0.99</v>
      </c>
      <c r="AO391" s="75">
        <v>1</v>
      </c>
      <c r="AP391" s="75">
        <v>1</v>
      </c>
      <c r="AQ391" s="75">
        <v>1</v>
      </c>
      <c r="AR391" s="75">
        <v>1</v>
      </c>
      <c r="AS391" s="95">
        <v>0.05</v>
      </c>
      <c r="AT391" s="79">
        <v>0.25925925925925902</v>
      </c>
      <c r="AU391" s="79">
        <v>4.1666666666666699E-2</v>
      </c>
      <c r="AV391" s="79">
        <v>0</v>
      </c>
      <c r="AW391" s="79">
        <v>6.08695652173913E-2</v>
      </c>
      <c r="AX391" s="56"/>
      <c r="AY391" s="54"/>
    </row>
    <row r="392" spans="1:51">
      <c r="A392" s="53"/>
      <c r="B392" s="56"/>
      <c r="C392" s="90" t="s">
        <v>370</v>
      </c>
      <c r="D392" s="230" t="s">
        <v>1757</v>
      </c>
      <c r="E392" s="68" t="s">
        <v>371</v>
      </c>
      <c r="F392" s="91" t="s">
        <v>413</v>
      </c>
      <c r="G392" s="91" t="s">
        <v>413</v>
      </c>
      <c r="H392" s="91" t="s">
        <v>413</v>
      </c>
      <c r="I392" s="91" t="s">
        <v>413</v>
      </c>
      <c r="J392" s="70">
        <v>0.9</v>
      </c>
      <c r="K392" s="71">
        <v>0.93548387096774199</v>
      </c>
      <c r="L392" s="71">
        <v>0.89743589743589702</v>
      </c>
      <c r="M392" s="72">
        <v>0.97297297297297303</v>
      </c>
      <c r="N392" s="71">
        <v>0.944827586206897</v>
      </c>
      <c r="O392" s="73">
        <v>0.9</v>
      </c>
      <c r="P392" s="71" t="s">
        <v>1710</v>
      </c>
      <c r="Q392" s="71" t="s">
        <v>1710</v>
      </c>
      <c r="R392" s="71" t="s">
        <v>1710</v>
      </c>
      <c r="S392" s="71">
        <v>0</v>
      </c>
      <c r="T392" s="73">
        <v>0.9</v>
      </c>
      <c r="U392" s="71" t="s">
        <v>1710</v>
      </c>
      <c r="V392" s="71" t="s">
        <v>1710</v>
      </c>
      <c r="W392" s="71" t="s">
        <v>1710</v>
      </c>
      <c r="X392" s="71">
        <v>0</v>
      </c>
      <c r="Y392" s="73">
        <v>0.92</v>
      </c>
      <c r="Z392" s="73" t="s">
        <v>1710</v>
      </c>
      <c r="AA392" s="73">
        <v>1</v>
      </c>
      <c r="AB392" s="73" t="s">
        <v>1710</v>
      </c>
      <c r="AC392" s="73">
        <v>1</v>
      </c>
      <c r="AD392" s="73">
        <v>0.92</v>
      </c>
      <c r="AE392" s="71">
        <v>0.96052631578947401</v>
      </c>
      <c r="AF392" s="71">
        <v>0.98275862068965503</v>
      </c>
      <c r="AG392" s="71">
        <v>1</v>
      </c>
      <c r="AH392" s="71">
        <v>0.973248407643312</v>
      </c>
      <c r="AI392" s="73">
        <v>0.92</v>
      </c>
      <c r="AJ392" s="71">
        <v>0.79910714285714302</v>
      </c>
      <c r="AK392" s="71">
        <v>0.90995626447131495</v>
      </c>
      <c r="AL392" s="71">
        <v>0.87068507700478004</v>
      </c>
      <c r="AM392" s="71">
        <v>0.91333625738538105</v>
      </c>
      <c r="AN392" s="70">
        <v>0.99</v>
      </c>
      <c r="AO392" s="75">
        <v>1</v>
      </c>
      <c r="AP392" s="75">
        <v>1</v>
      </c>
      <c r="AQ392" s="75">
        <v>1</v>
      </c>
      <c r="AR392" s="75">
        <v>1</v>
      </c>
      <c r="AS392" s="95">
        <v>0.05</v>
      </c>
      <c r="AT392" s="79">
        <v>0</v>
      </c>
      <c r="AU392" s="79">
        <v>0</v>
      </c>
      <c r="AV392" s="79">
        <v>0</v>
      </c>
      <c r="AW392" s="79">
        <v>5.4545454545454501E-2</v>
      </c>
      <c r="AX392" s="56"/>
      <c r="AY392" s="54"/>
    </row>
    <row r="393" spans="1:51">
      <c r="A393" s="53"/>
      <c r="B393" s="56"/>
      <c r="C393" s="90" t="s">
        <v>370</v>
      </c>
      <c r="D393" s="230" t="s">
        <v>1757</v>
      </c>
      <c r="E393" s="68" t="s">
        <v>371</v>
      </c>
      <c r="F393" s="91" t="s">
        <v>414</v>
      </c>
      <c r="G393" s="91" t="s">
        <v>414</v>
      </c>
      <c r="H393" s="91" t="s">
        <v>414</v>
      </c>
      <c r="I393" s="91" t="s">
        <v>414</v>
      </c>
      <c r="J393" s="70">
        <v>0.9</v>
      </c>
      <c r="K393" s="71">
        <v>1</v>
      </c>
      <c r="L393" s="71">
        <v>0.97727272727272696</v>
      </c>
      <c r="M393" s="72">
        <v>0.95348837209302295</v>
      </c>
      <c r="N393" s="71">
        <v>0.96186440677966101</v>
      </c>
      <c r="O393" s="73">
        <v>0.9</v>
      </c>
      <c r="P393" s="71">
        <v>0</v>
      </c>
      <c r="Q393" s="71">
        <v>0</v>
      </c>
      <c r="R393" s="71">
        <v>0</v>
      </c>
      <c r="S393" s="71">
        <v>0.133333333333333</v>
      </c>
      <c r="T393" s="73">
        <v>0.9</v>
      </c>
      <c r="U393" s="71">
        <v>0</v>
      </c>
      <c r="V393" s="71">
        <v>0</v>
      </c>
      <c r="W393" s="71">
        <v>0</v>
      </c>
      <c r="X393" s="71">
        <v>0.155555555555556</v>
      </c>
      <c r="Y393" s="73">
        <v>0.92</v>
      </c>
      <c r="Z393" s="73" t="s">
        <v>1710</v>
      </c>
      <c r="AA393" s="73" t="s">
        <v>1710</v>
      </c>
      <c r="AB393" s="73" t="s">
        <v>1710</v>
      </c>
      <c r="AC393" s="73">
        <v>1</v>
      </c>
      <c r="AD393" s="73">
        <v>0.92</v>
      </c>
      <c r="AE393" s="71">
        <v>0.99711064129668803</v>
      </c>
      <c r="AF393" s="71">
        <v>0.99885211402333995</v>
      </c>
      <c r="AG393" s="71">
        <v>0.99869118513186295</v>
      </c>
      <c r="AH393" s="71">
        <v>0.96329437637765902</v>
      </c>
      <c r="AI393" s="73">
        <v>0.92</v>
      </c>
      <c r="AJ393" s="71">
        <v>0.96311364252779996</v>
      </c>
      <c r="AK393" s="71">
        <v>0.94402245706737098</v>
      </c>
      <c r="AL393" s="71">
        <v>0.96042167560569602</v>
      </c>
      <c r="AM393" s="71">
        <v>0.96585864214730199</v>
      </c>
      <c r="AN393" s="70">
        <v>0.99</v>
      </c>
      <c r="AO393" s="75">
        <v>1</v>
      </c>
      <c r="AP393" s="75">
        <v>1</v>
      </c>
      <c r="AQ393" s="75">
        <v>1</v>
      </c>
      <c r="AR393" s="75">
        <v>1</v>
      </c>
      <c r="AS393" s="95">
        <v>0.05</v>
      </c>
      <c r="AT393" s="79">
        <v>8.3333333333333301E-2</v>
      </c>
      <c r="AU393" s="79">
        <v>0.05</v>
      </c>
      <c r="AV393" s="79">
        <v>0</v>
      </c>
      <c r="AW393" s="79">
        <v>4.39024390243902E-2</v>
      </c>
      <c r="AX393" s="56"/>
      <c r="AY393" s="54"/>
    </row>
    <row r="394" spans="1:51">
      <c r="A394" s="53"/>
      <c r="B394" s="56"/>
      <c r="C394" s="90" t="s">
        <v>370</v>
      </c>
      <c r="D394" s="230" t="s">
        <v>1757</v>
      </c>
      <c r="E394" s="68" t="s">
        <v>371</v>
      </c>
      <c r="F394" s="91" t="s">
        <v>415</v>
      </c>
      <c r="G394" s="91" t="s">
        <v>415</v>
      </c>
      <c r="H394" s="91" t="s">
        <v>415</v>
      </c>
      <c r="I394" s="91" t="s">
        <v>415</v>
      </c>
      <c r="J394" s="70">
        <v>0.9</v>
      </c>
      <c r="K394" s="71">
        <v>0.94117647058823495</v>
      </c>
      <c r="L394" s="71">
        <v>0.92682926829268297</v>
      </c>
      <c r="M394" s="72">
        <v>0.97142857142857097</v>
      </c>
      <c r="N394" s="71">
        <v>0.96368038740920103</v>
      </c>
      <c r="O394" s="73">
        <v>0.9</v>
      </c>
      <c r="P394" s="71">
        <v>0.93638554216867498</v>
      </c>
      <c r="Q394" s="71">
        <v>0.94866529774127295</v>
      </c>
      <c r="R394" s="71">
        <v>0.97577422577422601</v>
      </c>
      <c r="S394" s="71">
        <v>0.95472475129623702</v>
      </c>
      <c r="T394" s="73">
        <v>0.9</v>
      </c>
      <c r="U394" s="71">
        <v>0.94361445783132503</v>
      </c>
      <c r="V394" s="71">
        <v>0.85420944558521605</v>
      </c>
      <c r="W394" s="71">
        <v>0.89985014985014999</v>
      </c>
      <c r="X394" s="71">
        <v>0.89612741571361199</v>
      </c>
      <c r="Y394" s="73">
        <v>0.92</v>
      </c>
      <c r="Z394" s="73" t="s">
        <v>1710</v>
      </c>
      <c r="AA394" s="73">
        <v>1</v>
      </c>
      <c r="AB394" s="73" t="s">
        <v>1710</v>
      </c>
      <c r="AC394" s="73">
        <v>0.75</v>
      </c>
      <c r="AD394" s="73">
        <v>0.92</v>
      </c>
      <c r="AE394" s="71">
        <v>0.99721388769824304</v>
      </c>
      <c r="AF394" s="71">
        <v>0.99880952380952404</v>
      </c>
      <c r="AG394" s="71">
        <v>0.99897769516728596</v>
      </c>
      <c r="AH394" s="71">
        <v>0.98861432301380103</v>
      </c>
      <c r="AI394" s="73">
        <v>0.92</v>
      </c>
      <c r="AJ394" s="71">
        <v>0.96251802018260502</v>
      </c>
      <c r="AK394" s="71">
        <v>0.95348837209302295</v>
      </c>
      <c r="AL394" s="71">
        <v>0.95532817569253803</v>
      </c>
      <c r="AM394" s="71">
        <v>0.94961211490321495</v>
      </c>
      <c r="AN394" s="70">
        <v>0.99</v>
      </c>
      <c r="AO394" s="75">
        <v>1</v>
      </c>
      <c r="AP394" s="75">
        <v>1</v>
      </c>
      <c r="AQ394" s="75">
        <v>1</v>
      </c>
      <c r="AR394" s="75">
        <v>1</v>
      </c>
      <c r="AS394" s="95">
        <v>0.05</v>
      </c>
      <c r="AT394" s="79">
        <v>0.04</v>
      </c>
      <c r="AU394" s="79">
        <v>7.4074074074074098E-2</v>
      </c>
      <c r="AV394" s="79">
        <v>8.8235294117647106E-2</v>
      </c>
      <c r="AW394" s="79">
        <v>3.6619718309859203E-2</v>
      </c>
      <c r="AX394" s="56"/>
      <c r="AY394" s="54"/>
    </row>
    <row r="395" spans="1:51">
      <c r="A395" s="53"/>
      <c r="B395" s="56"/>
      <c r="C395" s="90" t="s">
        <v>370</v>
      </c>
      <c r="D395" s="230" t="s">
        <v>1757</v>
      </c>
      <c r="E395" s="68" t="s">
        <v>371</v>
      </c>
      <c r="F395" s="91" t="s">
        <v>416</v>
      </c>
      <c r="G395" s="91" t="s">
        <v>416</v>
      </c>
      <c r="H395" s="91" t="s">
        <v>416</v>
      </c>
      <c r="I395" s="91" t="s">
        <v>416</v>
      </c>
      <c r="J395" s="70">
        <v>0.9</v>
      </c>
      <c r="K395" s="71">
        <v>0.92307692307692302</v>
      </c>
      <c r="L395" s="71">
        <v>0.96666666666666701</v>
      </c>
      <c r="M395" s="72">
        <v>1</v>
      </c>
      <c r="N395" s="71">
        <v>0.96024464831804301</v>
      </c>
      <c r="O395" s="73">
        <v>0.9</v>
      </c>
      <c r="P395" s="71" t="s">
        <v>1710</v>
      </c>
      <c r="Q395" s="71">
        <v>1</v>
      </c>
      <c r="R395" s="71" t="s">
        <v>1710</v>
      </c>
      <c r="S395" s="71">
        <v>0.83333333333333304</v>
      </c>
      <c r="T395" s="73">
        <v>0.9</v>
      </c>
      <c r="U395" s="71" t="s">
        <v>1710</v>
      </c>
      <c r="V395" s="71">
        <v>1</v>
      </c>
      <c r="W395" s="71" t="s">
        <v>1710</v>
      </c>
      <c r="X395" s="71">
        <v>0.83333333333333304</v>
      </c>
      <c r="Y395" s="73">
        <v>0.92</v>
      </c>
      <c r="Z395" s="73" t="s">
        <v>1710</v>
      </c>
      <c r="AA395" s="73">
        <v>0</v>
      </c>
      <c r="AB395" s="73" t="s">
        <v>1710</v>
      </c>
      <c r="AC395" s="73">
        <v>0</v>
      </c>
      <c r="AD395" s="73">
        <v>0.92</v>
      </c>
      <c r="AE395" s="71">
        <v>0.99644790257104199</v>
      </c>
      <c r="AF395" s="71">
        <v>0.99897225077081198</v>
      </c>
      <c r="AG395" s="71">
        <v>0.99729790587705502</v>
      </c>
      <c r="AH395" s="71">
        <v>0.99250277481099902</v>
      </c>
      <c r="AI395" s="73">
        <v>0.92</v>
      </c>
      <c r="AJ395" s="71">
        <v>0.95193653756416197</v>
      </c>
      <c r="AK395" s="71">
        <v>0.92769477054428995</v>
      </c>
      <c r="AL395" s="71">
        <v>0.95422642660970403</v>
      </c>
      <c r="AM395" s="71">
        <v>0.96030954324234497</v>
      </c>
      <c r="AN395" s="70">
        <v>0.99</v>
      </c>
      <c r="AO395" s="75">
        <v>1</v>
      </c>
      <c r="AP395" s="75">
        <v>1</v>
      </c>
      <c r="AQ395" s="75">
        <v>1</v>
      </c>
      <c r="AR395" s="75">
        <v>1</v>
      </c>
      <c r="AS395" s="95">
        <v>0.05</v>
      </c>
      <c r="AT395" s="79">
        <v>0</v>
      </c>
      <c r="AU395" s="79">
        <v>0</v>
      </c>
      <c r="AV395" s="79">
        <v>5.2631578947368397E-2</v>
      </c>
      <c r="AW395" s="79">
        <v>4.2553191489361701E-2</v>
      </c>
      <c r="AX395" s="56"/>
      <c r="AY395" s="54"/>
    </row>
    <row r="396" spans="1:51">
      <c r="A396" s="53"/>
      <c r="B396" s="56"/>
      <c r="C396" s="90" t="s">
        <v>370</v>
      </c>
      <c r="D396" s="230" t="s">
        <v>1757</v>
      </c>
      <c r="E396" s="68" t="s">
        <v>371</v>
      </c>
      <c r="F396" s="91" t="s">
        <v>417</v>
      </c>
      <c r="G396" s="91" t="s">
        <v>417</v>
      </c>
      <c r="H396" s="91" t="s">
        <v>417</v>
      </c>
      <c r="I396" s="91" t="s">
        <v>417</v>
      </c>
      <c r="J396" s="70">
        <v>0.9</v>
      </c>
      <c r="K396" s="71">
        <v>1</v>
      </c>
      <c r="L396" s="71">
        <v>0.952380952380952</v>
      </c>
      <c r="M396" s="72">
        <v>0.95555555555555605</v>
      </c>
      <c r="N396" s="71">
        <v>0.97736625514403297</v>
      </c>
      <c r="O396" s="73">
        <v>0.9</v>
      </c>
      <c r="P396" s="71" t="s">
        <v>1710</v>
      </c>
      <c r="Q396" s="71">
        <v>0.5</v>
      </c>
      <c r="R396" s="71">
        <v>0.25</v>
      </c>
      <c r="S396" s="71">
        <v>0.36363636363636398</v>
      </c>
      <c r="T396" s="73">
        <v>0.9</v>
      </c>
      <c r="U396" s="71" t="s">
        <v>1710</v>
      </c>
      <c r="V396" s="71">
        <v>0.5</v>
      </c>
      <c r="W396" s="71">
        <v>0.25</v>
      </c>
      <c r="X396" s="71">
        <v>0.31818181818181801</v>
      </c>
      <c r="Y396" s="73">
        <v>0.92</v>
      </c>
      <c r="Z396" s="73" t="s">
        <v>1710</v>
      </c>
      <c r="AA396" s="73" t="s">
        <v>1710</v>
      </c>
      <c r="AB396" s="73" t="s">
        <v>1710</v>
      </c>
      <c r="AC396" s="73">
        <v>0</v>
      </c>
      <c r="AD396" s="73">
        <v>0.92</v>
      </c>
      <c r="AE396" s="71">
        <v>0.97595473833097601</v>
      </c>
      <c r="AF396" s="71">
        <v>0.99667774086378702</v>
      </c>
      <c r="AG396" s="71">
        <v>0.99551166965888704</v>
      </c>
      <c r="AH396" s="71">
        <v>0.99326192121630996</v>
      </c>
      <c r="AI396" s="73">
        <v>0.92</v>
      </c>
      <c r="AJ396" s="71">
        <v>0.91330343796711499</v>
      </c>
      <c r="AK396" s="71">
        <v>0.93496097658595201</v>
      </c>
      <c r="AL396" s="71">
        <v>0.93359631821170297</v>
      </c>
      <c r="AM396" s="71">
        <v>0.94506655398267503</v>
      </c>
      <c r="AN396" s="70">
        <v>0.99</v>
      </c>
      <c r="AO396" s="75">
        <v>1</v>
      </c>
      <c r="AP396" s="75">
        <v>1</v>
      </c>
      <c r="AQ396" s="75">
        <v>1</v>
      </c>
      <c r="AR396" s="75">
        <v>1</v>
      </c>
      <c r="AS396" s="95">
        <v>0.05</v>
      </c>
      <c r="AT396" s="79">
        <v>0</v>
      </c>
      <c r="AU396" s="79">
        <v>0.105263157894737</v>
      </c>
      <c r="AV396" s="79">
        <v>9.0909090909090898E-2</v>
      </c>
      <c r="AW396" s="79">
        <v>5.9405940594059403E-2</v>
      </c>
      <c r="AX396" s="56"/>
      <c r="AY396" s="54"/>
    </row>
    <row r="397" spans="1:51">
      <c r="A397" s="53"/>
      <c r="B397" s="56"/>
      <c r="C397" s="90" t="s">
        <v>370</v>
      </c>
      <c r="D397" s="230" t="s">
        <v>1757</v>
      </c>
      <c r="E397" s="68" t="s">
        <v>371</v>
      </c>
      <c r="F397" s="91" t="s">
        <v>418</v>
      </c>
      <c r="G397" s="91" t="s">
        <v>418</v>
      </c>
      <c r="H397" s="91" t="s">
        <v>418</v>
      </c>
      <c r="I397" s="91" t="s">
        <v>418</v>
      </c>
      <c r="J397" s="70">
        <v>0.9</v>
      </c>
      <c r="K397" s="71">
        <v>0.95</v>
      </c>
      <c r="L397" s="71">
        <v>0.76</v>
      </c>
      <c r="M397" s="72">
        <v>0.86956521739130399</v>
      </c>
      <c r="N397" s="71">
        <v>0.88372093023255804</v>
      </c>
      <c r="O397" s="73">
        <v>0.9</v>
      </c>
      <c r="P397" s="71">
        <v>0.99023028611304997</v>
      </c>
      <c r="Q397" s="71">
        <v>0.98776978417266204</v>
      </c>
      <c r="R397" s="71">
        <v>0.98519407763105205</v>
      </c>
      <c r="S397" s="71">
        <v>0.98971763030926196</v>
      </c>
      <c r="T397" s="73">
        <v>0.9</v>
      </c>
      <c r="U397" s="71">
        <v>0.92812281926029305</v>
      </c>
      <c r="V397" s="71">
        <v>0.824820143884892</v>
      </c>
      <c r="W397" s="71">
        <v>0.88875550220087995</v>
      </c>
      <c r="X397" s="71">
        <v>0.89511982915447297</v>
      </c>
      <c r="Y397" s="73">
        <v>0.92</v>
      </c>
      <c r="Z397" s="73" t="s">
        <v>1710</v>
      </c>
      <c r="AA397" s="73" t="s">
        <v>1710</v>
      </c>
      <c r="AB397" s="73" t="s">
        <v>1710</v>
      </c>
      <c r="AC397" s="73" t="s">
        <v>1710</v>
      </c>
      <c r="AD397" s="73">
        <v>0.92</v>
      </c>
      <c r="AE397" s="71">
        <v>0.99749582637729595</v>
      </c>
      <c r="AF397" s="71">
        <v>0.99629629629629601</v>
      </c>
      <c r="AG397" s="71">
        <v>0.998285714285714</v>
      </c>
      <c r="AH397" s="71">
        <v>0.98695454733104904</v>
      </c>
      <c r="AI397" s="73">
        <v>0.92</v>
      </c>
      <c r="AJ397" s="71">
        <v>0.96933797909407704</v>
      </c>
      <c r="AK397" s="71">
        <v>0.98238677210639802</v>
      </c>
      <c r="AL397" s="71">
        <v>0.98122253296044704</v>
      </c>
      <c r="AM397" s="71">
        <v>0.98241523749308501</v>
      </c>
      <c r="AN397" s="70">
        <v>0.99</v>
      </c>
      <c r="AO397" s="75">
        <v>1</v>
      </c>
      <c r="AP397" s="75">
        <v>1</v>
      </c>
      <c r="AQ397" s="75">
        <v>1</v>
      </c>
      <c r="AR397" s="75">
        <v>1</v>
      </c>
      <c r="AS397" s="95">
        <v>0.05</v>
      </c>
      <c r="AT397" s="79">
        <v>0</v>
      </c>
      <c r="AU397" s="79">
        <v>0.2</v>
      </c>
      <c r="AV397" s="79">
        <v>0.11111111111111099</v>
      </c>
      <c r="AW397" s="79">
        <v>7.5268817204301106E-2</v>
      </c>
      <c r="AX397" s="56"/>
      <c r="AY397" s="54"/>
    </row>
    <row r="398" spans="1:51">
      <c r="A398" s="53"/>
      <c r="B398" s="56"/>
      <c r="C398" s="90" t="s">
        <v>370</v>
      </c>
      <c r="D398" s="230" t="s">
        <v>1757</v>
      </c>
      <c r="E398" s="68" t="s">
        <v>371</v>
      </c>
      <c r="F398" s="91" t="s">
        <v>419</v>
      </c>
      <c r="G398" s="91" t="s">
        <v>419</v>
      </c>
      <c r="H398" s="91" t="s">
        <v>419</v>
      </c>
      <c r="I398" s="91" t="s">
        <v>419</v>
      </c>
      <c r="J398" s="70">
        <v>0.9</v>
      </c>
      <c r="K398" s="71">
        <v>0.87096774193548399</v>
      </c>
      <c r="L398" s="71">
        <v>0.91891891891891897</v>
      </c>
      <c r="M398" s="72">
        <v>0.96875</v>
      </c>
      <c r="N398" s="71">
        <v>0.94736842105263197</v>
      </c>
      <c r="O398" s="73">
        <v>0.9</v>
      </c>
      <c r="P398" s="71" t="s">
        <v>1710</v>
      </c>
      <c r="Q398" s="71">
        <v>0</v>
      </c>
      <c r="R398" s="71">
        <v>0</v>
      </c>
      <c r="S398" s="71">
        <v>0</v>
      </c>
      <c r="T398" s="73">
        <v>0.9</v>
      </c>
      <c r="U398" s="71" t="s">
        <v>1710</v>
      </c>
      <c r="V398" s="71">
        <v>0</v>
      </c>
      <c r="W398" s="71">
        <v>0.5</v>
      </c>
      <c r="X398" s="71">
        <v>0.44444444444444398</v>
      </c>
      <c r="Y398" s="73">
        <v>0.92</v>
      </c>
      <c r="Z398" s="73" t="s">
        <v>1710</v>
      </c>
      <c r="AA398" s="73" t="s">
        <v>1710</v>
      </c>
      <c r="AB398" s="73" t="s">
        <v>1710</v>
      </c>
      <c r="AC398" s="73">
        <v>0</v>
      </c>
      <c r="AD398" s="73">
        <v>0.92</v>
      </c>
      <c r="AE398" s="71">
        <v>0.99721739130434806</v>
      </c>
      <c r="AF398" s="71">
        <v>1</v>
      </c>
      <c r="AG398" s="71">
        <v>0.99875652822680905</v>
      </c>
      <c r="AH398" s="71">
        <v>0.97909732728189602</v>
      </c>
      <c r="AI398" s="73">
        <v>0.92</v>
      </c>
      <c r="AJ398" s="71">
        <v>0.94319574989783395</v>
      </c>
      <c r="AK398" s="71">
        <v>0.93924825174825199</v>
      </c>
      <c r="AL398" s="71">
        <v>0.929892141756549</v>
      </c>
      <c r="AM398" s="71">
        <v>0.95000244247960497</v>
      </c>
      <c r="AN398" s="70">
        <v>0.99</v>
      </c>
      <c r="AO398" s="75">
        <v>1</v>
      </c>
      <c r="AP398" s="75">
        <v>1</v>
      </c>
      <c r="AQ398" s="75">
        <v>1</v>
      </c>
      <c r="AR398" s="75">
        <v>1</v>
      </c>
      <c r="AS398" s="95">
        <v>0.05</v>
      </c>
      <c r="AT398" s="79">
        <v>5.5555555555555601E-2</v>
      </c>
      <c r="AU398" s="79">
        <v>0</v>
      </c>
      <c r="AV398" s="79">
        <v>0</v>
      </c>
      <c r="AW398" s="79">
        <v>5.85106382978723E-2</v>
      </c>
      <c r="AX398" s="56"/>
      <c r="AY398" s="54"/>
    </row>
    <row r="399" spans="1:51">
      <c r="A399" s="53"/>
      <c r="B399" s="56"/>
      <c r="C399" s="90" t="s">
        <v>370</v>
      </c>
      <c r="D399" s="230" t="s">
        <v>1757</v>
      </c>
      <c r="E399" s="68" t="s">
        <v>371</v>
      </c>
      <c r="F399" s="91" t="s">
        <v>420</v>
      </c>
      <c r="G399" s="91" t="s">
        <v>420</v>
      </c>
      <c r="H399" s="91" t="s">
        <v>420</v>
      </c>
      <c r="I399" s="91" t="s">
        <v>420</v>
      </c>
      <c r="J399" s="70">
        <v>0.9</v>
      </c>
      <c r="K399" s="71">
        <v>0.89473684210526305</v>
      </c>
      <c r="L399" s="71">
        <v>0.81818181818181801</v>
      </c>
      <c r="M399" s="72">
        <v>1</v>
      </c>
      <c r="N399" s="71">
        <v>0.86585365853658502</v>
      </c>
      <c r="O399" s="73">
        <v>0.9</v>
      </c>
      <c r="P399" s="71">
        <v>0</v>
      </c>
      <c r="Q399" s="71" t="s">
        <v>1710</v>
      </c>
      <c r="R399" s="71" t="s">
        <v>1710</v>
      </c>
      <c r="S399" s="71">
        <v>0</v>
      </c>
      <c r="T399" s="73">
        <v>0.9</v>
      </c>
      <c r="U399" s="71">
        <v>0</v>
      </c>
      <c r="V399" s="71" t="s">
        <v>1710</v>
      </c>
      <c r="W399" s="71" t="s">
        <v>1710</v>
      </c>
      <c r="X399" s="71">
        <v>0</v>
      </c>
      <c r="Y399" s="73">
        <v>0.92</v>
      </c>
      <c r="Z399" s="73" t="s">
        <v>1710</v>
      </c>
      <c r="AA399" s="73" t="s">
        <v>1710</v>
      </c>
      <c r="AB399" s="73" t="s">
        <v>1710</v>
      </c>
      <c r="AC399" s="73" t="s">
        <v>1710</v>
      </c>
      <c r="AD399" s="73">
        <v>0.92</v>
      </c>
      <c r="AE399" s="71">
        <v>1</v>
      </c>
      <c r="AF399" s="71">
        <v>1</v>
      </c>
      <c r="AG399" s="71">
        <v>1</v>
      </c>
      <c r="AH399" s="71">
        <v>0.95977011494252895</v>
      </c>
      <c r="AI399" s="73">
        <v>0.92</v>
      </c>
      <c r="AJ399" s="71">
        <v>0.86802030456852797</v>
      </c>
      <c r="AK399" s="71">
        <v>0.88878883385862195</v>
      </c>
      <c r="AL399" s="71">
        <v>0.91054613935969897</v>
      </c>
      <c r="AM399" s="71">
        <v>0.93412267426333095</v>
      </c>
      <c r="AN399" s="70">
        <v>0.99</v>
      </c>
      <c r="AO399" s="75">
        <v>1</v>
      </c>
      <c r="AP399" s="75">
        <v>1</v>
      </c>
      <c r="AQ399" s="75">
        <v>1</v>
      </c>
      <c r="AR399" s="75">
        <v>1</v>
      </c>
      <c r="AS399" s="95">
        <v>0.05</v>
      </c>
      <c r="AT399" s="79">
        <v>0</v>
      </c>
      <c r="AU399" s="79">
        <v>0</v>
      </c>
      <c r="AV399" s="79">
        <v>0.14285714285714299</v>
      </c>
      <c r="AW399" s="79">
        <v>5.0847457627118599E-2</v>
      </c>
      <c r="AX399" s="56"/>
      <c r="AY399" s="54"/>
    </row>
    <row r="400" spans="1:51">
      <c r="A400" s="53"/>
      <c r="B400" s="56"/>
      <c r="C400" s="90" t="s">
        <v>370</v>
      </c>
      <c r="D400" s="230" t="s">
        <v>1757</v>
      </c>
      <c r="E400" s="68" t="s">
        <v>371</v>
      </c>
      <c r="F400" s="91" t="s">
        <v>421</v>
      </c>
      <c r="G400" s="91" t="s">
        <v>421</v>
      </c>
      <c r="H400" s="91" t="s">
        <v>421</v>
      </c>
      <c r="I400" s="91" t="s">
        <v>421</v>
      </c>
      <c r="J400" s="70">
        <v>0.9</v>
      </c>
      <c r="K400" s="71">
        <v>0.9</v>
      </c>
      <c r="L400" s="71">
        <v>0.82758620689655205</v>
      </c>
      <c r="M400" s="72">
        <v>0.85714285714285698</v>
      </c>
      <c r="N400" s="71">
        <v>0.88704318936877102</v>
      </c>
      <c r="O400" s="73">
        <v>0.9</v>
      </c>
      <c r="P400" s="71">
        <v>1</v>
      </c>
      <c r="Q400" s="71" t="s">
        <v>1710</v>
      </c>
      <c r="R400" s="71">
        <v>0</v>
      </c>
      <c r="S400" s="71">
        <v>0.5</v>
      </c>
      <c r="T400" s="73">
        <v>0.9</v>
      </c>
      <c r="U400" s="71">
        <v>0</v>
      </c>
      <c r="V400" s="71" t="s">
        <v>1710</v>
      </c>
      <c r="W400" s="71">
        <v>0</v>
      </c>
      <c r="X400" s="71">
        <v>0</v>
      </c>
      <c r="Y400" s="73">
        <v>0.92</v>
      </c>
      <c r="Z400" s="73" t="s">
        <v>1710</v>
      </c>
      <c r="AA400" s="73" t="s">
        <v>1710</v>
      </c>
      <c r="AB400" s="73" t="s">
        <v>1710</v>
      </c>
      <c r="AC400" s="73">
        <v>0</v>
      </c>
      <c r="AD400" s="73">
        <v>0.92</v>
      </c>
      <c r="AE400" s="71">
        <v>1</v>
      </c>
      <c r="AF400" s="71">
        <v>1</v>
      </c>
      <c r="AG400" s="71">
        <v>0.97142857142857097</v>
      </c>
      <c r="AH400" s="71">
        <v>0.99485420240137201</v>
      </c>
      <c r="AI400" s="73">
        <v>0.92</v>
      </c>
      <c r="AJ400" s="71">
        <v>0.92664509169363496</v>
      </c>
      <c r="AK400" s="71">
        <v>0.96645161290322601</v>
      </c>
      <c r="AL400" s="71">
        <v>0.94287020109689201</v>
      </c>
      <c r="AM400" s="71">
        <v>0.95213767141704797</v>
      </c>
      <c r="AN400" s="70">
        <v>0.99</v>
      </c>
      <c r="AO400" s="75">
        <v>1</v>
      </c>
      <c r="AP400" s="75">
        <v>1</v>
      </c>
      <c r="AQ400" s="75">
        <v>1</v>
      </c>
      <c r="AR400" s="75">
        <v>1</v>
      </c>
      <c r="AS400" s="95">
        <v>0.05</v>
      </c>
      <c r="AT400" s="79">
        <v>0</v>
      </c>
      <c r="AU400" s="79">
        <v>0</v>
      </c>
      <c r="AV400" s="79">
        <v>0.5</v>
      </c>
      <c r="AW400" s="79">
        <v>0.08</v>
      </c>
      <c r="AX400" s="56"/>
      <c r="AY400" s="54"/>
    </row>
    <row r="401" spans="1:51">
      <c r="A401" s="53"/>
      <c r="B401" s="56"/>
      <c r="C401" s="90" t="s">
        <v>370</v>
      </c>
      <c r="D401" s="230" t="s">
        <v>1757</v>
      </c>
      <c r="E401" s="68" t="s">
        <v>371</v>
      </c>
      <c r="F401" s="91" t="s">
        <v>422</v>
      </c>
      <c r="G401" s="91" t="s">
        <v>422</v>
      </c>
      <c r="H401" s="91" t="s">
        <v>422</v>
      </c>
      <c r="I401" s="91" t="s">
        <v>422</v>
      </c>
      <c r="J401" s="70">
        <v>0.9</v>
      </c>
      <c r="K401" s="71">
        <v>0.94285714285714295</v>
      </c>
      <c r="L401" s="71">
        <v>0.94736842105263197</v>
      </c>
      <c r="M401" s="72">
        <v>0.97142857142857097</v>
      </c>
      <c r="N401" s="71">
        <v>0.92805755395683498</v>
      </c>
      <c r="O401" s="73">
        <v>0.9</v>
      </c>
      <c r="P401" s="71">
        <v>0.94004995836802696</v>
      </c>
      <c r="Q401" s="71">
        <v>0.96036446469248304</v>
      </c>
      <c r="R401" s="71">
        <v>0.93244626407369502</v>
      </c>
      <c r="S401" s="71">
        <v>0.97007021442587305</v>
      </c>
      <c r="T401" s="73">
        <v>0.9</v>
      </c>
      <c r="U401" s="71">
        <v>0.89925062447960002</v>
      </c>
      <c r="V401" s="71">
        <v>0.86833712984054701</v>
      </c>
      <c r="W401" s="71">
        <v>0.83162743091095204</v>
      </c>
      <c r="X401" s="71">
        <v>0.882124872928438</v>
      </c>
      <c r="Y401" s="73">
        <v>0.92</v>
      </c>
      <c r="Z401" s="73">
        <v>0</v>
      </c>
      <c r="AA401" s="73">
        <v>0</v>
      </c>
      <c r="AB401" s="73" t="s">
        <v>1710</v>
      </c>
      <c r="AC401" s="73">
        <v>0.57142857142857095</v>
      </c>
      <c r="AD401" s="73">
        <v>0.92</v>
      </c>
      <c r="AE401" s="71">
        <v>0.98353735753482496</v>
      </c>
      <c r="AF401" s="71">
        <v>0.99628639334521696</v>
      </c>
      <c r="AG401" s="71">
        <v>0.99279711884753896</v>
      </c>
      <c r="AH401" s="71">
        <v>0.96906880833514197</v>
      </c>
      <c r="AI401" s="73">
        <v>0.92</v>
      </c>
      <c r="AJ401" s="71">
        <v>0.94423637120266302</v>
      </c>
      <c r="AK401" s="71">
        <v>0.96493624772313302</v>
      </c>
      <c r="AL401" s="71">
        <v>0.93454359498849404</v>
      </c>
      <c r="AM401" s="71">
        <v>0.96377599243856305</v>
      </c>
      <c r="AN401" s="70">
        <v>0.99</v>
      </c>
      <c r="AO401" s="75">
        <v>1</v>
      </c>
      <c r="AP401" s="75">
        <v>1</v>
      </c>
      <c r="AQ401" s="75">
        <v>1</v>
      </c>
      <c r="AR401" s="75">
        <v>1</v>
      </c>
      <c r="AS401" s="95">
        <v>0.05</v>
      </c>
      <c r="AT401" s="79">
        <v>0.27272727272727298</v>
      </c>
      <c r="AU401" s="79">
        <v>0.21052631578947401</v>
      </c>
      <c r="AV401" s="79">
        <v>0</v>
      </c>
      <c r="AW401" s="79">
        <v>0.118226600985222</v>
      </c>
      <c r="AX401" s="56"/>
      <c r="AY401" s="54"/>
    </row>
    <row r="402" spans="1:51">
      <c r="A402" s="53"/>
      <c r="B402" s="56"/>
      <c r="C402" s="90" t="s">
        <v>370</v>
      </c>
      <c r="D402" s="230" t="s">
        <v>1757</v>
      </c>
      <c r="E402" s="68" t="s">
        <v>371</v>
      </c>
      <c r="F402" s="91" t="s">
        <v>423</v>
      </c>
      <c r="G402" s="91" t="s">
        <v>423</v>
      </c>
      <c r="H402" s="91" t="s">
        <v>423</v>
      </c>
      <c r="I402" s="91" t="s">
        <v>423</v>
      </c>
      <c r="J402" s="70">
        <v>0.9</v>
      </c>
      <c r="K402" s="71">
        <v>0.94444444444444398</v>
      </c>
      <c r="L402" s="71">
        <v>0.952380952380952</v>
      </c>
      <c r="M402" s="72">
        <v>1</v>
      </c>
      <c r="N402" s="71">
        <v>0.97417840375586895</v>
      </c>
      <c r="O402" s="73">
        <v>0.9</v>
      </c>
      <c r="P402" s="71">
        <v>0.78571428571428603</v>
      </c>
      <c r="Q402" s="71">
        <v>0.3</v>
      </c>
      <c r="R402" s="71">
        <v>0.4</v>
      </c>
      <c r="S402" s="71">
        <v>0.46153846153846201</v>
      </c>
      <c r="T402" s="73">
        <v>0.9</v>
      </c>
      <c r="U402" s="71">
        <v>0.78571428571428603</v>
      </c>
      <c r="V402" s="71">
        <v>0.2</v>
      </c>
      <c r="W402" s="71">
        <v>0.5</v>
      </c>
      <c r="X402" s="71">
        <v>0.53846153846153799</v>
      </c>
      <c r="Y402" s="73">
        <v>0.92</v>
      </c>
      <c r="Z402" s="73" t="s">
        <v>1710</v>
      </c>
      <c r="AA402" s="73">
        <v>1</v>
      </c>
      <c r="AB402" s="73" t="s">
        <v>1710</v>
      </c>
      <c r="AC402" s="73">
        <v>0.66666666666666696</v>
      </c>
      <c r="AD402" s="73">
        <v>0.92</v>
      </c>
      <c r="AE402" s="71">
        <v>0.96188340807174899</v>
      </c>
      <c r="AF402" s="71">
        <v>0.98624105668684603</v>
      </c>
      <c r="AG402" s="71">
        <v>0.99198396793587196</v>
      </c>
      <c r="AH402" s="71">
        <v>0.94451303523180696</v>
      </c>
      <c r="AI402" s="73">
        <v>0.92</v>
      </c>
      <c r="AJ402" s="71">
        <v>0.95061728395061695</v>
      </c>
      <c r="AK402" s="71">
        <v>0.95148552087250804</v>
      </c>
      <c r="AL402" s="71">
        <v>0.89977375565610895</v>
      </c>
      <c r="AM402" s="71">
        <v>0.94932883836618898</v>
      </c>
      <c r="AN402" s="70">
        <v>0.99</v>
      </c>
      <c r="AO402" s="75">
        <v>1</v>
      </c>
      <c r="AP402" s="75">
        <v>1</v>
      </c>
      <c r="AQ402" s="75">
        <v>1</v>
      </c>
      <c r="AR402" s="75">
        <v>1</v>
      </c>
      <c r="AS402" s="95">
        <v>0.05</v>
      </c>
      <c r="AT402" s="79">
        <v>6.25E-2</v>
      </c>
      <c r="AU402" s="79">
        <v>3.125E-2</v>
      </c>
      <c r="AV402" s="79">
        <v>0</v>
      </c>
      <c r="AW402" s="79">
        <v>5.2469135802469098E-2</v>
      </c>
      <c r="AX402" s="56"/>
      <c r="AY402" s="54"/>
    </row>
    <row r="403" spans="1:51">
      <c r="A403" s="53"/>
      <c r="B403" s="56"/>
      <c r="C403" s="90" t="s">
        <v>370</v>
      </c>
      <c r="D403" s="230" t="s">
        <v>1757</v>
      </c>
      <c r="E403" s="68" t="s">
        <v>371</v>
      </c>
      <c r="F403" s="91" t="s">
        <v>424</v>
      </c>
      <c r="G403" s="91" t="s">
        <v>424</v>
      </c>
      <c r="H403" s="91" t="s">
        <v>424</v>
      </c>
      <c r="I403" s="91" t="s">
        <v>424</v>
      </c>
      <c r="J403" s="70">
        <v>0.9</v>
      </c>
      <c r="K403" s="71">
        <v>1</v>
      </c>
      <c r="L403" s="71">
        <v>0.97826086956521696</v>
      </c>
      <c r="M403" s="72">
        <v>1</v>
      </c>
      <c r="N403" s="71">
        <v>0.99576271186440701</v>
      </c>
      <c r="O403" s="73">
        <v>0.9</v>
      </c>
      <c r="P403" s="71" t="s">
        <v>1710</v>
      </c>
      <c r="Q403" s="71">
        <v>0</v>
      </c>
      <c r="R403" s="71" t="s">
        <v>1710</v>
      </c>
      <c r="S403" s="71">
        <v>0.57142857142857095</v>
      </c>
      <c r="T403" s="73">
        <v>0.9</v>
      </c>
      <c r="U403" s="71" t="s">
        <v>1710</v>
      </c>
      <c r="V403" s="71">
        <v>0</v>
      </c>
      <c r="W403" s="71" t="s">
        <v>1710</v>
      </c>
      <c r="X403" s="71">
        <v>0.71428571428571397</v>
      </c>
      <c r="Y403" s="73">
        <v>0.92</v>
      </c>
      <c r="Z403" s="73" t="s">
        <v>1710</v>
      </c>
      <c r="AA403" s="73" t="s">
        <v>1710</v>
      </c>
      <c r="AB403" s="73" t="s">
        <v>1710</v>
      </c>
      <c r="AC403" s="73" t="s">
        <v>1710</v>
      </c>
      <c r="AD403" s="73">
        <v>0.92</v>
      </c>
      <c r="AE403" s="71">
        <v>0.99602859412231903</v>
      </c>
      <c r="AF403" s="71">
        <v>0.99379844961240305</v>
      </c>
      <c r="AG403" s="71">
        <v>0.99630996309963105</v>
      </c>
      <c r="AH403" s="71">
        <v>0.97415273384545897</v>
      </c>
      <c r="AI403" s="73">
        <v>0.92</v>
      </c>
      <c r="AJ403" s="71">
        <v>0.92476383265856998</v>
      </c>
      <c r="AK403" s="71">
        <v>0.95710638297872297</v>
      </c>
      <c r="AL403" s="71">
        <v>0.956716150956895</v>
      </c>
      <c r="AM403" s="71">
        <v>0.95762408170578694</v>
      </c>
      <c r="AN403" s="70">
        <v>0.99</v>
      </c>
      <c r="AO403" s="75">
        <v>1</v>
      </c>
      <c r="AP403" s="75">
        <v>1</v>
      </c>
      <c r="AQ403" s="75">
        <v>1</v>
      </c>
      <c r="AR403" s="75">
        <v>1</v>
      </c>
      <c r="AS403" s="95">
        <v>0.05</v>
      </c>
      <c r="AT403" s="79">
        <v>9.0909090909090898E-2</v>
      </c>
      <c r="AU403" s="79">
        <v>0.2</v>
      </c>
      <c r="AV403" s="79">
        <v>0</v>
      </c>
      <c r="AW403" s="79">
        <v>6.7961165048543701E-2</v>
      </c>
      <c r="AX403" s="56"/>
      <c r="AY403" s="54"/>
    </row>
    <row r="404" spans="1:51">
      <c r="A404" s="53"/>
      <c r="B404" s="56"/>
      <c r="C404" s="90" t="s">
        <v>370</v>
      </c>
      <c r="D404" s="230" t="s">
        <v>1757</v>
      </c>
      <c r="E404" s="68" t="s">
        <v>371</v>
      </c>
      <c r="F404" s="91" t="s">
        <v>425</v>
      </c>
      <c r="G404" s="91" t="s">
        <v>425</v>
      </c>
      <c r="H404" s="91" t="s">
        <v>425</v>
      </c>
      <c r="I404" s="91" t="s">
        <v>425</v>
      </c>
      <c r="J404" s="70">
        <v>0.9</v>
      </c>
      <c r="K404" s="71">
        <v>0.96</v>
      </c>
      <c r="L404" s="71">
        <v>0.91666666666666696</v>
      </c>
      <c r="M404" s="72">
        <v>1</v>
      </c>
      <c r="N404" s="71">
        <v>0.89473684210526305</v>
      </c>
      <c r="O404" s="73">
        <v>0.9</v>
      </c>
      <c r="P404" s="71" t="s">
        <v>1710</v>
      </c>
      <c r="Q404" s="71">
        <v>0</v>
      </c>
      <c r="R404" s="71" t="s">
        <v>1710</v>
      </c>
      <c r="S404" s="71">
        <v>0.36363636363636398</v>
      </c>
      <c r="T404" s="73">
        <v>0.9</v>
      </c>
      <c r="U404" s="71" t="s">
        <v>1710</v>
      </c>
      <c r="V404" s="71">
        <v>0</v>
      </c>
      <c r="W404" s="71" t="s">
        <v>1710</v>
      </c>
      <c r="X404" s="71">
        <v>0.27272727272727298</v>
      </c>
      <c r="Y404" s="73">
        <v>0.92</v>
      </c>
      <c r="Z404" s="73" t="s">
        <v>1710</v>
      </c>
      <c r="AA404" s="73">
        <v>0</v>
      </c>
      <c r="AB404" s="73" t="s">
        <v>1710</v>
      </c>
      <c r="AC404" s="73">
        <v>0.5</v>
      </c>
      <c r="AD404" s="73">
        <v>0.92</v>
      </c>
      <c r="AE404" s="71">
        <v>0.99265477439664196</v>
      </c>
      <c r="AF404" s="71">
        <v>0.99925093632958795</v>
      </c>
      <c r="AG404" s="71">
        <v>0.99966409136714796</v>
      </c>
      <c r="AH404" s="71">
        <v>0.99640203100306002</v>
      </c>
      <c r="AI404" s="73">
        <v>0.92</v>
      </c>
      <c r="AJ404" s="71">
        <v>0.95806290564153795</v>
      </c>
      <c r="AK404" s="71">
        <v>0.93959731543624203</v>
      </c>
      <c r="AL404" s="71">
        <v>0.944868814347393</v>
      </c>
      <c r="AM404" s="71">
        <v>0.953656978601086</v>
      </c>
      <c r="AN404" s="70">
        <v>0.99</v>
      </c>
      <c r="AO404" s="75">
        <v>1</v>
      </c>
      <c r="AP404" s="75">
        <v>1</v>
      </c>
      <c r="AQ404" s="75">
        <v>1</v>
      </c>
      <c r="AR404" s="75">
        <v>1</v>
      </c>
      <c r="AS404" s="95">
        <v>0.05</v>
      </c>
      <c r="AT404" s="79">
        <v>0.16666666666666699</v>
      </c>
      <c r="AU404" s="79">
        <v>0</v>
      </c>
      <c r="AV404" s="79">
        <v>0</v>
      </c>
      <c r="AW404" s="79">
        <v>1.9230769230769201E-2</v>
      </c>
      <c r="AX404" s="56"/>
      <c r="AY404" s="54"/>
    </row>
    <row r="405" spans="1:51">
      <c r="A405" s="53"/>
      <c r="B405" s="56"/>
      <c r="C405" s="90" t="s">
        <v>370</v>
      </c>
      <c r="D405" s="230" t="s">
        <v>1757</v>
      </c>
      <c r="E405" s="68" t="s">
        <v>371</v>
      </c>
      <c r="F405" s="91" t="s">
        <v>426</v>
      </c>
      <c r="G405" s="91" t="s">
        <v>426</v>
      </c>
      <c r="H405" s="91" t="s">
        <v>426</v>
      </c>
      <c r="I405" s="91" t="s">
        <v>426</v>
      </c>
      <c r="J405" s="70">
        <v>0.9</v>
      </c>
      <c r="K405" s="71">
        <v>1</v>
      </c>
      <c r="L405" s="71">
        <v>1</v>
      </c>
      <c r="M405" s="72">
        <v>1</v>
      </c>
      <c r="N405" s="71">
        <v>1</v>
      </c>
      <c r="O405" s="73">
        <v>0.9</v>
      </c>
      <c r="P405" s="71" t="s">
        <v>1710</v>
      </c>
      <c r="Q405" s="71">
        <v>0</v>
      </c>
      <c r="R405" s="71">
        <v>0.5</v>
      </c>
      <c r="S405" s="71">
        <v>0.125</v>
      </c>
      <c r="T405" s="73">
        <v>0.9</v>
      </c>
      <c r="U405" s="71" t="s">
        <v>1710</v>
      </c>
      <c r="V405" s="71">
        <v>0.66666666666666696</v>
      </c>
      <c r="W405" s="71">
        <v>0.5</v>
      </c>
      <c r="X405" s="71">
        <v>0.625</v>
      </c>
      <c r="Y405" s="73">
        <v>0.92</v>
      </c>
      <c r="Z405" s="73" t="s">
        <v>1710</v>
      </c>
      <c r="AA405" s="73" t="s">
        <v>1710</v>
      </c>
      <c r="AB405" s="73" t="s">
        <v>1710</v>
      </c>
      <c r="AC405" s="73">
        <v>0</v>
      </c>
      <c r="AD405" s="73">
        <v>0.92</v>
      </c>
      <c r="AE405" s="71">
        <v>0.95016611295681097</v>
      </c>
      <c r="AF405" s="71">
        <v>0.61290322580645196</v>
      </c>
      <c r="AG405" s="71">
        <v>1</v>
      </c>
      <c r="AH405" s="71">
        <v>0.96563573883161502</v>
      </c>
      <c r="AI405" s="73">
        <v>0.92</v>
      </c>
      <c r="AJ405" s="71">
        <v>0.92756349952963302</v>
      </c>
      <c r="AK405" s="71">
        <v>0.95375722543352603</v>
      </c>
      <c r="AL405" s="71">
        <v>0.93966745843230404</v>
      </c>
      <c r="AM405" s="71">
        <v>0.95462847255599304</v>
      </c>
      <c r="AN405" s="70">
        <v>0.99</v>
      </c>
      <c r="AO405" s="75">
        <v>1</v>
      </c>
      <c r="AP405" s="75">
        <v>1</v>
      </c>
      <c r="AQ405" s="75">
        <v>1</v>
      </c>
      <c r="AR405" s="75">
        <v>1</v>
      </c>
      <c r="AS405" s="95">
        <v>0.05</v>
      </c>
      <c r="AT405" s="79">
        <v>0</v>
      </c>
      <c r="AU405" s="79">
        <v>0.2</v>
      </c>
      <c r="AV405" s="79">
        <v>0</v>
      </c>
      <c r="AW405" s="79">
        <v>0.175438596491228</v>
      </c>
      <c r="AX405" s="56"/>
      <c r="AY405" s="54"/>
    </row>
    <row r="406" spans="1:51">
      <c r="A406" s="53"/>
      <c r="B406" s="56"/>
      <c r="C406" s="90" t="s">
        <v>370</v>
      </c>
      <c r="D406" s="230" t="s">
        <v>1757</v>
      </c>
      <c r="E406" s="68" t="s">
        <v>371</v>
      </c>
      <c r="F406" s="91" t="s">
        <v>427</v>
      </c>
      <c r="G406" s="91" t="s">
        <v>427</v>
      </c>
      <c r="H406" s="91" t="s">
        <v>427</v>
      </c>
      <c r="I406" s="91" t="s">
        <v>427</v>
      </c>
      <c r="J406" s="70">
        <v>0.9</v>
      </c>
      <c r="K406" s="71">
        <v>1</v>
      </c>
      <c r="L406" s="71">
        <v>1</v>
      </c>
      <c r="M406" s="72">
        <v>1</v>
      </c>
      <c r="N406" s="71">
        <v>1</v>
      </c>
      <c r="O406" s="73">
        <v>0.9</v>
      </c>
      <c r="P406" s="71" t="s">
        <v>1710</v>
      </c>
      <c r="Q406" s="71" t="s">
        <v>1710</v>
      </c>
      <c r="R406" s="71" t="s">
        <v>1710</v>
      </c>
      <c r="S406" s="71">
        <v>0</v>
      </c>
      <c r="T406" s="73">
        <v>0.9</v>
      </c>
      <c r="U406" s="71" t="s">
        <v>1710</v>
      </c>
      <c r="V406" s="71" t="s">
        <v>1710</v>
      </c>
      <c r="W406" s="71" t="s">
        <v>1710</v>
      </c>
      <c r="X406" s="71">
        <v>0</v>
      </c>
      <c r="Y406" s="73">
        <v>0.92</v>
      </c>
      <c r="Z406" s="73" t="s">
        <v>1710</v>
      </c>
      <c r="AA406" s="73" t="s">
        <v>1710</v>
      </c>
      <c r="AB406" s="73" t="s">
        <v>1710</v>
      </c>
      <c r="AC406" s="73" t="s">
        <v>1710</v>
      </c>
      <c r="AD406" s="73">
        <v>0.92</v>
      </c>
      <c r="AE406" s="71">
        <v>0.63333333333333297</v>
      </c>
      <c r="AF406" s="71">
        <v>1</v>
      </c>
      <c r="AG406" s="71">
        <v>0.70833333333333304</v>
      </c>
      <c r="AH406" s="71">
        <v>0.73258426966292101</v>
      </c>
      <c r="AI406" s="73">
        <v>0.92</v>
      </c>
      <c r="AJ406" s="71">
        <v>0.924696356275304</v>
      </c>
      <c r="AK406" s="71">
        <v>0.92120000000000002</v>
      </c>
      <c r="AL406" s="71">
        <v>0.96061643835616395</v>
      </c>
      <c r="AM406" s="71">
        <v>0.95151593231984899</v>
      </c>
      <c r="AN406" s="70">
        <v>0.99</v>
      </c>
      <c r="AO406" s="75">
        <v>1</v>
      </c>
      <c r="AP406" s="75">
        <v>1</v>
      </c>
      <c r="AQ406" s="75">
        <v>1</v>
      </c>
      <c r="AR406" s="75">
        <v>1</v>
      </c>
      <c r="AS406" s="95">
        <v>0.05</v>
      </c>
      <c r="AT406" s="79">
        <v>0</v>
      </c>
      <c r="AU406" s="79">
        <v>0.11111111111111099</v>
      </c>
      <c r="AV406" s="79">
        <v>0</v>
      </c>
      <c r="AW406" s="79">
        <v>2.7777777777777801E-2</v>
      </c>
      <c r="AX406" s="56"/>
      <c r="AY406" s="54"/>
    </row>
    <row r="407" spans="1:51">
      <c r="A407" s="53"/>
      <c r="B407" s="56"/>
      <c r="C407" s="90" t="s">
        <v>370</v>
      </c>
      <c r="D407" s="230" t="s">
        <v>1757</v>
      </c>
      <c r="E407" s="68" t="s">
        <v>371</v>
      </c>
      <c r="F407" s="91" t="s">
        <v>428</v>
      </c>
      <c r="G407" s="91" t="s">
        <v>428</v>
      </c>
      <c r="H407" s="91" t="s">
        <v>428</v>
      </c>
      <c r="I407" s="91" t="s">
        <v>428</v>
      </c>
      <c r="J407" s="70">
        <v>0.9</v>
      </c>
      <c r="K407" s="71">
        <v>0.86274509803921595</v>
      </c>
      <c r="L407" s="71">
        <v>0.92857142857142905</v>
      </c>
      <c r="M407" s="72">
        <v>0.87037037037037002</v>
      </c>
      <c r="N407" s="71">
        <v>0.87006578947368396</v>
      </c>
      <c r="O407" s="73">
        <v>0.9</v>
      </c>
      <c r="P407" s="71">
        <v>0</v>
      </c>
      <c r="Q407" s="71">
        <v>0</v>
      </c>
      <c r="R407" s="71">
        <v>0</v>
      </c>
      <c r="S407" s="71">
        <v>0.125</v>
      </c>
      <c r="T407" s="73">
        <v>0.9</v>
      </c>
      <c r="U407" s="71">
        <v>0.33333333333333298</v>
      </c>
      <c r="V407" s="71">
        <v>0</v>
      </c>
      <c r="W407" s="71">
        <v>0</v>
      </c>
      <c r="X407" s="71">
        <v>0.25</v>
      </c>
      <c r="Y407" s="73">
        <v>0.92</v>
      </c>
      <c r="Z407" s="73" t="s">
        <v>1710</v>
      </c>
      <c r="AA407" s="73">
        <v>0</v>
      </c>
      <c r="AB407" s="73" t="s">
        <v>1710</v>
      </c>
      <c r="AC407" s="73">
        <v>0.33333333333333298</v>
      </c>
      <c r="AD407" s="73">
        <v>0.92</v>
      </c>
      <c r="AE407" s="71">
        <v>0.99195506982392201</v>
      </c>
      <c r="AF407" s="71">
        <v>0.99455864570737595</v>
      </c>
      <c r="AG407" s="71">
        <v>0.99267485822306201</v>
      </c>
      <c r="AH407" s="71">
        <v>0.986287445438782</v>
      </c>
      <c r="AI407" s="73">
        <v>0.92</v>
      </c>
      <c r="AJ407" s="71">
        <v>0.91562428928815098</v>
      </c>
      <c r="AK407" s="71">
        <v>0.94157125937623398</v>
      </c>
      <c r="AL407" s="71">
        <v>0.923327452842991</v>
      </c>
      <c r="AM407" s="71">
        <v>0.93141040199863701</v>
      </c>
      <c r="AN407" s="70">
        <v>0.99</v>
      </c>
      <c r="AO407" s="75">
        <v>1</v>
      </c>
      <c r="AP407" s="75">
        <v>1</v>
      </c>
      <c r="AQ407" s="75">
        <v>1</v>
      </c>
      <c r="AR407" s="75">
        <v>1</v>
      </c>
      <c r="AS407" s="95">
        <v>0.05</v>
      </c>
      <c r="AT407" s="79">
        <v>0</v>
      </c>
      <c r="AU407" s="79">
        <v>5.5555555555555601E-2</v>
      </c>
      <c r="AV407" s="79">
        <v>5.5555555555555601E-2</v>
      </c>
      <c r="AW407" s="79">
        <v>6.43564356435644E-2</v>
      </c>
      <c r="AX407" s="56"/>
      <c r="AY407" s="54"/>
    </row>
    <row r="408" spans="1:51">
      <c r="A408" s="53"/>
      <c r="B408" s="56"/>
      <c r="C408" s="90" t="s">
        <v>370</v>
      </c>
      <c r="D408" s="230" t="s">
        <v>1757</v>
      </c>
      <c r="E408" s="68" t="s">
        <v>371</v>
      </c>
      <c r="F408" s="91" t="s">
        <v>429</v>
      </c>
      <c r="G408" s="91" t="s">
        <v>429</v>
      </c>
      <c r="H408" s="91" t="s">
        <v>429</v>
      </c>
      <c r="I408" s="91" t="s">
        <v>429</v>
      </c>
      <c r="J408" s="70">
        <v>0.9</v>
      </c>
      <c r="K408" s="71">
        <v>1</v>
      </c>
      <c r="L408" s="71">
        <v>1</v>
      </c>
      <c r="M408" s="72">
        <v>0.96551724137931005</v>
      </c>
      <c r="N408" s="71">
        <v>0.98784194528875402</v>
      </c>
      <c r="O408" s="73">
        <v>0.9</v>
      </c>
      <c r="P408" s="71">
        <v>0.97030497592295395</v>
      </c>
      <c r="Q408" s="71">
        <v>0.98422090729782996</v>
      </c>
      <c r="R408" s="71">
        <v>0.98855180309101298</v>
      </c>
      <c r="S408" s="71">
        <v>0.98694724001219902</v>
      </c>
      <c r="T408" s="73">
        <v>0.9</v>
      </c>
      <c r="U408" s="71">
        <v>0.91974317817014495</v>
      </c>
      <c r="V408" s="71">
        <v>0.90532544378698199</v>
      </c>
      <c r="W408" s="71">
        <v>0.90440755580996002</v>
      </c>
      <c r="X408" s="71">
        <v>0.93034461726135997</v>
      </c>
      <c r="Y408" s="73">
        <v>0.92</v>
      </c>
      <c r="Z408" s="73">
        <v>0.930301532377657</v>
      </c>
      <c r="AA408" s="73">
        <v>0.93029490616622001</v>
      </c>
      <c r="AB408" s="73">
        <v>0.93742889647326499</v>
      </c>
      <c r="AC408" s="73">
        <v>0.94552169898430305</v>
      </c>
      <c r="AD408" s="73">
        <v>0.92</v>
      </c>
      <c r="AE408" s="71">
        <v>0.99414919551438297</v>
      </c>
      <c r="AF408" s="71">
        <v>0.99420289855072497</v>
      </c>
      <c r="AG408" s="71">
        <v>0.999111505997335</v>
      </c>
      <c r="AH408" s="71">
        <v>0.99813505322868901</v>
      </c>
      <c r="AI408" s="73">
        <v>0.92</v>
      </c>
      <c r="AJ408" s="71">
        <v>0.95121951219512202</v>
      </c>
      <c r="AK408" s="71">
        <v>0.96606434552666398</v>
      </c>
      <c r="AL408" s="71">
        <v>0.96069495870122501</v>
      </c>
      <c r="AM408" s="71">
        <v>0.96646297730728403</v>
      </c>
      <c r="AN408" s="70">
        <v>0.99</v>
      </c>
      <c r="AO408" s="75">
        <v>1</v>
      </c>
      <c r="AP408" s="75">
        <v>1</v>
      </c>
      <c r="AQ408" s="75">
        <v>1</v>
      </c>
      <c r="AR408" s="75">
        <v>1</v>
      </c>
      <c r="AS408" s="95">
        <v>0.05</v>
      </c>
      <c r="AT408" s="79">
        <v>0.14285714285714299</v>
      </c>
      <c r="AU408" s="79">
        <v>0.16666666666666699</v>
      </c>
      <c r="AV408" s="79">
        <v>0</v>
      </c>
      <c r="AW408" s="79">
        <v>3.7499999999999999E-2</v>
      </c>
      <c r="AX408" s="56"/>
      <c r="AY408" s="54"/>
    </row>
    <row r="409" spans="1:51">
      <c r="A409" s="53"/>
      <c r="B409" s="56"/>
      <c r="C409" s="90" t="s">
        <v>370</v>
      </c>
      <c r="D409" s="230" t="s">
        <v>1757</v>
      </c>
      <c r="E409" s="68" t="s">
        <v>371</v>
      </c>
      <c r="F409" s="91" t="s">
        <v>430</v>
      </c>
      <c r="G409" s="91" t="s">
        <v>430</v>
      </c>
      <c r="H409" s="91" t="s">
        <v>430</v>
      </c>
      <c r="I409" s="91" t="s">
        <v>430</v>
      </c>
      <c r="J409" s="70">
        <v>0.9</v>
      </c>
      <c r="K409" s="71">
        <v>0.94827586206896597</v>
      </c>
      <c r="L409" s="71">
        <v>0.96296296296296302</v>
      </c>
      <c r="M409" s="72">
        <v>0.91836734693877597</v>
      </c>
      <c r="N409" s="71">
        <v>0.94934640522875802</v>
      </c>
      <c r="O409" s="73">
        <v>0.9</v>
      </c>
      <c r="P409" s="71">
        <v>0.92780337941628299</v>
      </c>
      <c r="Q409" s="71">
        <v>0.94381625441696104</v>
      </c>
      <c r="R409" s="71">
        <v>0.87828162291169498</v>
      </c>
      <c r="S409" s="71">
        <v>0.95343959731543604</v>
      </c>
      <c r="T409" s="73">
        <v>0.9</v>
      </c>
      <c r="U409" s="71">
        <v>0.88364055299539201</v>
      </c>
      <c r="V409" s="71">
        <v>0.852650176678445</v>
      </c>
      <c r="W409" s="71">
        <v>0.80327309921582002</v>
      </c>
      <c r="X409" s="71">
        <v>0.87616159008776495</v>
      </c>
      <c r="Y409" s="73">
        <v>0.92</v>
      </c>
      <c r="Z409" s="73">
        <v>0.92114604462474603</v>
      </c>
      <c r="AA409" s="73">
        <v>0.89057750759878396</v>
      </c>
      <c r="AB409" s="73">
        <v>0.79536066094693403</v>
      </c>
      <c r="AC409" s="73">
        <v>0.887769567184437</v>
      </c>
      <c r="AD409" s="73">
        <v>0.92</v>
      </c>
      <c r="AE409" s="71">
        <v>0.99867290192113201</v>
      </c>
      <c r="AF409" s="71">
        <v>0.99671515720319104</v>
      </c>
      <c r="AG409" s="71">
        <v>0.99764682812040395</v>
      </c>
      <c r="AH409" s="71">
        <v>0.921532973256181</v>
      </c>
      <c r="AI409" s="73">
        <v>0.92</v>
      </c>
      <c r="AJ409" s="71">
        <v>0.93865405157942905</v>
      </c>
      <c r="AK409" s="71">
        <v>0.93564245810055902</v>
      </c>
      <c r="AL409" s="71">
        <v>0.84251191846128604</v>
      </c>
      <c r="AM409" s="71">
        <v>0.92168505704133197</v>
      </c>
      <c r="AN409" s="70">
        <v>0.99</v>
      </c>
      <c r="AO409" s="75">
        <v>1</v>
      </c>
      <c r="AP409" s="75">
        <v>1</v>
      </c>
      <c r="AQ409" s="75">
        <v>1</v>
      </c>
      <c r="AR409" s="75">
        <v>1</v>
      </c>
      <c r="AS409" s="95">
        <v>0.05</v>
      </c>
      <c r="AT409" s="79">
        <v>0</v>
      </c>
      <c r="AU409" s="79">
        <v>0.20833333333333301</v>
      </c>
      <c r="AV409" s="79">
        <v>0.08</v>
      </c>
      <c r="AW409" s="79">
        <v>5.5401662049861501E-2</v>
      </c>
      <c r="AX409" s="56"/>
      <c r="AY409" s="54"/>
    </row>
    <row r="410" spans="1:51">
      <c r="A410" s="53"/>
      <c r="B410" s="56"/>
      <c r="C410" s="90" t="s">
        <v>370</v>
      </c>
      <c r="D410" s="230" t="s">
        <v>1757</v>
      </c>
      <c r="E410" s="68" t="s">
        <v>371</v>
      </c>
      <c r="F410" s="91" t="s">
        <v>431</v>
      </c>
      <c r="G410" s="91" t="s">
        <v>431</v>
      </c>
      <c r="H410" s="91" t="s">
        <v>431</v>
      </c>
      <c r="I410" s="91" t="s">
        <v>431</v>
      </c>
      <c r="J410" s="70">
        <v>0.9</v>
      </c>
      <c r="K410" s="71">
        <v>1</v>
      </c>
      <c r="L410" s="71">
        <v>0.98245614035087703</v>
      </c>
      <c r="M410" s="72">
        <v>1</v>
      </c>
      <c r="N410" s="71">
        <v>0.97440000000000004</v>
      </c>
      <c r="O410" s="73">
        <v>0.9</v>
      </c>
      <c r="P410" s="71">
        <v>0.95942900075131499</v>
      </c>
      <c r="Q410" s="71">
        <v>0.968524590163934</v>
      </c>
      <c r="R410" s="71">
        <v>0.97121111846459296</v>
      </c>
      <c r="S410" s="71">
        <v>0.96550823099033201</v>
      </c>
      <c r="T410" s="73">
        <v>0.9</v>
      </c>
      <c r="U410" s="71">
        <v>0.934635612321563</v>
      </c>
      <c r="V410" s="71">
        <v>0.93934426229508206</v>
      </c>
      <c r="W410" s="71">
        <v>0.94043679682329595</v>
      </c>
      <c r="X410" s="71">
        <v>0.933571407833232</v>
      </c>
      <c r="Y410" s="73">
        <v>0.92</v>
      </c>
      <c r="Z410" s="73">
        <v>0.92850818946436497</v>
      </c>
      <c r="AA410" s="73">
        <v>0.91036414565826296</v>
      </c>
      <c r="AB410" s="73">
        <v>0.90446304044630399</v>
      </c>
      <c r="AC410" s="73">
        <v>0.92263624466009797</v>
      </c>
      <c r="AD410" s="73">
        <v>0.92</v>
      </c>
      <c r="AE410" s="71">
        <v>0.99996622306289296</v>
      </c>
      <c r="AF410" s="71">
        <v>0.97937181663837003</v>
      </c>
      <c r="AG410" s="71">
        <v>0.996117727296574</v>
      </c>
      <c r="AH410" s="71">
        <v>0.99242122245306597</v>
      </c>
      <c r="AI410" s="73">
        <v>0.92</v>
      </c>
      <c r="AJ410" s="71">
        <v>0.94462993878686696</v>
      </c>
      <c r="AK410" s="71">
        <v>0.95449844881075496</v>
      </c>
      <c r="AL410" s="71">
        <v>0.93461643461643495</v>
      </c>
      <c r="AM410" s="71">
        <v>0.94839406711839103</v>
      </c>
      <c r="AN410" s="70">
        <v>0.99</v>
      </c>
      <c r="AO410" s="75">
        <v>1</v>
      </c>
      <c r="AP410" s="75">
        <v>1</v>
      </c>
      <c r="AQ410" s="75">
        <v>1</v>
      </c>
      <c r="AR410" s="75">
        <v>1</v>
      </c>
      <c r="AS410" s="95">
        <v>0.05</v>
      </c>
      <c r="AT410" s="79">
        <v>6.25E-2</v>
      </c>
      <c r="AU410" s="79">
        <v>6.25E-2</v>
      </c>
      <c r="AV410" s="79">
        <v>8.3333333333333301E-2</v>
      </c>
      <c r="AW410" s="79">
        <v>7.5376884422110504E-2</v>
      </c>
      <c r="AX410" s="56"/>
      <c r="AY410" s="54"/>
    </row>
    <row r="411" spans="1:51">
      <c r="A411" s="53"/>
      <c r="B411" s="56"/>
      <c r="C411" s="90" t="s">
        <v>370</v>
      </c>
      <c r="D411" s="230" t="s">
        <v>1757</v>
      </c>
      <c r="E411" s="68" t="s">
        <v>371</v>
      </c>
      <c r="F411" s="91" t="s">
        <v>432</v>
      </c>
      <c r="G411" s="91" t="s">
        <v>432</v>
      </c>
      <c r="H411" s="91" t="s">
        <v>432</v>
      </c>
      <c r="I411" s="91" t="s">
        <v>432</v>
      </c>
      <c r="J411" s="70">
        <v>0.9</v>
      </c>
      <c r="K411" s="71">
        <v>1</v>
      </c>
      <c r="L411" s="71">
        <v>0.96296296296296302</v>
      </c>
      <c r="M411" s="72">
        <v>1</v>
      </c>
      <c r="N411" s="71">
        <v>0.97551789077212803</v>
      </c>
      <c r="O411" s="73">
        <v>0.9</v>
      </c>
      <c r="P411" s="71">
        <v>0.98886263921701001</v>
      </c>
      <c r="Q411" s="71">
        <v>0.98877400295421003</v>
      </c>
      <c r="R411" s="71">
        <v>0.98370233702336995</v>
      </c>
      <c r="S411" s="71">
        <v>0.95951075495571503</v>
      </c>
      <c r="T411" s="73">
        <v>0.9</v>
      </c>
      <c r="U411" s="71">
        <v>0.94093823827202205</v>
      </c>
      <c r="V411" s="71">
        <v>0.94357459379615904</v>
      </c>
      <c r="W411" s="71">
        <v>0.907134071340713</v>
      </c>
      <c r="X411" s="71">
        <v>0.91216083227892597</v>
      </c>
      <c r="Y411" s="73">
        <v>0.92</v>
      </c>
      <c r="Z411" s="73">
        <v>0.87127826281620802</v>
      </c>
      <c r="AA411" s="73">
        <v>0.88508170795993701</v>
      </c>
      <c r="AB411" s="73">
        <v>0.83729382163824395</v>
      </c>
      <c r="AC411" s="73">
        <v>0.90203878667329696</v>
      </c>
      <c r="AD411" s="73">
        <v>0.92</v>
      </c>
      <c r="AE411" s="71">
        <v>0.91390273863718496</v>
      </c>
      <c r="AF411" s="71">
        <v>0.91440343803996305</v>
      </c>
      <c r="AG411" s="71">
        <v>0.81287150510016903</v>
      </c>
      <c r="AH411" s="71">
        <v>0.90701000835762302</v>
      </c>
      <c r="AI411" s="73">
        <v>0.92</v>
      </c>
      <c r="AJ411" s="71">
        <v>0.91457016009686498</v>
      </c>
      <c r="AK411" s="71">
        <v>0.95040696573916295</v>
      </c>
      <c r="AL411" s="71">
        <v>0.89533011272141705</v>
      </c>
      <c r="AM411" s="71">
        <v>0.93933610998899597</v>
      </c>
      <c r="AN411" s="70">
        <v>0.99</v>
      </c>
      <c r="AO411" s="75">
        <v>1</v>
      </c>
      <c r="AP411" s="75">
        <v>1</v>
      </c>
      <c r="AQ411" s="75">
        <v>1</v>
      </c>
      <c r="AR411" s="75">
        <v>1</v>
      </c>
      <c r="AS411" s="95">
        <v>0.05</v>
      </c>
      <c r="AT411" s="79">
        <v>0.1</v>
      </c>
      <c r="AU411" s="79">
        <v>8.3333333333333301E-2</v>
      </c>
      <c r="AV411" s="79">
        <v>7.4074074074074098E-2</v>
      </c>
      <c r="AW411" s="79">
        <v>6.0109289617486301E-2</v>
      </c>
      <c r="AX411" s="56"/>
      <c r="AY411" s="54"/>
    </row>
    <row r="412" spans="1:51">
      <c r="A412" s="53"/>
      <c r="B412" s="56"/>
      <c r="C412" s="90" t="s">
        <v>370</v>
      </c>
      <c r="D412" s="230" t="s">
        <v>1757</v>
      </c>
      <c r="E412" s="68" t="s">
        <v>371</v>
      </c>
      <c r="F412" s="91" t="s">
        <v>433</v>
      </c>
      <c r="G412" s="91" t="s">
        <v>433</v>
      </c>
      <c r="H412" s="91" t="s">
        <v>433</v>
      </c>
      <c r="I412" s="91" t="s">
        <v>433</v>
      </c>
      <c r="J412" s="70">
        <v>0.9</v>
      </c>
      <c r="K412" s="71">
        <v>0.98305084745762705</v>
      </c>
      <c r="L412" s="71">
        <v>0.98039215686274495</v>
      </c>
      <c r="M412" s="72">
        <v>0.94545454545454499</v>
      </c>
      <c r="N412" s="71">
        <v>0.97381342062193099</v>
      </c>
      <c r="O412" s="73">
        <v>0.9</v>
      </c>
      <c r="P412" s="71">
        <v>0.99460916442048497</v>
      </c>
      <c r="Q412" s="71">
        <v>0.98797139141742496</v>
      </c>
      <c r="R412" s="71">
        <v>0.99001175088131599</v>
      </c>
      <c r="S412" s="71">
        <v>0.99088278308491795</v>
      </c>
      <c r="T412" s="73">
        <v>0.9</v>
      </c>
      <c r="U412" s="71">
        <v>0.95032730073161298</v>
      </c>
      <c r="V412" s="71">
        <v>0.947659297789337</v>
      </c>
      <c r="W412" s="71">
        <v>0.94447708578143397</v>
      </c>
      <c r="X412" s="71">
        <v>0.94840837663752098</v>
      </c>
      <c r="Y412" s="73">
        <v>0.92</v>
      </c>
      <c r="Z412" s="73">
        <v>0.94997559785261099</v>
      </c>
      <c r="AA412" s="73">
        <v>0.95201421800947905</v>
      </c>
      <c r="AB412" s="73">
        <v>0.94948937344741902</v>
      </c>
      <c r="AC412" s="73">
        <v>0.95993331329088005</v>
      </c>
      <c r="AD412" s="73">
        <v>0.92</v>
      </c>
      <c r="AE412" s="71">
        <v>0.99888105966673701</v>
      </c>
      <c r="AF412" s="71">
        <v>0.99678289255807395</v>
      </c>
      <c r="AG412" s="71">
        <v>0.99733333333333296</v>
      </c>
      <c r="AH412" s="71">
        <v>0.99551805958344297</v>
      </c>
      <c r="AI412" s="73">
        <v>0.92</v>
      </c>
      <c r="AJ412" s="71">
        <v>0.96243851542703795</v>
      </c>
      <c r="AK412" s="71">
        <v>0.97293895531781005</v>
      </c>
      <c r="AL412" s="71">
        <v>0.96359499431171802</v>
      </c>
      <c r="AM412" s="71">
        <v>0.97298043661521505</v>
      </c>
      <c r="AN412" s="70">
        <v>0.99</v>
      </c>
      <c r="AO412" s="75">
        <v>1</v>
      </c>
      <c r="AP412" s="75">
        <v>1</v>
      </c>
      <c r="AQ412" s="75">
        <v>1</v>
      </c>
      <c r="AR412" s="75">
        <v>1</v>
      </c>
      <c r="AS412" s="95">
        <v>0.05</v>
      </c>
      <c r="AT412" s="79">
        <v>0.1875</v>
      </c>
      <c r="AU412" s="79">
        <v>7.1428571428571397E-2</v>
      </c>
      <c r="AV412" s="79">
        <v>0</v>
      </c>
      <c r="AW412" s="79">
        <v>4.9019607843137303E-2</v>
      </c>
      <c r="AX412" s="56"/>
      <c r="AY412" s="54"/>
    </row>
    <row r="413" spans="1:51">
      <c r="A413" s="53"/>
      <c r="B413" s="56"/>
      <c r="C413" s="90" t="s">
        <v>370</v>
      </c>
      <c r="D413" s="230" t="s">
        <v>1757</v>
      </c>
      <c r="E413" s="68" t="s">
        <v>371</v>
      </c>
      <c r="F413" s="91" t="s">
        <v>434</v>
      </c>
      <c r="G413" s="91" t="s">
        <v>434</v>
      </c>
      <c r="H413" s="91" t="s">
        <v>434</v>
      </c>
      <c r="I413" s="91" t="s">
        <v>434</v>
      </c>
      <c r="J413" s="70">
        <v>0.9</v>
      </c>
      <c r="K413" s="71">
        <v>0.98</v>
      </c>
      <c r="L413" s="71">
        <v>1</v>
      </c>
      <c r="M413" s="72">
        <v>0.95918367346938804</v>
      </c>
      <c r="N413" s="71">
        <v>0.98913043478260898</v>
      </c>
      <c r="O413" s="73">
        <v>0.9</v>
      </c>
      <c r="P413" s="71">
        <v>0.99001761597181404</v>
      </c>
      <c r="Q413" s="71">
        <v>0.99349744542498797</v>
      </c>
      <c r="R413" s="71">
        <v>0.984529948433161</v>
      </c>
      <c r="S413" s="71">
        <v>0.99073770491803304</v>
      </c>
      <c r="T413" s="73">
        <v>0.9</v>
      </c>
      <c r="U413" s="71">
        <v>0.94421608925425704</v>
      </c>
      <c r="V413" s="71">
        <v>0.95866233163028303</v>
      </c>
      <c r="W413" s="71">
        <v>0.95993653312177696</v>
      </c>
      <c r="X413" s="71">
        <v>0.96504098360655699</v>
      </c>
      <c r="Y413" s="73">
        <v>0.92</v>
      </c>
      <c r="Z413" s="73">
        <v>0.96948640483383697</v>
      </c>
      <c r="AA413" s="73">
        <v>0.95532915360501602</v>
      </c>
      <c r="AB413" s="73">
        <v>0.98013479957431704</v>
      </c>
      <c r="AC413" s="73">
        <v>0.97808757945008296</v>
      </c>
      <c r="AD413" s="73">
        <v>0.92</v>
      </c>
      <c r="AE413" s="71">
        <v>0.99817484942507795</v>
      </c>
      <c r="AF413" s="71">
        <v>0.99564838990426496</v>
      </c>
      <c r="AG413" s="71">
        <v>0.99492385786801996</v>
      </c>
      <c r="AH413" s="71">
        <v>0.99680277093185898</v>
      </c>
      <c r="AI413" s="73">
        <v>0.92</v>
      </c>
      <c r="AJ413" s="71">
        <v>0.97535281256211503</v>
      </c>
      <c r="AK413" s="71">
        <v>0.97844450917564796</v>
      </c>
      <c r="AL413" s="71">
        <v>0.98504672897196299</v>
      </c>
      <c r="AM413" s="71">
        <v>0.98540104628982605</v>
      </c>
      <c r="AN413" s="70">
        <v>0.99</v>
      </c>
      <c r="AO413" s="75">
        <v>1</v>
      </c>
      <c r="AP413" s="75">
        <v>1</v>
      </c>
      <c r="AQ413" s="75">
        <v>1</v>
      </c>
      <c r="AR413" s="75">
        <v>1</v>
      </c>
      <c r="AS413" s="95">
        <v>0.05</v>
      </c>
      <c r="AT413" s="79">
        <v>5.8823529411764698E-2</v>
      </c>
      <c r="AU413" s="79">
        <v>0.28571428571428598</v>
      </c>
      <c r="AV413" s="79">
        <v>5.5555555555555601E-2</v>
      </c>
      <c r="AW413" s="79">
        <v>7.69230769230769E-2</v>
      </c>
      <c r="AX413" s="56"/>
      <c r="AY413" s="54"/>
    </row>
    <row r="414" spans="1:51">
      <c r="A414" s="53"/>
      <c r="B414" s="56"/>
      <c r="C414" s="90" t="s">
        <v>370</v>
      </c>
      <c r="D414" s="230" t="s">
        <v>1757</v>
      </c>
      <c r="E414" s="68" t="s">
        <v>371</v>
      </c>
      <c r="F414" s="91" t="s">
        <v>435</v>
      </c>
      <c r="G414" s="91" t="s">
        <v>435</v>
      </c>
      <c r="H414" s="91" t="s">
        <v>435</v>
      </c>
      <c r="I414" s="91" t="s">
        <v>435</v>
      </c>
      <c r="J414" s="70">
        <v>0.9</v>
      </c>
      <c r="K414" s="71">
        <v>0.94339622641509402</v>
      </c>
      <c r="L414" s="71">
        <v>0.97872340425531901</v>
      </c>
      <c r="M414" s="72">
        <v>0.98</v>
      </c>
      <c r="N414" s="71">
        <v>0.95833333333333304</v>
      </c>
      <c r="O414" s="73">
        <v>0.9</v>
      </c>
      <c r="P414" s="71">
        <v>0.95163356822549605</v>
      </c>
      <c r="Q414" s="71">
        <v>0.97585644371941305</v>
      </c>
      <c r="R414" s="71">
        <v>0.98545341999380998</v>
      </c>
      <c r="S414" s="71">
        <v>0.97991487873134298</v>
      </c>
      <c r="T414" s="73">
        <v>0.9</v>
      </c>
      <c r="U414" s="71">
        <v>0.96156310057655303</v>
      </c>
      <c r="V414" s="71">
        <v>0.93637846655791201</v>
      </c>
      <c r="W414" s="71">
        <v>0.95047972763850197</v>
      </c>
      <c r="X414" s="71">
        <v>0.95638992537313405</v>
      </c>
      <c r="Y414" s="73">
        <v>0.92</v>
      </c>
      <c r="Z414" s="73">
        <v>0.940651260504202</v>
      </c>
      <c r="AA414" s="73">
        <v>0.95520231213872797</v>
      </c>
      <c r="AB414" s="73">
        <v>0.95852787695688002</v>
      </c>
      <c r="AC414" s="73">
        <v>0.96388114077531695</v>
      </c>
      <c r="AD414" s="73">
        <v>0.92</v>
      </c>
      <c r="AE414" s="71">
        <v>0.98839045502397904</v>
      </c>
      <c r="AF414" s="71">
        <v>0.99759522147234503</v>
      </c>
      <c r="AG414" s="71">
        <v>0.99834786952011401</v>
      </c>
      <c r="AH414" s="71">
        <v>0.98959340192775003</v>
      </c>
      <c r="AI414" s="73">
        <v>0.92</v>
      </c>
      <c r="AJ414" s="71">
        <v>0.95739781232009202</v>
      </c>
      <c r="AK414" s="71">
        <v>0.96423017107309505</v>
      </c>
      <c r="AL414" s="71">
        <v>0.970528455284553</v>
      </c>
      <c r="AM414" s="71">
        <v>0.97373493282701895</v>
      </c>
      <c r="AN414" s="70">
        <v>0.99</v>
      </c>
      <c r="AO414" s="75">
        <v>1</v>
      </c>
      <c r="AP414" s="75">
        <v>1</v>
      </c>
      <c r="AQ414" s="75">
        <v>1</v>
      </c>
      <c r="AR414" s="75">
        <v>1</v>
      </c>
      <c r="AS414" s="95">
        <v>0.05</v>
      </c>
      <c r="AT414" s="79">
        <v>6.25E-2</v>
      </c>
      <c r="AU414" s="79">
        <v>0.25</v>
      </c>
      <c r="AV414" s="79">
        <v>0</v>
      </c>
      <c r="AW414" s="79">
        <v>4.2483660130718998E-2</v>
      </c>
      <c r="AX414" s="56"/>
      <c r="AY414" s="54"/>
    </row>
    <row r="415" spans="1:51">
      <c r="A415" s="53"/>
      <c r="B415" s="56"/>
      <c r="C415" s="90" t="s">
        <v>370</v>
      </c>
      <c r="D415" s="230" t="s">
        <v>1757</v>
      </c>
      <c r="E415" s="68" t="s">
        <v>371</v>
      </c>
      <c r="F415" s="91" t="s">
        <v>436</v>
      </c>
      <c r="G415" s="91" t="s">
        <v>436</v>
      </c>
      <c r="H415" s="91" t="s">
        <v>436</v>
      </c>
      <c r="I415" s="91" t="s">
        <v>436</v>
      </c>
      <c r="J415" s="70">
        <v>0.9</v>
      </c>
      <c r="K415" s="71">
        <v>1</v>
      </c>
      <c r="L415" s="71">
        <v>0.939393939393939</v>
      </c>
      <c r="M415" s="72">
        <v>1</v>
      </c>
      <c r="N415" s="71">
        <v>0.967901234567901</v>
      </c>
      <c r="O415" s="73">
        <v>0.9</v>
      </c>
      <c r="P415" s="71">
        <v>0.89770821688093905</v>
      </c>
      <c r="Q415" s="71">
        <v>0.90380139643134205</v>
      </c>
      <c r="R415" s="71">
        <v>0.936682365253794</v>
      </c>
      <c r="S415" s="71">
        <v>0.92653826487131397</v>
      </c>
      <c r="T415" s="73">
        <v>0.9</v>
      </c>
      <c r="U415" s="71">
        <v>0.88149804359977602</v>
      </c>
      <c r="V415" s="71">
        <v>0.88401861908456203</v>
      </c>
      <c r="W415" s="71">
        <v>0.91732077446363203</v>
      </c>
      <c r="X415" s="71">
        <v>0.90612749275609294</v>
      </c>
      <c r="Y415" s="73">
        <v>0.92</v>
      </c>
      <c r="Z415" s="73">
        <v>0.90679933665008305</v>
      </c>
      <c r="AA415" s="73">
        <v>0.97404580152671805</v>
      </c>
      <c r="AB415" s="73">
        <v>0.967818267865594</v>
      </c>
      <c r="AC415" s="73">
        <v>0.96548632900044795</v>
      </c>
      <c r="AD415" s="73">
        <v>0.92</v>
      </c>
      <c r="AE415" s="71">
        <v>0.79949359075803095</v>
      </c>
      <c r="AF415" s="71">
        <v>0.98775811209439501</v>
      </c>
      <c r="AG415" s="71">
        <v>0.99768250289687099</v>
      </c>
      <c r="AH415" s="71">
        <v>0.96316139297871095</v>
      </c>
      <c r="AI415" s="73">
        <v>0.92</v>
      </c>
      <c r="AJ415" s="71">
        <v>0.91885143570536798</v>
      </c>
      <c r="AK415" s="71">
        <v>0.98276748971193395</v>
      </c>
      <c r="AL415" s="71">
        <v>0.978628230616302</v>
      </c>
      <c r="AM415" s="71">
        <v>0.97248487760138003</v>
      </c>
      <c r="AN415" s="70">
        <v>0.99</v>
      </c>
      <c r="AO415" s="75">
        <v>1</v>
      </c>
      <c r="AP415" s="75">
        <v>1</v>
      </c>
      <c r="AQ415" s="75">
        <v>1</v>
      </c>
      <c r="AR415" s="75">
        <v>1</v>
      </c>
      <c r="AS415" s="95">
        <v>0.05</v>
      </c>
      <c r="AT415" s="79">
        <v>0</v>
      </c>
      <c r="AU415" s="79">
        <v>8.3682008368200795E-3</v>
      </c>
      <c r="AV415" s="79">
        <v>0</v>
      </c>
      <c r="AW415" s="79">
        <v>7.3339085418464203E-3</v>
      </c>
      <c r="AX415" s="56"/>
      <c r="AY415" s="54"/>
    </row>
    <row r="416" spans="1:51">
      <c r="A416" s="53"/>
      <c r="B416" s="56"/>
      <c r="C416" s="90" t="s">
        <v>370</v>
      </c>
      <c r="D416" s="230" t="s">
        <v>1757</v>
      </c>
      <c r="E416" s="68" t="s">
        <v>371</v>
      </c>
      <c r="F416" s="91" t="s">
        <v>437</v>
      </c>
      <c r="G416" s="91" t="s">
        <v>437</v>
      </c>
      <c r="H416" s="91" t="s">
        <v>437</v>
      </c>
      <c r="I416" s="91" t="s">
        <v>437</v>
      </c>
      <c r="J416" s="70">
        <v>0.9</v>
      </c>
      <c r="K416" s="71">
        <v>1</v>
      </c>
      <c r="L416" s="71">
        <v>0.95744680851063801</v>
      </c>
      <c r="M416" s="72">
        <v>0.92307692307692302</v>
      </c>
      <c r="N416" s="71">
        <v>0.92415169660678598</v>
      </c>
      <c r="O416" s="73">
        <v>0.9</v>
      </c>
      <c r="P416" s="71">
        <v>0.96309696092619401</v>
      </c>
      <c r="Q416" s="71">
        <v>0.99108322324967002</v>
      </c>
      <c r="R416" s="71">
        <v>0.98047419804741998</v>
      </c>
      <c r="S416" s="71">
        <v>0.97836996569686197</v>
      </c>
      <c r="T416" s="73">
        <v>0.9</v>
      </c>
      <c r="U416" s="71">
        <v>0.92257597684515202</v>
      </c>
      <c r="V416" s="71">
        <v>0.92173051519154603</v>
      </c>
      <c r="W416" s="71">
        <v>0.90585774058577395</v>
      </c>
      <c r="X416" s="71">
        <v>0.921229831025283</v>
      </c>
      <c r="Y416" s="73">
        <v>0.92</v>
      </c>
      <c r="Z416" s="73">
        <v>0.91157778391820898</v>
      </c>
      <c r="AA416" s="73">
        <v>0.93982494529540495</v>
      </c>
      <c r="AB416" s="73">
        <v>0.90839225330464202</v>
      </c>
      <c r="AC416" s="73">
        <v>0.92865519317929701</v>
      </c>
      <c r="AD416" s="73">
        <v>0.92</v>
      </c>
      <c r="AE416" s="71">
        <v>0.86155852309772796</v>
      </c>
      <c r="AF416" s="71">
        <v>0.90021860040399604</v>
      </c>
      <c r="AG416" s="71">
        <v>0.99922892392049301</v>
      </c>
      <c r="AH416" s="71">
        <v>0.96493016065265402</v>
      </c>
      <c r="AI416" s="73">
        <v>0.92</v>
      </c>
      <c r="AJ416" s="71">
        <v>0.93800876643706999</v>
      </c>
      <c r="AK416" s="71">
        <v>0.96231466227347595</v>
      </c>
      <c r="AL416" s="71">
        <v>0.93111328762651002</v>
      </c>
      <c r="AM416" s="71">
        <v>0.95161341447952297</v>
      </c>
      <c r="AN416" s="70">
        <v>0.99</v>
      </c>
      <c r="AO416" s="75">
        <v>1</v>
      </c>
      <c r="AP416" s="75">
        <v>1</v>
      </c>
      <c r="AQ416" s="75">
        <v>1</v>
      </c>
      <c r="AR416" s="75">
        <v>1</v>
      </c>
      <c r="AS416" s="95">
        <v>0.05</v>
      </c>
      <c r="AT416" s="79">
        <v>0</v>
      </c>
      <c r="AU416" s="79">
        <v>0.17647058823529399</v>
      </c>
      <c r="AV416" s="79">
        <v>0.08</v>
      </c>
      <c r="AW416" s="79">
        <v>5.8495821727019497E-2</v>
      </c>
      <c r="AX416" s="56"/>
      <c r="AY416" s="54"/>
    </row>
    <row r="417" spans="1:51">
      <c r="A417" s="53"/>
      <c r="B417" s="56"/>
      <c r="C417" s="90" t="s">
        <v>370</v>
      </c>
      <c r="D417" s="230" t="s">
        <v>1757</v>
      </c>
      <c r="E417" s="68" t="s">
        <v>371</v>
      </c>
      <c r="F417" s="91" t="s">
        <v>438</v>
      </c>
      <c r="G417" s="91" t="s">
        <v>438</v>
      </c>
      <c r="H417" s="91" t="s">
        <v>438</v>
      </c>
      <c r="I417" s="91" t="s">
        <v>438</v>
      </c>
      <c r="J417" s="70">
        <v>0.9</v>
      </c>
      <c r="K417" s="71">
        <v>0.96261682242990698</v>
      </c>
      <c r="L417" s="71">
        <v>1</v>
      </c>
      <c r="M417" s="72">
        <v>0.98913043478260898</v>
      </c>
      <c r="N417" s="71">
        <v>0.97590361445783103</v>
      </c>
      <c r="O417" s="73">
        <v>0.9</v>
      </c>
      <c r="P417" s="71">
        <v>0.98134152102031202</v>
      </c>
      <c r="Q417" s="71">
        <v>0.97915798249270503</v>
      </c>
      <c r="R417" s="71">
        <v>0.97941115915174004</v>
      </c>
      <c r="S417" s="71">
        <v>0.981329716083574</v>
      </c>
      <c r="T417" s="73">
        <v>0.9</v>
      </c>
      <c r="U417" s="71">
        <v>0.95866792631081699</v>
      </c>
      <c r="V417" s="71">
        <v>0.95623176323468095</v>
      </c>
      <c r="W417" s="71">
        <v>0.95470455013382705</v>
      </c>
      <c r="X417" s="71">
        <v>0.959023342564856</v>
      </c>
      <c r="Y417" s="73">
        <v>0.92</v>
      </c>
      <c r="Z417" s="73">
        <v>0.95669147248993502</v>
      </c>
      <c r="AA417" s="73">
        <v>0.95024232633279504</v>
      </c>
      <c r="AB417" s="73">
        <v>0.95600475624256798</v>
      </c>
      <c r="AC417" s="73">
        <v>0.96213753705980198</v>
      </c>
      <c r="AD417" s="73">
        <v>0.92</v>
      </c>
      <c r="AE417" s="71">
        <v>0.99386785764922703</v>
      </c>
      <c r="AF417" s="71">
        <v>0.98866025355163401</v>
      </c>
      <c r="AG417" s="71">
        <v>0.99313201787855698</v>
      </c>
      <c r="AH417" s="71">
        <v>0.98279669306873496</v>
      </c>
      <c r="AI417" s="73">
        <v>0.92</v>
      </c>
      <c r="AJ417" s="71">
        <v>0.96604318856867599</v>
      </c>
      <c r="AK417" s="71">
        <v>0.97201468912245204</v>
      </c>
      <c r="AL417" s="71">
        <v>0.96836206896551702</v>
      </c>
      <c r="AM417" s="71">
        <v>0.97399975479177703</v>
      </c>
      <c r="AN417" s="70">
        <v>0.99</v>
      </c>
      <c r="AO417" s="75">
        <v>1</v>
      </c>
      <c r="AP417" s="75">
        <v>1</v>
      </c>
      <c r="AQ417" s="75">
        <v>1</v>
      </c>
      <c r="AR417" s="75">
        <v>1</v>
      </c>
      <c r="AS417" s="95">
        <v>0.05</v>
      </c>
      <c r="AT417" s="79">
        <v>2.7027027027027001E-2</v>
      </c>
      <c r="AU417" s="79">
        <v>0.13793103448275901</v>
      </c>
      <c r="AV417" s="79">
        <v>6.3829787234042507E-2</v>
      </c>
      <c r="AW417" s="79">
        <v>3.5714285714285698E-2</v>
      </c>
      <c r="AX417" s="56"/>
      <c r="AY417" s="54"/>
    </row>
    <row r="418" spans="1:51">
      <c r="A418" s="53"/>
      <c r="B418" s="56"/>
      <c r="C418" s="90" t="s">
        <v>370</v>
      </c>
      <c r="D418" s="230" t="s">
        <v>1757</v>
      </c>
      <c r="E418" s="68" t="s">
        <v>371</v>
      </c>
      <c r="F418" s="91" t="s">
        <v>439</v>
      </c>
      <c r="G418" s="91" t="s">
        <v>439</v>
      </c>
      <c r="H418" s="91" t="s">
        <v>439</v>
      </c>
      <c r="I418" s="91" t="s">
        <v>439</v>
      </c>
      <c r="J418" s="70">
        <v>0.9</v>
      </c>
      <c r="K418" s="71">
        <v>1</v>
      </c>
      <c r="L418" s="71">
        <v>0.98507462686567204</v>
      </c>
      <c r="M418" s="72">
        <v>0.98701298701298701</v>
      </c>
      <c r="N418" s="71">
        <v>0.98899755501222497</v>
      </c>
      <c r="O418" s="73">
        <v>0.9</v>
      </c>
      <c r="P418" s="71">
        <v>0.99436846339501195</v>
      </c>
      <c r="Q418" s="71">
        <v>0.99194360523665703</v>
      </c>
      <c r="R418" s="71">
        <v>0.99381720430107501</v>
      </c>
      <c r="S418" s="71">
        <v>0.99114799446749702</v>
      </c>
      <c r="T418" s="73">
        <v>0.9</v>
      </c>
      <c r="U418" s="71">
        <v>0.96138374899436896</v>
      </c>
      <c r="V418" s="71">
        <v>0.95266868076535705</v>
      </c>
      <c r="W418" s="71">
        <v>0.96559139784946202</v>
      </c>
      <c r="X418" s="71">
        <v>0.96481327800829897</v>
      </c>
      <c r="Y418" s="73">
        <v>0.92</v>
      </c>
      <c r="Z418" s="73">
        <v>0.972443355786895</v>
      </c>
      <c r="AA418" s="73">
        <v>0.97111496244945095</v>
      </c>
      <c r="AB418" s="73">
        <v>0.98744264670369497</v>
      </c>
      <c r="AC418" s="73">
        <v>0.98333869559222298</v>
      </c>
      <c r="AD418" s="73">
        <v>0.92</v>
      </c>
      <c r="AE418" s="71">
        <v>0.99699097291875605</v>
      </c>
      <c r="AF418" s="71">
        <v>0.98834196891191695</v>
      </c>
      <c r="AG418" s="71">
        <v>0.99607227022780798</v>
      </c>
      <c r="AH418" s="71">
        <v>0.993230462916874</v>
      </c>
      <c r="AI418" s="73">
        <v>0.92</v>
      </c>
      <c r="AJ418" s="71">
        <v>0.97867746288798896</v>
      </c>
      <c r="AK418" s="71">
        <v>0.98408994484514201</v>
      </c>
      <c r="AL418" s="71">
        <v>0.992122983102528</v>
      </c>
      <c r="AM418" s="71">
        <v>0.988952285409744</v>
      </c>
      <c r="AN418" s="70">
        <v>0.99</v>
      </c>
      <c r="AO418" s="75">
        <v>1</v>
      </c>
      <c r="AP418" s="75">
        <v>1</v>
      </c>
      <c r="AQ418" s="75">
        <v>1</v>
      </c>
      <c r="AR418" s="75">
        <v>1</v>
      </c>
      <c r="AS418" s="95">
        <v>0.05</v>
      </c>
      <c r="AT418" s="79">
        <v>5.5555555555555601E-2</v>
      </c>
      <c r="AU418" s="79">
        <v>5.2631578947368397E-2</v>
      </c>
      <c r="AV418" s="79">
        <v>5.1282051282051301E-2</v>
      </c>
      <c r="AW418" s="79">
        <v>4.08163265306122E-2</v>
      </c>
      <c r="AX418" s="56"/>
      <c r="AY418" s="54"/>
    </row>
    <row r="419" spans="1:51">
      <c r="A419" s="53"/>
      <c r="B419" s="56"/>
      <c r="C419" s="90" t="s">
        <v>370</v>
      </c>
      <c r="D419" s="230" t="s">
        <v>1757</v>
      </c>
      <c r="E419" s="68" t="s">
        <v>371</v>
      </c>
      <c r="F419" s="91" t="s">
        <v>440</v>
      </c>
      <c r="G419" s="91" t="s">
        <v>440</v>
      </c>
      <c r="H419" s="91" t="s">
        <v>440</v>
      </c>
      <c r="I419" s="91" t="s">
        <v>440</v>
      </c>
      <c r="J419" s="70">
        <v>0.9</v>
      </c>
      <c r="K419" s="71">
        <v>1</v>
      </c>
      <c r="L419" s="71">
        <v>1</v>
      </c>
      <c r="M419" s="72">
        <v>1</v>
      </c>
      <c r="N419" s="71">
        <v>0.98825256975036702</v>
      </c>
      <c r="O419" s="73">
        <v>0.9</v>
      </c>
      <c r="P419" s="71">
        <v>0.95321637426900596</v>
      </c>
      <c r="Q419" s="71">
        <v>0.93642579929772696</v>
      </c>
      <c r="R419" s="71">
        <v>0.95966069745523097</v>
      </c>
      <c r="S419" s="71">
        <v>0.96226013549462597</v>
      </c>
      <c r="T419" s="73">
        <v>0.9</v>
      </c>
      <c r="U419" s="71">
        <v>0.958150584795322</v>
      </c>
      <c r="V419" s="71">
        <v>0.94548142672334101</v>
      </c>
      <c r="W419" s="71">
        <v>0.94797360980207401</v>
      </c>
      <c r="X419" s="71">
        <v>0.94592629376086301</v>
      </c>
      <c r="Y419" s="73">
        <v>0.92</v>
      </c>
      <c r="Z419" s="73">
        <v>0.93975462369529394</v>
      </c>
      <c r="AA419" s="73">
        <v>0.96720351390922399</v>
      </c>
      <c r="AB419" s="73">
        <v>0.93765350462875496</v>
      </c>
      <c r="AC419" s="73">
        <v>0.94555052492141001</v>
      </c>
      <c r="AD419" s="73">
        <v>0.92</v>
      </c>
      <c r="AE419" s="71">
        <v>0.92863121996589704</v>
      </c>
      <c r="AF419" s="71">
        <v>0.88892970854763698</v>
      </c>
      <c r="AG419" s="71">
        <v>0.99870719156379095</v>
      </c>
      <c r="AH419" s="71">
        <v>0.94555229857671597</v>
      </c>
      <c r="AI419" s="73">
        <v>0.92</v>
      </c>
      <c r="AJ419" s="71">
        <v>0.958995433789954</v>
      </c>
      <c r="AK419" s="71">
        <v>0.97722895661039999</v>
      </c>
      <c r="AL419" s="71">
        <v>0.95803470388532597</v>
      </c>
      <c r="AM419" s="71">
        <v>0.96473688144715197</v>
      </c>
      <c r="AN419" s="70">
        <v>0.99</v>
      </c>
      <c r="AO419" s="75">
        <v>1</v>
      </c>
      <c r="AP419" s="75">
        <v>1</v>
      </c>
      <c r="AQ419" s="75">
        <v>1</v>
      </c>
      <c r="AR419" s="75">
        <v>1</v>
      </c>
      <c r="AS419" s="95">
        <v>0.05</v>
      </c>
      <c r="AT419" s="79">
        <v>4.0983606557376998E-2</v>
      </c>
      <c r="AU419" s="79">
        <v>6.8027210884353704E-3</v>
      </c>
      <c r="AV419" s="79">
        <v>3.4883720930232599E-2</v>
      </c>
      <c r="AW419" s="79">
        <v>1.8633540372670801E-2</v>
      </c>
      <c r="AX419" s="56"/>
      <c r="AY419" s="54"/>
    </row>
    <row r="420" spans="1:51">
      <c r="A420" s="53"/>
      <c r="B420" s="56"/>
      <c r="C420" s="90" t="s">
        <v>370</v>
      </c>
      <c r="D420" s="230" t="s">
        <v>1757</v>
      </c>
      <c r="E420" s="68" t="s">
        <v>371</v>
      </c>
      <c r="F420" s="91" t="s">
        <v>441</v>
      </c>
      <c r="G420" s="91" t="s">
        <v>441</v>
      </c>
      <c r="H420" s="91" t="s">
        <v>441</v>
      </c>
      <c r="I420" s="91" t="s">
        <v>441</v>
      </c>
      <c r="J420" s="70">
        <v>0.9</v>
      </c>
      <c r="K420" s="71">
        <v>0.92156862745098</v>
      </c>
      <c r="L420" s="71">
        <v>0.875</v>
      </c>
      <c r="M420" s="72">
        <v>0.90476190476190499</v>
      </c>
      <c r="N420" s="71">
        <v>0.92570281124498</v>
      </c>
      <c r="O420" s="73">
        <v>0.9</v>
      </c>
      <c r="P420" s="71">
        <v>0.88093750000000004</v>
      </c>
      <c r="Q420" s="71">
        <v>0.89079473985134405</v>
      </c>
      <c r="R420" s="71">
        <v>0.96051687006460895</v>
      </c>
      <c r="S420" s="71">
        <v>0.91777833710881795</v>
      </c>
      <c r="T420" s="73">
        <v>0.9</v>
      </c>
      <c r="U420" s="71">
        <v>0.86031250000000004</v>
      </c>
      <c r="V420" s="71">
        <v>0.83447684391080601</v>
      </c>
      <c r="W420" s="71">
        <v>0.84529791816223998</v>
      </c>
      <c r="X420" s="71">
        <v>0.86704701177391796</v>
      </c>
      <c r="Y420" s="73">
        <v>0.92</v>
      </c>
      <c r="Z420" s="73">
        <v>0.84333411160401595</v>
      </c>
      <c r="AA420" s="73">
        <v>0.86256184716877404</v>
      </c>
      <c r="AB420" s="73">
        <v>0.85723951285521005</v>
      </c>
      <c r="AC420" s="73">
        <v>0.90037539705457703</v>
      </c>
      <c r="AD420" s="73">
        <v>0.92</v>
      </c>
      <c r="AE420" s="71">
        <v>0.99927875946628197</v>
      </c>
      <c r="AF420" s="71">
        <v>0.99241808827511502</v>
      </c>
      <c r="AG420" s="71">
        <v>0.99844444444444402</v>
      </c>
      <c r="AH420" s="71">
        <v>0.99252837421016404</v>
      </c>
      <c r="AI420" s="73">
        <v>0.92</v>
      </c>
      <c r="AJ420" s="71">
        <v>0.88819129040876299</v>
      </c>
      <c r="AK420" s="71">
        <v>0.91862431873707995</v>
      </c>
      <c r="AL420" s="71">
        <v>0.89016536118363798</v>
      </c>
      <c r="AM420" s="71">
        <v>0.93006041010805796</v>
      </c>
      <c r="AN420" s="70">
        <v>0.99</v>
      </c>
      <c r="AO420" s="75">
        <v>1</v>
      </c>
      <c r="AP420" s="75">
        <v>1</v>
      </c>
      <c r="AQ420" s="75">
        <v>1</v>
      </c>
      <c r="AR420" s="75">
        <v>1</v>
      </c>
      <c r="AS420" s="95">
        <v>0.05</v>
      </c>
      <c r="AT420" s="79">
        <v>6.1224489795918401E-2</v>
      </c>
      <c r="AU420" s="79">
        <v>3.1746031746031703E-2</v>
      </c>
      <c r="AV420" s="79">
        <v>3.8461538461538498E-2</v>
      </c>
      <c r="AW420" s="79">
        <v>2.8436018957346001E-2</v>
      </c>
      <c r="AX420" s="56"/>
      <c r="AY420" s="54"/>
    </row>
    <row r="421" spans="1:51">
      <c r="A421" s="53"/>
      <c r="B421" s="56"/>
      <c r="C421" s="90" t="s">
        <v>370</v>
      </c>
      <c r="D421" s="230" t="s">
        <v>1757</v>
      </c>
      <c r="E421" s="68" t="s">
        <v>371</v>
      </c>
      <c r="F421" s="91" t="s">
        <v>442</v>
      </c>
      <c r="G421" s="91" t="s">
        <v>442</v>
      </c>
      <c r="H421" s="91" t="s">
        <v>442</v>
      </c>
      <c r="I421" s="91" t="s">
        <v>442</v>
      </c>
      <c r="J421" s="70">
        <v>0.9</v>
      </c>
      <c r="K421" s="71">
        <v>1</v>
      </c>
      <c r="L421" s="71">
        <v>1</v>
      </c>
      <c r="M421" s="72">
        <v>0.95121951219512202</v>
      </c>
      <c r="N421" s="71">
        <v>0.97674418604651203</v>
      </c>
      <c r="O421" s="73">
        <v>0.9</v>
      </c>
      <c r="P421" s="71">
        <v>0.98509242695289201</v>
      </c>
      <c r="Q421" s="71">
        <v>0.99529190207156304</v>
      </c>
      <c r="R421" s="71">
        <v>0.989849776695087</v>
      </c>
      <c r="S421" s="71">
        <v>0.98989298454221197</v>
      </c>
      <c r="T421" s="73">
        <v>0.9</v>
      </c>
      <c r="U421" s="71">
        <v>0.96302921884317205</v>
      </c>
      <c r="V421" s="71">
        <v>0.97080979284369096</v>
      </c>
      <c r="W421" s="71">
        <v>0.978075517661389</v>
      </c>
      <c r="X421" s="71">
        <v>0.97222694071683402</v>
      </c>
      <c r="Y421" s="73">
        <v>0.92</v>
      </c>
      <c r="Z421" s="73">
        <v>0.974384900572969</v>
      </c>
      <c r="AA421" s="73">
        <v>0.97319034852546904</v>
      </c>
      <c r="AB421" s="73">
        <v>0.97557251908396903</v>
      </c>
      <c r="AC421" s="73">
        <v>0.97881742814360295</v>
      </c>
      <c r="AD421" s="73">
        <v>0.92</v>
      </c>
      <c r="AE421" s="71">
        <v>0.993731918997107</v>
      </c>
      <c r="AF421" s="71">
        <v>0.99695585996955904</v>
      </c>
      <c r="AG421" s="71">
        <v>0.99076212471131597</v>
      </c>
      <c r="AH421" s="71">
        <v>0.99467718992336995</v>
      </c>
      <c r="AI421" s="73">
        <v>0.92</v>
      </c>
      <c r="AJ421" s="71">
        <v>0.97618025751073001</v>
      </c>
      <c r="AK421" s="71">
        <v>0.98583307668617204</v>
      </c>
      <c r="AL421" s="71">
        <v>0.98584349193865495</v>
      </c>
      <c r="AM421" s="71">
        <v>0.98487938811531694</v>
      </c>
      <c r="AN421" s="70">
        <v>0.99</v>
      </c>
      <c r="AO421" s="75">
        <v>1</v>
      </c>
      <c r="AP421" s="75">
        <v>1</v>
      </c>
      <c r="AQ421" s="75">
        <v>1</v>
      </c>
      <c r="AR421" s="75">
        <v>1</v>
      </c>
      <c r="AS421" s="95">
        <v>0.05</v>
      </c>
      <c r="AT421" s="79">
        <v>0</v>
      </c>
      <c r="AU421" s="79">
        <v>0.1</v>
      </c>
      <c r="AV421" s="79">
        <v>7.69230769230769E-2</v>
      </c>
      <c r="AW421" s="79">
        <v>2.61437908496732E-2</v>
      </c>
      <c r="AX421" s="56"/>
      <c r="AY421" s="54"/>
    </row>
    <row r="422" spans="1:51">
      <c r="A422" s="53"/>
      <c r="B422" s="56"/>
      <c r="C422" s="90" t="s">
        <v>370</v>
      </c>
      <c r="D422" s="230" t="s">
        <v>1757</v>
      </c>
      <c r="E422" s="68" t="s">
        <v>371</v>
      </c>
      <c r="F422" s="91" t="s">
        <v>443</v>
      </c>
      <c r="G422" s="91" t="s">
        <v>443</v>
      </c>
      <c r="H422" s="91" t="s">
        <v>443</v>
      </c>
      <c r="I422" s="91" t="s">
        <v>443</v>
      </c>
      <c r="J422" s="70">
        <v>0.9</v>
      </c>
      <c r="K422" s="71">
        <v>0.97368421052631604</v>
      </c>
      <c r="L422" s="71">
        <v>1</v>
      </c>
      <c r="M422" s="72">
        <v>1</v>
      </c>
      <c r="N422" s="71">
        <v>0.99049881235154402</v>
      </c>
      <c r="O422" s="73">
        <v>0.9</v>
      </c>
      <c r="P422" s="71">
        <v>0.99606299212598404</v>
      </c>
      <c r="Q422" s="71">
        <v>0.99181117533718699</v>
      </c>
      <c r="R422" s="71">
        <v>0.99583506872136596</v>
      </c>
      <c r="S422" s="71">
        <v>0.99247139973082099</v>
      </c>
      <c r="T422" s="73">
        <v>0.9</v>
      </c>
      <c r="U422" s="71">
        <v>0.96006749156355498</v>
      </c>
      <c r="V422" s="71">
        <v>0.96772639691714801</v>
      </c>
      <c r="W422" s="71">
        <v>0.97334443981674301</v>
      </c>
      <c r="X422" s="71">
        <v>0.97144179004037701</v>
      </c>
      <c r="Y422" s="73">
        <v>0.92</v>
      </c>
      <c r="Z422" s="73">
        <v>0.96236732068189101</v>
      </c>
      <c r="AA422" s="73">
        <v>0.97539682539682504</v>
      </c>
      <c r="AB422" s="73">
        <v>0.97644991212653798</v>
      </c>
      <c r="AC422" s="73">
        <v>0.97671302332319299</v>
      </c>
      <c r="AD422" s="73">
        <v>0.92</v>
      </c>
      <c r="AE422" s="71">
        <v>0.999054224464061</v>
      </c>
      <c r="AF422" s="71">
        <v>0.98606271777003496</v>
      </c>
      <c r="AG422" s="71">
        <v>0.99201850780798195</v>
      </c>
      <c r="AH422" s="71">
        <v>0.99003739223764797</v>
      </c>
      <c r="AI422" s="73">
        <v>0.92</v>
      </c>
      <c r="AJ422" s="71">
        <v>0.971609477124183</v>
      </c>
      <c r="AK422" s="71">
        <v>0.98441247002398102</v>
      </c>
      <c r="AL422" s="71">
        <v>0.98305084745762705</v>
      </c>
      <c r="AM422" s="71">
        <v>0.98431273448282597</v>
      </c>
      <c r="AN422" s="70">
        <v>0.99</v>
      </c>
      <c r="AO422" s="75">
        <v>1</v>
      </c>
      <c r="AP422" s="75">
        <v>1</v>
      </c>
      <c r="AQ422" s="75">
        <v>1</v>
      </c>
      <c r="AR422" s="75">
        <v>1</v>
      </c>
      <c r="AS422" s="95">
        <v>0.05</v>
      </c>
      <c r="AT422" s="79">
        <v>0</v>
      </c>
      <c r="AU422" s="79">
        <v>0</v>
      </c>
      <c r="AV422" s="79">
        <v>0</v>
      </c>
      <c r="AW422" s="79">
        <v>2.8985507246376802E-2</v>
      </c>
      <c r="AX422" s="56"/>
      <c r="AY422" s="54"/>
    </row>
    <row r="423" spans="1:51">
      <c r="A423" s="53"/>
      <c r="B423" s="56"/>
      <c r="C423" s="90" t="s">
        <v>370</v>
      </c>
      <c r="D423" s="230" t="s">
        <v>1757</v>
      </c>
      <c r="E423" s="68" t="s">
        <v>371</v>
      </c>
      <c r="F423" s="91" t="s">
        <v>444</v>
      </c>
      <c r="G423" s="91" t="s">
        <v>444</v>
      </c>
      <c r="H423" s="91" t="s">
        <v>444</v>
      </c>
      <c r="I423" s="91" t="s">
        <v>444</v>
      </c>
      <c r="J423" s="70">
        <v>0.9</v>
      </c>
      <c r="K423" s="71">
        <v>0.90625</v>
      </c>
      <c r="L423" s="71">
        <v>0.86666666666666703</v>
      </c>
      <c r="M423" s="72">
        <v>0.875</v>
      </c>
      <c r="N423" s="71">
        <v>0.91150442477876104</v>
      </c>
      <c r="O423" s="73">
        <v>0.9</v>
      </c>
      <c r="P423" s="71">
        <v>0.95318352059925104</v>
      </c>
      <c r="Q423" s="71">
        <v>0.94268406337371902</v>
      </c>
      <c r="R423" s="71">
        <v>0.92335766423357701</v>
      </c>
      <c r="S423" s="71">
        <v>0.94737061595562799</v>
      </c>
      <c r="T423" s="73">
        <v>0.9</v>
      </c>
      <c r="U423" s="71">
        <v>0.93867041198501899</v>
      </c>
      <c r="V423" s="71">
        <v>0.91332712022367202</v>
      </c>
      <c r="W423" s="71">
        <v>0.89644160583941601</v>
      </c>
      <c r="X423" s="71">
        <v>0.92380833229075399</v>
      </c>
      <c r="Y423" s="73">
        <v>0.92</v>
      </c>
      <c r="Z423" s="73">
        <v>0.93099787685774904</v>
      </c>
      <c r="AA423" s="73">
        <v>0.94718309859154903</v>
      </c>
      <c r="AB423" s="73">
        <v>0.90422077922077904</v>
      </c>
      <c r="AC423" s="73">
        <v>0.93326769968324597</v>
      </c>
      <c r="AD423" s="73">
        <v>0.92</v>
      </c>
      <c r="AE423" s="71">
        <v>0.98363564257237701</v>
      </c>
      <c r="AF423" s="71">
        <v>0.998008413891873</v>
      </c>
      <c r="AG423" s="71">
        <v>0.99770740793809998</v>
      </c>
      <c r="AH423" s="71">
        <v>0.99499701736892798</v>
      </c>
      <c r="AI423" s="73">
        <v>0.92</v>
      </c>
      <c r="AJ423" s="71">
        <v>0.94899598393574303</v>
      </c>
      <c r="AK423" s="71">
        <v>0.95515695067264605</v>
      </c>
      <c r="AL423" s="71">
        <v>0.91571949388805496</v>
      </c>
      <c r="AM423" s="71">
        <v>0.95090717299578098</v>
      </c>
      <c r="AN423" s="70">
        <v>0.99</v>
      </c>
      <c r="AO423" s="75">
        <v>1</v>
      </c>
      <c r="AP423" s="75">
        <v>1</v>
      </c>
      <c r="AQ423" s="75">
        <v>1</v>
      </c>
      <c r="AR423" s="75">
        <v>1</v>
      </c>
      <c r="AS423" s="95">
        <v>0.05</v>
      </c>
      <c r="AT423" s="79">
        <v>6.8965517241379301E-3</v>
      </c>
      <c r="AU423" s="79">
        <v>0.02</v>
      </c>
      <c r="AV423" s="79">
        <v>0</v>
      </c>
      <c r="AW423" s="79">
        <v>4.2194092827004199E-3</v>
      </c>
      <c r="AX423" s="56"/>
      <c r="AY423" s="54"/>
    </row>
    <row r="424" spans="1:51">
      <c r="A424" s="53"/>
      <c r="B424" s="56"/>
      <c r="C424" s="90" t="s">
        <v>370</v>
      </c>
      <c r="D424" s="230" t="s">
        <v>1757</v>
      </c>
      <c r="E424" s="68" t="s">
        <v>371</v>
      </c>
      <c r="F424" s="91" t="s">
        <v>445</v>
      </c>
      <c r="G424" s="91" t="s">
        <v>445</v>
      </c>
      <c r="H424" s="91" t="s">
        <v>445</v>
      </c>
      <c r="I424" s="91" t="s">
        <v>445</v>
      </c>
      <c r="J424" s="70">
        <v>0.9</v>
      </c>
      <c r="K424" s="71">
        <v>0.95121951219512202</v>
      </c>
      <c r="L424" s="71">
        <v>0.9</v>
      </c>
      <c r="M424" s="72">
        <v>0.94444444444444398</v>
      </c>
      <c r="N424" s="71">
        <v>0.878651685393258</v>
      </c>
      <c r="O424" s="73">
        <v>0.9</v>
      </c>
      <c r="P424" s="71">
        <v>0.96851102114260001</v>
      </c>
      <c r="Q424" s="71">
        <v>0.97102076124567505</v>
      </c>
      <c r="R424" s="71">
        <v>0.96378947368421097</v>
      </c>
      <c r="S424" s="71">
        <v>0.96383786478505995</v>
      </c>
      <c r="T424" s="73">
        <v>0.9</v>
      </c>
      <c r="U424" s="71">
        <v>0.91947818263607695</v>
      </c>
      <c r="V424" s="71">
        <v>0.93122837370242195</v>
      </c>
      <c r="W424" s="71">
        <v>0.87326315789473696</v>
      </c>
      <c r="X424" s="71">
        <v>0.91540437933811403</v>
      </c>
      <c r="Y424" s="73">
        <v>0.92</v>
      </c>
      <c r="Z424" s="73">
        <v>0.92038557657979303</v>
      </c>
      <c r="AA424" s="73">
        <v>0.95734597156398105</v>
      </c>
      <c r="AB424" s="73">
        <v>0.92032332563510399</v>
      </c>
      <c r="AC424" s="73">
        <v>0.93346766068909903</v>
      </c>
      <c r="AD424" s="73">
        <v>0.92</v>
      </c>
      <c r="AE424" s="71">
        <v>0.99774854197748497</v>
      </c>
      <c r="AF424" s="71">
        <v>0.99788186395971501</v>
      </c>
      <c r="AG424" s="71">
        <v>0.99711410966383296</v>
      </c>
      <c r="AH424" s="71">
        <v>0.99848761245458895</v>
      </c>
      <c r="AI424" s="73">
        <v>0.92</v>
      </c>
      <c r="AJ424" s="71">
        <v>0.94242604725034695</v>
      </c>
      <c r="AK424" s="71">
        <v>0.96390937829293999</v>
      </c>
      <c r="AL424" s="71">
        <v>0.93435053202168195</v>
      </c>
      <c r="AM424" s="71">
        <v>0.95327157828629705</v>
      </c>
      <c r="AN424" s="70">
        <v>0.99</v>
      </c>
      <c r="AO424" s="75">
        <v>1</v>
      </c>
      <c r="AP424" s="75">
        <v>1</v>
      </c>
      <c r="AQ424" s="75">
        <v>1</v>
      </c>
      <c r="AR424" s="75">
        <v>1</v>
      </c>
      <c r="AS424" s="95">
        <v>0.05</v>
      </c>
      <c r="AT424" s="79">
        <v>0</v>
      </c>
      <c r="AU424" s="79">
        <v>0</v>
      </c>
      <c r="AV424" s="79">
        <v>7.69230769230769E-2</v>
      </c>
      <c r="AW424" s="79">
        <v>5.2884615384615398E-2</v>
      </c>
      <c r="AX424" s="56"/>
      <c r="AY424" s="54"/>
    </row>
    <row r="425" spans="1:51">
      <c r="A425" s="53"/>
      <c r="B425" s="56"/>
      <c r="C425" s="90" t="s">
        <v>370</v>
      </c>
      <c r="D425" s="230" t="s">
        <v>1757</v>
      </c>
      <c r="E425" s="68" t="s">
        <v>371</v>
      </c>
      <c r="F425" s="91" t="s">
        <v>446</v>
      </c>
      <c r="G425" s="91" t="s">
        <v>446</v>
      </c>
      <c r="H425" s="91" t="s">
        <v>446</v>
      </c>
      <c r="I425" s="91" t="s">
        <v>446</v>
      </c>
      <c r="J425" s="70">
        <v>0.9</v>
      </c>
      <c r="K425" s="71">
        <v>1</v>
      </c>
      <c r="L425" s="71">
        <v>1</v>
      </c>
      <c r="M425" s="72">
        <v>0.94444444444444398</v>
      </c>
      <c r="N425" s="71">
        <v>0.96221662468513902</v>
      </c>
      <c r="O425" s="73">
        <v>0.9</v>
      </c>
      <c r="P425" s="71">
        <v>0.99093107617896004</v>
      </c>
      <c r="Q425" s="71">
        <v>0.98718662952646197</v>
      </c>
      <c r="R425" s="71">
        <v>0.99834437086092698</v>
      </c>
      <c r="S425" s="71">
        <v>0.99193161079627301</v>
      </c>
      <c r="T425" s="73">
        <v>0.9</v>
      </c>
      <c r="U425" s="71">
        <v>0.93349455864570696</v>
      </c>
      <c r="V425" s="71">
        <v>0.91754874651810603</v>
      </c>
      <c r="W425" s="71">
        <v>0.94867549668874196</v>
      </c>
      <c r="X425" s="71">
        <v>0.94793967918547695</v>
      </c>
      <c r="Y425" s="73">
        <v>0.92</v>
      </c>
      <c r="Z425" s="73">
        <v>0.94594594594594605</v>
      </c>
      <c r="AA425" s="73">
        <v>0.86171213546566305</v>
      </c>
      <c r="AB425" s="73">
        <v>0.916212196331185</v>
      </c>
      <c r="AC425" s="73">
        <v>0.92855354728883999</v>
      </c>
      <c r="AD425" s="73">
        <v>0.92</v>
      </c>
      <c r="AE425" s="71">
        <v>0.998692696531288</v>
      </c>
      <c r="AF425" s="71">
        <v>0.97062393784899204</v>
      </c>
      <c r="AG425" s="71">
        <v>0.99747828523395898</v>
      </c>
      <c r="AH425" s="71">
        <v>0.98666143980057497</v>
      </c>
      <c r="AI425" s="73">
        <v>0.92</v>
      </c>
      <c r="AJ425" s="71">
        <v>0.95855855855855898</v>
      </c>
      <c r="AK425" s="71">
        <v>0.93282015395381401</v>
      </c>
      <c r="AL425" s="71">
        <v>0.94442995043047195</v>
      </c>
      <c r="AM425" s="71">
        <v>0.95515442455117705</v>
      </c>
      <c r="AN425" s="70">
        <v>0.99</v>
      </c>
      <c r="AO425" s="75">
        <v>1</v>
      </c>
      <c r="AP425" s="75">
        <v>1</v>
      </c>
      <c r="AQ425" s="75">
        <v>1</v>
      </c>
      <c r="AR425" s="75">
        <v>1</v>
      </c>
      <c r="AS425" s="95">
        <v>0.05</v>
      </c>
      <c r="AT425" s="79">
        <v>3.2258064516128997E-2</v>
      </c>
      <c r="AU425" s="79">
        <v>7.69230769230769E-2</v>
      </c>
      <c r="AV425" s="79">
        <v>0.16</v>
      </c>
      <c r="AW425" s="79">
        <v>5.7500000000000002E-2</v>
      </c>
      <c r="AX425" s="56"/>
      <c r="AY425" s="54"/>
    </row>
    <row r="426" spans="1:51">
      <c r="A426" s="53"/>
      <c r="B426" s="56"/>
      <c r="C426" s="90" t="s">
        <v>370</v>
      </c>
      <c r="D426" s="230" t="s">
        <v>1757</v>
      </c>
      <c r="E426" s="68" t="s">
        <v>371</v>
      </c>
      <c r="F426" s="91" t="s">
        <v>447</v>
      </c>
      <c r="G426" s="91" t="s">
        <v>447</v>
      </c>
      <c r="H426" s="91" t="s">
        <v>447</v>
      </c>
      <c r="I426" s="91" t="s">
        <v>447</v>
      </c>
      <c r="J426" s="70">
        <v>0.9</v>
      </c>
      <c r="K426" s="71">
        <v>0.92682926829268297</v>
      </c>
      <c r="L426" s="71">
        <v>0.95</v>
      </c>
      <c r="M426" s="72">
        <v>0.87804878048780499</v>
      </c>
      <c r="N426" s="71">
        <v>0.93181818181818199</v>
      </c>
      <c r="O426" s="73">
        <v>0.9</v>
      </c>
      <c r="P426" s="71">
        <v>0.96707431796801502</v>
      </c>
      <c r="Q426" s="71">
        <v>0.972640982691234</v>
      </c>
      <c r="R426" s="71">
        <v>0.98423423423423395</v>
      </c>
      <c r="S426" s="71">
        <v>0.985402992911525</v>
      </c>
      <c r="T426" s="73">
        <v>0.9</v>
      </c>
      <c r="U426" s="71">
        <v>0.91627469426152397</v>
      </c>
      <c r="V426" s="71">
        <v>0.90675600223338904</v>
      </c>
      <c r="W426" s="71">
        <v>0.94087837837837796</v>
      </c>
      <c r="X426" s="71">
        <v>0.93284326594906797</v>
      </c>
      <c r="Y426" s="73">
        <v>0.92</v>
      </c>
      <c r="Z426" s="73">
        <v>0.89399597816719301</v>
      </c>
      <c r="AA426" s="73">
        <v>0.9296875</v>
      </c>
      <c r="AB426" s="73">
        <v>0.95224075891396798</v>
      </c>
      <c r="AC426" s="73">
        <v>0.95109569604288202</v>
      </c>
      <c r="AD426" s="73">
        <v>0.92</v>
      </c>
      <c r="AE426" s="71">
        <v>0.92222222222222205</v>
      </c>
      <c r="AF426" s="71">
        <v>0.91946308724832204</v>
      </c>
      <c r="AG426" s="71">
        <v>0.95348837209302295</v>
      </c>
      <c r="AH426" s="71">
        <v>0.94489611562782305</v>
      </c>
      <c r="AI426" s="73">
        <v>0.92</v>
      </c>
      <c r="AJ426" s="71">
        <v>0.909130913091309</v>
      </c>
      <c r="AK426" s="71">
        <v>0.95462740384615397</v>
      </c>
      <c r="AL426" s="71">
        <v>0.96152254861398401</v>
      </c>
      <c r="AM426" s="71">
        <v>0.962968799243618</v>
      </c>
      <c r="AN426" s="70">
        <v>0.99</v>
      </c>
      <c r="AO426" s="75">
        <v>1</v>
      </c>
      <c r="AP426" s="75">
        <v>1</v>
      </c>
      <c r="AQ426" s="75">
        <v>1</v>
      </c>
      <c r="AR426" s="75">
        <v>1</v>
      </c>
      <c r="AS426" s="95">
        <v>0.05</v>
      </c>
      <c r="AT426" s="79">
        <v>0</v>
      </c>
      <c r="AU426" s="79">
        <v>0</v>
      </c>
      <c r="AV426" s="79">
        <v>0</v>
      </c>
      <c r="AW426" s="79">
        <v>2.3529411764705899E-2</v>
      </c>
      <c r="AX426" s="56"/>
      <c r="AY426" s="54"/>
    </row>
    <row r="427" spans="1:51">
      <c r="A427" s="53"/>
      <c r="B427" s="56"/>
      <c r="C427" s="90" t="s">
        <v>370</v>
      </c>
      <c r="D427" s="230" t="s">
        <v>1757</v>
      </c>
      <c r="E427" s="68" t="s">
        <v>371</v>
      </c>
      <c r="F427" s="91" t="s">
        <v>448</v>
      </c>
      <c r="G427" s="91" t="s">
        <v>448</v>
      </c>
      <c r="H427" s="91" t="s">
        <v>448</v>
      </c>
      <c r="I427" s="91" t="s">
        <v>448</v>
      </c>
      <c r="J427" s="70">
        <v>0.9</v>
      </c>
      <c r="K427" s="71">
        <v>0.94666666666666699</v>
      </c>
      <c r="L427" s="71">
        <v>1</v>
      </c>
      <c r="M427" s="72">
        <v>0.97297297297297303</v>
      </c>
      <c r="N427" s="71">
        <v>0.98288508557457199</v>
      </c>
      <c r="O427" s="73">
        <v>0.9</v>
      </c>
      <c r="P427" s="71">
        <v>0.97788791460160096</v>
      </c>
      <c r="Q427" s="71">
        <v>0.97927180966113903</v>
      </c>
      <c r="R427" s="71">
        <v>0.98400355476560797</v>
      </c>
      <c r="S427" s="71">
        <v>0.98373072692938202</v>
      </c>
      <c r="T427" s="73">
        <v>0.9</v>
      </c>
      <c r="U427" s="71">
        <v>0.90926420129622598</v>
      </c>
      <c r="V427" s="71">
        <v>0.86625811103100203</v>
      </c>
      <c r="W427" s="71">
        <v>0.89646745167740505</v>
      </c>
      <c r="X427" s="71">
        <v>0.903152171657432</v>
      </c>
      <c r="Y427" s="73">
        <v>0.92</v>
      </c>
      <c r="Z427" s="73">
        <v>0.92130455946779199</v>
      </c>
      <c r="AA427" s="73">
        <v>0.91523039043264198</v>
      </c>
      <c r="AB427" s="73">
        <v>0.90604428485936594</v>
      </c>
      <c r="AC427" s="73">
        <v>0.92958628981727698</v>
      </c>
      <c r="AD427" s="73">
        <v>0.92</v>
      </c>
      <c r="AE427" s="71">
        <v>0.98412698412698396</v>
      </c>
      <c r="AF427" s="71">
        <v>0.98198198198198205</v>
      </c>
      <c r="AG427" s="71">
        <v>0.980926430517711</v>
      </c>
      <c r="AH427" s="71">
        <v>0.98291626564003898</v>
      </c>
      <c r="AI427" s="73">
        <v>0.92</v>
      </c>
      <c r="AJ427" s="71">
        <v>0.93503242689725796</v>
      </c>
      <c r="AK427" s="71">
        <v>0.95006554641878205</v>
      </c>
      <c r="AL427" s="71">
        <v>0.93672482657136802</v>
      </c>
      <c r="AM427" s="71">
        <v>0.95151622495874999</v>
      </c>
      <c r="AN427" s="70">
        <v>0.99</v>
      </c>
      <c r="AO427" s="75">
        <v>1</v>
      </c>
      <c r="AP427" s="75">
        <v>1</v>
      </c>
      <c r="AQ427" s="75">
        <v>1</v>
      </c>
      <c r="AR427" s="75">
        <v>1</v>
      </c>
      <c r="AS427" s="95">
        <v>0.05</v>
      </c>
      <c r="AT427" s="79">
        <v>6.25E-2</v>
      </c>
      <c r="AU427" s="79">
        <v>0</v>
      </c>
      <c r="AV427" s="79">
        <v>0</v>
      </c>
      <c r="AW427" s="79">
        <v>3.46666666666667E-2</v>
      </c>
      <c r="AX427" s="56"/>
      <c r="AY427" s="54"/>
    </row>
    <row r="428" spans="1:51">
      <c r="A428" s="53"/>
      <c r="B428" s="56"/>
      <c r="C428" s="90" t="s">
        <v>370</v>
      </c>
      <c r="D428" s="230" t="s">
        <v>1757</v>
      </c>
      <c r="E428" s="68" t="s">
        <v>371</v>
      </c>
      <c r="F428" s="91" t="s">
        <v>449</v>
      </c>
      <c r="G428" s="91" t="s">
        <v>449</v>
      </c>
      <c r="H428" s="91" t="s">
        <v>449</v>
      </c>
      <c r="I428" s="91" t="s">
        <v>449</v>
      </c>
      <c r="J428" s="70">
        <v>0.9</v>
      </c>
      <c r="K428" s="71">
        <v>0.70212765957446799</v>
      </c>
      <c r="L428" s="71">
        <v>0.80952380952380998</v>
      </c>
      <c r="M428" s="72">
        <v>0.81395348837209303</v>
      </c>
      <c r="N428" s="71">
        <v>0.80638722554890196</v>
      </c>
      <c r="O428" s="73">
        <v>0.9</v>
      </c>
      <c r="P428" s="71">
        <v>0.96683906297535704</v>
      </c>
      <c r="Q428" s="71">
        <v>0.94605809128630702</v>
      </c>
      <c r="R428" s="71">
        <v>0.98853914447134805</v>
      </c>
      <c r="S428" s="71">
        <v>0.97578676519100105</v>
      </c>
      <c r="T428" s="73">
        <v>0.9</v>
      </c>
      <c r="U428" s="71">
        <v>0.695162762397323</v>
      </c>
      <c r="V428" s="71">
        <v>0.66473029045643195</v>
      </c>
      <c r="W428" s="71">
        <v>0.82082324455205802</v>
      </c>
      <c r="X428" s="71">
        <v>0.77914494952827096</v>
      </c>
      <c r="Y428" s="73">
        <v>0.92</v>
      </c>
      <c r="Z428" s="73" t="s">
        <v>1710</v>
      </c>
      <c r="AA428" s="73" t="s">
        <v>1710</v>
      </c>
      <c r="AB428" s="73" t="s">
        <v>1710</v>
      </c>
      <c r="AC428" s="73">
        <v>1</v>
      </c>
      <c r="AD428" s="73">
        <v>0.92</v>
      </c>
      <c r="AE428" s="71">
        <v>0.95652173913043503</v>
      </c>
      <c r="AF428" s="71">
        <v>0.98888888888888904</v>
      </c>
      <c r="AG428" s="71">
        <v>0.99</v>
      </c>
      <c r="AH428" s="71">
        <v>0.97841726618705005</v>
      </c>
      <c r="AI428" s="73">
        <v>0.92</v>
      </c>
      <c r="AJ428" s="71">
        <v>0.93915424399148195</v>
      </c>
      <c r="AK428" s="71">
        <v>0.93443983402489605</v>
      </c>
      <c r="AL428" s="71">
        <v>0.96868442292171097</v>
      </c>
      <c r="AM428" s="71">
        <v>0.97016279338270495</v>
      </c>
      <c r="AN428" s="70">
        <v>0.99</v>
      </c>
      <c r="AO428" s="75">
        <v>1</v>
      </c>
      <c r="AP428" s="75">
        <v>1</v>
      </c>
      <c r="AQ428" s="75">
        <v>1</v>
      </c>
      <c r="AR428" s="75">
        <v>1</v>
      </c>
      <c r="AS428" s="95">
        <v>0.05</v>
      </c>
      <c r="AT428" s="79">
        <v>5.2631578947368397E-2</v>
      </c>
      <c r="AU428" s="79">
        <v>0.11111111111111099</v>
      </c>
      <c r="AV428" s="79">
        <v>0</v>
      </c>
      <c r="AW428" s="79">
        <v>9.6153846153846201E-2</v>
      </c>
      <c r="AX428" s="56"/>
      <c r="AY428" s="54"/>
    </row>
    <row r="429" spans="1:51">
      <c r="A429" s="53"/>
      <c r="B429" s="56"/>
      <c r="C429" s="90" t="s">
        <v>370</v>
      </c>
      <c r="D429" s="230" t="s">
        <v>1757</v>
      </c>
      <c r="E429" s="68" t="s">
        <v>371</v>
      </c>
      <c r="F429" s="91" t="s">
        <v>450</v>
      </c>
      <c r="G429" s="91" t="s">
        <v>450</v>
      </c>
      <c r="H429" s="91" t="s">
        <v>450</v>
      </c>
      <c r="I429" s="91" t="s">
        <v>450</v>
      </c>
      <c r="J429" s="70">
        <v>0.9</v>
      </c>
      <c r="K429" s="71">
        <v>1</v>
      </c>
      <c r="L429" s="71">
        <v>1</v>
      </c>
      <c r="M429" s="72">
        <v>0.92</v>
      </c>
      <c r="N429" s="71">
        <v>0.95604395604395598</v>
      </c>
      <c r="O429" s="73">
        <v>0.9</v>
      </c>
      <c r="P429" s="71">
        <v>0.98049837486457203</v>
      </c>
      <c r="Q429" s="71">
        <v>0.97683109118086697</v>
      </c>
      <c r="R429" s="71">
        <v>0.97178002894355997</v>
      </c>
      <c r="S429" s="71">
        <v>0.975429975429975</v>
      </c>
      <c r="T429" s="73">
        <v>0.9</v>
      </c>
      <c r="U429" s="71">
        <v>0.90574214517876495</v>
      </c>
      <c r="V429" s="71">
        <v>0.91106128550074705</v>
      </c>
      <c r="W429" s="71">
        <v>0.94066570188133103</v>
      </c>
      <c r="X429" s="71">
        <v>0.92294567294567298</v>
      </c>
      <c r="Y429" s="73">
        <v>0.92</v>
      </c>
      <c r="Z429" s="73">
        <v>0.92529644268774702</v>
      </c>
      <c r="AA429" s="73">
        <v>0.92111368909512803</v>
      </c>
      <c r="AB429" s="73">
        <v>0.94907407407407396</v>
      </c>
      <c r="AC429" s="73">
        <v>0.95607150195192103</v>
      </c>
      <c r="AD429" s="73">
        <v>0.92</v>
      </c>
      <c r="AE429" s="71">
        <v>1</v>
      </c>
      <c r="AF429" s="71">
        <v>0.97763578274760399</v>
      </c>
      <c r="AG429" s="71">
        <v>0.80373831775700899</v>
      </c>
      <c r="AH429" s="71">
        <v>0.96355202120609695</v>
      </c>
      <c r="AI429" s="73">
        <v>0.92</v>
      </c>
      <c r="AJ429" s="71">
        <v>0.93811451706188598</v>
      </c>
      <c r="AK429" s="71">
        <v>0.95362979855568197</v>
      </c>
      <c r="AL429" s="71">
        <v>0.96436170212766004</v>
      </c>
      <c r="AM429" s="71">
        <v>0.96765014995770404</v>
      </c>
      <c r="AN429" s="70">
        <v>0.99</v>
      </c>
      <c r="AO429" s="75">
        <v>1</v>
      </c>
      <c r="AP429" s="75">
        <v>1</v>
      </c>
      <c r="AQ429" s="75">
        <v>1</v>
      </c>
      <c r="AR429" s="75">
        <v>1</v>
      </c>
      <c r="AS429" s="95">
        <v>0.05</v>
      </c>
      <c r="AT429" s="79">
        <v>0.1</v>
      </c>
      <c r="AU429" s="79">
        <v>0</v>
      </c>
      <c r="AV429" s="79">
        <v>0</v>
      </c>
      <c r="AW429" s="79">
        <v>3.3472803347280297E-2</v>
      </c>
      <c r="AX429" s="56"/>
      <c r="AY429" s="54"/>
    </row>
    <row r="430" spans="1:51">
      <c r="A430" s="53"/>
      <c r="B430" s="56"/>
      <c r="C430" s="90" t="s">
        <v>370</v>
      </c>
      <c r="D430" s="230" t="s">
        <v>1757</v>
      </c>
      <c r="E430" s="68" t="s">
        <v>371</v>
      </c>
      <c r="F430" s="91" t="s">
        <v>451</v>
      </c>
      <c r="G430" s="91" t="s">
        <v>451</v>
      </c>
      <c r="H430" s="91" t="s">
        <v>451</v>
      </c>
      <c r="I430" s="91" t="s">
        <v>451</v>
      </c>
      <c r="J430" s="70">
        <v>0.9</v>
      </c>
      <c r="K430" s="71">
        <v>0.79545454545454497</v>
      </c>
      <c r="L430" s="71">
        <v>0.75609756097560998</v>
      </c>
      <c r="M430" s="72">
        <v>0.82926829268292701</v>
      </c>
      <c r="N430" s="71">
        <v>0.77850877192982504</v>
      </c>
      <c r="O430" s="73">
        <v>0.9</v>
      </c>
      <c r="P430" s="71">
        <v>0.96762589928057596</v>
      </c>
      <c r="Q430" s="71">
        <v>0.95209580838323304</v>
      </c>
      <c r="R430" s="71">
        <v>0.94117647058823495</v>
      </c>
      <c r="S430" s="71">
        <v>0.92130432848436306</v>
      </c>
      <c r="T430" s="73">
        <v>0.9</v>
      </c>
      <c r="U430" s="71">
        <v>0.86330935251798602</v>
      </c>
      <c r="V430" s="71">
        <v>0.81986027944111795</v>
      </c>
      <c r="W430" s="71">
        <v>0.86010874938210602</v>
      </c>
      <c r="X430" s="71">
        <v>0.82321277636905599</v>
      </c>
      <c r="Y430" s="73">
        <v>0.92</v>
      </c>
      <c r="Z430" s="73">
        <v>0.86246973365617396</v>
      </c>
      <c r="AA430" s="73">
        <v>0.89281767955801095</v>
      </c>
      <c r="AB430" s="73">
        <v>0.82938130280730404</v>
      </c>
      <c r="AC430" s="73">
        <v>0.85727465132685698</v>
      </c>
      <c r="AD430" s="73">
        <v>0.92</v>
      </c>
      <c r="AE430" s="71">
        <v>0.97238372093023295</v>
      </c>
      <c r="AF430" s="71">
        <v>0.98082744702320901</v>
      </c>
      <c r="AG430" s="71">
        <v>0.94751381215469599</v>
      </c>
      <c r="AH430" s="71">
        <v>0.96182085168869302</v>
      </c>
      <c r="AI430" s="73">
        <v>0.92</v>
      </c>
      <c r="AJ430" s="71">
        <v>0.884086799276673</v>
      </c>
      <c r="AK430" s="71">
        <v>0.92741090146750504</v>
      </c>
      <c r="AL430" s="71">
        <v>0.87306882022471899</v>
      </c>
      <c r="AM430" s="71">
        <v>0.89065050913069099</v>
      </c>
      <c r="AN430" s="70">
        <v>0.99</v>
      </c>
      <c r="AO430" s="75">
        <v>1</v>
      </c>
      <c r="AP430" s="75">
        <v>1</v>
      </c>
      <c r="AQ430" s="75">
        <v>1</v>
      </c>
      <c r="AR430" s="75">
        <v>1</v>
      </c>
      <c r="AS430" s="95">
        <v>0.05</v>
      </c>
      <c r="AT430" s="79">
        <v>0.25</v>
      </c>
      <c r="AU430" s="79">
        <v>0</v>
      </c>
      <c r="AV430" s="79">
        <v>0</v>
      </c>
      <c r="AW430" s="79">
        <v>2.4390243902439001E-2</v>
      </c>
      <c r="AX430" s="56"/>
      <c r="AY430" s="54"/>
    </row>
    <row r="431" spans="1:51">
      <c r="A431" s="53"/>
      <c r="B431" s="56"/>
      <c r="C431" s="90" t="s">
        <v>370</v>
      </c>
      <c r="D431" s="230" t="s">
        <v>1757</v>
      </c>
      <c r="E431" s="68" t="s">
        <v>371</v>
      </c>
      <c r="F431" s="91" t="s">
        <v>452</v>
      </c>
      <c r="G431" s="91" t="s">
        <v>452</v>
      </c>
      <c r="H431" s="91" t="s">
        <v>452</v>
      </c>
      <c r="I431" s="91" t="s">
        <v>452</v>
      </c>
      <c r="J431" s="70">
        <v>0.9</v>
      </c>
      <c r="K431" s="71">
        <v>0.96923076923076901</v>
      </c>
      <c r="L431" s="71">
        <v>0.931034482758621</v>
      </c>
      <c r="M431" s="72">
        <v>0.93548387096774199</v>
      </c>
      <c r="N431" s="71">
        <v>0.93323657474600896</v>
      </c>
      <c r="O431" s="73">
        <v>0.9</v>
      </c>
      <c r="P431" s="71">
        <v>0.97926008968609901</v>
      </c>
      <c r="Q431" s="71">
        <v>0.94439787650181595</v>
      </c>
      <c r="R431" s="71">
        <v>0.97750439367311104</v>
      </c>
      <c r="S431" s="71">
        <v>0.96465622784973304</v>
      </c>
      <c r="T431" s="73">
        <v>0.9</v>
      </c>
      <c r="U431" s="71">
        <v>0.88901345291479805</v>
      </c>
      <c r="V431" s="71">
        <v>0.86309024867281403</v>
      </c>
      <c r="W431" s="71">
        <v>0.89736379613356798</v>
      </c>
      <c r="X431" s="71">
        <v>0.89071460789999402</v>
      </c>
      <c r="Y431" s="73">
        <v>0.92</v>
      </c>
      <c r="Z431" s="73">
        <v>0.93127629733520301</v>
      </c>
      <c r="AA431" s="73">
        <v>0.92730299667036598</v>
      </c>
      <c r="AB431" s="73">
        <v>0.92136348295646298</v>
      </c>
      <c r="AC431" s="73">
        <v>0.92496983641516295</v>
      </c>
      <c r="AD431" s="73">
        <v>0.92</v>
      </c>
      <c r="AE431" s="71">
        <v>0.96756756756756801</v>
      </c>
      <c r="AF431" s="71">
        <v>0.98830409356725102</v>
      </c>
      <c r="AG431" s="71">
        <v>0.97058823529411797</v>
      </c>
      <c r="AH431" s="71">
        <v>0.97880646960401596</v>
      </c>
      <c r="AI431" s="73">
        <v>0.92</v>
      </c>
      <c r="AJ431" s="71">
        <v>0.94543076060549402</v>
      </c>
      <c r="AK431" s="71">
        <v>0.95559271646228205</v>
      </c>
      <c r="AL431" s="71">
        <v>0.93891947694425304</v>
      </c>
      <c r="AM431" s="71">
        <v>0.94838052129078698</v>
      </c>
      <c r="AN431" s="70">
        <v>0.99</v>
      </c>
      <c r="AO431" s="75">
        <v>1</v>
      </c>
      <c r="AP431" s="75">
        <v>1</v>
      </c>
      <c r="AQ431" s="75">
        <v>1</v>
      </c>
      <c r="AR431" s="75">
        <v>1</v>
      </c>
      <c r="AS431" s="95">
        <v>0.05</v>
      </c>
      <c r="AT431" s="79">
        <v>0</v>
      </c>
      <c r="AU431" s="79">
        <v>0.25</v>
      </c>
      <c r="AV431" s="79">
        <v>0.15</v>
      </c>
      <c r="AW431" s="79">
        <v>8.4507042253521097E-2</v>
      </c>
      <c r="AX431" s="56"/>
      <c r="AY431" s="54"/>
    </row>
    <row r="432" spans="1:51">
      <c r="A432" s="53"/>
      <c r="B432" s="56"/>
      <c r="C432" s="90" t="s">
        <v>370</v>
      </c>
      <c r="D432" s="230" t="s">
        <v>1757</v>
      </c>
      <c r="E432" s="68" t="s">
        <v>371</v>
      </c>
      <c r="F432" s="91" t="s">
        <v>453</v>
      </c>
      <c r="G432" s="91" t="s">
        <v>453</v>
      </c>
      <c r="H432" s="91" t="s">
        <v>453</v>
      </c>
      <c r="I432" s="91" t="s">
        <v>453</v>
      </c>
      <c r="J432" s="70">
        <v>0.9</v>
      </c>
      <c r="K432" s="71">
        <v>0.95454545454545503</v>
      </c>
      <c r="L432" s="71">
        <v>0.97560975609756095</v>
      </c>
      <c r="M432" s="72">
        <v>0.92682926829268297</v>
      </c>
      <c r="N432" s="71">
        <v>0.95705521472392596</v>
      </c>
      <c r="O432" s="73">
        <v>0.9</v>
      </c>
      <c r="P432" s="71">
        <v>0.94514455151964405</v>
      </c>
      <c r="Q432" s="71">
        <v>0.92640120777505197</v>
      </c>
      <c r="R432" s="71">
        <v>0.96789513677811501</v>
      </c>
      <c r="S432" s="71">
        <v>0.95911818319914899</v>
      </c>
      <c r="T432" s="73">
        <v>0.9</v>
      </c>
      <c r="U432" s="71">
        <v>0.91178650852483301</v>
      </c>
      <c r="V432" s="71">
        <v>0.83128892243819597</v>
      </c>
      <c r="W432" s="71">
        <v>0.86645136778115495</v>
      </c>
      <c r="X432" s="71">
        <v>0.892127449491113</v>
      </c>
      <c r="Y432" s="73">
        <v>0.92</v>
      </c>
      <c r="Z432" s="73">
        <v>0</v>
      </c>
      <c r="AA432" s="73" t="s">
        <v>1710</v>
      </c>
      <c r="AB432" s="73" t="s">
        <v>1710</v>
      </c>
      <c r="AC432" s="73">
        <v>0</v>
      </c>
      <c r="AD432" s="73">
        <v>0.92</v>
      </c>
      <c r="AE432" s="71">
        <v>0.978609625668449</v>
      </c>
      <c r="AF432" s="71">
        <v>0.99658703071672305</v>
      </c>
      <c r="AG432" s="71">
        <v>0.94117647058823495</v>
      </c>
      <c r="AH432" s="71">
        <v>0.98190954773869299</v>
      </c>
      <c r="AI432" s="73">
        <v>0.92</v>
      </c>
      <c r="AJ432" s="71">
        <v>0.96703703703703703</v>
      </c>
      <c r="AK432" s="71">
        <v>0.94302961705338595</v>
      </c>
      <c r="AL432" s="71">
        <v>0.96371580547112501</v>
      </c>
      <c r="AM432" s="71">
        <v>0.97302018265013601</v>
      </c>
      <c r="AN432" s="70">
        <v>0.99</v>
      </c>
      <c r="AO432" s="75">
        <v>1</v>
      </c>
      <c r="AP432" s="75">
        <v>1</v>
      </c>
      <c r="AQ432" s="75">
        <v>1</v>
      </c>
      <c r="AR432" s="75">
        <v>1</v>
      </c>
      <c r="AS432" s="95">
        <v>0.05</v>
      </c>
      <c r="AT432" s="79">
        <v>0.2</v>
      </c>
      <c r="AU432" s="79">
        <v>0.125</v>
      </c>
      <c r="AV432" s="79">
        <v>0.2</v>
      </c>
      <c r="AW432" s="79">
        <v>6.3063063063063099E-2</v>
      </c>
      <c r="AX432" s="56"/>
      <c r="AY432" s="54"/>
    </row>
    <row r="433" spans="1:51">
      <c r="A433" s="53"/>
      <c r="B433" s="56"/>
      <c r="C433" s="90" t="s">
        <v>370</v>
      </c>
      <c r="D433" s="230" t="s">
        <v>1757</v>
      </c>
      <c r="E433" s="68" t="s">
        <v>371</v>
      </c>
      <c r="F433" s="91" t="s">
        <v>454</v>
      </c>
      <c r="G433" s="91" t="s">
        <v>454</v>
      </c>
      <c r="H433" s="91" t="s">
        <v>454</v>
      </c>
      <c r="I433" s="91" t="s">
        <v>454</v>
      </c>
      <c r="J433" s="70">
        <v>0.9</v>
      </c>
      <c r="K433" s="71">
        <v>0.875</v>
      </c>
      <c r="L433" s="71">
        <v>0.8</v>
      </c>
      <c r="M433" s="72">
        <v>0.87931034482758597</v>
      </c>
      <c r="N433" s="71">
        <v>0.88709677419354804</v>
      </c>
      <c r="O433" s="73">
        <v>0.9</v>
      </c>
      <c r="P433" s="71">
        <v>0.82764505119453902</v>
      </c>
      <c r="Q433" s="71">
        <v>0.91621129326047401</v>
      </c>
      <c r="R433" s="71">
        <v>0.96525096525096499</v>
      </c>
      <c r="S433" s="71">
        <v>0.92052649116961005</v>
      </c>
      <c r="T433" s="73">
        <v>0.9</v>
      </c>
      <c r="U433" s="71">
        <v>0.77645051194539205</v>
      </c>
      <c r="V433" s="71">
        <v>0.82565703877179297</v>
      </c>
      <c r="W433" s="71">
        <v>0.88983268983269004</v>
      </c>
      <c r="X433" s="71">
        <v>0.84993097538915596</v>
      </c>
      <c r="Y433" s="73">
        <v>0.92</v>
      </c>
      <c r="Z433" s="73">
        <v>0.93860864745011097</v>
      </c>
      <c r="AA433" s="73">
        <v>0.95006090133982901</v>
      </c>
      <c r="AB433" s="73">
        <v>0.93662941986836101</v>
      </c>
      <c r="AC433" s="73">
        <v>0.94393419752368801</v>
      </c>
      <c r="AD433" s="73">
        <v>0.92</v>
      </c>
      <c r="AE433" s="71">
        <v>0.97676161919040505</v>
      </c>
      <c r="AF433" s="71">
        <v>0.98817733990147805</v>
      </c>
      <c r="AG433" s="71">
        <v>0.98933901918976497</v>
      </c>
      <c r="AH433" s="71">
        <v>0.98875173471623701</v>
      </c>
      <c r="AI433" s="73">
        <v>0.92</v>
      </c>
      <c r="AJ433" s="71">
        <v>0.94550462325398399</v>
      </c>
      <c r="AK433" s="71">
        <v>0.96262597984322495</v>
      </c>
      <c r="AL433" s="71">
        <v>0.95098791482831402</v>
      </c>
      <c r="AM433" s="71">
        <v>0.955856253547265</v>
      </c>
      <c r="AN433" s="70">
        <v>0.99</v>
      </c>
      <c r="AO433" s="75">
        <v>1</v>
      </c>
      <c r="AP433" s="75">
        <v>1</v>
      </c>
      <c r="AQ433" s="75">
        <v>1</v>
      </c>
      <c r="AR433" s="75">
        <v>1</v>
      </c>
      <c r="AS433" s="95">
        <v>0.05</v>
      </c>
      <c r="AT433" s="79">
        <v>7.69230769230769E-2</v>
      </c>
      <c r="AU433" s="79">
        <v>0.21621621621621601</v>
      </c>
      <c r="AV433" s="79">
        <v>4.8780487804878099E-2</v>
      </c>
      <c r="AW433" s="79">
        <v>5.9964726631393302E-2</v>
      </c>
      <c r="AX433" s="56"/>
      <c r="AY433" s="54"/>
    </row>
    <row r="434" spans="1:51">
      <c r="A434" s="53"/>
      <c r="B434" s="56"/>
      <c r="C434" s="90" t="s">
        <v>370</v>
      </c>
      <c r="D434" s="230" t="s">
        <v>1757</v>
      </c>
      <c r="E434" s="68" t="s">
        <v>371</v>
      </c>
      <c r="F434" s="91" t="s">
        <v>455</v>
      </c>
      <c r="G434" s="91" t="s">
        <v>455</v>
      </c>
      <c r="H434" s="91" t="s">
        <v>455</v>
      </c>
      <c r="I434" s="91" t="s">
        <v>455</v>
      </c>
      <c r="J434" s="70">
        <v>0.9</v>
      </c>
      <c r="K434" s="71">
        <v>0.82926829268292701</v>
      </c>
      <c r="L434" s="71">
        <v>0.72972972972973005</v>
      </c>
      <c r="M434" s="72">
        <v>0.76315789473684204</v>
      </c>
      <c r="N434" s="71">
        <v>0.80140186915887801</v>
      </c>
      <c r="O434" s="73">
        <v>0.9</v>
      </c>
      <c r="P434" s="71">
        <v>0.96183800623052995</v>
      </c>
      <c r="Q434" s="71">
        <v>0.84136640149742603</v>
      </c>
      <c r="R434" s="71">
        <v>0.93193717277486898</v>
      </c>
      <c r="S434" s="71">
        <v>0.90596422358031803</v>
      </c>
      <c r="T434" s="73">
        <v>0.9</v>
      </c>
      <c r="U434" s="71">
        <v>0.84112149532710301</v>
      </c>
      <c r="V434" s="71">
        <v>0.76977070659803504</v>
      </c>
      <c r="W434" s="71">
        <v>0.80628272251308897</v>
      </c>
      <c r="X434" s="71">
        <v>0.79787661150020095</v>
      </c>
      <c r="Y434" s="73">
        <v>0.92</v>
      </c>
      <c r="Z434" s="73">
        <v>0.88959077176599799</v>
      </c>
      <c r="AA434" s="73">
        <v>0.78587962962962998</v>
      </c>
      <c r="AB434" s="73">
        <v>0.85732647814910001</v>
      </c>
      <c r="AC434" s="73">
        <v>0.888556448395737</v>
      </c>
      <c r="AD434" s="73">
        <v>0.92</v>
      </c>
      <c r="AE434" s="71">
        <v>0.99327461969575703</v>
      </c>
      <c r="AF434" s="71">
        <v>0.967890548652799</v>
      </c>
      <c r="AG434" s="71">
        <v>0.99782572336511099</v>
      </c>
      <c r="AH434" s="71">
        <v>0.98590980042368204</v>
      </c>
      <c r="AI434" s="73">
        <v>0.92</v>
      </c>
      <c r="AJ434" s="71">
        <v>0.90654773971214297</v>
      </c>
      <c r="AK434" s="71">
        <v>0.86427094105480895</v>
      </c>
      <c r="AL434" s="71">
        <v>0.89081145584725496</v>
      </c>
      <c r="AM434" s="71">
        <v>0.91427926520123604</v>
      </c>
      <c r="AN434" s="70">
        <v>0.99</v>
      </c>
      <c r="AO434" s="75">
        <v>1</v>
      </c>
      <c r="AP434" s="75">
        <v>1</v>
      </c>
      <c r="AQ434" s="75">
        <v>1</v>
      </c>
      <c r="AR434" s="75">
        <v>1</v>
      </c>
      <c r="AS434" s="95">
        <v>0.05</v>
      </c>
      <c r="AT434" s="79">
        <v>0</v>
      </c>
      <c r="AU434" s="79">
        <v>0</v>
      </c>
      <c r="AV434" s="79">
        <v>0</v>
      </c>
      <c r="AW434" s="79">
        <v>2.1551724137931001E-2</v>
      </c>
      <c r="AX434" s="56"/>
      <c r="AY434" s="54"/>
    </row>
    <row r="435" spans="1:51">
      <c r="A435" s="53"/>
      <c r="B435" s="56"/>
      <c r="C435" s="90" t="s">
        <v>370</v>
      </c>
      <c r="D435" s="230" t="s">
        <v>1757</v>
      </c>
      <c r="E435" s="68" t="s">
        <v>371</v>
      </c>
      <c r="F435" s="91" t="s">
        <v>456</v>
      </c>
      <c r="G435" s="91" t="s">
        <v>456</v>
      </c>
      <c r="H435" s="91" t="s">
        <v>456</v>
      </c>
      <c r="I435" s="91" t="s">
        <v>456</v>
      </c>
      <c r="J435" s="70">
        <v>0.9</v>
      </c>
      <c r="K435" s="71">
        <v>0.81355932203389802</v>
      </c>
      <c r="L435" s="71">
        <v>0.92452830188679203</v>
      </c>
      <c r="M435" s="72">
        <v>0.69811320754716999</v>
      </c>
      <c r="N435" s="71">
        <v>0.85048231511254002</v>
      </c>
      <c r="O435" s="73">
        <v>0.9</v>
      </c>
      <c r="P435" s="71">
        <v>0.91010608598548304</v>
      </c>
      <c r="Q435" s="71">
        <v>0.90528949249463897</v>
      </c>
      <c r="R435" s="71">
        <v>0.873478421246772</v>
      </c>
      <c r="S435" s="71">
        <v>0.86190476190476195</v>
      </c>
      <c r="T435" s="73">
        <v>0.9</v>
      </c>
      <c r="U435" s="71">
        <v>0.87939698492462304</v>
      </c>
      <c r="V435" s="71">
        <v>0.83952823445318103</v>
      </c>
      <c r="W435" s="71">
        <v>0.84765769088897103</v>
      </c>
      <c r="X435" s="71">
        <v>0.88197278911564603</v>
      </c>
      <c r="Y435" s="73">
        <v>0.92</v>
      </c>
      <c r="Z435" s="73">
        <v>0.93354668674698804</v>
      </c>
      <c r="AA435" s="73">
        <v>0.92559899117276201</v>
      </c>
      <c r="AB435" s="73">
        <v>0.86611146700832797</v>
      </c>
      <c r="AC435" s="73">
        <v>0.91835232037306003</v>
      </c>
      <c r="AD435" s="73">
        <v>0.92</v>
      </c>
      <c r="AE435" s="71">
        <v>0.99300699300699302</v>
      </c>
      <c r="AF435" s="71">
        <v>0.99145018086155901</v>
      </c>
      <c r="AG435" s="71">
        <v>0.99181286549707603</v>
      </c>
      <c r="AH435" s="71">
        <v>0.99187737455784097</v>
      </c>
      <c r="AI435" s="73">
        <v>0.92</v>
      </c>
      <c r="AJ435" s="71">
        <v>0.93798340599071905</v>
      </c>
      <c r="AK435" s="71">
        <v>0.94270833333333304</v>
      </c>
      <c r="AL435" s="71">
        <v>0.89174212731450198</v>
      </c>
      <c r="AM435" s="71">
        <v>0.93631052604724696</v>
      </c>
      <c r="AN435" s="70">
        <v>0.99</v>
      </c>
      <c r="AO435" s="75">
        <v>1</v>
      </c>
      <c r="AP435" s="75">
        <v>1</v>
      </c>
      <c r="AQ435" s="75">
        <v>1</v>
      </c>
      <c r="AR435" s="75">
        <v>1</v>
      </c>
      <c r="AS435" s="95">
        <v>0.05</v>
      </c>
      <c r="AT435" s="79">
        <v>6.6666666666666693E-2</v>
      </c>
      <c r="AU435" s="79">
        <v>0</v>
      </c>
      <c r="AV435" s="79">
        <v>0.26315789473684198</v>
      </c>
      <c r="AW435" s="79">
        <v>5.6886227544910198E-2</v>
      </c>
      <c r="AX435" s="56"/>
      <c r="AY435" s="54"/>
    </row>
    <row r="436" spans="1:51">
      <c r="A436" s="53"/>
      <c r="B436" s="56"/>
      <c r="C436" s="90" t="s">
        <v>370</v>
      </c>
      <c r="D436" s="230" t="s">
        <v>1757</v>
      </c>
      <c r="E436" s="68" t="s">
        <v>371</v>
      </c>
      <c r="F436" s="91" t="s">
        <v>457</v>
      </c>
      <c r="G436" s="91" t="s">
        <v>457</v>
      </c>
      <c r="H436" s="91" t="s">
        <v>457</v>
      </c>
      <c r="I436" s="91" t="s">
        <v>457</v>
      </c>
      <c r="J436" s="70">
        <v>0.9</v>
      </c>
      <c r="K436" s="71">
        <v>0.52380952380952395</v>
      </c>
      <c r="L436" s="71">
        <v>0.65</v>
      </c>
      <c r="M436" s="72">
        <v>0.53846153846153799</v>
      </c>
      <c r="N436" s="71">
        <v>0.58956916099773204</v>
      </c>
      <c r="O436" s="73">
        <v>0.9</v>
      </c>
      <c r="P436" s="71">
        <v>0.71854103343465003</v>
      </c>
      <c r="Q436" s="71">
        <v>0.70672162333544697</v>
      </c>
      <c r="R436" s="71">
        <v>0.70303495966192897</v>
      </c>
      <c r="S436" s="71">
        <v>0.67935222672064799</v>
      </c>
      <c r="T436" s="73">
        <v>0.9</v>
      </c>
      <c r="U436" s="71">
        <v>0.77386018237082099</v>
      </c>
      <c r="V436" s="71">
        <v>0.68547875713379802</v>
      </c>
      <c r="W436" s="71">
        <v>0.67230119093353802</v>
      </c>
      <c r="X436" s="71">
        <v>0.70825558880478801</v>
      </c>
      <c r="Y436" s="73">
        <v>0.92</v>
      </c>
      <c r="Z436" s="73">
        <v>0.82292263610315197</v>
      </c>
      <c r="AA436" s="73">
        <v>0.61229458307973195</v>
      </c>
      <c r="AB436" s="73">
        <v>0.73805180591025199</v>
      </c>
      <c r="AC436" s="73">
        <v>0.73095765776274302</v>
      </c>
      <c r="AD436" s="73">
        <v>0.92</v>
      </c>
      <c r="AE436" s="71">
        <v>0.87388535031847103</v>
      </c>
      <c r="AF436" s="71">
        <v>0.86271870794078098</v>
      </c>
      <c r="AG436" s="71">
        <v>0.94705174488568</v>
      </c>
      <c r="AH436" s="71">
        <v>0.89401073031862499</v>
      </c>
      <c r="AI436" s="73">
        <v>0.92</v>
      </c>
      <c r="AJ436" s="71">
        <v>0.85149863760218003</v>
      </c>
      <c r="AK436" s="71">
        <v>0.79879191835034402</v>
      </c>
      <c r="AL436" s="71">
        <v>0.81391434449223898</v>
      </c>
      <c r="AM436" s="71">
        <v>0.80899646260237701</v>
      </c>
      <c r="AN436" s="70">
        <v>0.99</v>
      </c>
      <c r="AO436" s="75">
        <v>1</v>
      </c>
      <c r="AP436" s="75">
        <v>1</v>
      </c>
      <c r="AQ436" s="75">
        <v>1</v>
      </c>
      <c r="AR436" s="75">
        <v>0.99913344887348399</v>
      </c>
      <c r="AS436" s="95">
        <v>0.05</v>
      </c>
      <c r="AT436" s="79">
        <v>0</v>
      </c>
      <c r="AU436" s="79">
        <v>0</v>
      </c>
      <c r="AV436" s="79">
        <v>7.1428571428571397E-2</v>
      </c>
      <c r="AW436" s="79">
        <v>2.8708133971291901E-2</v>
      </c>
      <c r="AX436" s="56"/>
      <c r="AY436" s="54"/>
    </row>
    <row r="437" spans="1:51">
      <c r="A437" s="53"/>
      <c r="B437" s="56"/>
      <c r="C437" s="90" t="s">
        <v>370</v>
      </c>
      <c r="D437" s="230" t="s">
        <v>1757</v>
      </c>
      <c r="E437" s="68" t="s">
        <v>371</v>
      </c>
      <c r="F437" s="91" t="s">
        <v>458</v>
      </c>
      <c r="G437" s="91" t="s">
        <v>458</v>
      </c>
      <c r="H437" s="91" t="s">
        <v>458</v>
      </c>
      <c r="I437" s="91" t="s">
        <v>458</v>
      </c>
      <c r="J437" s="70">
        <v>0.9</v>
      </c>
      <c r="K437" s="71">
        <v>0.77358490566037696</v>
      </c>
      <c r="L437" s="71">
        <v>0.80434782608695699</v>
      </c>
      <c r="M437" s="72">
        <v>0.875</v>
      </c>
      <c r="N437" s="71">
        <v>0.79639639639639603</v>
      </c>
      <c r="O437" s="73">
        <v>0.9</v>
      </c>
      <c r="P437" s="71">
        <v>0.81319261213720295</v>
      </c>
      <c r="Q437" s="71">
        <v>0.83280757097791802</v>
      </c>
      <c r="R437" s="71">
        <v>0.78985507246376796</v>
      </c>
      <c r="S437" s="71">
        <v>0.83974468375601596</v>
      </c>
      <c r="T437" s="73">
        <v>0.9</v>
      </c>
      <c r="U437" s="71">
        <v>0.81108179419525095</v>
      </c>
      <c r="V437" s="71">
        <v>0.81423063441990895</v>
      </c>
      <c r="W437" s="71">
        <v>0.82456140350877205</v>
      </c>
      <c r="X437" s="71">
        <v>0.82779806806157596</v>
      </c>
      <c r="Y437" s="73">
        <v>0.92</v>
      </c>
      <c r="Z437" s="73">
        <v>0.92059369202226304</v>
      </c>
      <c r="AA437" s="73">
        <v>0.85932851678708</v>
      </c>
      <c r="AB437" s="73">
        <v>0.890572765767774</v>
      </c>
      <c r="AC437" s="73">
        <v>0.89593449098839595</v>
      </c>
      <c r="AD437" s="73">
        <v>0.92</v>
      </c>
      <c r="AE437" s="71">
        <v>0.99852125693160798</v>
      </c>
      <c r="AF437" s="71">
        <v>0.99528301886792403</v>
      </c>
      <c r="AG437" s="71">
        <v>0.99773584905660395</v>
      </c>
      <c r="AH437" s="71">
        <v>0.99551312649164703</v>
      </c>
      <c r="AI437" s="73">
        <v>0.92</v>
      </c>
      <c r="AJ437" s="71">
        <v>0.92699327569644596</v>
      </c>
      <c r="AK437" s="71">
        <v>0.906664106011139</v>
      </c>
      <c r="AL437" s="71">
        <v>0.90758193838795898</v>
      </c>
      <c r="AM437" s="71">
        <v>0.91597576939859804</v>
      </c>
      <c r="AN437" s="70">
        <v>0.99</v>
      </c>
      <c r="AO437" s="75">
        <v>1</v>
      </c>
      <c r="AP437" s="75">
        <v>1</v>
      </c>
      <c r="AQ437" s="75">
        <v>1</v>
      </c>
      <c r="AR437" s="75">
        <v>1</v>
      </c>
      <c r="AS437" s="95">
        <v>0.05</v>
      </c>
      <c r="AT437" s="79">
        <v>6.6666666666666693E-2</v>
      </c>
      <c r="AU437" s="79">
        <v>0.44444444444444398</v>
      </c>
      <c r="AV437" s="79">
        <v>0</v>
      </c>
      <c r="AW437" s="79">
        <v>6.18181818181818E-2</v>
      </c>
      <c r="AX437" s="56"/>
      <c r="AY437" s="54"/>
    </row>
    <row r="438" spans="1:51">
      <c r="A438" s="53"/>
      <c r="B438" s="56"/>
      <c r="C438" s="90" t="s">
        <v>370</v>
      </c>
      <c r="D438" s="230" t="s">
        <v>1757</v>
      </c>
      <c r="E438" s="68" t="s">
        <v>371</v>
      </c>
      <c r="F438" s="91" t="s">
        <v>459</v>
      </c>
      <c r="G438" s="91" t="s">
        <v>459</v>
      </c>
      <c r="H438" s="91" t="s">
        <v>459</v>
      </c>
      <c r="I438" s="91" t="s">
        <v>459</v>
      </c>
      <c r="J438" s="70">
        <v>0.9</v>
      </c>
      <c r="K438" s="71">
        <v>0.92857142857142905</v>
      </c>
      <c r="L438" s="71">
        <v>0.86538461538461497</v>
      </c>
      <c r="M438" s="72">
        <v>0.85185185185185197</v>
      </c>
      <c r="N438" s="71">
        <v>0.92396694214875996</v>
      </c>
      <c r="O438" s="73">
        <v>0.9</v>
      </c>
      <c r="P438" s="71">
        <v>0.96784565916398702</v>
      </c>
      <c r="Q438" s="71">
        <v>0.98181169757489295</v>
      </c>
      <c r="R438" s="71">
        <v>0.98395916879329204</v>
      </c>
      <c r="S438" s="71">
        <v>0.98068640646029603</v>
      </c>
      <c r="T438" s="73">
        <v>0.9</v>
      </c>
      <c r="U438" s="71">
        <v>0.90407288317256196</v>
      </c>
      <c r="V438" s="71">
        <v>0.87089871611982905</v>
      </c>
      <c r="W438" s="71">
        <v>0.89938024061246802</v>
      </c>
      <c r="X438" s="71">
        <v>0.90380215343203196</v>
      </c>
      <c r="Y438" s="73">
        <v>0.92</v>
      </c>
      <c r="Z438" s="73">
        <v>0.908858267716535</v>
      </c>
      <c r="AA438" s="73">
        <v>0.93642143505903697</v>
      </c>
      <c r="AB438" s="73">
        <v>0.90253108348135003</v>
      </c>
      <c r="AC438" s="73">
        <v>0.92991819324527603</v>
      </c>
      <c r="AD438" s="73">
        <v>0.92</v>
      </c>
      <c r="AE438" s="71">
        <v>0.95757575757575797</v>
      </c>
      <c r="AF438" s="71">
        <v>0.90766208251473501</v>
      </c>
      <c r="AG438" s="71">
        <v>0.98861788617886204</v>
      </c>
      <c r="AH438" s="71">
        <v>0.956985821252191</v>
      </c>
      <c r="AI438" s="73">
        <v>0.92</v>
      </c>
      <c r="AJ438" s="71">
        <v>0.92408339324227196</v>
      </c>
      <c r="AK438" s="71">
        <v>0.95790943546778395</v>
      </c>
      <c r="AL438" s="71">
        <v>0.92693686242073303</v>
      </c>
      <c r="AM438" s="71">
        <v>0.94846992164569599</v>
      </c>
      <c r="AN438" s="70">
        <v>0.99</v>
      </c>
      <c r="AO438" s="75">
        <v>1</v>
      </c>
      <c r="AP438" s="75">
        <v>1</v>
      </c>
      <c r="AQ438" s="75">
        <v>1</v>
      </c>
      <c r="AR438" s="75">
        <v>1</v>
      </c>
      <c r="AS438" s="95">
        <v>0.05</v>
      </c>
      <c r="AT438" s="79">
        <v>0</v>
      </c>
      <c r="AU438" s="79">
        <v>5.8823529411764698E-2</v>
      </c>
      <c r="AV438" s="79">
        <v>0</v>
      </c>
      <c r="AW438" s="79">
        <v>3.5031847133758003E-2</v>
      </c>
      <c r="AX438" s="56"/>
      <c r="AY438" s="54"/>
    </row>
    <row r="439" spans="1:51">
      <c r="A439" s="53"/>
      <c r="B439" s="56"/>
      <c r="C439" s="90" t="s">
        <v>370</v>
      </c>
      <c r="D439" s="230" t="s">
        <v>1757</v>
      </c>
      <c r="E439" s="68" t="s">
        <v>371</v>
      </c>
      <c r="F439" s="91" t="s">
        <v>460</v>
      </c>
      <c r="G439" s="91" t="s">
        <v>460</v>
      </c>
      <c r="H439" s="91" t="s">
        <v>460</v>
      </c>
      <c r="I439" s="91" t="s">
        <v>460</v>
      </c>
      <c r="J439" s="70">
        <v>0.9</v>
      </c>
      <c r="K439" s="71">
        <v>0.71698113207547198</v>
      </c>
      <c r="L439" s="71">
        <v>0.72</v>
      </c>
      <c r="M439" s="72">
        <v>0.70212765957446799</v>
      </c>
      <c r="N439" s="71">
        <v>0.73575129533678796</v>
      </c>
      <c r="O439" s="73">
        <v>0.9</v>
      </c>
      <c r="P439" s="71">
        <v>0.88709677419354804</v>
      </c>
      <c r="Q439" s="71">
        <v>0.97149808828640905</v>
      </c>
      <c r="R439" s="71">
        <v>0.97331410025243403</v>
      </c>
      <c r="S439" s="71">
        <v>0.95918632190247499</v>
      </c>
      <c r="T439" s="73">
        <v>0.9</v>
      </c>
      <c r="U439" s="71">
        <v>0.79423264907135904</v>
      </c>
      <c r="V439" s="71">
        <v>0.814389989572471</v>
      </c>
      <c r="W439" s="71">
        <v>0.825099170573386</v>
      </c>
      <c r="X439" s="71">
        <v>0.81841482010187205</v>
      </c>
      <c r="Y439" s="73">
        <v>0.92</v>
      </c>
      <c r="Z439" s="73">
        <v>0.91003704357029502</v>
      </c>
      <c r="AA439" s="73">
        <v>0.90362405416168901</v>
      </c>
      <c r="AB439" s="73">
        <v>0.91208350060216803</v>
      </c>
      <c r="AC439" s="73">
        <v>0.91796411766956099</v>
      </c>
      <c r="AD439" s="73">
        <v>0.92</v>
      </c>
      <c r="AE439" s="71">
        <v>0.98851426454242297</v>
      </c>
      <c r="AF439" s="71">
        <v>0.93523153942427995</v>
      </c>
      <c r="AG439" s="71">
        <v>0.99847036328871897</v>
      </c>
      <c r="AH439" s="71">
        <v>0.98881784105584802</v>
      </c>
      <c r="AI439" s="73">
        <v>0.92</v>
      </c>
      <c r="AJ439" s="71">
        <v>0.90880829015543996</v>
      </c>
      <c r="AK439" s="71">
        <v>0.92192136498516297</v>
      </c>
      <c r="AL439" s="71">
        <v>0.916988914668729</v>
      </c>
      <c r="AM439" s="71">
        <v>0.92838075082369398</v>
      </c>
      <c r="AN439" s="70">
        <v>0.99</v>
      </c>
      <c r="AO439" s="75">
        <v>1</v>
      </c>
      <c r="AP439" s="75">
        <v>1</v>
      </c>
      <c r="AQ439" s="75">
        <v>1</v>
      </c>
      <c r="AR439" s="75">
        <v>1</v>
      </c>
      <c r="AS439" s="95">
        <v>0.05</v>
      </c>
      <c r="AT439" s="79">
        <v>9.0909090909090898E-2</v>
      </c>
      <c r="AU439" s="79">
        <v>4.6511627906976702E-2</v>
      </c>
      <c r="AV439" s="79">
        <v>2.32558139534884E-2</v>
      </c>
      <c r="AW439" s="79">
        <v>4.0540540540540501E-2</v>
      </c>
      <c r="AX439" s="56"/>
      <c r="AY439" s="54"/>
    </row>
    <row r="440" spans="1:51">
      <c r="A440" s="53"/>
      <c r="B440" s="56"/>
      <c r="C440" s="90" t="s">
        <v>370</v>
      </c>
      <c r="D440" s="230" t="s">
        <v>1757</v>
      </c>
      <c r="E440" s="68" t="s">
        <v>371</v>
      </c>
      <c r="F440" s="91" t="s">
        <v>461</v>
      </c>
      <c r="G440" s="91" t="s">
        <v>461</v>
      </c>
      <c r="H440" s="91" t="s">
        <v>461</v>
      </c>
      <c r="I440" s="91" t="s">
        <v>461</v>
      </c>
      <c r="J440" s="70">
        <v>0.9</v>
      </c>
      <c r="K440" s="71">
        <v>0.66666666666666696</v>
      </c>
      <c r="L440" s="71">
        <v>0.60526315789473695</v>
      </c>
      <c r="M440" s="72">
        <v>0.581395348837209</v>
      </c>
      <c r="N440" s="71">
        <v>0.55703422053231899</v>
      </c>
      <c r="O440" s="73">
        <v>0.9</v>
      </c>
      <c r="P440" s="71">
        <v>0.72892561983471105</v>
      </c>
      <c r="Q440" s="71">
        <v>0.53381066030230695</v>
      </c>
      <c r="R440" s="71">
        <v>0.69170124481327799</v>
      </c>
      <c r="S440" s="71">
        <v>0.60374323731539703</v>
      </c>
      <c r="T440" s="73">
        <v>0.9</v>
      </c>
      <c r="U440" s="71">
        <v>0.67658402203856705</v>
      </c>
      <c r="V440" s="71">
        <v>0.55608591885441505</v>
      </c>
      <c r="W440" s="71">
        <v>0.69460580912863101</v>
      </c>
      <c r="X440" s="71">
        <v>0.67305161573329397</v>
      </c>
      <c r="Y440" s="73">
        <v>0.92</v>
      </c>
      <c r="Z440" s="73">
        <v>0.70856379935151603</v>
      </c>
      <c r="AA440" s="73">
        <v>0.64111349036402598</v>
      </c>
      <c r="AB440" s="73">
        <v>0.740403816285778</v>
      </c>
      <c r="AC440" s="73">
        <v>0.72728643432559303</v>
      </c>
      <c r="AD440" s="73">
        <v>0.92</v>
      </c>
      <c r="AE440" s="71">
        <v>0.99613003095975206</v>
      </c>
      <c r="AF440" s="71">
        <v>0.98192197906755496</v>
      </c>
      <c r="AG440" s="71">
        <v>0.78531073446327704</v>
      </c>
      <c r="AH440" s="71">
        <v>0.98281022177883504</v>
      </c>
      <c r="AI440" s="73">
        <v>0.92</v>
      </c>
      <c r="AJ440" s="71">
        <v>0.73697621744054398</v>
      </c>
      <c r="AK440" s="71">
        <v>0.69682605111294305</v>
      </c>
      <c r="AL440" s="71">
        <v>0.77050837666089</v>
      </c>
      <c r="AM440" s="71">
        <v>0.77557514454780596</v>
      </c>
      <c r="AN440" s="70">
        <v>0.99</v>
      </c>
      <c r="AO440" s="75">
        <v>1</v>
      </c>
      <c r="AP440" s="75">
        <v>1</v>
      </c>
      <c r="AQ440" s="75">
        <v>1</v>
      </c>
      <c r="AR440" s="75">
        <v>1</v>
      </c>
      <c r="AS440" s="95">
        <v>0.05</v>
      </c>
      <c r="AT440" s="79">
        <v>2.9411764705882401E-2</v>
      </c>
      <c r="AU440" s="79">
        <v>7.1428571428571397E-2</v>
      </c>
      <c r="AV440" s="79">
        <v>0</v>
      </c>
      <c r="AW440" s="79">
        <v>1.8617021276595699E-2</v>
      </c>
      <c r="AX440" s="56"/>
      <c r="AY440" s="54"/>
    </row>
    <row r="441" spans="1:51">
      <c r="A441" s="53"/>
      <c r="B441" s="56"/>
      <c r="C441" s="90" t="s">
        <v>370</v>
      </c>
      <c r="D441" s="230" t="s">
        <v>1757</v>
      </c>
      <c r="E441" s="68" t="s">
        <v>371</v>
      </c>
      <c r="F441" s="91" t="s">
        <v>462</v>
      </c>
      <c r="G441" s="91" t="s">
        <v>462</v>
      </c>
      <c r="H441" s="91" t="s">
        <v>462</v>
      </c>
      <c r="I441" s="91" t="s">
        <v>462</v>
      </c>
      <c r="J441" s="70">
        <v>0.9</v>
      </c>
      <c r="K441" s="71">
        <v>0.90217391304347805</v>
      </c>
      <c r="L441" s="71">
        <v>0.952380952380952</v>
      </c>
      <c r="M441" s="72">
        <v>0.93181818181818199</v>
      </c>
      <c r="N441" s="71">
        <v>0.94662638469284999</v>
      </c>
      <c r="O441" s="73">
        <v>0.9</v>
      </c>
      <c r="P441" s="71">
        <v>0.97499999999999998</v>
      </c>
      <c r="Q441" s="71">
        <v>0.96957148001440396</v>
      </c>
      <c r="R441" s="71">
        <v>0.98524229074889902</v>
      </c>
      <c r="S441" s="71">
        <v>0.97858822558686398</v>
      </c>
      <c r="T441" s="73">
        <v>0.9</v>
      </c>
      <c r="U441" s="71">
        <v>0.90895522388059702</v>
      </c>
      <c r="V441" s="71">
        <v>0.86856319769535495</v>
      </c>
      <c r="W441" s="71">
        <v>0.93149779735682803</v>
      </c>
      <c r="X441" s="71">
        <v>0.91845785717232598</v>
      </c>
      <c r="Y441" s="73">
        <v>0.92</v>
      </c>
      <c r="Z441" s="73">
        <v>0.94878003352579598</v>
      </c>
      <c r="AA441" s="73">
        <v>0.93845593590677301</v>
      </c>
      <c r="AB441" s="73">
        <v>0.92823553465549002</v>
      </c>
      <c r="AC441" s="73">
        <v>0.94414420884428196</v>
      </c>
      <c r="AD441" s="73">
        <v>0.92</v>
      </c>
      <c r="AE441" s="71">
        <v>0.65608465608465605</v>
      </c>
      <c r="AF441" s="71">
        <v>0.99734748010610097</v>
      </c>
      <c r="AG441" s="71">
        <v>0.99766355140186902</v>
      </c>
      <c r="AH441" s="71">
        <v>0.90861906259830105</v>
      </c>
      <c r="AI441" s="73">
        <v>0.92</v>
      </c>
      <c r="AJ441" s="71">
        <v>0.95655412115193605</v>
      </c>
      <c r="AK441" s="71">
        <v>0.96446211299843398</v>
      </c>
      <c r="AL441" s="71">
        <v>0.95431418274326896</v>
      </c>
      <c r="AM441" s="71">
        <v>0.96281693383601497</v>
      </c>
      <c r="AN441" s="70">
        <v>0.99</v>
      </c>
      <c r="AO441" s="75">
        <v>1</v>
      </c>
      <c r="AP441" s="75">
        <v>1</v>
      </c>
      <c r="AQ441" s="75">
        <v>1</v>
      </c>
      <c r="AR441" s="75">
        <v>1</v>
      </c>
      <c r="AS441" s="95">
        <v>0.05</v>
      </c>
      <c r="AT441" s="79">
        <v>0</v>
      </c>
      <c r="AU441" s="79">
        <v>5.2631578947368397E-2</v>
      </c>
      <c r="AV441" s="79">
        <v>0</v>
      </c>
      <c r="AW441" s="79">
        <v>3.10734463276836E-2</v>
      </c>
      <c r="AX441" s="56"/>
      <c r="AY441" s="54"/>
    </row>
    <row r="442" spans="1:51">
      <c r="A442" s="53"/>
      <c r="B442" s="56"/>
      <c r="C442" s="90" t="s">
        <v>370</v>
      </c>
      <c r="D442" s="230" t="s">
        <v>1757</v>
      </c>
      <c r="E442" s="68" t="s">
        <v>371</v>
      </c>
      <c r="F442" s="108" t="s">
        <v>463</v>
      </c>
      <c r="G442" s="108" t="s">
        <v>463</v>
      </c>
      <c r="H442" s="108" t="s">
        <v>463</v>
      </c>
      <c r="I442" s="108" t="s">
        <v>463</v>
      </c>
      <c r="J442" s="70">
        <v>0.9</v>
      </c>
      <c r="K442" s="71">
        <v>0.86666666666666703</v>
      </c>
      <c r="L442" s="71">
        <v>0.8125</v>
      </c>
      <c r="M442" s="72">
        <v>0.8125</v>
      </c>
      <c r="N442" s="71">
        <v>0.862433862433862</v>
      </c>
      <c r="O442" s="73">
        <v>0.9</v>
      </c>
      <c r="P442" s="71">
        <v>0.963842975206612</v>
      </c>
      <c r="Q442" s="71">
        <v>0.94962080173347796</v>
      </c>
      <c r="R442" s="71">
        <v>0.98250564334085799</v>
      </c>
      <c r="S442" s="71">
        <v>0.97566539923954398</v>
      </c>
      <c r="T442" s="73">
        <v>0.9</v>
      </c>
      <c r="U442" s="71">
        <v>0.92045454545454497</v>
      </c>
      <c r="V442" s="71">
        <v>0.91278439869989203</v>
      </c>
      <c r="W442" s="71">
        <v>0.95259593679458199</v>
      </c>
      <c r="X442" s="71">
        <v>0.94828897338402995</v>
      </c>
      <c r="Y442" s="73">
        <v>0.92</v>
      </c>
      <c r="Z442" s="73">
        <v>0</v>
      </c>
      <c r="AA442" s="73" t="s">
        <v>1710</v>
      </c>
      <c r="AB442" s="73" t="s">
        <v>1710</v>
      </c>
      <c r="AC442" s="73">
        <v>0</v>
      </c>
      <c r="AD442" s="73">
        <v>0.92</v>
      </c>
      <c r="AE442" s="71">
        <v>0.96296296296296302</v>
      </c>
      <c r="AF442" s="71">
        <v>0.98750000000000004</v>
      </c>
      <c r="AG442" s="71">
        <v>1</v>
      </c>
      <c r="AH442" s="71">
        <v>0.97867803837953105</v>
      </c>
      <c r="AI442" s="73">
        <v>0.92</v>
      </c>
      <c r="AJ442" s="71">
        <v>0.95876288659793796</v>
      </c>
      <c r="AK442" s="71">
        <v>0.95882990249187405</v>
      </c>
      <c r="AL442" s="71">
        <v>0.98024830699774301</v>
      </c>
      <c r="AM442" s="71">
        <v>0.98501221830029895</v>
      </c>
      <c r="AN442" s="70">
        <v>0.99</v>
      </c>
      <c r="AO442" s="75">
        <v>1</v>
      </c>
      <c r="AP442" s="75">
        <v>1</v>
      </c>
      <c r="AQ442" s="75">
        <v>1</v>
      </c>
      <c r="AR442" s="75">
        <v>1</v>
      </c>
      <c r="AS442" s="95">
        <v>0.05</v>
      </c>
      <c r="AT442" s="79">
        <v>0.2</v>
      </c>
      <c r="AU442" s="79">
        <v>0</v>
      </c>
      <c r="AV442" s="79">
        <v>0</v>
      </c>
      <c r="AW442" s="79">
        <v>0.10638297872340401</v>
      </c>
      <c r="AX442" s="56"/>
      <c r="AY442" s="54"/>
    </row>
    <row r="443" spans="1:51">
      <c r="A443" s="53"/>
      <c r="B443" s="56"/>
      <c r="C443" s="90" t="s">
        <v>370</v>
      </c>
      <c r="D443" s="230" t="s">
        <v>1757</v>
      </c>
      <c r="E443" s="68" t="s">
        <v>371</v>
      </c>
      <c r="F443" s="91" t="s">
        <v>464</v>
      </c>
      <c r="G443" s="91" t="s">
        <v>464</v>
      </c>
      <c r="H443" s="91" t="s">
        <v>464</v>
      </c>
      <c r="I443" s="91" t="s">
        <v>464</v>
      </c>
      <c r="J443" s="70">
        <v>0.9</v>
      </c>
      <c r="K443" s="71">
        <v>0.90163934426229497</v>
      </c>
      <c r="L443" s="71">
        <v>0.92452830188679203</v>
      </c>
      <c r="M443" s="72">
        <v>0.875</v>
      </c>
      <c r="N443" s="71">
        <v>0.882911392405063</v>
      </c>
      <c r="O443" s="73">
        <v>0.9</v>
      </c>
      <c r="P443" s="71">
        <v>0.92046718576195796</v>
      </c>
      <c r="Q443" s="71">
        <v>0.92062314540059298</v>
      </c>
      <c r="R443" s="71">
        <v>0.93201029033443605</v>
      </c>
      <c r="S443" s="71">
        <v>0.92907801418439695</v>
      </c>
      <c r="T443" s="73">
        <v>0.9</v>
      </c>
      <c r="U443" s="71">
        <v>0.871523915461624</v>
      </c>
      <c r="V443" s="71">
        <v>0.84495548961424305</v>
      </c>
      <c r="W443" s="71">
        <v>0.86475560455714795</v>
      </c>
      <c r="X443" s="71">
        <v>0.85382569558101495</v>
      </c>
      <c r="Y443" s="73">
        <v>0.92</v>
      </c>
      <c r="Z443" s="73">
        <v>0.89949276723652105</v>
      </c>
      <c r="AA443" s="73">
        <v>0.88466696468484596</v>
      </c>
      <c r="AB443" s="73">
        <v>0.87964563526361295</v>
      </c>
      <c r="AC443" s="73">
        <v>0.89054155540721003</v>
      </c>
      <c r="AD443" s="73">
        <v>0.92</v>
      </c>
      <c r="AE443" s="71">
        <v>0.99843505477308303</v>
      </c>
      <c r="AF443" s="71">
        <v>0.99834983498349805</v>
      </c>
      <c r="AG443" s="71">
        <v>0.98938428874734596</v>
      </c>
      <c r="AH443" s="71">
        <v>0.99583033788641295</v>
      </c>
      <c r="AI443" s="73">
        <v>0.92</v>
      </c>
      <c r="AJ443" s="71">
        <v>0.91437394722066301</v>
      </c>
      <c r="AK443" s="71">
        <v>0.91871072369754703</v>
      </c>
      <c r="AL443" s="71">
        <v>0.90817575840021803</v>
      </c>
      <c r="AM443" s="71">
        <v>0.91860224509854604</v>
      </c>
      <c r="AN443" s="70">
        <v>0.99</v>
      </c>
      <c r="AO443" s="75">
        <v>1</v>
      </c>
      <c r="AP443" s="75">
        <v>1</v>
      </c>
      <c r="AQ443" s="75">
        <v>1</v>
      </c>
      <c r="AR443" s="75">
        <v>1</v>
      </c>
      <c r="AS443" s="95">
        <v>0.05</v>
      </c>
      <c r="AT443" s="79">
        <v>4.7619047619047603E-2</v>
      </c>
      <c r="AU443" s="79">
        <v>0.13043478260869601</v>
      </c>
      <c r="AV443" s="79">
        <v>0</v>
      </c>
      <c r="AW443" s="79">
        <v>2.31660231660232E-2</v>
      </c>
      <c r="AX443" s="56"/>
      <c r="AY443" s="54"/>
    </row>
    <row r="444" spans="1:51">
      <c r="A444" s="53"/>
      <c r="B444" s="56"/>
      <c r="C444" s="90" t="s">
        <v>370</v>
      </c>
      <c r="D444" s="230" t="s">
        <v>1757</v>
      </c>
      <c r="E444" s="68" t="s">
        <v>371</v>
      </c>
      <c r="F444" s="91" t="s">
        <v>465</v>
      </c>
      <c r="G444" s="91" t="s">
        <v>465</v>
      </c>
      <c r="H444" s="91" t="s">
        <v>465</v>
      </c>
      <c r="I444" s="91" t="s">
        <v>465</v>
      </c>
      <c r="J444" s="70">
        <v>0.9</v>
      </c>
      <c r="K444" s="71">
        <v>0.85416666666666696</v>
      </c>
      <c r="L444" s="71">
        <v>0.77777777777777801</v>
      </c>
      <c r="M444" s="72">
        <v>0.84090909090909105</v>
      </c>
      <c r="N444" s="71">
        <v>0.84369114877589502</v>
      </c>
      <c r="O444" s="73">
        <v>0.9</v>
      </c>
      <c r="P444" s="71">
        <v>0.961557916034396</v>
      </c>
      <c r="Q444" s="71">
        <v>0.94013226592412102</v>
      </c>
      <c r="R444" s="71">
        <v>0.92361111111111105</v>
      </c>
      <c r="S444" s="71">
        <v>0.94764364312983196</v>
      </c>
      <c r="T444" s="73">
        <v>0.9</v>
      </c>
      <c r="U444" s="71">
        <v>0.88416793120890202</v>
      </c>
      <c r="V444" s="71">
        <v>0.87643578141315703</v>
      </c>
      <c r="W444" s="71">
        <v>0.85173611111111103</v>
      </c>
      <c r="X444" s="71">
        <v>0.89352282570337804</v>
      </c>
      <c r="Y444" s="73">
        <v>0.92</v>
      </c>
      <c r="Z444" s="73">
        <v>0.95376146788990801</v>
      </c>
      <c r="AA444" s="73">
        <v>0.94849608570251298</v>
      </c>
      <c r="AB444" s="73">
        <v>0.92452830188679203</v>
      </c>
      <c r="AC444" s="73">
        <v>0.951319855908348</v>
      </c>
      <c r="AD444" s="73">
        <v>0.92</v>
      </c>
      <c r="AE444" s="71">
        <v>0.996300863131936</v>
      </c>
      <c r="AF444" s="71">
        <v>0.99561403508771895</v>
      </c>
      <c r="AG444" s="71">
        <v>0.99421965317919103</v>
      </c>
      <c r="AH444" s="71">
        <v>0.99470564994073496</v>
      </c>
      <c r="AI444" s="73">
        <v>0.92</v>
      </c>
      <c r="AJ444" s="71">
        <v>0.96001077150935799</v>
      </c>
      <c r="AK444" s="71">
        <v>0.96549773755656099</v>
      </c>
      <c r="AL444" s="71">
        <v>0.94086575624838997</v>
      </c>
      <c r="AM444" s="71">
        <v>0.96251996537303197</v>
      </c>
      <c r="AN444" s="70">
        <v>0.99</v>
      </c>
      <c r="AO444" s="75">
        <v>1</v>
      </c>
      <c r="AP444" s="75">
        <v>1</v>
      </c>
      <c r="AQ444" s="75">
        <v>1</v>
      </c>
      <c r="AR444" s="75">
        <v>1</v>
      </c>
      <c r="AS444" s="95">
        <v>0.05</v>
      </c>
      <c r="AT444" s="79">
        <v>0.1</v>
      </c>
      <c r="AU444" s="79">
        <v>0.18181818181818199</v>
      </c>
      <c r="AV444" s="79">
        <v>0</v>
      </c>
      <c r="AW444" s="79">
        <v>5.6213017751479299E-2</v>
      </c>
      <c r="AX444" s="56"/>
      <c r="AY444" s="54"/>
    </row>
    <row r="445" spans="1:51">
      <c r="A445" s="53"/>
      <c r="B445" s="56"/>
      <c r="C445" s="90" t="s">
        <v>370</v>
      </c>
      <c r="D445" s="230" t="s">
        <v>1757</v>
      </c>
      <c r="E445" s="68" t="s">
        <v>371</v>
      </c>
      <c r="F445" s="91" t="s">
        <v>466</v>
      </c>
      <c r="G445" s="91" t="s">
        <v>466</v>
      </c>
      <c r="H445" s="91" t="s">
        <v>466</v>
      </c>
      <c r="I445" s="91" t="s">
        <v>466</v>
      </c>
      <c r="J445" s="70">
        <v>0.9</v>
      </c>
      <c r="K445" s="71">
        <v>0.94444444444444398</v>
      </c>
      <c r="L445" s="71">
        <v>0.85416666666666696</v>
      </c>
      <c r="M445" s="72">
        <v>0.875</v>
      </c>
      <c r="N445" s="71">
        <v>0.910873440285205</v>
      </c>
      <c r="O445" s="73">
        <v>0.9</v>
      </c>
      <c r="P445" s="71">
        <v>0.95771878072762995</v>
      </c>
      <c r="Q445" s="71">
        <v>0.97524071526822598</v>
      </c>
      <c r="R445" s="71">
        <v>0.98176814585483296</v>
      </c>
      <c r="S445" s="71">
        <v>0.97641101642583705</v>
      </c>
      <c r="T445" s="73">
        <v>0.9</v>
      </c>
      <c r="U445" s="71">
        <v>0.90462143559488695</v>
      </c>
      <c r="V445" s="71">
        <v>0.86795048143053599</v>
      </c>
      <c r="W445" s="71">
        <v>0.85930512555899596</v>
      </c>
      <c r="X445" s="71">
        <v>0.89783253056687695</v>
      </c>
      <c r="Y445" s="73">
        <v>0.92</v>
      </c>
      <c r="Z445" s="73">
        <v>0.96127917026793397</v>
      </c>
      <c r="AA445" s="73">
        <v>0.94601032155617304</v>
      </c>
      <c r="AB445" s="73">
        <v>0.91491471638238797</v>
      </c>
      <c r="AC445" s="73">
        <v>0.95421397760024795</v>
      </c>
      <c r="AD445" s="73">
        <v>0.92</v>
      </c>
      <c r="AE445" s="71">
        <v>0.972067039106145</v>
      </c>
      <c r="AF445" s="71">
        <v>0.91044776119403004</v>
      </c>
      <c r="AG445" s="71">
        <v>0.94927536231884102</v>
      </c>
      <c r="AH445" s="71">
        <v>0.954666666666667</v>
      </c>
      <c r="AI445" s="73">
        <v>0.92</v>
      </c>
      <c r="AJ445" s="71">
        <v>0.96491451900995195</v>
      </c>
      <c r="AK445" s="71">
        <v>0.959514170040486</v>
      </c>
      <c r="AL445" s="71">
        <v>0.93112116641528397</v>
      </c>
      <c r="AM445" s="71">
        <v>0.965365343971884</v>
      </c>
      <c r="AN445" s="70">
        <v>0.99</v>
      </c>
      <c r="AO445" s="75">
        <v>1</v>
      </c>
      <c r="AP445" s="75">
        <v>1</v>
      </c>
      <c r="AQ445" s="75">
        <v>1</v>
      </c>
      <c r="AR445" s="75">
        <v>1</v>
      </c>
      <c r="AS445" s="95">
        <v>0.05</v>
      </c>
      <c r="AT445" s="79">
        <v>8.6956521739130405E-2</v>
      </c>
      <c r="AU445" s="79">
        <v>0</v>
      </c>
      <c r="AV445" s="79">
        <v>0</v>
      </c>
      <c r="AW445" s="79">
        <v>2.5089605734767002E-2</v>
      </c>
      <c r="AX445" s="56"/>
      <c r="AY445" s="54"/>
    </row>
    <row r="446" spans="1:51">
      <c r="A446" s="53"/>
      <c r="B446" s="56"/>
      <c r="C446" s="90" t="s">
        <v>370</v>
      </c>
      <c r="D446" s="230" t="s">
        <v>1757</v>
      </c>
      <c r="E446" s="68" t="s">
        <v>371</v>
      </c>
      <c r="F446" s="91" t="s">
        <v>467</v>
      </c>
      <c r="G446" s="91" t="s">
        <v>467</v>
      </c>
      <c r="H446" s="91" t="s">
        <v>467</v>
      </c>
      <c r="I446" s="91" t="s">
        <v>467</v>
      </c>
      <c r="J446" s="70">
        <v>0.9</v>
      </c>
      <c r="K446" s="71">
        <v>0.9375</v>
      </c>
      <c r="L446" s="71">
        <v>0.92537313432835799</v>
      </c>
      <c r="M446" s="72">
        <v>0.95890410958904104</v>
      </c>
      <c r="N446" s="71">
        <v>0.93911007025761095</v>
      </c>
      <c r="O446" s="73">
        <v>0.9</v>
      </c>
      <c r="P446" s="71">
        <v>0.97895154884829205</v>
      </c>
      <c r="Q446" s="71">
        <v>0.95871716137836904</v>
      </c>
      <c r="R446" s="71">
        <v>0.97817460317460303</v>
      </c>
      <c r="S446" s="71">
        <v>0.98129010876442402</v>
      </c>
      <c r="T446" s="73">
        <v>0.9</v>
      </c>
      <c r="U446" s="71">
        <v>0.92811755361397896</v>
      </c>
      <c r="V446" s="71">
        <v>0.90719890822244997</v>
      </c>
      <c r="W446" s="71">
        <v>0.93022486772486801</v>
      </c>
      <c r="X446" s="71">
        <v>0.91446476454460501</v>
      </c>
      <c r="Y446" s="73">
        <v>0.92</v>
      </c>
      <c r="Z446" s="73">
        <v>0.90845070422535201</v>
      </c>
      <c r="AA446" s="73">
        <v>0.90810810810810805</v>
      </c>
      <c r="AB446" s="73">
        <v>0.87831035237469901</v>
      </c>
      <c r="AC446" s="73">
        <v>0.90668722900183296</v>
      </c>
      <c r="AD446" s="73">
        <v>0.92</v>
      </c>
      <c r="AE446" s="71">
        <v>0.99750223015164996</v>
      </c>
      <c r="AF446" s="71">
        <v>0.99650571791613696</v>
      </c>
      <c r="AG446" s="71">
        <v>0.99707858603564103</v>
      </c>
      <c r="AH446" s="71">
        <v>0.99611199249212301</v>
      </c>
      <c r="AI446" s="73">
        <v>0.92</v>
      </c>
      <c r="AJ446" s="71">
        <v>0.93256317689530699</v>
      </c>
      <c r="AK446" s="71">
        <v>0.94606560676192397</v>
      </c>
      <c r="AL446" s="71">
        <v>0.91401106136423504</v>
      </c>
      <c r="AM446" s="71">
        <v>0.93693162141015596</v>
      </c>
      <c r="AN446" s="70">
        <v>0.99</v>
      </c>
      <c r="AO446" s="75">
        <v>1</v>
      </c>
      <c r="AP446" s="75">
        <v>1</v>
      </c>
      <c r="AQ446" s="75">
        <v>1</v>
      </c>
      <c r="AR446" s="75">
        <v>1</v>
      </c>
      <c r="AS446" s="95">
        <v>0.05</v>
      </c>
      <c r="AT446" s="79">
        <v>0.173913043478261</v>
      </c>
      <c r="AU446" s="79">
        <v>8.3333333333333301E-2</v>
      </c>
      <c r="AV446" s="79">
        <v>8.6956521739130405E-2</v>
      </c>
      <c r="AW446" s="79">
        <v>6.25E-2</v>
      </c>
      <c r="AX446" s="56"/>
      <c r="AY446" s="54"/>
    </row>
    <row r="447" spans="1:51">
      <c r="A447" s="53"/>
      <c r="B447" s="56"/>
      <c r="C447" s="90" t="s">
        <v>370</v>
      </c>
      <c r="D447" s="230" t="s">
        <v>1757</v>
      </c>
      <c r="E447" s="68" t="s">
        <v>371</v>
      </c>
      <c r="F447" s="91" t="s">
        <v>468</v>
      </c>
      <c r="G447" s="91" t="s">
        <v>468</v>
      </c>
      <c r="H447" s="91" t="s">
        <v>468</v>
      </c>
      <c r="I447" s="91" t="s">
        <v>468</v>
      </c>
      <c r="J447" s="70">
        <v>0.9</v>
      </c>
      <c r="K447" s="71">
        <v>0.92307692307692302</v>
      </c>
      <c r="L447" s="71">
        <v>0.81967213114754101</v>
      </c>
      <c r="M447" s="72">
        <v>0.87301587301587302</v>
      </c>
      <c r="N447" s="71">
        <v>0.86892488954344604</v>
      </c>
      <c r="O447" s="73">
        <v>0.9</v>
      </c>
      <c r="P447" s="71">
        <v>0.99368846250946696</v>
      </c>
      <c r="Q447" s="71">
        <v>0.992997616209774</v>
      </c>
      <c r="R447" s="71">
        <v>0.99289063681742595</v>
      </c>
      <c r="S447" s="71">
        <v>0.98932777232581004</v>
      </c>
      <c r="T447" s="73">
        <v>0.9</v>
      </c>
      <c r="U447" s="71">
        <v>0.91466801312799795</v>
      </c>
      <c r="V447" s="71">
        <v>0.91790822407628103</v>
      </c>
      <c r="W447" s="71">
        <v>0.92315837240961995</v>
      </c>
      <c r="X447" s="71">
        <v>0.90384261530912702</v>
      </c>
      <c r="Y447" s="73">
        <v>0.92</v>
      </c>
      <c r="Z447" s="73">
        <v>0.5</v>
      </c>
      <c r="AA447" s="73">
        <v>0.66666666666666696</v>
      </c>
      <c r="AB447" s="73">
        <v>1</v>
      </c>
      <c r="AC447" s="73">
        <v>0.72727272727272696</v>
      </c>
      <c r="AD447" s="73">
        <v>0.92</v>
      </c>
      <c r="AE447" s="71">
        <v>0.99824868651488596</v>
      </c>
      <c r="AF447" s="71">
        <v>0.98295454545454497</v>
      </c>
      <c r="AG447" s="71">
        <v>0.98383371824480403</v>
      </c>
      <c r="AH447" s="71">
        <v>0.98900696225723705</v>
      </c>
      <c r="AI447" s="73">
        <v>0.92</v>
      </c>
      <c r="AJ447" s="71">
        <v>0.97731283085455001</v>
      </c>
      <c r="AK447" s="71">
        <v>0.97752641762167003</v>
      </c>
      <c r="AL447" s="71">
        <v>0.98367100090716697</v>
      </c>
      <c r="AM447" s="71">
        <v>0.981744888262162</v>
      </c>
      <c r="AN447" s="70">
        <v>0.99</v>
      </c>
      <c r="AO447" s="75">
        <v>1</v>
      </c>
      <c r="AP447" s="75">
        <v>1</v>
      </c>
      <c r="AQ447" s="75">
        <v>1</v>
      </c>
      <c r="AR447" s="75">
        <v>1</v>
      </c>
      <c r="AS447" s="95">
        <v>0.05</v>
      </c>
      <c r="AT447" s="79">
        <v>0.19047619047618999</v>
      </c>
      <c r="AU447" s="79">
        <v>5.8823529411764698E-2</v>
      </c>
      <c r="AV447" s="79">
        <v>0</v>
      </c>
      <c r="AW447" s="79">
        <v>2.3696682464454999E-2</v>
      </c>
      <c r="AX447" s="56"/>
      <c r="AY447" s="54"/>
    </row>
    <row r="448" spans="1:51">
      <c r="A448" s="53"/>
      <c r="B448" s="56"/>
      <c r="C448" s="90" t="s">
        <v>370</v>
      </c>
      <c r="D448" s="230" t="s">
        <v>1757</v>
      </c>
      <c r="E448" s="68" t="s">
        <v>371</v>
      </c>
      <c r="F448" s="91" t="s">
        <v>469</v>
      </c>
      <c r="G448" s="91" t="s">
        <v>469</v>
      </c>
      <c r="H448" s="91" t="s">
        <v>469</v>
      </c>
      <c r="I448" s="91" t="s">
        <v>469</v>
      </c>
      <c r="J448" s="70">
        <v>0.9</v>
      </c>
      <c r="K448" s="71">
        <v>0.91666666666666696</v>
      </c>
      <c r="L448" s="71">
        <v>0.96</v>
      </c>
      <c r="M448" s="72">
        <v>1</v>
      </c>
      <c r="N448" s="71">
        <v>0.94830659536541895</v>
      </c>
      <c r="O448" s="73">
        <v>0.9</v>
      </c>
      <c r="P448" s="71">
        <v>0.934306569343066</v>
      </c>
      <c r="Q448" s="71">
        <v>0.96661931818181801</v>
      </c>
      <c r="R448" s="71">
        <v>0.96426229508196704</v>
      </c>
      <c r="S448" s="71">
        <v>0.95822717121197798</v>
      </c>
      <c r="T448" s="73">
        <v>0.9</v>
      </c>
      <c r="U448" s="71">
        <v>0.92056676685272698</v>
      </c>
      <c r="V448" s="71">
        <v>0.94673295454545503</v>
      </c>
      <c r="W448" s="71">
        <v>0.93672131147541005</v>
      </c>
      <c r="X448" s="71">
        <v>0.94262527130319895</v>
      </c>
      <c r="Y448" s="73">
        <v>0.92</v>
      </c>
      <c r="Z448" s="73">
        <v>0.92615259077927403</v>
      </c>
      <c r="AA448" s="73">
        <v>0.95861011752682701</v>
      </c>
      <c r="AB448" s="73">
        <v>0.93274923040492497</v>
      </c>
      <c r="AC448" s="73">
        <v>0.93894529369972302</v>
      </c>
      <c r="AD448" s="73">
        <v>0.92</v>
      </c>
      <c r="AE448" s="71">
        <v>0.99645214521452097</v>
      </c>
      <c r="AF448" s="71">
        <v>0.99660743134087204</v>
      </c>
      <c r="AG448" s="71">
        <v>0.96557547414913003</v>
      </c>
      <c r="AH448" s="71">
        <v>0.99261417764079596</v>
      </c>
      <c r="AI448" s="73">
        <v>0.92</v>
      </c>
      <c r="AJ448" s="71">
        <v>0.93615257048092904</v>
      </c>
      <c r="AK448" s="71">
        <v>0.97299560393552398</v>
      </c>
      <c r="AL448" s="71">
        <v>0.952616398846312</v>
      </c>
      <c r="AM448" s="71">
        <v>0.95720968447277399</v>
      </c>
      <c r="AN448" s="70">
        <v>0.99</v>
      </c>
      <c r="AO448" s="75">
        <v>1</v>
      </c>
      <c r="AP448" s="75">
        <v>1</v>
      </c>
      <c r="AQ448" s="75">
        <v>1</v>
      </c>
      <c r="AR448" s="75">
        <v>1</v>
      </c>
      <c r="AS448" s="95">
        <v>0.05</v>
      </c>
      <c r="AT448" s="79">
        <v>8.5714285714285701E-2</v>
      </c>
      <c r="AU448" s="79">
        <v>0.11764705882352899</v>
      </c>
      <c r="AV448" s="79">
        <v>2.6315789473684199E-2</v>
      </c>
      <c r="AW448" s="79">
        <v>4.2154566744730698E-2</v>
      </c>
      <c r="AX448" s="56"/>
      <c r="AY448" s="54"/>
    </row>
    <row r="449" spans="1:51">
      <c r="A449" s="53"/>
      <c r="B449" s="56"/>
      <c r="C449" s="90" t="s">
        <v>370</v>
      </c>
      <c r="D449" s="230" t="s">
        <v>1757</v>
      </c>
      <c r="E449" s="68" t="s">
        <v>371</v>
      </c>
      <c r="F449" s="91" t="s">
        <v>470</v>
      </c>
      <c r="G449" s="91" t="s">
        <v>470</v>
      </c>
      <c r="H449" s="91" t="s">
        <v>470</v>
      </c>
      <c r="I449" s="91" t="s">
        <v>470</v>
      </c>
      <c r="J449" s="70">
        <v>0.9</v>
      </c>
      <c r="K449" s="71">
        <v>0.94444444444444398</v>
      </c>
      <c r="L449" s="71">
        <v>1</v>
      </c>
      <c r="M449" s="72">
        <v>1</v>
      </c>
      <c r="N449" s="71">
        <v>0.95555555555555605</v>
      </c>
      <c r="O449" s="73">
        <v>0.9</v>
      </c>
      <c r="P449" s="71">
        <v>0.98459958932238201</v>
      </c>
      <c r="Q449" s="71">
        <v>0.96577726218097404</v>
      </c>
      <c r="R449" s="71">
        <v>0.99806669888835198</v>
      </c>
      <c r="S449" s="71">
        <v>0.97330314359433401</v>
      </c>
      <c r="T449" s="73">
        <v>0.9</v>
      </c>
      <c r="U449" s="71">
        <v>0.92915811088295697</v>
      </c>
      <c r="V449" s="71">
        <v>0.91763341067285398</v>
      </c>
      <c r="W449" s="71">
        <v>0.93958434026099602</v>
      </c>
      <c r="X449" s="71">
        <v>0.93001948291295899</v>
      </c>
      <c r="Y449" s="73">
        <v>0.92</v>
      </c>
      <c r="Z449" s="73">
        <v>0.33333333333333298</v>
      </c>
      <c r="AA449" s="73" t="s">
        <v>1710</v>
      </c>
      <c r="AB449" s="73" t="s">
        <v>1710</v>
      </c>
      <c r="AC449" s="73">
        <v>0.4</v>
      </c>
      <c r="AD449" s="73">
        <v>0.92</v>
      </c>
      <c r="AE449" s="71">
        <v>1</v>
      </c>
      <c r="AF449" s="71">
        <v>1</v>
      </c>
      <c r="AG449" s="71">
        <v>0.984375</v>
      </c>
      <c r="AH449" s="71">
        <v>0.99510603588906998</v>
      </c>
      <c r="AI449" s="73">
        <v>0.92</v>
      </c>
      <c r="AJ449" s="71">
        <v>0.97850562947799402</v>
      </c>
      <c r="AK449" s="71">
        <v>0.95649651972157801</v>
      </c>
      <c r="AL449" s="71">
        <v>0.990333494441759</v>
      </c>
      <c r="AM449" s="71">
        <v>0.97789008212255202</v>
      </c>
      <c r="AN449" s="70">
        <v>0.99</v>
      </c>
      <c r="AO449" s="75">
        <v>1</v>
      </c>
      <c r="AP449" s="75">
        <v>1</v>
      </c>
      <c r="AQ449" s="75">
        <v>1</v>
      </c>
      <c r="AR449" s="75">
        <v>1</v>
      </c>
      <c r="AS449" s="95">
        <v>0.05</v>
      </c>
      <c r="AT449" s="79">
        <v>0</v>
      </c>
      <c r="AU449" s="79">
        <v>0</v>
      </c>
      <c r="AV449" s="79">
        <v>0</v>
      </c>
      <c r="AW449" s="79">
        <v>2.7777777777777801E-2</v>
      </c>
      <c r="AX449" s="56"/>
      <c r="AY449" s="54"/>
    </row>
    <row r="450" spans="1:51">
      <c r="A450" s="53"/>
      <c r="B450" s="56"/>
      <c r="C450" s="90" t="s">
        <v>370</v>
      </c>
      <c r="D450" s="230" t="s">
        <v>1757</v>
      </c>
      <c r="E450" s="68" t="s">
        <v>371</v>
      </c>
      <c r="F450" s="91" t="s">
        <v>471</v>
      </c>
      <c r="G450" s="91" t="s">
        <v>471</v>
      </c>
      <c r="H450" s="91" t="s">
        <v>471</v>
      </c>
      <c r="I450" s="91" t="s">
        <v>471</v>
      </c>
      <c r="J450" s="70">
        <v>0.9</v>
      </c>
      <c r="K450" s="71">
        <v>0.96875</v>
      </c>
      <c r="L450" s="71">
        <v>0.85714285714285698</v>
      </c>
      <c r="M450" s="72">
        <v>0.91666666666666696</v>
      </c>
      <c r="N450" s="71">
        <v>0.91062801932367199</v>
      </c>
      <c r="O450" s="73">
        <v>0.9</v>
      </c>
      <c r="P450" s="71">
        <v>0.947620804131317</v>
      </c>
      <c r="Q450" s="71">
        <v>0.97752808988763995</v>
      </c>
      <c r="R450" s="71">
        <v>0.97935871743487002</v>
      </c>
      <c r="S450" s="71">
        <v>0.97505008195228604</v>
      </c>
      <c r="T450" s="73">
        <v>0.9</v>
      </c>
      <c r="U450" s="71">
        <v>0.90704537071191405</v>
      </c>
      <c r="V450" s="71">
        <v>0.90719933416562604</v>
      </c>
      <c r="W450" s="71">
        <v>0.93186372745490997</v>
      </c>
      <c r="X450" s="71">
        <v>0.93522734171067801</v>
      </c>
      <c r="Y450" s="73">
        <v>0.92</v>
      </c>
      <c r="Z450" s="73">
        <v>0</v>
      </c>
      <c r="AA450" s="73" t="s">
        <v>1710</v>
      </c>
      <c r="AB450" s="73">
        <v>0</v>
      </c>
      <c r="AC450" s="73">
        <v>0.28571428571428598</v>
      </c>
      <c r="AD450" s="73">
        <v>0.92</v>
      </c>
      <c r="AE450" s="71">
        <v>0.99756320438623203</v>
      </c>
      <c r="AF450" s="71">
        <v>0.99755620723362703</v>
      </c>
      <c r="AG450" s="71">
        <v>0.995277449822904</v>
      </c>
      <c r="AH450" s="71">
        <v>0.99637037317100796</v>
      </c>
      <c r="AI450" s="73">
        <v>0.92</v>
      </c>
      <c r="AJ450" s="71">
        <v>0.93770733505344595</v>
      </c>
      <c r="AK450" s="71">
        <v>0.96254681647940099</v>
      </c>
      <c r="AL450" s="71">
        <v>0.97154878781807297</v>
      </c>
      <c r="AM450" s="71">
        <v>0.96878287610261404</v>
      </c>
      <c r="AN450" s="70">
        <v>0.99</v>
      </c>
      <c r="AO450" s="75">
        <v>1</v>
      </c>
      <c r="AP450" s="75">
        <v>1</v>
      </c>
      <c r="AQ450" s="75">
        <v>1</v>
      </c>
      <c r="AR450" s="75">
        <v>1</v>
      </c>
      <c r="AS450" s="95">
        <v>0.05</v>
      </c>
      <c r="AT450" s="79">
        <v>0.125</v>
      </c>
      <c r="AU450" s="79">
        <v>0.16666666666666699</v>
      </c>
      <c r="AV450" s="79">
        <v>0</v>
      </c>
      <c r="AW450" s="79">
        <v>5.0420168067226899E-2</v>
      </c>
      <c r="AX450" s="56"/>
      <c r="AY450" s="54"/>
    </row>
    <row r="451" spans="1:51">
      <c r="A451" s="53"/>
      <c r="B451" s="56"/>
      <c r="C451" s="90" t="s">
        <v>370</v>
      </c>
      <c r="D451" s="230" t="s">
        <v>1757</v>
      </c>
      <c r="E451" s="68" t="s">
        <v>371</v>
      </c>
      <c r="F451" s="91" t="s">
        <v>472</v>
      </c>
      <c r="G451" s="91" t="s">
        <v>472</v>
      </c>
      <c r="H451" s="91" t="s">
        <v>472</v>
      </c>
      <c r="I451" s="91" t="s">
        <v>472</v>
      </c>
      <c r="J451" s="70">
        <v>0.9</v>
      </c>
      <c r="K451" s="71">
        <v>0.95588235294117696</v>
      </c>
      <c r="L451" s="71">
        <v>0.96721311475409799</v>
      </c>
      <c r="M451" s="72">
        <v>0.96875</v>
      </c>
      <c r="N451" s="71">
        <v>0.97933884297520701</v>
      </c>
      <c r="O451" s="73">
        <v>0.9</v>
      </c>
      <c r="P451" s="71">
        <v>0.99208443271767799</v>
      </c>
      <c r="Q451" s="71">
        <v>0.98755890669180002</v>
      </c>
      <c r="R451" s="71">
        <v>0.98842798646964602</v>
      </c>
      <c r="S451" s="71">
        <v>0.988487759250265</v>
      </c>
      <c r="T451" s="73">
        <v>0.9</v>
      </c>
      <c r="U451" s="71">
        <v>0.95118733509234799</v>
      </c>
      <c r="V451" s="71">
        <v>0.95664467483506099</v>
      </c>
      <c r="W451" s="71">
        <v>0.95816272031333405</v>
      </c>
      <c r="X451" s="71">
        <v>0.94828485600705104</v>
      </c>
      <c r="Y451" s="73">
        <v>0.92</v>
      </c>
      <c r="Z451" s="73" t="s">
        <v>1710</v>
      </c>
      <c r="AA451" s="73">
        <v>1</v>
      </c>
      <c r="AB451" s="73">
        <v>0</v>
      </c>
      <c r="AC451" s="73">
        <v>0.81818181818181801</v>
      </c>
      <c r="AD451" s="73">
        <v>0.92</v>
      </c>
      <c r="AE451" s="71">
        <v>0.99418604651162801</v>
      </c>
      <c r="AF451" s="71">
        <v>0.99431818181818199</v>
      </c>
      <c r="AG451" s="71">
        <v>0.98876404494381998</v>
      </c>
      <c r="AH451" s="71">
        <v>0.98931942374565296</v>
      </c>
      <c r="AI451" s="73">
        <v>0.92</v>
      </c>
      <c r="AJ451" s="71">
        <v>0.982189973614776</v>
      </c>
      <c r="AK451" s="71">
        <v>0.97945721824349796</v>
      </c>
      <c r="AL451" s="71">
        <v>0.985048059807761</v>
      </c>
      <c r="AM451" s="71">
        <v>0.98270064198241303</v>
      </c>
      <c r="AN451" s="70">
        <v>0.99</v>
      </c>
      <c r="AO451" s="75">
        <v>1</v>
      </c>
      <c r="AP451" s="75">
        <v>1</v>
      </c>
      <c r="AQ451" s="75">
        <v>1</v>
      </c>
      <c r="AR451" s="75">
        <v>1</v>
      </c>
      <c r="AS451" s="95">
        <v>0.05</v>
      </c>
      <c r="AT451" s="79">
        <v>0.11111111111111099</v>
      </c>
      <c r="AU451" s="79">
        <v>0</v>
      </c>
      <c r="AV451" s="79">
        <v>0</v>
      </c>
      <c r="AW451" s="79">
        <v>5.93220338983051E-2</v>
      </c>
      <c r="AX451" s="56"/>
      <c r="AY451" s="54"/>
    </row>
    <row r="452" spans="1:51">
      <c r="A452" s="53"/>
      <c r="B452" s="56"/>
      <c r="C452" s="90" t="s">
        <v>370</v>
      </c>
      <c r="D452" s="230" t="s">
        <v>1757</v>
      </c>
      <c r="E452" s="68" t="s">
        <v>371</v>
      </c>
      <c r="F452" s="91" t="s">
        <v>473</v>
      </c>
      <c r="G452" s="91" t="s">
        <v>473</v>
      </c>
      <c r="H452" s="91" t="s">
        <v>473</v>
      </c>
      <c r="I452" s="91" t="s">
        <v>473</v>
      </c>
      <c r="J452" s="70">
        <v>0.9</v>
      </c>
      <c r="K452" s="71">
        <v>0.94444444444444398</v>
      </c>
      <c r="L452" s="71">
        <v>0.94444444444444398</v>
      </c>
      <c r="M452" s="72">
        <v>0.94505494505494503</v>
      </c>
      <c r="N452" s="71">
        <v>0.90798226164079798</v>
      </c>
      <c r="O452" s="73">
        <v>0.9</v>
      </c>
      <c r="P452" s="71">
        <v>0.94240341313107401</v>
      </c>
      <c r="Q452" s="71">
        <v>0.95677570093457898</v>
      </c>
      <c r="R452" s="71">
        <v>0.94979887369267901</v>
      </c>
      <c r="S452" s="71">
        <v>0.95473731627154301</v>
      </c>
      <c r="T452" s="73">
        <v>0.9</v>
      </c>
      <c r="U452" s="71">
        <v>0.91917515999051902</v>
      </c>
      <c r="V452" s="71">
        <v>0.91335669781931506</v>
      </c>
      <c r="W452" s="71">
        <v>0.90812550281576798</v>
      </c>
      <c r="X452" s="71">
        <v>0.89295784047114601</v>
      </c>
      <c r="Y452" s="73">
        <v>0.92</v>
      </c>
      <c r="Z452" s="73">
        <v>0.93256395995550601</v>
      </c>
      <c r="AA452" s="73">
        <v>0.92772861356932201</v>
      </c>
      <c r="AB452" s="73">
        <v>0.91641656662665105</v>
      </c>
      <c r="AC452" s="73">
        <v>0.90276681019711802</v>
      </c>
      <c r="AD452" s="73">
        <v>0.92</v>
      </c>
      <c r="AE452" s="71">
        <v>0.99259070005109895</v>
      </c>
      <c r="AF452" s="71">
        <v>0.708587257617729</v>
      </c>
      <c r="AG452" s="71">
        <v>0.97893465718502604</v>
      </c>
      <c r="AH452" s="71">
        <v>0.95130856109461903</v>
      </c>
      <c r="AI452" s="73">
        <v>0.92</v>
      </c>
      <c r="AJ452" s="71">
        <v>0.94920440636474901</v>
      </c>
      <c r="AK452" s="71">
        <v>0.96105879358615398</v>
      </c>
      <c r="AL452" s="71">
        <v>0.94681758275835304</v>
      </c>
      <c r="AM452" s="71">
        <v>0.93836418661321397</v>
      </c>
      <c r="AN452" s="70">
        <v>0.99</v>
      </c>
      <c r="AO452" s="75">
        <v>1</v>
      </c>
      <c r="AP452" s="75">
        <v>1</v>
      </c>
      <c r="AQ452" s="75">
        <v>1</v>
      </c>
      <c r="AR452" s="75">
        <v>1</v>
      </c>
      <c r="AS452" s="95">
        <v>0.05</v>
      </c>
      <c r="AT452" s="79">
        <v>0.28205128205128199</v>
      </c>
      <c r="AU452" s="79">
        <v>9.0909090909090898E-2</v>
      </c>
      <c r="AV452" s="79">
        <v>0.1</v>
      </c>
      <c r="AW452" s="79">
        <v>6.4386317907444701E-2</v>
      </c>
      <c r="AX452" s="56"/>
      <c r="AY452" s="54"/>
    </row>
    <row r="453" spans="1:51">
      <c r="A453" s="53"/>
      <c r="B453" s="56"/>
      <c r="C453" s="90" t="s">
        <v>370</v>
      </c>
      <c r="D453" s="230" t="s">
        <v>1757</v>
      </c>
      <c r="E453" s="68" t="s">
        <v>371</v>
      </c>
      <c r="F453" s="91" t="s">
        <v>474</v>
      </c>
      <c r="G453" s="91" t="s">
        <v>474</v>
      </c>
      <c r="H453" s="91" t="s">
        <v>474</v>
      </c>
      <c r="I453" s="91" t="s">
        <v>474</v>
      </c>
      <c r="J453" s="70">
        <v>0.9</v>
      </c>
      <c r="K453" s="71">
        <v>0.96296296296296302</v>
      </c>
      <c r="L453" s="71">
        <v>0.97916666666666696</v>
      </c>
      <c r="M453" s="72">
        <v>0.96296296296296302</v>
      </c>
      <c r="N453" s="71">
        <v>0.97938144329896903</v>
      </c>
      <c r="O453" s="73">
        <v>0.9</v>
      </c>
      <c r="P453" s="71">
        <v>0.95572100313479602</v>
      </c>
      <c r="Q453" s="71">
        <v>0.96</v>
      </c>
      <c r="R453" s="71">
        <v>0.95659824046920805</v>
      </c>
      <c r="S453" s="71">
        <v>0.964878580234525</v>
      </c>
      <c r="T453" s="73">
        <v>0.9</v>
      </c>
      <c r="U453" s="71">
        <v>0.93416927899686497</v>
      </c>
      <c r="V453" s="71">
        <v>0.92745762711864399</v>
      </c>
      <c r="W453" s="71">
        <v>0.93841642228738997</v>
      </c>
      <c r="X453" s="71">
        <v>0.941942142836664</v>
      </c>
      <c r="Y453" s="73">
        <v>0.92</v>
      </c>
      <c r="Z453" s="73">
        <v>0.95544664736021401</v>
      </c>
      <c r="AA453" s="73">
        <v>0.95348837209302295</v>
      </c>
      <c r="AB453" s="73">
        <v>0.93757590478503805</v>
      </c>
      <c r="AC453" s="73">
        <v>0.94838694507148202</v>
      </c>
      <c r="AD453" s="73">
        <v>0.92</v>
      </c>
      <c r="AE453" s="71">
        <v>0.99731543624161101</v>
      </c>
      <c r="AF453" s="71">
        <v>0.99100719424460404</v>
      </c>
      <c r="AG453" s="71">
        <v>0.99742710120068601</v>
      </c>
      <c r="AH453" s="71">
        <v>0.99596809846328005</v>
      </c>
      <c r="AI453" s="73">
        <v>0.92</v>
      </c>
      <c r="AJ453" s="71">
        <v>0.96200737170399797</v>
      </c>
      <c r="AK453" s="71">
        <v>0.96356893542757405</v>
      </c>
      <c r="AL453" s="71">
        <v>0.95366436537440302</v>
      </c>
      <c r="AM453" s="71">
        <v>0.96306337709955203</v>
      </c>
      <c r="AN453" s="70">
        <v>0.99</v>
      </c>
      <c r="AO453" s="75">
        <v>1</v>
      </c>
      <c r="AP453" s="75">
        <v>1</v>
      </c>
      <c r="AQ453" s="75">
        <v>1</v>
      </c>
      <c r="AR453" s="75">
        <v>1</v>
      </c>
      <c r="AS453" s="95">
        <v>0.05</v>
      </c>
      <c r="AT453" s="79">
        <v>0.105263157894737</v>
      </c>
      <c r="AU453" s="79">
        <v>8.6956521739130405E-2</v>
      </c>
      <c r="AV453" s="79">
        <v>0.08</v>
      </c>
      <c r="AW453" s="79">
        <v>3.4055727554179599E-2</v>
      </c>
      <c r="AX453" s="56"/>
      <c r="AY453" s="54"/>
    </row>
    <row r="454" spans="1:51">
      <c r="A454" s="53"/>
      <c r="B454" s="56"/>
      <c r="C454" s="90" t="s">
        <v>370</v>
      </c>
      <c r="D454" s="230" t="s">
        <v>1757</v>
      </c>
      <c r="E454" s="68" t="s">
        <v>371</v>
      </c>
      <c r="F454" s="91" t="s">
        <v>475</v>
      </c>
      <c r="G454" s="91" t="s">
        <v>475</v>
      </c>
      <c r="H454" s="91" t="s">
        <v>475</v>
      </c>
      <c r="I454" s="91" t="s">
        <v>475</v>
      </c>
      <c r="J454" s="70">
        <v>0.9</v>
      </c>
      <c r="K454" s="71">
        <v>0.86363636363636398</v>
      </c>
      <c r="L454" s="71">
        <v>0.92307692307692302</v>
      </c>
      <c r="M454" s="72">
        <v>0.97727272727272696</v>
      </c>
      <c r="N454" s="71">
        <v>0.93333333333333302</v>
      </c>
      <c r="O454" s="73">
        <v>0.9</v>
      </c>
      <c r="P454" s="71">
        <v>0.96143958868894597</v>
      </c>
      <c r="Q454" s="71">
        <v>0.976850886339937</v>
      </c>
      <c r="R454" s="71">
        <v>0.97313013835973505</v>
      </c>
      <c r="S454" s="71">
        <v>0.97260790973918898</v>
      </c>
      <c r="T454" s="73">
        <v>0.9</v>
      </c>
      <c r="U454" s="71">
        <v>0.90855673889092903</v>
      </c>
      <c r="V454" s="71">
        <v>0.90072992700729904</v>
      </c>
      <c r="W454" s="71">
        <v>0.91437738119109702</v>
      </c>
      <c r="X454" s="71">
        <v>0.92521303855550896</v>
      </c>
      <c r="Y454" s="73">
        <v>0.92</v>
      </c>
      <c r="Z454" s="73">
        <v>0</v>
      </c>
      <c r="AA454" s="73" t="s">
        <v>1710</v>
      </c>
      <c r="AB454" s="73" t="s">
        <v>1710</v>
      </c>
      <c r="AC454" s="73">
        <v>0.91304347826086996</v>
      </c>
      <c r="AD454" s="73">
        <v>0.92</v>
      </c>
      <c r="AE454" s="71">
        <v>0.998675496688742</v>
      </c>
      <c r="AF454" s="71">
        <v>0.99206349206349198</v>
      </c>
      <c r="AG454" s="71">
        <v>0.99318181818181805</v>
      </c>
      <c r="AH454" s="71">
        <v>0.99557363320971404</v>
      </c>
      <c r="AI454" s="73">
        <v>0.92</v>
      </c>
      <c r="AJ454" s="71">
        <v>0.95009174311926603</v>
      </c>
      <c r="AK454" s="71">
        <v>0.97164303586321898</v>
      </c>
      <c r="AL454" s="71">
        <v>0.95748947262883499</v>
      </c>
      <c r="AM454" s="71">
        <v>0.97798292634504702</v>
      </c>
      <c r="AN454" s="70">
        <v>0.99</v>
      </c>
      <c r="AO454" s="75">
        <v>1</v>
      </c>
      <c r="AP454" s="75">
        <v>1</v>
      </c>
      <c r="AQ454" s="75">
        <v>1</v>
      </c>
      <c r="AR454" s="75">
        <v>1</v>
      </c>
      <c r="AS454" s="95">
        <v>0.05</v>
      </c>
      <c r="AT454" s="79">
        <v>0.125</v>
      </c>
      <c r="AU454" s="79">
        <v>0.2</v>
      </c>
      <c r="AV454" s="79">
        <v>5.2631578947368397E-2</v>
      </c>
      <c r="AW454" s="79">
        <v>3.2467532467532499E-2</v>
      </c>
      <c r="AX454" s="56"/>
      <c r="AY454" s="54"/>
    </row>
    <row r="455" spans="1:51">
      <c r="A455" s="53"/>
      <c r="B455" s="56"/>
      <c r="C455" s="90" t="s">
        <v>370</v>
      </c>
      <c r="D455" s="230" t="s">
        <v>1757</v>
      </c>
      <c r="E455" s="68" t="s">
        <v>371</v>
      </c>
      <c r="F455" s="91" t="s">
        <v>476</v>
      </c>
      <c r="G455" s="91" t="s">
        <v>476</v>
      </c>
      <c r="H455" s="91" t="s">
        <v>476</v>
      </c>
      <c r="I455" s="91" t="s">
        <v>476</v>
      </c>
      <c r="J455" s="70">
        <v>0.9</v>
      </c>
      <c r="K455" s="71">
        <v>0.9375</v>
      </c>
      <c r="L455" s="71">
        <v>0.95833333333333304</v>
      </c>
      <c r="M455" s="72">
        <v>0.97674418604651203</v>
      </c>
      <c r="N455" s="71">
        <v>0.97750511247443805</v>
      </c>
      <c r="O455" s="73">
        <v>0.9</v>
      </c>
      <c r="P455" s="71">
        <v>0.98113207547169801</v>
      </c>
      <c r="Q455" s="71">
        <v>0.97958167330677304</v>
      </c>
      <c r="R455" s="71">
        <v>0.98599999999999999</v>
      </c>
      <c r="S455" s="71">
        <v>0.98594098581470702</v>
      </c>
      <c r="T455" s="73">
        <v>0.9</v>
      </c>
      <c r="U455" s="71">
        <v>0.96835057821059001</v>
      </c>
      <c r="V455" s="71">
        <v>0.96663346613545797</v>
      </c>
      <c r="W455" s="71">
        <v>0.96919999999999995</v>
      </c>
      <c r="X455" s="71">
        <v>0.96165340741676097</v>
      </c>
      <c r="Y455" s="73">
        <v>0.92</v>
      </c>
      <c r="Z455" s="73">
        <v>0.98078197481775997</v>
      </c>
      <c r="AA455" s="73">
        <v>0.98434004474272896</v>
      </c>
      <c r="AB455" s="73">
        <v>0.950221940393152</v>
      </c>
      <c r="AC455" s="73">
        <v>0.96947918315656201</v>
      </c>
      <c r="AD455" s="73">
        <v>0.92</v>
      </c>
      <c r="AE455" s="71">
        <v>0.99424223730207695</v>
      </c>
      <c r="AF455" s="71">
        <v>0.98829701372074297</v>
      </c>
      <c r="AG455" s="71">
        <v>0.97996864657725102</v>
      </c>
      <c r="AH455" s="71">
        <v>0.99379943502824897</v>
      </c>
      <c r="AI455" s="73">
        <v>0.92</v>
      </c>
      <c r="AJ455" s="71">
        <v>0.983964079538165</v>
      </c>
      <c r="AK455" s="71">
        <v>0.99074903014025695</v>
      </c>
      <c r="AL455" s="71">
        <v>0.96803814232738805</v>
      </c>
      <c r="AM455" s="71">
        <v>0.97995308552868998</v>
      </c>
      <c r="AN455" s="70">
        <v>0.99</v>
      </c>
      <c r="AO455" s="75">
        <v>1</v>
      </c>
      <c r="AP455" s="75">
        <v>1</v>
      </c>
      <c r="AQ455" s="75">
        <v>1</v>
      </c>
      <c r="AR455" s="75">
        <v>1</v>
      </c>
      <c r="AS455" s="95">
        <v>0.05</v>
      </c>
      <c r="AT455" s="79">
        <v>0</v>
      </c>
      <c r="AU455" s="79">
        <v>0.4</v>
      </c>
      <c r="AV455" s="79">
        <v>9.0909090909090898E-2</v>
      </c>
      <c r="AW455" s="79">
        <v>7.5862068965517199E-2</v>
      </c>
      <c r="AX455" s="56"/>
      <c r="AY455" s="54"/>
    </row>
    <row r="456" spans="1:51">
      <c r="A456" s="53"/>
      <c r="B456" s="56"/>
      <c r="C456" s="90" t="s">
        <v>370</v>
      </c>
      <c r="D456" s="230" t="s">
        <v>1757</v>
      </c>
      <c r="E456" s="68" t="s">
        <v>371</v>
      </c>
      <c r="F456" s="91" t="s">
        <v>477</v>
      </c>
      <c r="G456" s="91" t="s">
        <v>477</v>
      </c>
      <c r="H456" s="91" t="s">
        <v>477</v>
      </c>
      <c r="I456" s="91" t="s">
        <v>477</v>
      </c>
      <c r="J456" s="70">
        <v>0.9</v>
      </c>
      <c r="K456" s="71">
        <v>0.97560975609756095</v>
      </c>
      <c r="L456" s="71">
        <v>0.96666666666666701</v>
      </c>
      <c r="M456" s="72">
        <v>1</v>
      </c>
      <c r="N456" s="71">
        <v>0.99202127659574502</v>
      </c>
      <c r="O456" s="73">
        <v>0.9</v>
      </c>
      <c r="P456" s="71">
        <v>0.99587087087087101</v>
      </c>
      <c r="Q456" s="71">
        <v>0.99608204655450605</v>
      </c>
      <c r="R456" s="71">
        <v>0.99422991566799801</v>
      </c>
      <c r="S456" s="71">
        <v>0.99550981394625104</v>
      </c>
      <c r="T456" s="73">
        <v>0.9</v>
      </c>
      <c r="U456" s="71">
        <v>0.97222222222222199</v>
      </c>
      <c r="V456" s="71">
        <v>0.97718368287623902</v>
      </c>
      <c r="W456" s="71">
        <v>0.96759875721260502</v>
      </c>
      <c r="X456" s="71">
        <v>0.97050258963700597</v>
      </c>
      <c r="Y456" s="73">
        <v>0.92</v>
      </c>
      <c r="Z456" s="73">
        <v>0</v>
      </c>
      <c r="AA456" s="73" t="s">
        <v>1710</v>
      </c>
      <c r="AB456" s="73">
        <v>0</v>
      </c>
      <c r="AC456" s="73">
        <v>0.57142857142857095</v>
      </c>
      <c r="AD456" s="73">
        <v>0.92</v>
      </c>
      <c r="AE456" s="71">
        <v>0.99947164494540297</v>
      </c>
      <c r="AF456" s="71">
        <v>0.99863154293533996</v>
      </c>
      <c r="AG456" s="71">
        <v>0.99894328989080705</v>
      </c>
      <c r="AH456" s="71">
        <v>0.97961650203370099</v>
      </c>
      <c r="AI456" s="73">
        <v>0.92</v>
      </c>
      <c r="AJ456" s="71">
        <v>0.99026946107784397</v>
      </c>
      <c r="AK456" s="71">
        <v>0.99562211981566795</v>
      </c>
      <c r="AL456" s="71">
        <v>0.99889086069210298</v>
      </c>
      <c r="AM456" s="71">
        <v>0.99697891907501601</v>
      </c>
      <c r="AN456" s="70">
        <v>0.99</v>
      </c>
      <c r="AO456" s="75">
        <v>1</v>
      </c>
      <c r="AP456" s="75">
        <v>1</v>
      </c>
      <c r="AQ456" s="75">
        <v>1</v>
      </c>
      <c r="AR456" s="75">
        <v>1</v>
      </c>
      <c r="AS456" s="95">
        <v>0.05</v>
      </c>
      <c r="AT456" s="79">
        <v>9.0909090909090898E-2</v>
      </c>
      <c r="AU456" s="79">
        <v>0.11111111111111099</v>
      </c>
      <c r="AV456" s="79">
        <v>9.0909090909090898E-2</v>
      </c>
      <c r="AW456" s="79">
        <v>2.5423728813559299E-2</v>
      </c>
      <c r="AX456" s="56"/>
      <c r="AY456" s="54"/>
    </row>
    <row r="457" spans="1:51">
      <c r="A457" s="53"/>
      <c r="B457" s="56"/>
      <c r="C457" s="90" t="s">
        <v>370</v>
      </c>
      <c r="D457" s="230" t="s">
        <v>1757</v>
      </c>
      <c r="E457" s="68" t="s">
        <v>371</v>
      </c>
      <c r="F457" s="91" t="s">
        <v>478</v>
      </c>
      <c r="G457" s="91" t="s">
        <v>478</v>
      </c>
      <c r="H457" s="91" t="s">
        <v>478</v>
      </c>
      <c r="I457" s="91" t="s">
        <v>478</v>
      </c>
      <c r="J457" s="70">
        <v>0.9</v>
      </c>
      <c r="K457" s="71">
        <v>0.91176470588235303</v>
      </c>
      <c r="L457" s="71">
        <v>0.92537313432835799</v>
      </c>
      <c r="M457" s="72">
        <v>0.85714285714285698</v>
      </c>
      <c r="N457" s="71">
        <v>0.91176470588235303</v>
      </c>
      <c r="O457" s="73">
        <v>0.9</v>
      </c>
      <c r="P457" s="71">
        <v>0</v>
      </c>
      <c r="Q457" s="71">
        <v>0.5</v>
      </c>
      <c r="R457" s="71">
        <v>0</v>
      </c>
      <c r="S457" s="71">
        <v>0.62962962962962998</v>
      </c>
      <c r="T457" s="73">
        <v>0.9</v>
      </c>
      <c r="U457" s="71">
        <v>0</v>
      </c>
      <c r="V457" s="71">
        <v>1</v>
      </c>
      <c r="W457" s="71">
        <v>0</v>
      </c>
      <c r="X457" s="71">
        <v>0.66666666666666696</v>
      </c>
      <c r="Y457" s="73">
        <v>0.92</v>
      </c>
      <c r="Z457" s="73" t="s">
        <v>1710</v>
      </c>
      <c r="AA457" s="73" t="s">
        <v>1710</v>
      </c>
      <c r="AB457" s="73">
        <v>0</v>
      </c>
      <c r="AC457" s="73">
        <v>0</v>
      </c>
      <c r="AD457" s="73">
        <v>0.92</v>
      </c>
      <c r="AE457" s="71">
        <v>0.99822773593265401</v>
      </c>
      <c r="AF457" s="71">
        <v>0.98086956521739099</v>
      </c>
      <c r="AG457" s="71">
        <v>0.981326464906632</v>
      </c>
      <c r="AH457" s="71">
        <v>0.99398012857977802</v>
      </c>
      <c r="AI457" s="73">
        <v>0.92</v>
      </c>
      <c r="AJ457" s="71">
        <v>0.96954449152542399</v>
      </c>
      <c r="AK457" s="71">
        <v>0.97020839448194895</v>
      </c>
      <c r="AL457" s="71">
        <v>0.96369353916523703</v>
      </c>
      <c r="AM457" s="71">
        <v>0.97308638201497799</v>
      </c>
      <c r="AN457" s="70">
        <v>0.99</v>
      </c>
      <c r="AO457" s="75">
        <v>1</v>
      </c>
      <c r="AP457" s="75">
        <v>1</v>
      </c>
      <c r="AQ457" s="75">
        <v>1</v>
      </c>
      <c r="AR457" s="75">
        <v>1</v>
      </c>
      <c r="AS457" s="95">
        <v>0.05</v>
      </c>
      <c r="AT457" s="79">
        <v>5.2631578947368397E-2</v>
      </c>
      <c r="AU457" s="79">
        <v>0.14285714285714299</v>
      </c>
      <c r="AV457" s="79">
        <v>0.125</v>
      </c>
      <c r="AW457" s="79">
        <v>5.8295964125560498E-2</v>
      </c>
      <c r="AX457" s="56"/>
      <c r="AY457" s="54"/>
    </row>
    <row r="458" spans="1:51">
      <c r="A458" s="53"/>
      <c r="B458" s="56"/>
      <c r="C458" s="90" t="s">
        <v>370</v>
      </c>
      <c r="D458" s="230" t="s">
        <v>1757</v>
      </c>
      <c r="E458" s="68" t="s">
        <v>371</v>
      </c>
      <c r="F458" s="91" t="s">
        <v>479</v>
      </c>
      <c r="G458" s="91" t="s">
        <v>479</v>
      </c>
      <c r="H458" s="91" t="s">
        <v>479</v>
      </c>
      <c r="I458" s="91" t="s">
        <v>479</v>
      </c>
      <c r="J458" s="70">
        <v>0.9</v>
      </c>
      <c r="K458" s="71">
        <v>0.93846153846153801</v>
      </c>
      <c r="L458" s="71">
        <v>0.859375</v>
      </c>
      <c r="M458" s="72">
        <v>0.88888888888888895</v>
      </c>
      <c r="N458" s="71">
        <v>0.89782016348773797</v>
      </c>
      <c r="O458" s="73">
        <v>0.9</v>
      </c>
      <c r="P458" s="71">
        <v>0.96712738139708598</v>
      </c>
      <c r="Q458" s="71">
        <v>0.96332288401253896</v>
      </c>
      <c r="R458" s="71">
        <v>0.954270923209664</v>
      </c>
      <c r="S458" s="71">
        <v>0.96525360871797805</v>
      </c>
      <c r="T458" s="73">
        <v>0.9</v>
      </c>
      <c r="U458" s="71">
        <v>0.93126634292118005</v>
      </c>
      <c r="V458" s="71">
        <v>0.91974921630093998</v>
      </c>
      <c r="W458" s="71">
        <v>0.90394017831463902</v>
      </c>
      <c r="X458" s="71">
        <v>0.92434529582929204</v>
      </c>
      <c r="Y458" s="73">
        <v>0.92</v>
      </c>
      <c r="Z458" s="73">
        <v>0.91092014252777198</v>
      </c>
      <c r="AA458" s="73">
        <v>0.88693856479091404</v>
      </c>
      <c r="AB458" s="73">
        <v>0.88426643062624499</v>
      </c>
      <c r="AC458" s="73">
        <v>0.91644959204322796</v>
      </c>
      <c r="AD458" s="73">
        <v>0.92</v>
      </c>
      <c r="AE458" s="71">
        <v>0.99706744868035202</v>
      </c>
      <c r="AF458" s="71">
        <v>0.99259708737864105</v>
      </c>
      <c r="AG458" s="71">
        <v>0.99827458713335004</v>
      </c>
      <c r="AH458" s="71">
        <v>0.98881590934726205</v>
      </c>
      <c r="AI458" s="73">
        <v>0.92</v>
      </c>
      <c r="AJ458" s="71">
        <v>0.93491361992768196</v>
      </c>
      <c r="AK458" s="71">
        <v>0.94014427763696595</v>
      </c>
      <c r="AL458" s="71">
        <v>0.91291854072963496</v>
      </c>
      <c r="AM458" s="71">
        <v>0.94094280635076299</v>
      </c>
      <c r="AN458" s="70">
        <v>0.99</v>
      </c>
      <c r="AO458" s="75">
        <v>1</v>
      </c>
      <c r="AP458" s="75">
        <v>1</v>
      </c>
      <c r="AQ458" s="75">
        <v>1</v>
      </c>
      <c r="AR458" s="75">
        <v>1</v>
      </c>
      <c r="AS458" s="95">
        <v>0.05</v>
      </c>
      <c r="AT458" s="79">
        <v>0</v>
      </c>
      <c r="AU458" s="79">
        <v>5.8823529411764698E-2</v>
      </c>
      <c r="AV458" s="79">
        <v>4.1666666666666699E-2</v>
      </c>
      <c r="AW458" s="79">
        <v>0.04</v>
      </c>
      <c r="AX458" s="56"/>
      <c r="AY458" s="54"/>
    </row>
    <row r="459" spans="1:51">
      <c r="A459" s="53"/>
      <c r="B459" s="56"/>
      <c r="C459" s="90" t="s">
        <v>370</v>
      </c>
      <c r="D459" s="230" t="s">
        <v>1757</v>
      </c>
      <c r="E459" s="68" t="s">
        <v>371</v>
      </c>
      <c r="F459" s="91" t="s">
        <v>480</v>
      </c>
      <c r="G459" s="91" t="s">
        <v>480</v>
      </c>
      <c r="H459" s="91" t="s">
        <v>480</v>
      </c>
      <c r="I459" s="91" t="s">
        <v>480</v>
      </c>
      <c r="J459" s="70">
        <v>0.9</v>
      </c>
      <c r="K459" s="71">
        <v>0.94642857142857095</v>
      </c>
      <c r="L459" s="71">
        <v>0.94339622641509402</v>
      </c>
      <c r="M459" s="72">
        <v>0.91836734693877597</v>
      </c>
      <c r="N459" s="71">
        <v>0.93267651888341496</v>
      </c>
      <c r="O459" s="73">
        <v>0.9</v>
      </c>
      <c r="P459" s="71">
        <v>0.94946600677259696</v>
      </c>
      <c r="Q459" s="71">
        <v>0.95017629924881197</v>
      </c>
      <c r="R459" s="71">
        <v>0.94965200651562298</v>
      </c>
      <c r="S459" s="71">
        <v>0.96213304526808996</v>
      </c>
      <c r="T459" s="73">
        <v>0.9</v>
      </c>
      <c r="U459" s="71">
        <v>0.89320135451940597</v>
      </c>
      <c r="V459" s="71">
        <v>0.88762839184424303</v>
      </c>
      <c r="W459" s="71">
        <v>0.90315415370946295</v>
      </c>
      <c r="X459" s="71">
        <v>0.92489380027152102</v>
      </c>
      <c r="Y459" s="73">
        <v>0.92</v>
      </c>
      <c r="Z459" s="73">
        <v>0</v>
      </c>
      <c r="AA459" s="73" t="s">
        <v>1710</v>
      </c>
      <c r="AB459" s="73">
        <v>0.33333333333333298</v>
      </c>
      <c r="AC459" s="73">
        <v>0.30769230769230799</v>
      </c>
      <c r="AD459" s="73">
        <v>0.92</v>
      </c>
      <c r="AE459" s="71">
        <v>0.99450059453032102</v>
      </c>
      <c r="AF459" s="71">
        <v>0.96706312900274505</v>
      </c>
      <c r="AG459" s="71">
        <v>0.98763036623817602</v>
      </c>
      <c r="AH459" s="71">
        <v>0.98698364457951804</v>
      </c>
      <c r="AI459" s="73">
        <v>0.92</v>
      </c>
      <c r="AJ459" s="71">
        <v>0.94299843831337804</v>
      </c>
      <c r="AK459" s="71">
        <v>0.94879656599724005</v>
      </c>
      <c r="AL459" s="71">
        <v>0.93694493783303701</v>
      </c>
      <c r="AM459" s="71">
        <v>0.963864037712167</v>
      </c>
      <c r="AN459" s="70">
        <v>0.99</v>
      </c>
      <c r="AO459" s="75">
        <v>1</v>
      </c>
      <c r="AP459" s="75">
        <v>1</v>
      </c>
      <c r="AQ459" s="75">
        <v>1</v>
      </c>
      <c r="AR459" s="75">
        <v>1</v>
      </c>
      <c r="AS459" s="95">
        <v>0.05</v>
      </c>
      <c r="AT459" s="79">
        <v>0</v>
      </c>
      <c r="AU459" s="79">
        <v>0.16666666666666699</v>
      </c>
      <c r="AV459" s="79">
        <v>0.13043478260869601</v>
      </c>
      <c r="AW459" s="79">
        <v>4.5627376425855501E-2</v>
      </c>
      <c r="AX459" s="56"/>
      <c r="AY459" s="54"/>
    </row>
    <row r="460" spans="1:51">
      <c r="A460" s="53"/>
      <c r="B460" s="56"/>
      <c r="C460" s="90" t="s">
        <v>370</v>
      </c>
      <c r="D460" s="230" t="s">
        <v>1757</v>
      </c>
      <c r="E460" s="68" t="s">
        <v>371</v>
      </c>
      <c r="F460" s="91" t="s">
        <v>481</v>
      </c>
      <c r="G460" s="91" t="s">
        <v>481</v>
      </c>
      <c r="H460" s="91" t="s">
        <v>481</v>
      </c>
      <c r="I460" s="91" t="s">
        <v>481</v>
      </c>
      <c r="J460" s="70">
        <v>0.9</v>
      </c>
      <c r="K460" s="71">
        <v>0.96</v>
      </c>
      <c r="L460" s="71">
        <v>1</v>
      </c>
      <c r="M460" s="72">
        <v>0.96</v>
      </c>
      <c r="N460" s="71">
        <v>0.98233215547703201</v>
      </c>
      <c r="O460" s="73">
        <v>0.9</v>
      </c>
      <c r="P460" s="71">
        <v>0.99022801302931596</v>
      </c>
      <c r="Q460" s="71">
        <v>0.98078529657476998</v>
      </c>
      <c r="R460" s="71">
        <v>0.97515060240963902</v>
      </c>
      <c r="S460" s="71">
        <v>0.98442217952237199</v>
      </c>
      <c r="T460" s="73">
        <v>0.9</v>
      </c>
      <c r="U460" s="71">
        <v>0.97937024972855602</v>
      </c>
      <c r="V460" s="71">
        <v>0.95488721804511301</v>
      </c>
      <c r="W460" s="71">
        <v>0.95256024096385505</v>
      </c>
      <c r="X460" s="71">
        <v>0.96898160856436999</v>
      </c>
      <c r="Y460" s="73">
        <v>0.92</v>
      </c>
      <c r="Z460" s="73">
        <v>0.95783475783475802</v>
      </c>
      <c r="AA460" s="73">
        <v>0.98056994818652898</v>
      </c>
      <c r="AB460" s="73">
        <v>0.95890410958904104</v>
      </c>
      <c r="AC460" s="73">
        <v>0.97624210881403295</v>
      </c>
      <c r="AD460" s="73">
        <v>0.92</v>
      </c>
      <c r="AE460" s="71">
        <v>0.99476439790575899</v>
      </c>
      <c r="AF460" s="71">
        <v>0.90540540540540504</v>
      </c>
      <c r="AG460" s="71">
        <v>0.98414985590778103</v>
      </c>
      <c r="AH460" s="71">
        <v>0.98503627569528396</v>
      </c>
      <c r="AI460" s="73">
        <v>0.92</v>
      </c>
      <c r="AJ460" s="71">
        <v>0.96943719716735</v>
      </c>
      <c r="AK460" s="71">
        <v>0.98679532757745003</v>
      </c>
      <c r="AL460" s="71">
        <v>0.96732223903176995</v>
      </c>
      <c r="AM460" s="71">
        <v>0.98248988713190599</v>
      </c>
      <c r="AN460" s="70">
        <v>0.99</v>
      </c>
      <c r="AO460" s="75">
        <v>1</v>
      </c>
      <c r="AP460" s="75">
        <v>1</v>
      </c>
      <c r="AQ460" s="75">
        <v>1</v>
      </c>
      <c r="AR460" s="75">
        <v>1</v>
      </c>
      <c r="AS460" s="95">
        <v>0.05</v>
      </c>
      <c r="AT460" s="79">
        <v>8.3333333333333301E-2</v>
      </c>
      <c r="AU460" s="79">
        <v>0.3</v>
      </c>
      <c r="AV460" s="79">
        <v>0</v>
      </c>
      <c r="AW460" s="79">
        <v>3.7837837837837798E-2</v>
      </c>
      <c r="AX460" s="56"/>
      <c r="AY460" s="54"/>
    </row>
    <row r="461" spans="1:51">
      <c r="A461" s="53"/>
      <c r="B461" s="56"/>
      <c r="C461" s="90" t="s">
        <v>370</v>
      </c>
      <c r="D461" s="230" t="s">
        <v>1757</v>
      </c>
      <c r="E461" s="68" t="s">
        <v>371</v>
      </c>
      <c r="F461" s="91" t="s">
        <v>482</v>
      </c>
      <c r="G461" s="91" t="s">
        <v>482</v>
      </c>
      <c r="H461" s="91" t="s">
        <v>482</v>
      </c>
      <c r="I461" s="91" t="s">
        <v>482</v>
      </c>
      <c r="J461" s="70">
        <v>0.9</v>
      </c>
      <c r="K461" s="71">
        <v>1</v>
      </c>
      <c r="L461" s="71">
        <v>1</v>
      </c>
      <c r="M461" s="72">
        <v>1</v>
      </c>
      <c r="N461" s="71">
        <v>1</v>
      </c>
      <c r="O461" s="73">
        <v>0.9</v>
      </c>
      <c r="P461" s="71">
        <v>0.99491740787801797</v>
      </c>
      <c r="Q461" s="71">
        <v>0.99282786885245899</v>
      </c>
      <c r="R461" s="71">
        <v>0.98883572567783096</v>
      </c>
      <c r="S461" s="71">
        <v>0.99033225541611503</v>
      </c>
      <c r="T461" s="73">
        <v>0.9</v>
      </c>
      <c r="U461" s="71">
        <v>0.93043202033036898</v>
      </c>
      <c r="V461" s="71">
        <v>0.90146857923497303</v>
      </c>
      <c r="W461" s="71">
        <v>0.91881977671451398</v>
      </c>
      <c r="X461" s="71">
        <v>0.92589179498349605</v>
      </c>
      <c r="Y461" s="73">
        <v>0.92</v>
      </c>
      <c r="Z461" s="73">
        <v>0.85038274182324303</v>
      </c>
      <c r="AA461" s="73">
        <v>0.85791610284167796</v>
      </c>
      <c r="AB461" s="73">
        <v>0.90540540540540504</v>
      </c>
      <c r="AC461" s="73">
        <v>0.88960352422907496</v>
      </c>
      <c r="AD461" s="73">
        <v>0.92</v>
      </c>
      <c r="AE461" s="71">
        <v>0.99742002063983504</v>
      </c>
      <c r="AF461" s="71">
        <v>0.99480326651818896</v>
      </c>
      <c r="AG461" s="71">
        <v>0.97824116047144105</v>
      </c>
      <c r="AH461" s="71">
        <v>0.99184621466693002</v>
      </c>
      <c r="AI461" s="73">
        <v>0.92</v>
      </c>
      <c r="AJ461" s="71">
        <v>0.93850850414304399</v>
      </c>
      <c r="AK461" s="71">
        <v>0.97073540561031102</v>
      </c>
      <c r="AL461" s="71">
        <v>0.97520661157024802</v>
      </c>
      <c r="AM461" s="71">
        <v>0.97073273738298005</v>
      </c>
      <c r="AN461" s="70">
        <v>0.99</v>
      </c>
      <c r="AO461" s="75">
        <v>1</v>
      </c>
      <c r="AP461" s="75">
        <v>1</v>
      </c>
      <c r="AQ461" s="75">
        <v>1</v>
      </c>
      <c r="AR461" s="75">
        <v>1</v>
      </c>
      <c r="AS461" s="95">
        <v>0.05</v>
      </c>
      <c r="AT461" s="79">
        <v>0.2</v>
      </c>
      <c r="AU461" s="79">
        <v>0</v>
      </c>
      <c r="AV461" s="79">
        <v>5.2631578947368397E-2</v>
      </c>
      <c r="AW461" s="79">
        <v>7.7720207253885995E-2</v>
      </c>
      <c r="AX461" s="56"/>
      <c r="AY461" s="54"/>
    </row>
    <row r="462" spans="1:51">
      <c r="A462" s="53"/>
      <c r="B462" s="56"/>
      <c r="C462" s="90" t="s">
        <v>370</v>
      </c>
      <c r="D462" s="230" t="s">
        <v>1757</v>
      </c>
      <c r="E462" s="68" t="s">
        <v>371</v>
      </c>
      <c r="F462" s="91" t="s">
        <v>483</v>
      </c>
      <c r="G462" s="91" t="s">
        <v>483</v>
      </c>
      <c r="H462" s="91" t="s">
        <v>483</v>
      </c>
      <c r="I462" s="91" t="s">
        <v>483</v>
      </c>
      <c r="J462" s="70">
        <v>0.9</v>
      </c>
      <c r="K462" s="71">
        <v>0.98333333333333295</v>
      </c>
      <c r="L462" s="71">
        <v>1</v>
      </c>
      <c r="M462" s="72">
        <v>1</v>
      </c>
      <c r="N462" s="71">
        <v>0.99730458221024298</v>
      </c>
      <c r="O462" s="73">
        <v>0.9</v>
      </c>
      <c r="P462" s="71">
        <v>0.99417249417249398</v>
      </c>
      <c r="Q462" s="71">
        <v>0.99472196041470295</v>
      </c>
      <c r="R462" s="71">
        <v>0.98868071818891501</v>
      </c>
      <c r="S462" s="71">
        <v>0.99155108890646404</v>
      </c>
      <c r="T462" s="73">
        <v>0.9</v>
      </c>
      <c r="U462" s="71">
        <v>0.91025641025641002</v>
      </c>
      <c r="V462" s="71">
        <v>0.95683317624882203</v>
      </c>
      <c r="W462" s="71">
        <v>0.93130366900858697</v>
      </c>
      <c r="X462" s="71">
        <v>0.93804131864740303</v>
      </c>
      <c r="Y462" s="73">
        <v>0.92</v>
      </c>
      <c r="Z462" s="73">
        <v>0.69061302681992298</v>
      </c>
      <c r="AA462" s="73">
        <v>0.89396411092985295</v>
      </c>
      <c r="AB462" s="73">
        <v>0.87015945330296096</v>
      </c>
      <c r="AC462" s="73">
        <v>0.85391633288829505</v>
      </c>
      <c r="AD462" s="73">
        <v>0.92</v>
      </c>
      <c r="AE462" s="71">
        <v>1</v>
      </c>
      <c r="AF462" s="71">
        <v>0.99879518072289197</v>
      </c>
      <c r="AG462" s="71">
        <v>0.99308755760368705</v>
      </c>
      <c r="AH462" s="71">
        <v>0.99334421700364195</v>
      </c>
      <c r="AI462" s="73">
        <v>0.92</v>
      </c>
      <c r="AJ462" s="71">
        <v>0.88532743851892803</v>
      </c>
      <c r="AK462" s="71">
        <v>0.97516052720513702</v>
      </c>
      <c r="AL462" s="71">
        <v>0.96901032989003699</v>
      </c>
      <c r="AM462" s="71">
        <v>0.96490391728173897</v>
      </c>
      <c r="AN462" s="70">
        <v>0.99</v>
      </c>
      <c r="AO462" s="75">
        <v>1</v>
      </c>
      <c r="AP462" s="75">
        <v>1</v>
      </c>
      <c r="AQ462" s="75">
        <v>1</v>
      </c>
      <c r="AR462" s="75">
        <v>1</v>
      </c>
      <c r="AS462" s="95">
        <v>0.05</v>
      </c>
      <c r="AT462" s="79">
        <v>0</v>
      </c>
      <c r="AU462" s="79">
        <v>0.1</v>
      </c>
      <c r="AV462" s="79">
        <v>0.16666666666666699</v>
      </c>
      <c r="AW462" s="79">
        <v>7.3033707865168496E-2</v>
      </c>
      <c r="AX462" s="56"/>
      <c r="AY462" s="54"/>
    </row>
    <row r="463" spans="1:51">
      <c r="A463" s="53"/>
      <c r="B463" s="56"/>
      <c r="C463" s="90" t="s">
        <v>370</v>
      </c>
      <c r="D463" s="230" t="s">
        <v>1757</v>
      </c>
      <c r="E463" s="68" t="s">
        <v>371</v>
      </c>
      <c r="F463" s="91" t="s">
        <v>484</v>
      </c>
      <c r="G463" s="91" t="s">
        <v>484</v>
      </c>
      <c r="H463" s="91" t="s">
        <v>484</v>
      </c>
      <c r="I463" s="91" t="s">
        <v>484</v>
      </c>
      <c r="J463" s="70">
        <v>0.9</v>
      </c>
      <c r="K463" s="71">
        <v>1</v>
      </c>
      <c r="L463" s="71">
        <v>1</v>
      </c>
      <c r="M463" s="72">
        <v>1</v>
      </c>
      <c r="N463" s="71">
        <v>0.99472759226713503</v>
      </c>
      <c r="O463" s="73">
        <v>0.9</v>
      </c>
      <c r="P463" s="71">
        <v>0.98887610280015303</v>
      </c>
      <c r="Q463" s="71">
        <v>0.98846854137163698</v>
      </c>
      <c r="R463" s="71">
        <v>0.98889549871108495</v>
      </c>
      <c r="S463" s="71">
        <v>0.98066408588418397</v>
      </c>
      <c r="T463" s="73">
        <v>0.9</v>
      </c>
      <c r="U463" s="71">
        <v>0.95281933256616802</v>
      </c>
      <c r="V463" s="71">
        <v>0.94254501314990902</v>
      </c>
      <c r="W463" s="71">
        <v>0.93039857227840606</v>
      </c>
      <c r="X463" s="71">
        <v>0.95051283074589898</v>
      </c>
      <c r="Y463" s="73">
        <v>0.92</v>
      </c>
      <c r="Z463" s="73">
        <v>0.88536585365853704</v>
      </c>
      <c r="AA463" s="73">
        <v>0.84019769357495899</v>
      </c>
      <c r="AB463" s="73">
        <v>0.88222464558342395</v>
      </c>
      <c r="AC463" s="73">
        <v>0.87633219384677297</v>
      </c>
      <c r="AD463" s="73">
        <v>0.92</v>
      </c>
      <c r="AE463" s="71">
        <v>0.95083056478405303</v>
      </c>
      <c r="AF463" s="71">
        <v>0.98598553345388795</v>
      </c>
      <c r="AG463" s="71">
        <v>0.99733333333333296</v>
      </c>
      <c r="AH463" s="71">
        <v>0.98448816344179002</v>
      </c>
      <c r="AI463" s="73">
        <v>0.92</v>
      </c>
      <c r="AJ463" s="71">
        <v>0.95126400833984903</v>
      </c>
      <c r="AK463" s="71">
        <v>0.96702702702702703</v>
      </c>
      <c r="AL463" s="71">
        <v>0.97064250964603205</v>
      </c>
      <c r="AM463" s="71">
        <v>0.96989777230195495</v>
      </c>
      <c r="AN463" s="70">
        <v>0.99</v>
      </c>
      <c r="AO463" s="75">
        <v>1</v>
      </c>
      <c r="AP463" s="75">
        <v>1</v>
      </c>
      <c r="AQ463" s="75">
        <v>1</v>
      </c>
      <c r="AR463" s="75">
        <v>1</v>
      </c>
      <c r="AS463" s="95">
        <v>0.05</v>
      </c>
      <c r="AT463" s="79">
        <v>0.18181818181818199</v>
      </c>
      <c r="AU463" s="79">
        <v>0</v>
      </c>
      <c r="AV463" s="79">
        <v>0.04</v>
      </c>
      <c r="AW463" s="79">
        <v>5.2132701421800903E-2</v>
      </c>
      <c r="AX463" s="56"/>
      <c r="AY463" s="54"/>
    </row>
    <row r="464" spans="1:51">
      <c r="A464" s="53"/>
      <c r="B464" s="56"/>
      <c r="C464" s="90" t="s">
        <v>370</v>
      </c>
      <c r="D464" s="230" t="s">
        <v>1757</v>
      </c>
      <c r="E464" s="68" t="s">
        <v>371</v>
      </c>
      <c r="F464" s="91" t="s">
        <v>485</v>
      </c>
      <c r="G464" s="91" t="s">
        <v>485</v>
      </c>
      <c r="H464" s="91" t="s">
        <v>485</v>
      </c>
      <c r="I464" s="91" t="s">
        <v>485</v>
      </c>
      <c r="J464" s="70">
        <v>0.9</v>
      </c>
      <c r="K464" s="71">
        <v>1</v>
      </c>
      <c r="L464" s="71">
        <v>1</v>
      </c>
      <c r="M464" s="72">
        <v>1</v>
      </c>
      <c r="N464" s="71">
        <v>0.99323181049069398</v>
      </c>
      <c r="O464" s="73">
        <v>0.9</v>
      </c>
      <c r="P464" s="71">
        <v>0.98364579178300804</v>
      </c>
      <c r="Q464" s="71">
        <v>0.97956234516928198</v>
      </c>
      <c r="R464" s="71">
        <v>0.97885259631490795</v>
      </c>
      <c r="S464" s="71">
        <v>0.97968004260636199</v>
      </c>
      <c r="T464" s="73">
        <v>0.9</v>
      </c>
      <c r="U464" s="71">
        <v>0.928201037096131</v>
      </c>
      <c r="V464" s="71">
        <v>0.92547481420313804</v>
      </c>
      <c r="W464" s="71">
        <v>0.94472361809045202</v>
      </c>
      <c r="X464" s="71">
        <v>0.93533255494786904</v>
      </c>
      <c r="Y464" s="73">
        <v>0.92</v>
      </c>
      <c r="Z464" s="73">
        <v>0.78292461398728397</v>
      </c>
      <c r="AA464" s="73">
        <v>0.87411598302687399</v>
      </c>
      <c r="AB464" s="73">
        <v>0.890303623898139</v>
      </c>
      <c r="AC464" s="73">
        <v>0.86956964085868305</v>
      </c>
      <c r="AD464" s="73">
        <v>0.92</v>
      </c>
      <c r="AE464" s="71">
        <v>0.99864773495605097</v>
      </c>
      <c r="AF464" s="71">
        <v>0.95110258868648101</v>
      </c>
      <c r="AG464" s="71">
        <v>0.99174236168455798</v>
      </c>
      <c r="AH464" s="71">
        <v>0.98282727725236396</v>
      </c>
      <c r="AI464" s="73">
        <v>0.92</v>
      </c>
      <c r="AJ464" s="71">
        <v>0.91712860310421296</v>
      </c>
      <c r="AK464" s="71">
        <v>0.97063592145559396</v>
      </c>
      <c r="AL464" s="71">
        <v>0.96722442642746298</v>
      </c>
      <c r="AM464" s="71">
        <v>0.96610285090710701</v>
      </c>
      <c r="AN464" s="70">
        <v>0.99</v>
      </c>
      <c r="AO464" s="75">
        <v>1</v>
      </c>
      <c r="AP464" s="75">
        <v>1</v>
      </c>
      <c r="AQ464" s="75">
        <v>1</v>
      </c>
      <c r="AR464" s="75">
        <v>1</v>
      </c>
      <c r="AS464" s="95">
        <v>0.05</v>
      </c>
      <c r="AT464" s="79">
        <v>0</v>
      </c>
      <c r="AU464" s="79">
        <v>0</v>
      </c>
      <c r="AV464" s="79">
        <v>0.05</v>
      </c>
      <c r="AW464" s="79">
        <v>5.2863436123347998E-2</v>
      </c>
      <c r="AX464" s="56"/>
      <c r="AY464" s="54"/>
    </row>
    <row r="465" spans="1:51">
      <c r="A465" s="53"/>
      <c r="B465" s="56"/>
      <c r="C465" s="90" t="s">
        <v>370</v>
      </c>
      <c r="D465" s="230" t="s">
        <v>1757</v>
      </c>
      <c r="E465" s="68" t="s">
        <v>371</v>
      </c>
      <c r="F465" s="91" t="s">
        <v>486</v>
      </c>
      <c r="G465" s="91" t="s">
        <v>486</v>
      </c>
      <c r="H465" s="91" t="s">
        <v>486</v>
      </c>
      <c r="I465" s="91" t="s">
        <v>486</v>
      </c>
      <c r="J465" s="70">
        <v>0.9</v>
      </c>
      <c r="K465" s="71">
        <v>0.97560975609756095</v>
      </c>
      <c r="L465" s="71">
        <v>1</v>
      </c>
      <c r="M465" s="72">
        <v>1</v>
      </c>
      <c r="N465" s="71">
        <v>0.99025341130604305</v>
      </c>
      <c r="O465" s="73">
        <v>0.9</v>
      </c>
      <c r="P465" s="71">
        <v>0.98678247734139002</v>
      </c>
      <c r="Q465" s="71">
        <v>0.984087621409382</v>
      </c>
      <c r="R465" s="71">
        <v>0.98069726216269404</v>
      </c>
      <c r="S465" s="71">
        <v>0.98462271076807095</v>
      </c>
      <c r="T465" s="73">
        <v>0.9</v>
      </c>
      <c r="U465" s="71">
        <v>0.96072507552870101</v>
      </c>
      <c r="V465" s="71">
        <v>0.90555899979334598</v>
      </c>
      <c r="W465" s="71">
        <v>0.89935000984833602</v>
      </c>
      <c r="X465" s="71">
        <v>0.93027639437290399</v>
      </c>
      <c r="Y465" s="73">
        <v>0.92</v>
      </c>
      <c r="Z465" s="73">
        <v>0.95721271393643004</v>
      </c>
      <c r="AA465" s="73">
        <v>0.93943472409152096</v>
      </c>
      <c r="AB465" s="73">
        <v>0.94227005870841496</v>
      </c>
      <c r="AC465" s="73">
        <v>0.95863340945020203</v>
      </c>
      <c r="AD465" s="73">
        <v>0.92</v>
      </c>
      <c r="AE465" s="71">
        <v>0.99765258215962405</v>
      </c>
      <c r="AF465" s="71">
        <v>0.99800199800199796</v>
      </c>
      <c r="AG465" s="71">
        <v>0.99602069239952296</v>
      </c>
      <c r="AH465" s="71">
        <v>0.99694589877835904</v>
      </c>
      <c r="AI465" s="73">
        <v>0.92</v>
      </c>
      <c r="AJ465" s="71">
        <v>0.97268907563025198</v>
      </c>
      <c r="AK465" s="71">
        <v>0.97724829810103897</v>
      </c>
      <c r="AL465" s="71">
        <v>0.96868339071979004</v>
      </c>
      <c r="AM465" s="71">
        <v>0.98004531477585399</v>
      </c>
      <c r="AN465" s="70">
        <v>0.99</v>
      </c>
      <c r="AO465" s="75">
        <v>1</v>
      </c>
      <c r="AP465" s="75">
        <v>1</v>
      </c>
      <c r="AQ465" s="75">
        <v>1</v>
      </c>
      <c r="AR465" s="75">
        <v>1</v>
      </c>
      <c r="AS465" s="95">
        <v>0.05</v>
      </c>
      <c r="AT465" s="79">
        <v>0.16666666666666699</v>
      </c>
      <c r="AU465" s="79">
        <v>0.15</v>
      </c>
      <c r="AV465" s="79">
        <v>0</v>
      </c>
      <c r="AW465" s="79">
        <v>6.4000000000000001E-2</v>
      </c>
      <c r="AX465" s="56"/>
      <c r="AY465" s="54"/>
    </row>
    <row r="466" spans="1:51">
      <c r="A466" s="53"/>
      <c r="B466" s="56"/>
      <c r="C466" s="90" t="s">
        <v>370</v>
      </c>
      <c r="D466" s="230" t="s">
        <v>1757</v>
      </c>
      <c r="E466" s="68" t="s">
        <v>371</v>
      </c>
      <c r="F466" s="91" t="s">
        <v>487</v>
      </c>
      <c r="G466" s="91" t="s">
        <v>487</v>
      </c>
      <c r="H466" s="91" t="s">
        <v>487</v>
      </c>
      <c r="I466" s="91" t="s">
        <v>487</v>
      </c>
      <c r="J466" s="70">
        <v>0.9</v>
      </c>
      <c r="K466" s="71">
        <v>0.95833333333333304</v>
      </c>
      <c r="L466" s="71">
        <v>1</v>
      </c>
      <c r="M466" s="72">
        <v>1</v>
      </c>
      <c r="N466" s="71">
        <v>0.980582524271845</v>
      </c>
      <c r="O466" s="73">
        <v>0.9</v>
      </c>
      <c r="P466" s="71">
        <v>0.99254742547425501</v>
      </c>
      <c r="Q466" s="71">
        <v>0.99694072657743804</v>
      </c>
      <c r="R466" s="71">
        <v>0.99074074074074103</v>
      </c>
      <c r="S466" s="71">
        <v>0.994183332734911</v>
      </c>
      <c r="T466" s="73">
        <v>0.9</v>
      </c>
      <c r="U466" s="71">
        <v>0.94376693766937703</v>
      </c>
      <c r="V466" s="71">
        <v>0.96175908221797302</v>
      </c>
      <c r="W466" s="71">
        <v>0.93415637860082301</v>
      </c>
      <c r="X466" s="71">
        <v>0.95709310258159497</v>
      </c>
      <c r="Y466" s="73">
        <v>0.92</v>
      </c>
      <c r="Z466" s="73">
        <v>0.95061728395061695</v>
      </c>
      <c r="AA466" s="73">
        <v>0.94581280788177302</v>
      </c>
      <c r="AB466" s="73">
        <v>0.95833333333333304</v>
      </c>
      <c r="AC466" s="73">
        <v>0.96371737746658204</v>
      </c>
      <c r="AD466" s="73">
        <v>0.92</v>
      </c>
      <c r="AE466" s="71">
        <v>0.998417721518987</v>
      </c>
      <c r="AF466" s="71">
        <v>0.99552238805970195</v>
      </c>
      <c r="AG466" s="71">
        <v>0.99621498864496605</v>
      </c>
      <c r="AH466" s="71">
        <v>0.99673513376442202</v>
      </c>
      <c r="AI466" s="73">
        <v>0.92</v>
      </c>
      <c r="AJ466" s="71">
        <v>0.96587926509186395</v>
      </c>
      <c r="AK466" s="71">
        <v>0.98278715657067195</v>
      </c>
      <c r="AL466" s="71">
        <v>0.97951739618406297</v>
      </c>
      <c r="AM466" s="71">
        <v>0.98365457847559901</v>
      </c>
      <c r="AN466" s="70">
        <v>0.99</v>
      </c>
      <c r="AO466" s="75">
        <v>1</v>
      </c>
      <c r="AP466" s="75">
        <v>1</v>
      </c>
      <c r="AQ466" s="75">
        <v>1</v>
      </c>
      <c r="AR466" s="75">
        <v>1</v>
      </c>
      <c r="AS466" s="95">
        <v>0.05</v>
      </c>
      <c r="AT466" s="79">
        <v>0.25</v>
      </c>
      <c r="AU466" s="79">
        <v>0</v>
      </c>
      <c r="AV466" s="79">
        <v>0</v>
      </c>
      <c r="AW466" s="79">
        <v>2.9069767441860499E-2</v>
      </c>
      <c r="AX466" s="56"/>
      <c r="AY466" s="54"/>
    </row>
    <row r="467" spans="1:51">
      <c r="A467" s="53"/>
      <c r="B467" s="56"/>
      <c r="C467" s="90" t="s">
        <v>370</v>
      </c>
      <c r="D467" s="230" t="s">
        <v>1757</v>
      </c>
      <c r="E467" s="68" t="s">
        <v>371</v>
      </c>
      <c r="F467" s="91" t="s">
        <v>488</v>
      </c>
      <c r="G467" s="91" t="s">
        <v>488</v>
      </c>
      <c r="H467" s="91" t="s">
        <v>488</v>
      </c>
      <c r="I467" s="91" t="s">
        <v>488</v>
      </c>
      <c r="J467" s="70">
        <v>0.9</v>
      </c>
      <c r="K467" s="71">
        <v>0.89743589743589702</v>
      </c>
      <c r="L467" s="71">
        <v>1</v>
      </c>
      <c r="M467" s="72">
        <v>1</v>
      </c>
      <c r="N467" s="71">
        <v>0.98608349900596404</v>
      </c>
      <c r="O467" s="73">
        <v>0.9</v>
      </c>
      <c r="P467" s="71">
        <v>0.98075313807531395</v>
      </c>
      <c r="Q467" s="71">
        <v>0.98692360633172704</v>
      </c>
      <c r="R467" s="71">
        <v>0.981708728872424</v>
      </c>
      <c r="S467" s="71">
        <v>0.983129045586007</v>
      </c>
      <c r="T467" s="73">
        <v>0.9</v>
      </c>
      <c r="U467" s="71">
        <v>0.89205020920502098</v>
      </c>
      <c r="V467" s="71">
        <v>0.880706584078917</v>
      </c>
      <c r="W467" s="71">
        <v>0.85436443621208602</v>
      </c>
      <c r="X467" s="71">
        <v>0.88564476885644805</v>
      </c>
      <c r="Y467" s="73">
        <v>0.92</v>
      </c>
      <c r="Z467" s="73">
        <v>0.78646329837940898</v>
      </c>
      <c r="AA467" s="73">
        <v>0.81690140845070403</v>
      </c>
      <c r="AB467" s="73">
        <v>0.83224967490247104</v>
      </c>
      <c r="AC467" s="73">
        <v>0.81269103802420795</v>
      </c>
      <c r="AD467" s="73">
        <v>0.92</v>
      </c>
      <c r="AE467" s="71">
        <v>0.99747048903878599</v>
      </c>
      <c r="AF467" s="71">
        <v>0.99129014697877005</v>
      </c>
      <c r="AG467" s="71">
        <v>0.98402555910543099</v>
      </c>
      <c r="AH467" s="71">
        <v>0.99487428136039302</v>
      </c>
      <c r="AI467" s="73">
        <v>0.92</v>
      </c>
      <c r="AJ467" s="71">
        <v>0.90811282349520195</v>
      </c>
      <c r="AK467" s="71">
        <v>0.95922570016474495</v>
      </c>
      <c r="AL467" s="71">
        <v>0.95007861635220103</v>
      </c>
      <c r="AM467" s="71">
        <v>0.94865700483091797</v>
      </c>
      <c r="AN467" s="70">
        <v>0.99</v>
      </c>
      <c r="AO467" s="75">
        <v>1</v>
      </c>
      <c r="AP467" s="75">
        <v>1</v>
      </c>
      <c r="AQ467" s="75">
        <v>1</v>
      </c>
      <c r="AR467" s="75">
        <v>1</v>
      </c>
      <c r="AS467" s="95">
        <v>0.05</v>
      </c>
      <c r="AT467" s="79">
        <v>0.25</v>
      </c>
      <c r="AU467" s="79">
        <v>0</v>
      </c>
      <c r="AV467" s="79">
        <v>0</v>
      </c>
      <c r="AW467" s="79">
        <v>3.3333333333333298E-2</v>
      </c>
      <c r="AX467" s="56"/>
      <c r="AY467" s="54"/>
    </row>
    <row r="468" spans="1:51">
      <c r="A468" s="53"/>
      <c r="B468" s="56"/>
      <c r="C468" s="90" t="s">
        <v>370</v>
      </c>
      <c r="D468" s="230" t="s">
        <v>1757</v>
      </c>
      <c r="E468" s="68" t="s">
        <v>371</v>
      </c>
      <c r="F468" s="91" t="s">
        <v>489</v>
      </c>
      <c r="G468" s="91" t="s">
        <v>489</v>
      </c>
      <c r="H468" s="91" t="s">
        <v>489</v>
      </c>
      <c r="I468" s="91" t="s">
        <v>489</v>
      </c>
      <c r="J468" s="70">
        <v>0.9</v>
      </c>
      <c r="K468" s="71">
        <v>1</v>
      </c>
      <c r="L468" s="71">
        <v>1</v>
      </c>
      <c r="M468" s="72">
        <v>1</v>
      </c>
      <c r="N468" s="71">
        <v>0.99070631970260203</v>
      </c>
      <c r="O468" s="73">
        <v>0.9</v>
      </c>
      <c r="P468" s="71">
        <v>0.98497652582159601</v>
      </c>
      <c r="Q468" s="71">
        <v>0.984646878198567</v>
      </c>
      <c r="R468" s="71">
        <v>0.98195221148957801</v>
      </c>
      <c r="S468" s="71">
        <v>0.98688714386388798</v>
      </c>
      <c r="T468" s="73">
        <v>0.9</v>
      </c>
      <c r="U468" s="71">
        <v>0.92816901408450703</v>
      </c>
      <c r="V468" s="71">
        <v>0.91837256908904796</v>
      </c>
      <c r="W468" s="71">
        <v>0.91052364006100694</v>
      </c>
      <c r="X468" s="71">
        <v>0.93078626799556996</v>
      </c>
      <c r="Y468" s="73">
        <v>0.92</v>
      </c>
      <c r="Z468" s="73">
        <v>0.94846382556987097</v>
      </c>
      <c r="AA468" s="73">
        <v>0.90170132325141805</v>
      </c>
      <c r="AB468" s="73">
        <v>0.91053921568627405</v>
      </c>
      <c r="AC468" s="73">
        <v>0.90643049672699305</v>
      </c>
      <c r="AD468" s="73">
        <v>0.92</v>
      </c>
      <c r="AE468" s="71">
        <v>0.99752720079129598</v>
      </c>
      <c r="AF468" s="71">
        <v>0.97808939526730898</v>
      </c>
      <c r="AG468" s="71">
        <v>0.97424242424242402</v>
      </c>
      <c r="AH468" s="71">
        <v>0.98753587858294301</v>
      </c>
      <c r="AI468" s="73">
        <v>0.92</v>
      </c>
      <c r="AJ468" s="71">
        <v>0.97451417648932803</v>
      </c>
      <c r="AK468" s="71">
        <v>0.96754563894523304</v>
      </c>
      <c r="AL468" s="71">
        <v>0.97347926752262703</v>
      </c>
      <c r="AM468" s="71">
        <v>0.972921795114562</v>
      </c>
      <c r="AN468" s="70">
        <v>0.99</v>
      </c>
      <c r="AO468" s="75">
        <v>1</v>
      </c>
      <c r="AP468" s="75">
        <v>1</v>
      </c>
      <c r="AQ468" s="75">
        <v>1</v>
      </c>
      <c r="AR468" s="75">
        <v>1</v>
      </c>
      <c r="AS468" s="95">
        <v>0.05</v>
      </c>
      <c r="AT468" s="79">
        <v>0.14285714285714299</v>
      </c>
      <c r="AU468" s="79">
        <v>0</v>
      </c>
      <c r="AV468" s="79">
        <v>0</v>
      </c>
      <c r="AW468" s="79">
        <v>2.0979020979021001E-2</v>
      </c>
      <c r="AX468" s="56"/>
      <c r="AY468" s="54"/>
    </row>
    <row r="469" spans="1:51">
      <c r="A469" s="53"/>
      <c r="B469" s="56"/>
      <c r="C469" s="90" t="s">
        <v>370</v>
      </c>
      <c r="D469" s="230" t="s">
        <v>1757</v>
      </c>
      <c r="E469" s="68" t="s">
        <v>371</v>
      </c>
      <c r="F469" s="91" t="s">
        <v>490</v>
      </c>
      <c r="G469" s="91" t="s">
        <v>490</v>
      </c>
      <c r="H469" s="91" t="s">
        <v>490</v>
      </c>
      <c r="I469" s="91" t="s">
        <v>490</v>
      </c>
      <c r="J469" s="70">
        <v>0.9</v>
      </c>
      <c r="K469" s="71">
        <v>1</v>
      </c>
      <c r="L469" s="71">
        <v>0.98148148148148195</v>
      </c>
      <c r="M469" s="72">
        <v>1</v>
      </c>
      <c r="N469" s="71">
        <v>0.98666666666666702</v>
      </c>
      <c r="O469" s="73">
        <v>0.9</v>
      </c>
      <c r="P469" s="71">
        <v>0.99125596184419695</v>
      </c>
      <c r="Q469" s="71">
        <v>0.99051724137930997</v>
      </c>
      <c r="R469" s="71">
        <v>0.98542692939244703</v>
      </c>
      <c r="S469" s="71">
        <v>0.98869053981827903</v>
      </c>
      <c r="T469" s="73">
        <v>0.9</v>
      </c>
      <c r="U469" s="71">
        <v>0.93799682034976195</v>
      </c>
      <c r="V469" s="71">
        <v>0.93620689655172395</v>
      </c>
      <c r="W469" s="71">
        <v>0.90784072249589498</v>
      </c>
      <c r="X469" s="71">
        <v>0.93815072153928403</v>
      </c>
      <c r="Y469" s="73">
        <v>0.92</v>
      </c>
      <c r="Z469" s="73">
        <v>0.92430025445292596</v>
      </c>
      <c r="AA469" s="73">
        <v>0.91393939393939405</v>
      </c>
      <c r="AB469" s="73">
        <v>0.90844444444444405</v>
      </c>
      <c r="AC469" s="73">
        <v>0.926039783001808</v>
      </c>
      <c r="AD469" s="73">
        <v>0.92</v>
      </c>
      <c r="AE469" s="71">
        <v>0.99800796812749004</v>
      </c>
      <c r="AF469" s="71">
        <v>0.99793861658268401</v>
      </c>
      <c r="AG469" s="71">
        <v>0.99725490196078403</v>
      </c>
      <c r="AH469" s="71">
        <v>0.995792732540832</v>
      </c>
      <c r="AI469" s="73">
        <v>0.92</v>
      </c>
      <c r="AJ469" s="71">
        <v>0.95596868884540098</v>
      </c>
      <c r="AK469" s="71">
        <v>0.97072278133577306</v>
      </c>
      <c r="AL469" s="71">
        <v>0.96681674170418497</v>
      </c>
      <c r="AM469" s="71">
        <v>0.97399588498711898</v>
      </c>
      <c r="AN469" s="70">
        <v>0.99</v>
      </c>
      <c r="AO469" s="75">
        <v>1</v>
      </c>
      <c r="AP469" s="75">
        <v>1</v>
      </c>
      <c r="AQ469" s="75">
        <v>1</v>
      </c>
      <c r="AR469" s="75">
        <v>1</v>
      </c>
      <c r="AS469" s="95">
        <v>0.05</v>
      </c>
      <c r="AT469" s="79">
        <v>7.69230769230769E-2</v>
      </c>
      <c r="AU469" s="79">
        <v>5.5555555555555601E-2</v>
      </c>
      <c r="AV469" s="79">
        <v>0</v>
      </c>
      <c r="AW469" s="79">
        <v>4.3859649122807001E-2</v>
      </c>
      <c r="AX469" s="56"/>
      <c r="AY469" s="54"/>
    </row>
    <row r="470" spans="1:51">
      <c r="A470" s="53"/>
      <c r="B470" s="56"/>
      <c r="C470" s="90" t="s">
        <v>370</v>
      </c>
      <c r="D470" s="230" t="s">
        <v>1757</v>
      </c>
      <c r="E470" s="68" t="s">
        <v>371</v>
      </c>
      <c r="F470" s="91" t="s">
        <v>491</v>
      </c>
      <c r="G470" s="91" t="s">
        <v>491</v>
      </c>
      <c r="H470" s="91" t="s">
        <v>491</v>
      </c>
      <c r="I470" s="91" t="s">
        <v>491</v>
      </c>
      <c r="J470" s="70">
        <v>0.9</v>
      </c>
      <c r="K470" s="71">
        <v>0.98181818181818203</v>
      </c>
      <c r="L470" s="71">
        <v>0.92647058823529405</v>
      </c>
      <c r="M470" s="72">
        <v>0.953125</v>
      </c>
      <c r="N470" s="71">
        <v>0.96610169491525399</v>
      </c>
      <c r="O470" s="73">
        <v>0.9</v>
      </c>
      <c r="P470" s="71">
        <v>0.99151989562948495</v>
      </c>
      <c r="Q470" s="71">
        <v>0.98696494627444098</v>
      </c>
      <c r="R470" s="71">
        <v>0.989658356417359</v>
      </c>
      <c r="S470" s="71">
        <v>0.98928942239385098</v>
      </c>
      <c r="T470" s="73">
        <v>0.9</v>
      </c>
      <c r="U470" s="71">
        <v>0.92106979778212605</v>
      </c>
      <c r="V470" s="71">
        <v>0.92883565263343304</v>
      </c>
      <c r="W470" s="71">
        <v>0.93721144967682402</v>
      </c>
      <c r="X470" s="71">
        <v>0.92868722563252504</v>
      </c>
      <c r="Y470" s="73">
        <v>0.92</v>
      </c>
      <c r="Z470" s="73">
        <v>0.78136200716845905</v>
      </c>
      <c r="AA470" s="73">
        <v>0.89660265878877399</v>
      </c>
      <c r="AB470" s="73">
        <v>0.90508474576271203</v>
      </c>
      <c r="AC470" s="73">
        <v>0.89450023912003795</v>
      </c>
      <c r="AD470" s="73">
        <v>0.92</v>
      </c>
      <c r="AE470" s="71">
        <v>0.998813291139241</v>
      </c>
      <c r="AF470" s="71">
        <v>0.99844479004665598</v>
      </c>
      <c r="AG470" s="71">
        <v>0.99664617104527697</v>
      </c>
      <c r="AH470" s="71">
        <v>0.96341414222903499</v>
      </c>
      <c r="AI470" s="73">
        <v>0.92</v>
      </c>
      <c r="AJ470" s="71">
        <v>0.911230665770007</v>
      </c>
      <c r="AK470" s="71">
        <v>0.97277305634246103</v>
      </c>
      <c r="AL470" s="71">
        <v>0.97238095238095201</v>
      </c>
      <c r="AM470" s="71">
        <v>0.97068408892697</v>
      </c>
      <c r="AN470" s="70">
        <v>0.99</v>
      </c>
      <c r="AO470" s="75">
        <v>1</v>
      </c>
      <c r="AP470" s="75">
        <v>1</v>
      </c>
      <c r="AQ470" s="75">
        <v>1</v>
      </c>
      <c r="AR470" s="75">
        <v>1</v>
      </c>
      <c r="AS470" s="95">
        <v>0.05</v>
      </c>
      <c r="AT470" s="79">
        <v>0</v>
      </c>
      <c r="AU470" s="79">
        <v>9.0909090909090898E-2</v>
      </c>
      <c r="AV470" s="79">
        <v>0</v>
      </c>
      <c r="AW470" s="79">
        <v>2.4242424242424201E-2</v>
      </c>
      <c r="AX470" s="56"/>
      <c r="AY470" s="54"/>
    </row>
    <row r="471" spans="1:51">
      <c r="A471" s="53"/>
      <c r="B471" s="56"/>
      <c r="C471" s="90" t="s">
        <v>370</v>
      </c>
      <c r="D471" s="230" t="s">
        <v>1757</v>
      </c>
      <c r="E471" s="68" t="s">
        <v>371</v>
      </c>
      <c r="F471" s="91" t="s">
        <v>492</v>
      </c>
      <c r="G471" s="91" t="s">
        <v>492</v>
      </c>
      <c r="H471" s="91" t="s">
        <v>492</v>
      </c>
      <c r="I471" s="91" t="s">
        <v>492</v>
      </c>
      <c r="J471" s="70">
        <v>0.9</v>
      </c>
      <c r="K471" s="71">
        <v>1</v>
      </c>
      <c r="L471" s="71">
        <v>1</v>
      </c>
      <c r="M471" s="72">
        <v>1</v>
      </c>
      <c r="N471" s="71">
        <v>0.98837209302325602</v>
      </c>
      <c r="O471" s="73">
        <v>0.9</v>
      </c>
      <c r="P471" s="71">
        <v>0.99312242090783998</v>
      </c>
      <c r="Q471" s="71">
        <v>0.99935022742040303</v>
      </c>
      <c r="R471" s="71">
        <v>0.995879120879121</v>
      </c>
      <c r="S471" s="71">
        <v>0.99655317951603795</v>
      </c>
      <c r="T471" s="73">
        <v>0.9</v>
      </c>
      <c r="U471" s="71">
        <v>0.95873452544704296</v>
      </c>
      <c r="V471" s="71">
        <v>0.95841455490578298</v>
      </c>
      <c r="W471" s="71">
        <v>0.94436813186813195</v>
      </c>
      <c r="X471" s="71">
        <v>0.95469893078221701</v>
      </c>
      <c r="Y471" s="73">
        <v>0.92</v>
      </c>
      <c r="Z471" s="73">
        <v>0.87234042553191504</v>
      </c>
      <c r="AA471" s="73">
        <v>0.9</v>
      </c>
      <c r="AB471" s="73">
        <v>0.91358024691357997</v>
      </c>
      <c r="AC471" s="73">
        <v>0.91777188328912496</v>
      </c>
      <c r="AD471" s="73">
        <v>0.92</v>
      </c>
      <c r="AE471" s="71">
        <v>1</v>
      </c>
      <c r="AF471" s="71">
        <v>1</v>
      </c>
      <c r="AG471" s="71">
        <v>0.99378881987577605</v>
      </c>
      <c r="AH471" s="71">
        <v>0.99543610547667305</v>
      </c>
      <c r="AI471" s="73">
        <v>0.92</v>
      </c>
      <c r="AJ471" s="71">
        <v>0.94507575757575801</v>
      </c>
      <c r="AK471" s="71">
        <v>0.97917871602082096</v>
      </c>
      <c r="AL471" s="71">
        <v>0.98175397292525002</v>
      </c>
      <c r="AM471" s="71">
        <v>0.98119252447344996</v>
      </c>
      <c r="AN471" s="70">
        <v>0.99</v>
      </c>
      <c r="AO471" s="75">
        <v>1</v>
      </c>
      <c r="AP471" s="75">
        <v>1</v>
      </c>
      <c r="AQ471" s="75">
        <v>1</v>
      </c>
      <c r="AR471" s="75">
        <v>1</v>
      </c>
      <c r="AS471" s="95">
        <v>0.05</v>
      </c>
      <c r="AT471" s="79">
        <v>0</v>
      </c>
      <c r="AU471" s="79">
        <v>0</v>
      </c>
      <c r="AV471" s="79">
        <v>0</v>
      </c>
      <c r="AW471" s="79">
        <v>1.88679245283019E-2</v>
      </c>
      <c r="AX471" s="56"/>
      <c r="AY471" s="54"/>
    </row>
    <row r="472" spans="1:51">
      <c r="A472" s="53"/>
      <c r="B472" s="56"/>
      <c r="C472" s="90" t="s">
        <v>370</v>
      </c>
      <c r="D472" s="230" t="s">
        <v>1757</v>
      </c>
      <c r="E472" s="68" t="s">
        <v>371</v>
      </c>
      <c r="F472" s="91" t="s">
        <v>493</v>
      </c>
      <c r="G472" s="91" t="s">
        <v>493</v>
      </c>
      <c r="H472" s="91" t="s">
        <v>493</v>
      </c>
      <c r="I472" s="91" t="s">
        <v>493</v>
      </c>
      <c r="J472" s="70">
        <v>0.9</v>
      </c>
      <c r="K472" s="71">
        <v>0.98181818181818203</v>
      </c>
      <c r="L472" s="71">
        <v>0.97260273972602695</v>
      </c>
      <c r="M472" s="72">
        <v>0.96825396825396803</v>
      </c>
      <c r="N472" s="71">
        <v>0.98018494055482197</v>
      </c>
      <c r="O472" s="73">
        <v>0.9</v>
      </c>
      <c r="P472" s="71">
        <v>0.98171542553191504</v>
      </c>
      <c r="Q472" s="71">
        <v>0.980261944290721</v>
      </c>
      <c r="R472" s="71">
        <v>0.98678254571790702</v>
      </c>
      <c r="S472" s="71">
        <v>0.98325064281316799</v>
      </c>
      <c r="T472" s="73">
        <v>0.9</v>
      </c>
      <c r="U472" s="71">
        <v>0.94348404255319196</v>
      </c>
      <c r="V472" s="71">
        <v>0.93783434790628994</v>
      </c>
      <c r="W472" s="71">
        <v>0.86909288430201004</v>
      </c>
      <c r="X472" s="71">
        <v>0.93077535943215195</v>
      </c>
      <c r="Y472" s="73">
        <v>0.92</v>
      </c>
      <c r="Z472" s="73">
        <v>0.83282904689863801</v>
      </c>
      <c r="AA472" s="73">
        <v>0.85860058309037901</v>
      </c>
      <c r="AB472" s="73">
        <v>0.82139253279515601</v>
      </c>
      <c r="AC472" s="73">
        <v>0.83507604562737603</v>
      </c>
      <c r="AD472" s="73">
        <v>0.92</v>
      </c>
      <c r="AE472" s="71">
        <v>0.99068901303538204</v>
      </c>
      <c r="AF472" s="71">
        <v>0.98761958356781099</v>
      </c>
      <c r="AG472" s="71">
        <v>0.95090838809431799</v>
      </c>
      <c r="AH472" s="71">
        <v>0.98715907165847905</v>
      </c>
      <c r="AI472" s="73">
        <v>0.92</v>
      </c>
      <c r="AJ472" s="71">
        <v>0.92725173210161704</v>
      </c>
      <c r="AK472" s="71">
        <v>0.95677091861797903</v>
      </c>
      <c r="AL472" s="71">
        <v>0.93291372428615305</v>
      </c>
      <c r="AM472" s="71">
        <v>0.95191093942481697</v>
      </c>
      <c r="AN472" s="70">
        <v>0.99</v>
      </c>
      <c r="AO472" s="75">
        <v>1</v>
      </c>
      <c r="AP472" s="75">
        <v>1</v>
      </c>
      <c r="AQ472" s="75">
        <v>1</v>
      </c>
      <c r="AR472" s="75">
        <v>1</v>
      </c>
      <c r="AS472" s="95">
        <v>0.05</v>
      </c>
      <c r="AT472" s="79">
        <v>0</v>
      </c>
      <c r="AU472" s="79">
        <v>9.0909090909090898E-2</v>
      </c>
      <c r="AV472" s="79">
        <v>0</v>
      </c>
      <c r="AW472" s="79">
        <v>4.1493775933609998E-2</v>
      </c>
      <c r="AX472" s="56"/>
      <c r="AY472" s="54"/>
    </row>
    <row r="473" spans="1:51">
      <c r="A473" s="53"/>
      <c r="B473" s="56"/>
      <c r="C473" s="90" t="s">
        <v>370</v>
      </c>
      <c r="D473" s="230" t="s">
        <v>1757</v>
      </c>
      <c r="E473" s="68" t="s">
        <v>371</v>
      </c>
      <c r="F473" s="91" t="s">
        <v>494</v>
      </c>
      <c r="G473" s="91" t="s">
        <v>494</v>
      </c>
      <c r="H473" s="91" t="s">
        <v>494</v>
      </c>
      <c r="I473" s="91" t="s">
        <v>494</v>
      </c>
      <c r="J473" s="70">
        <v>0.9</v>
      </c>
      <c r="K473" s="71">
        <v>1</v>
      </c>
      <c r="L473" s="71">
        <v>1</v>
      </c>
      <c r="M473" s="72">
        <v>1</v>
      </c>
      <c r="N473" s="71">
        <v>0.99467140319715797</v>
      </c>
      <c r="O473" s="73">
        <v>0.9</v>
      </c>
      <c r="P473" s="71">
        <v>0.97674418604651203</v>
      </c>
      <c r="Q473" s="71">
        <v>0.98920785668033695</v>
      </c>
      <c r="R473" s="71">
        <v>0.98798228969006996</v>
      </c>
      <c r="S473" s="71">
        <v>0.98575517106803701</v>
      </c>
      <c r="T473" s="73">
        <v>0.9</v>
      </c>
      <c r="U473" s="71">
        <v>0.94481671265273903</v>
      </c>
      <c r="V473" s="71">
        <v>0.95121951219512202</v>
      </c>
      <c r="W473" s="71">
        <v>0.93421884882985495</v>
      </c>
      <c r="X473" s="71">
        <v>0.93634274315944699</v>
      </c>
      <c r="Y473" s="73">
        <v>0.92</v>
      </c>
      <c r="Z473" s="73">
        <v>0.93399014778325096</v>
      </c>
      <c r="AA473" s="73">
        <v>0.87758945386064002</v>
      </c>
      <c r="AB473" s="73">
        <v>0.87755102040816302</v>
      </c>
      <c r="AC473" s="73">
        <v>0.90914779126517298</v>
      </c>
      <c r="AD473" s="73">
        <v>0.92</v>
      </c>
      <c r="AE473" s="71">
        <v>0.99828030954428204</v>
      </c>
      <c r="AF473" s="71">
        <v>0.99168797953964205</v>
      </c>
      <c r="AG473" s="71">
        <v>0.97649572649572602</v>
      </c>
      <c r="AH473" s="71">
        <v>0.99104132549850699</v>
      </c>
      <c r="AI473" s="73">
        <v>0.92</v>
      </c>
      <c r="AJ473" s="71">
        <v>0.96650717703349298</v>
      </c>
      <c r="AK473" s="71">
        <v>0.97889233152594901</v>
      </c>
      <c r="AL473" s="71">
        <v>0.97340329292563799</v>
      </c>
      <c r="AM473" s="71">
        <v>0.976974535240418</v>
      </c>
      <c r="AN473" s="70">
        <v>0.99</v>
      </c>
      <c r="AO473" s="75">
        <v>1</v>
      </c>
      <c r="AP473" s="75">
        <v>1</v>
      </c>
      <c r="AQ473" s="75">
        <v>1</v>
      </c>
      <c r="AR473" s="75">
        <v>1</v>
      </c>
      <c r="AS473" s="95">
        <v>0.05</v>
      </c>
      <c r="AT473" s="79">
        <v>0.14285714285714299</v>
      </c>
      <c r="AU473" s="79">
        <v>0.11111111111111099</v>
      </c>
      <c r="AV473" s="79">
        <v>0</v>
      </c>
      <c r="AW473" s="79">
        <v>7.4074074074074098E-2</v>
      </c>
      <c r="AX473" s="56"/>
      <c r="AY473" s="54"/>
    </row>
    <row r="474" spans="1:51">
      <c r="A474" s="53"/>
      <c r="B474" s="56"/>
      <c r="C474" s="90" t="s">
        <v>370</v>
      </c>
      <c r="D474" s="230" t="s">
        <v>1757</v>
      </c>
      <c r="E474" s="68" t="s">
        <v>371</v>
      </c>
      <c r="F474" s="91" t="s">
        <v>495</v>
      </c>
      <c r="G474" s="91" t="s">
        <v>495</v>
      </c>
      <c r="H474" s="91" t="s">
        <v>495</v>
      </c>
      <c r="I474" s="91" t="s">
        <v>495</v>
      </c>
      <c r="J474" s="70">
        <v>0.9</v>
      </c>
      <c r="K474" s="71">
        <v>0.97222222222222199</v>
      </c>
      <c r="L474" s="71">
        <v>0.94594594594594605</v>
      </c>
      <c r="M474" s="72">
        <v>0.94117647058823495</v>
      </c>
      <c r="N474" s="71">
        <v>0.95085995085995101</v>
      </c>
      <c r="O474" s="73">
        <v>0.9</v>
      </c>
      <c r="P474" s="71">
        <v>0.987171655467318</v>
      </c>
      <c r="Q474" s="71">
        <v>0.984877734877735</v>
      </c>
      <c r="R474" s="71">
        <v>0.98516228748068002</v>
      </c>
      <c r="S474" s="71">
        <v>0.98426264665068797</v>
      </c>
      <c r="T474" s="73">
        <v>0.9</v>
      </c>
      <c r="U474" s="71">
        <v>0.934636530238241</v>
      </c>
      <c r="V474" s="71">
        <v>0.93243243243243201</v>
      </c>
      <c r="W474" s="71">
        <v>0.90417310664605899</v>
      </c>
      <c r="X474" s="71">
        <v>0.92118708212438505</v>
      </c>
      <c r="Y474" s="73">
        <v>0.92</v>
      </c>
      <c r="Z474" s="73">
        <v>0.82649006622516596</v>
      </c>
      <c r="AA474" s="73">
        <v>0.54245283018867896</v>
      </c>
      <c r="AB474" s="73">
        <v>0.65592972181552001</v>
      </c>
      <c r="AC474" s="73">
        <v>0.71627683434796496</v>
      </c>
      <c r="AD474" s="73">
        <v>0.92</v>
      </c>
      <c r="AE474" s="71">
        <v>0.99310344827586206</v>
      </c>
      <c r="AF474" s="71">
        <v>0.97619047619047605</v>
      </c>
      <c r="AG474" s="71">
        <v>0.99348534201954397</v>
      </c>
      <c r="AH474" s="71">
        <v>0.95004897159647395</v>
      </c>
      <c r="AI474" s="73">
        <v>0.92</v>
      </c>
      <c r="AJ474" s="71">
        <v>0.92474916387959905</v>
      </c>
      <c r="AK474" s="71">
        <v>0.91732729331823304</v>
      </c>
      <c r="AL474" s="71">
        <v>0.92215416028585995</v>
      </c>
      <c r="AM474" s="71">
        <v>0.93449447972385402</v>
      </c>
      <c r="AN474" s="70">
        <v>0.99</v>
      </c>
      <c r="AO474" s="75">
        <v>1</v>
      </c>
      <c r="AP474" s="75">
        <v>1</v>
      </c>
      <c r="AQ474" s="75">
        <v>1</v>
      </c>
      <c r="AR474" s="75">
        <v>1</v>
      </c>
      <c r="AS474" s="95">
        <v>0.05</v>
      </c>
      <c r="AT474" s="79">
        <v>0</v>
      </c>
      <c r="AU474" s="79">
        <v>4.3478260869565202E-2</v>
      </c>
      <c r="AV474" s="79">
        <v>6.25E-2</v>
      </c>
      <c r="AW474" s="79">
        <v>3.9024390243902397E-2</v>
      </c>
      <c r="AX474" s="56"/>
      <c r="AY474" s="54"/>
    </row>
    <row r="475" spans="1:51">
      <c r="A475" s="53"/>
      <c r="B475" s="56"/>
      <c r="C475" s="90" t="s">
        <v>370</v>
      </c>
      <c r="D475" s="230" t="s">
        <v>1757</v>
      </c>
      <c r="E475" s="68" t="s">
        <v>371</v>
      </c>
      <c r="F475" s="91" t="s">
        <v>496</v>
      </c>
      <c r="G475" s="91" t="s">
        <v>496</v>
      </c>
      <c r="H475" s="91" t="s">
        <v>496</v>
      </c>
      <c r="I475" s="91" t="s">
        <v>496</v>
      </c>
      <c r="J475" s="70">
        <v>0.9</v>
      </c>
      <c r="K475" s="71">
        <v>0.95833333333333304</v>
      </c>
      <c r="L475" s="71">
        <v>1</v>
      </c>
      <c r="M475" s="72">
        <v>0.96296296296296302</v>
      </c>
      <c r="N475" s="71">
        <v>0.98201438848920897</v>
      </c>
      <c r="O475" s="73">
        <v>0.9</v>
      </c>
      <c r="P475" s="71">
        <v>0.97277676950998204</v>
      </c>
      <c r="Q475" s="71">
        <v>0.98020833333333302</v>
      </c>
      <c r="R475" s="71">
        <v>0.99082100968893405</v>
      </c>
      <c r="S475" s="71">
        <v>0.97916354369659697</v>
      </c>
      <c r="T475" s="73">
        <v>0.9</v>
      </c>
      <c r="U475" s="71">
        <v>0.90108892921960104</v>
      </c>
      <c r="V475" s="71">
        <v>0.87395833333333295</v>
      </c>
      <c r="W475" s="71">
        <v>0.84752677205507398</v>
      </c>
      <c r="X475" s="71">
        <v>0.86253934942287502</v>
      </c>
      <c r="Y475" s="73">
        <v>0.92</v>
      </c>
      <c r="Z475" s="73" t="s">
        <v>1710</v>
      </c>
      <c r="AA475" s="73">
        <v>0</v>
      </c>
      <c r="AB475" s="73" t="s">
        <v>1710</v>
      </c>
      <c r="AC475" s="73">
        <v>0.57142857142857095</v>
      </c>
      <c r="AD475" s="73">
        <v>0.92</v>
      </c>
      <c r="AE475" s="71">
        <v>0.994276909531147</v>
      </c>
      <c r="AF475" s="71">
        <v>0.99460916442048497</v>
      </c>
      <c r="AG475" s="71">
        <v>0.988116458704694</v>
      </c>
      <c r="AH475" s="71">
        <v>0.98645598194130901</v>
      </c>
      <c r="AI475" s="73">
        <v>0.92</v>
      </c>
      <c r="AJ475" s="71">
        <v>0.92377495462794901</v>
      </c>
      <c r="AK475" s="71">
        <v>0.96203848153926197</v>
      </c>
      <c r="AL475" s="71">
        <v>0.97348291687914301</v>
      </c>
      <c r="AM475" s="71">
        <v>0.96039356707621604</v>
      </c>
      <c r="AN475" s="70">
        <v>0.99</v>
      </c>
      <c r="AO475" s="75">
        <v>1</v>
      </c>
      <c r="AP475" s="75">
        <v>1</v>
      </c>
      <c r="AQ475" s="75">
        <v>1</v>
      </c>
      <c r="AR475" s="75">
        <v>1</v>
      </c>
      <c r="AS475" s="95">
        <v>0.05</v>
      </c>
      <c r="AT475" s="79">
        <v>0.2</v>
      </c>
      <c r="AU475" s="79">
        <v>8.3333333333333301E-2</v>
      </c>
      <c r="AV475" s="79">
        <v>0</v>
      </c>
      <c r="AW475" s="79">
        <v>8.4615384615384606E-2</v>
      </c>
      <c r="AX475" s="56"/>
      <c r="AY475" s="54"/>
    </row>
    <row r="476" spans="1:51">
      <c r="A476" s="53"/>
      <c r="B476" s="56"/>
      <c r="C476" s="90" t="s">
        <v>370</v>
      </c>
      <c r="D476" s="230" t="s">
        <v>1757</v>
      </c>
      <c r="E476" s="68" t="s">
        <v>371</v>
      </c>
      <c r="F476" s="91" t="s">
        <v>497</v>
      </c>
      <c r="G476" s="91" t="s">
        <v>497</v>
      </c>
      <c r="H476" s="91" t="s">
        <v>497</v>
      </c>
      <c r="I476" s="91" t="s">
        <v>497</v>
      </c>
      <c r="J476" s="70">
        <v>0.9</v>
      </c>
      <c r="K476" s="71">
        <v>1</v>
      </c>
      <c r="L476" s="71">
        <v>1</v>
      </c>
      <c r="M476" s="72">
        <v>1</v>
      </c>
      <c r="N476" s="71">
        <v>1</v>
      </c>
      <c r="O476" s="73">
        <v>0.9</v>
      </c>
      <c r="P476" s="71">
        <v>0.97931034482758605</v>
      </c>
      <c r="Q476" s="71">
        <v>0.99841269841269797</v>
      </c>
      <c r="R476" s="71">
        <v>0.99191176470588205</v>
      </c>
      <c r="S476" s="71">
        <v>0.99475691134413702</v>
      </c>
      <c r="T476" s="73">
        <v>0.9</v>
      </c>
      <c r="U476" s="71">
        <v>0.96</v>
      </c>
      <c r="V476" s="71">
        <v>0.96349206349206395</v>
      </c>
      <c r="W476" s="71">
        <v>0.95367647058823501</v>
      </c>
      <c r="X476" s="71">
        <v>0.95527486495074698</v>
      </c>
      <c r="Y476" s="73">
        <v>0.92</v>
      </c>
      <c r="Z476" s="73">
        <v>0.95793758480325597</v>
      </c>
      <c r="AA476" s="73">
        <v>0.93830334190231401</v>
      </c>
      <c r="AB476" s="73">
        <v>0.95863309352518</v>
      </c>
      <c r="AC476" s="73">
        <v>0.95803942846807699</v>
      </c>
      <c r="AD476" s="73">
        <v>0.92</v>
      </c>
      <c r="AE476" s="71">
        <v>0.99894193889697103</v>
      </c>
      <c r="AF476" s="71">
        <v>0.99401266551525602</v>
      </c>
      <c r="AG476" s="71">
        <v>0.99698719558121995</v>
      </c>
      <c r="AH476" s="71">
        <v>0.99576276467142699</v>
      </c>
      <c r="AI476" s="73">
        <v>0.92</v>
      </c>
      <c r="AJ476" s="71">
        <v>0.97805212620027404</v>
      </c>
      <c r="AK476" s="71">
        <v>0.98143691990374704</v>
      </c>
      <c r="AL476" s="71">
        <v>0.97771672771672802</v>
      </c>
      <c r="AM476" s="71">
        <v>0.98420607007945804</v>
      </c>
      <c r="AN476" s="70">
        <v>0.99</v>
      </c>
      <c r="AO476" s="75">
        <v>1</v>
      </c>
      <c r="AP476" s="75">
        <v>1</v>
      </c>
      <c r="AQ476" s="75">
        <v>1</v>
      </c>
      <c r="AR476" s="75">
        <v>1</v>
      </c>
      <c r="AS476" s="95">
        <v>0.05</v>
      </c>
      <c r="AT476" s="79">
        <v>0.125</v>
      </c>
      <c r="AU476" s="79">
        <v>0</v>
      </c>
      <c r="AV476" s="79">
        <v>6.25E-2</v>
      </c>
      <c r="AW476" s="79">
        <v>4.6666666666666697E-2</v>
      </c>
      <c r="AX476" s="56"/>
      <c r="AY476" s="54"/>
    </row>
    <row r="477" spans="1:51">
      <c r="A477" s="53"/>
      <c r="B477" s="56"/>
      <c r="C477" s="90" t="s">
        <v>370</v>
      </c>
      <c r="D477" s="230" t="s">
        <v>1757</v>
      </c>
      <c r="E477" s="68" t="s">
        <v>371</v>
      </c>
      <c r="F477" s="91" t="s">
        <v>498</v>
      </c>
      <c r="G477" s="91" t="s">
        <v>498</v>
      </c>
      <c r="H477" s="91" t="s">
        <v>498</v>
      </c>
      <c r="I477" s="91" t="s">
        <v>498</v>
      </c>
      <c r="J477" s="70">
        <v>0.9</v>
      </c>
      <c r="K477" s="71">
        <v>0.86111111111111105</v>
      </c>
      <c r="L477" s="71">
        <v>0.87179487179487203</v>
      </c>
      <c r="M477" s="72">
        <v>0.84615384615384603</v>
      </c>
      <c r="N477" s="71">
        <v>0.89277389277389296</v>
      </c>
      <c r="O477" s="73">
        <v>0.9</v>
      </c>
      <c r="P477" s="71">
        <v>0.98721227621483398</v>
      </c>
      <c r="Q477" s="71">
        <v>0.98450508788159097</v>
      </c>
      <c r="R477" s="71">
        <v>0.98215092634432899</v>
      </c>
      <c r="S477" s="71">
        <v>0.98494117647058799</v>
      </c>
      <c r="T477" s="73">
        <v>0.9</v>
      </c>
      <c r="U477" s="71">
        <v>0.90963341858482505</v>
      </c>
      <c r="V477" s="71">
        <v>0.86609620721554104</v>
      </c>
      <c r="W477" s="71">
        <v>0.85404428377767705</v>
      </c>
      <c r="X477" s="71">
        <v>0.87645938375350096</v>
      </c>
      <c r="Y477" s="73">
        <v>0.92</v>
      </c>
      <c r="Z477" s="73" t="s">
        <v>1710</v>
      </c>
      <c r="AA477" s="73" t="s">
        <v>1710</v>
      </c>
      <c r="AB477" s="73" t="s">
        <v>1710</v>
      </c>
      <c r="AC477" s="73" t="s">
        <v>1710</v>
      </c>
      <c r="AD477" s="73">
        <v>0.92</v>
      </c>
      <c r="AE477" s="71">
        <v>1</v>
      </c>
      <c r="AF477" s="71">
        <v>0.99297752808988804</v>
      </c>
      <c r="AG477" s="71">
        <v>0.99490662139218999</v>
      </c>
      <c r="AH477" s="71">
        <v>0.99297149550956698</v>
      </c>
      <c r="AI477" s="73">
        <v>0.92</v>
      </c>
      <c r="AJ477" s="71">
        <v>0.96291560102301799</v>
      </c>
      <c r="AK477" s="71">
        <v>0.96253469010175796</v>
      </c>
      <c r="AL477" s="71">
        <v>0.97017623136014497</v>
      </c>
      <c r="AM477" s="71">
        <v>0.97517086834733901</v>
      </c>
      <c r="AN477" s="70">
        <v>0.99</v>
      </c>
      <c r="AO477" s="75">
        <v>1</v>
      </c>
      <c r="AP477" s="75">
        <v>1</v>
      </c>
      <c r="AQ477" s="75">
        <v>1</v>
      </c>
      <c r="AR477" s="75">
        <v>1</v>
      </c>
      <c r="AS477" s="95">
        <v>0.05</v>
      </c>
      <c r="AT477" s="79">
        <v>0.14285714285714299</v>
      </c>
      <c r="AU477" s="79">
        <v>7.69230769230769E-2</v>
      </c>
      <c r="AV477" s="79">
        <v>0</v>
      </c>
      <c r="AW477" s="79">
        <v>4.7904191616766498E-2</v>
      </c>
      <c r="AX477" s="56"/>
      <c r="AY477" s="54"/>
    </row>
    <row r="478" spans="1:51">
      <c r="A478" s="53"/>
      <c r="B478" s="56"/>
      <c r="C478" s="90" t="s">
        <v>370</v>
      </c>
      <c r="D478" s="230" t="s">
        <v>1757</v>
      </c>
      <c r="E478" s="68" t="s">
        <v>371</v>
      </c>
      <c r="F478" s="91" t="s">
        <v>499</v>
      </c>
      <c r="G478" s="91" t="s">
        <v>499</v>
      </c>
      <c r="H478" s="91" t="s">
        <v>499</v>
      </c>
      <c r="I478" s="91" t="s">
        <v>499</v>
      </c>
      <c r="J478" s="70">
        <v>0.9</v>
      </c>
      <c r="K478" s="71">
        <v>0.96296296296296302</v>
      </c>
      <c r="L478" s="71">
        <v>1</v>
      </c>
      <c r="M478" s="72">
        <v>0.96153846153846201</v>
      </c>
      <c r="N478" s="71">
        <v>0.96026490066225201</v>
      </c>
      <c r="O478" s="73">
        <v>0.9</v>
      </c>
      <c r="P478" s="71">
        <v>0.98326771653543299</v>
      </c>
      <c r="Q478" s="71">
        <v>0.98768472906403904</v>
      </c>
      <c r="R478" s="71">
        <v>0.98647854203409802</v>
      </c>
      <c r="S478" s="71">
        <v>0.98880510440835301</v>
      </c>
      <c r="T478" s="73">
        <v>0.9</v>
      </c>
      <c r="U478" s="71">
        <v>0.92125984251968496</v>
      </c>
      <c r="V478" s="71">
        <v>0.82573891625615803</v>
      </c>
      <c r="W478" s="71">
        <v>0.88830099941211005</v>
      </c>
      <c r="X478" s="71">
        <v>0.86281902552204204</v>
      </c>
      <c r="Y478" s="73">
        <v>0.92</v>
      </c>
      <c r="Z478" s="73">
        <v>0.91865168539325803</v>
      </c>
      <c r="AA478" s="73">
        <v>0.89592760180995501</v>
      </c>
      <c r="AB478" s="73">
        <v>0.86532810969637597</v>
      </c>
      <c r="AC478" s="73">
        <v>0.89975203684024097</v>
      </c>
      <c r="AD478" s="73">
        <v>0.92</v>
      </c>
      <c r="AE478" s="71">
        <v>1</v>
      </c>
      <c r="AF478" s="71">
        <v>1</v>
      </c>
      <c r="AG478" s="71">
        <v>1</v>
      </c>
      <c r="AH478" s="71">
        <v>0.99846094651789197</v>
      </c>
      <c r="AI478" s="73">
        <v>0.92</v>
      </c>
      <c r="AJ478" s="71">
        <v>0.93551373033014495</v>
      </c>
      <c r="AK478" s="71">
        <v>0.93733968486625097</v>
      </c>
      <c r="AL478" s="71">
        <v>0.91588785046729004</v>
      </c>
      <c r="AM478" s="71">
        <v>0.93558323651003805</v>
      </c>
      <c r="AN478" s="70">
        <v>0.99</v>
      </c>
      <c r="AO478" s="75">
        <v>1</v>
      </c>
      <c r="AP478" s="75">
        <v>1</v>
      </c>
      <c r="AQ478" s="75">
        <v>1</v>
      </c>
      <c r="AR478" s="75">
        <v>1</v>
      </c>
      <c r="AS478" s="95">
        <v>0.05</v>
      </c>
      <c r="AT478" s="79">
        <v>0.14285714285714299</v>
      </c>
      <c r="AU478" s="79">
        <v>7.69230769230769E-2</v>
      </c>
      <c r="AV478" s="79">
        <v>0</v>
      </c>
      <c r="AW478" s="79">
        <v>2.7522935779816501E-2</v>
      </c>
      <c r="AX478" s="56"/>
      <c r="AY478" s="54"/>
    </row>
    <row r="479" spans="1:51">
      <c r="A479" s="53"/>
      <c r="B479" s="56"/>
      <c r="C479" s="90" t="s">
        <v>370</v>
      </c>
      <c r="D479" s="230" t="s">
        <v>1757</v>
      </c>
      <c r="E479" s="68" t="s">
        <v>371</v>
      </c>
      <c r="F479" s="91" t="s">
        <v>500</v>
      </c>
      <c r="G479" s="91" t="s">
        <v>500</v>
      </c>
      <c r="H479" s="91" t="s">
        <v>500</v>
      </c>
      <c r="I479" s="91" t="s">
        <v>500</v>
      </c>
      <c r="J479" s="70">
        <v>0.9</v>
      </c>
      <c r="K479" s="71">
        <v>0.96153846153846201</v>
      </c>
      <c r="L479" s="71">
        <v>0.96</v>
      </c>
      <c r="M479" s="72">
        <v>0.92</v>
      </c>
      <c r="N479" s="71">
        <v>0.88215488215488203</v>
      </c>
      <c r="O479" s="73">
        <v>0.9</v>
      </c>
      <c r="P479" s="71">
        <v>0.99585553582001196</v>
      </c>
      <c r="Q479" s="71">
        <v>0.99438596491228104</v>
      </c>
      <c r="R479" s="71">
        <v>0.99658036150464102</v>
      </c>
      <c r="S479" s="71">
        <v>0.994475696432782</v>
      </c>
      <c r="T479" s="73">
        <v>0.9</v>
      </c>
      <c r="U479" s="71">
        <v>0.91059798697454097</v>
      </c>
      <c r="V479" s="71">
        <v>0.90175438596491198</v>
      </c>
      <c r="W479" s="71">
        <v>0.94772838299951101</v>
      </c>
      <c r="X479" s="71">
        <v>0.91935864182975702</v>
      </c>
      <c r="Y479" s="73">
        <v>0.92</v>
      </c>
      <c r="Z479" s="73" t="s">
        <v>1710</v>
      </c>
      <c r="AA479" s="73" t="s">
        <v>1710</v>
      </c>
      <c r="AB479" s="73" t="s">
        <v>1710</v>
      </c>
      <c r="AC479" s="73">
        <v>0</v>
      </c>
      <c r="AD479" s="73">
        <v>0.92</v>
      </c>
      <c r="AE479" s="71">
        <v>0.99663299663299698</v>
      </c>
      <c r="AF479" s="71">
        <v>0.99615384615384595</v>
      </c>
      <c r="AG479" s="71">
        <v>1</v>
      </c>
      <c r="AH479" s="71">
        <v>0.99142507145773795</v>
      </c>
      <c r="AI479" s="73">
        <v>0.92</v>
      </c>
      <c r="AJ479" s="71">
        <v>0.98756660746003599</v>
      </c>
      <c r="AK479" s="71">
        <v>0.98596491228070204</v>
      </c>
      <c r="AL479" s="71">
        <v>0.99096238397655101</v>
      </c>
      <c r="AM479" s="71">
        <v>0.98996261241537298</v>
      </c>
      <c r="AN479" s="70">
        <v>0.99</v>
      </c>
      <c r="AO479" s="75">
        <v>1</v>
      </c>
      <c r="AP479" s="75">
        <v>1</v>
      </c>
      <c r="AQ479" s="75">
        <v>1</v>
      </c>
      <c r="AR479" s="75">
        <v>1</v>
      </c>
      <c r="AS479" s="95">
        <v>0.05</v>
      </c>
      <c r="AT479" s="79">
        <v>0</v>
      </c>
      <c r="AU479" s="79">
        <v>0</v>
      </c>
      <c r="AV479" s="79">
        <v>0</v>
      </c>
      <c r="AW479" s="79">
        <v>3.4090909090909102E-2</v>
      </c>
      <c r="AX479" s="56"/>
      <c r="AY479" s="54"/>
    </row>
    <row r="480" spans="1:51">
      <c r="A480" s="53"/>
      <c r="B480" s="56"/>
      <c r="C480" s="90" t="s">
        <v>370</v>
      </c>
      <c r="D480" s="230" t="s">
        <v>1757</v>
      </c>
      <c r="E480" s="68" t="s">
        <v>371</v>
      </c>
      <c r="F480" s="91" t="s">
        <v>501</v>
      </c>
      <c r="G480" s="91" t="s">
        <v>501</v>
      </c>
      <c r="H480" s="91" t="s">
        <v>501</v>
      </c>
      <c r="I480" s="91" t="s">
        <v>501</v>
      </c>
      <c r="J480" s="70">
        <v>0.9</v>
      </c>
      <c r="K480" s="71">
        <v>0.79591836734693899</v>
      </c>
      <c r="L480" s="71">
        <v>0.72093023255813904</v>
      </c>
      <c r="M480" s="72">
        <v>0.82608695652173902</v>
      </c>
      <c r="N480" s="71">
        <v>0.77075098814229204</v>
      </c>
      <c r="O480" s="73">
        <v>0.9</v>
      </c>
      <c r="P480" s="71">
        <v>0.98964624676445201</v>
      </c>
      <c r="Q480" s="71">
        <v>0.97109557109557099</v>
      </c>
      <c r="R480" s="71">
        <v>0.97851074462768595</v>
      </c>
      <c r="S480" s="71">
        <v>0.98598086577626198</v>
      </c>
      <c r="T480" s="73">
        <v>0.9</v>
      </c>
      <c r="U480" s="71">
        <v>0.89559965487489201</v>
      </c>
      <c r="V480" s="71">
        <v>0.834498834498835</v>
      </c>
      <c r="W480" s="71">
        <v>0.89155422288855601</v>
      </c>
      <c r="X480" s="71">
        <v>0.88609453443213004</v>
      </c>
      <c r="Y480" s="73">
        <v>0.92</v>
      </c>
      <c r="Z480" s="73">
        <v>0.84931506849315097</v>
      </c>
      <c r="AA480" s="73">
        <v>0.83189033189033201</v>
      </c>
      <c r="AB480" s="73">
        <v>0.83853516437786102</v>
      </c>
      <c r="AC480" s="73">
        <v>0.84412592782185802</v>
      </c>
      <c r="AD480" s="73">
        <v>0.92</v>
      </c>
      <c r="AE480" s="71">
        <v>0.99850299401197595</v>
      </c>
      <c r="AF480" s="71">
        <v>0.99478623566214797</v>
      </c>
      <c r="AG480" s="71">
        <v>0.99009900990098998</v>
      </c>
      <c r="AH480" s="71">
        <v>0.99423197492162996</v>
      </c>
      <c r="AI480" s="73">
        <v>0.92</v>
      </c>
      <c r="AJ480" s="71">
        <v>0.88495332235035695</v>
      </c>
      <c r="AK480" s="71">
        <v>0.90909090909090895</v>
      </c>
      <c r="AL480" s="71">
        <v>0.89986376021798398</v>
      </c>
      <c r="AM480" s="71">
        <v>0.90604312995085601</v>
      </c>
      <c r="AN480" s="70">
        <v>0.99</v>
      </c>
      <c r="AO480" s="75">
        <v>1</v>
      </c>
      <c r="AP480" s="75">
        <v>1</v>
      </c>
      <c r="AQ480" s="75">
        <v>1</v>
      </c>
      <c r="AR480" s="75">
        <v>1</v>
      </c>
      <c r="AS480" s="95">
        <v>0.05</v>
      </c>
      <c r="AT480" s="79">
        <v>0.375</v>
      </c>
      <c r="AU480" s="79">
        <v>0</v>
      </c>
      <c r="AV480" s="79">
        <v>0</v>
      </c>
      <c r="AW480" s="79">
        <v>4.4247787610619503E-2</v>
      </c>
      <c r="AX480" s="56"/>
      <c r="AY480" s="54"/>
    </row>
    <row r="481" spans="1:51">
      <c r="A481" s="53"/>
      <c r="B481" s="56"/>
      <c r="C481" s="90" t="s">
        <v>370</v>
      </c>
      <c r="D481" s="230" t="s">
        <v>1757</v>
      </c>
      <c r="E481" s="68" t="s">
        <v>371</v>
      </c>
      <c r="F481" s="91" t="s">
        <v>502</v>
      </c>
      <c r="G481" s="91" t="s">
        <v>502</v>
      </c>
      <c r="H481" s="91" t="s">
        <v>502</v>
      </c>
      <c r="I481" s="91" t="s">
        <v>502</v>
      </c>
      <c r="J481" s="70">
        <v>0.9</v>
      </c>
      <c r="K481" s="71">
        <v>1</v>
      </c>
      <c r="L481" s="71">
        <v>0.96875</v>
      </c>
      <c r="M481" s="72">
        <v>1</v>
      </c>
      <c r="N481" s="71">
        <v>0.98162729658792602</v>
      </c>
      <c r="O481" s="73">
        <v>0.9</v>
      </c>
      <c r="P481" s="71">
        <v>0.99320305862361902</v>
      </c>
      <c r="Q481" s="71">
        <v>0.99728997289972898</v>
      </c>
      <c r="R481" s="71">
        <v>0.99627097576134205</v>
      </c>
      <c r="S481" s="71">
        <v>0.99702434089150704</v>
      </c>
      <c r="T481" s="73">
        <v>0.9</v>
      </c>
      <c r="U481" s="71">
        <v>0.91333899745114699</v>
      </c>
      <c r="V481" s="71">
        <v>0.90243902439024404</v>
      </c>
      <c r="W481" s="71">
        <v>0.921690490988191</v>
      </c>
      <c r="X481" s="71">
        <v>0.92191870499315598</v>
      </c>
      <c r="Y481" s="73">
        <v>0.92</v>
      </c>
      <c r="Z481" s="73">
        <v>0.95994277539341899</v>
      </c>
      <c r="AA481" s="73">
        <v>0.94275700934579398</v>
      </c>
      <c r="AB481" s="73">
        <v>0.93824228028503598</v>
      </c>
      <c r="AC481" s="73">
        <v>0.950796626054358</v>
      </c>
      <c r="AD481" s="73">
        <v>0.92</v>
      </c>
      <c r="AE481" s="71">
        <v>1</v>
      </c>
      <c r="AF481" s="71">
        <v>0.98174157303370801</v>
      </c>
      <c r="AG481" s="71">
        <v>0.99918765231519102</v>
      </c>
      <c r="AH481" s="71">
        <v>0.99263957403492298</v>
      </c>
      <c r="AI481" s="73">
        <v>0.92</v>
      </c>
      <c r="AJ481" s="71">
        <v>0.96487477092241902</v>
      </c>
      <c r="AK481" s="71">
        <v>0.96656665237891104</v>
      </c>
      <c r="AL481" s="71">
        <v>0.95446265938069197</v>
      </c>
      <c r="AM481" s="71">
        <v>0.96599663508368006</v>
      </c>
      <c r="AN481" s="70">
        <v>0.99</v>
      </c>
      <c r="AO481" s="75">
        <v>1</v>
      </c>
      <c r="AP481" s="75">
        <v>1</v>
      </c>
      <c r="AQ481" s="75">
        <v>1</v>
      </c>
      <c r="AR481" s="75">
        <v>1</v>
      </c>
      <c r="AS481" s="95">
        <v>0.05</v>
      </c>
      <c r="AT481" s="79">
        <v>6.6666666666666693E-2</v>
      </c>
      <c r="AU481" s="79">
        <v>0</v>
      </c>
      <c r="AV481" s="79">
        <v>0</v>
      </c>
      <c r="AW481" s="79">
        <v>2.68817204301075E-2</v>
      </c>
      <c r="AX481" s="56"/>
      <c r="AY481" s="54"/>
    </row>
    <row r="482" spans="1:51">
      <c r="A482" s="53"/>
      <c r="B482" s="56"/>
      <c r="C482" s="90" t="s">
        <v>370</v>
      </c>
      <c r="D482" s="230" t="s">
        <v>1757</v>
      </c>
      <c r="E482" s="68" t="s">
        <v>371</v>
      </c>
      <c r="F482" s="91" t="s">
        <v>503</v>
      </c>
      <c r="G482" s="91" t="s">
        <v>503</v>
      </c>
      <c r="H482" s="91" t="s">
        <v>503</v>
      </c>
      <c r="I482" s="91" t="s">
        <v>503</v>
      </c>
      <c r="J482" s="70">
        <v>0.9</v>
      </c>
      <c r="K482" s="71">
        <v>0.94444444444444398</v>
      </c>
      <c r="L482" s="71">
        <v>0.88888888888888895</v>
      </c>
      <c r="M482" s="72">
        <v>0.90909090909090895</v>
      </c>
      <c r="N482" s="71">
        <v>0.9375</v>
      </c>
      <c r="O482" s="73">
        <v>0.9</v>
      </c>
      <c r="P482" s="71">
        <v>0.99089253187613802</v>
      </c>
      <c r="Q482" s="71">
        <v>0.99759036144578295</v>
      </c>
      <c r="R482" s="71">
        <v>0.99214365881032596</v>
      </c>
      <c r="S482" s="71">
        <v>0.99463138721119704</v>
      </c>
      <c r="T482" s="73">
        <v>0.9</v>
      </c>
      <c r="U482" s="71">
        <v>0.92714025500910702</v>
      </c>
      <c r="V482" s="71">
        <v>0.92771084337349397</v>
      </c>
      <c r="W482" s="71">
        <v>0.94388327721661103</v>
      </c>
      <c r="X482" s="71">
        <v>0.92800306777873598</v>
      </c>
      <c r="Y482" s="73">
        <v>0.92</v>
      </c>
      <c r="Z482" s="73">
        <v>0.94864864864864895</v>
      </c>
      <c r="AA482" s="73">
        <v>0.94569288389513095</v>
      </c>
      <c r="AB482" s="73">
        <v>0.96094552929085297</v>
      </c>
      <c r="AC482" s="73">
        <v>0.95960959401931301</v>
      </c>
      <c r="AD482" s="73">
        <v>0.92</v>
      </c>
      <c r="AE482" s="71">
        <v>0.993670886075949</v>
      </c>
      <c r="AF482" s="71">
        <v>1</v>
      </c>
      <c r="AG482" s="71">
        <v>0.93333333333333302</v>
      </c>
      <c r="AH482" s="71">
        <v>0.98777692895339997</v>
      </c>
      <c r="AI482" s="73">
        <v>0.92</v>
      </c>
      <c r="AJ482" s="71">
        <v>0.96207104154124001</v>
      </c>
      <c r="AK482" s="71">
        <v>0.97434017595307898</v>
      </c>
      <c r="AL482" s="71">
        <v>0.97371244635193099</v>
      </c>
      <c r="AM482" s="71">
        <v>0.97592943287152401</v>
      </c>
      <c r="AN482" s="70">
        <v>0.99</v>
      </c>
      <c r="AO482" s="75">
        <v>1</v>
      </c>
      <c r="AP482" s="75">
        <v>1</v>
      </c>
      <c r="AQ482" s="75">
        <v>1</v>
      </c>
      <c r="AR482" s="75">
        <v>1</v>
      </c>
      <c r="AS482" s="95">
        <v>0.05</v>
      </c>
      <c r="AT482" s="79">
        <v>0.16666666666666699</v>
      </c>
      <c r="AU482" s="79">
        <v>0.16666666666666699</v>
      </c>
      <c r="AV482" s="79">
        <v>0</v>
      </c>
      <c r="AW482" s="79">
        <v>7.8125E-2</v>
      </c>
      <c r="AX482" s="56"/>
      <c r="AY482" s="54"/>
    </row>
    <row r="483" spans="1:51">
      <c r="A483" s="53"/>
      <c r="B483" s="56"/>
      <c r="C483" s="90" t="s">
        <v>370</v>
      </c>
      <c r="D483" s="230" t="s">
        <v>1757</v>
      </c>
      <c r="E483" s="68" t="s">
        <v>371</v>
      </c>
      <c r="F483" s="91" t="s">
        <v>504</v>
      </c>
      <c r="G483" s="91" t="s">
        <v>504</v>
      </c>
      <c r="H483" s="91" t="s">
        <v>504</v>
      </c>
      <c r="I483" s="91" t="s">
        <v>504</v>
      </c>
      <c r="J483" s="70">
        <v>0.9</v>
      </c>
      <c r="K483" s="71">
        <v>0.9</v>
      </c>
      <c r="L483" s="71">
        <v>0.952380952380952</v>
      </c>
      <c r="M483" s="72">
        <v>0.89130434782608703</v>
      </c>
      <c r="N483" s="71">
        <v>0.86168224299065399</v>
      </c>
      <c r="O483" s="73">
        <v>0.9</v>
      </c>
      <c r="P483" s="71">
        <v>0.95177304964539</v>
      </c>
      <c r="Q483" s="71">
        <v>0.92623290509738898</v>
      </c>
      <c r="R483" s="71">
        <v>0.96510318949343299</v>
      </c>
      <c r="S483" s="71">
        <v>0.93968562982190496</v>
      </c>
      <c r="T483" s="73">
        <v>0.9</v>
      </c>
      <c r="U483" s="71">
        <v>0.83498817966903105</v>
      </c>
      <c r="V483" s="71">
        <v>0.77579776212184004</v>
      </c>
      <c r="W483" s="71">
        <v>0.87054409005628497</v>
      </c>
      <c r="X483" s="71">
        <v>0.84458144062297202</v>
      </c>
      <c r="Y483" s="73">
        <v>0.92</v>
      </c>
      <c r="Z483" s="73">
        <v>0.87242449901213703</v>
      </c>
      <c r="AA483" s="73">
        <v>0.82302771855010703</v>
      </c>
      <c r="AB483" s="73">
        <v>0.85425101214574894</v>
      </c>
      <c r="AC483" s="73">
        <v>0.87491460582046698</v>
      </c>
      <c r="AD483" s="73">
        <v>0.92</v>
      </c>
      <c r="AE483" s="71">
        <v>0.96250956388676401</v>
      </c>
      <c r="AF483" s="71">
        <v>0.65640493485529805</v>
      </c>
      <c r="AG483" s="71">
        <v>0.99671412924424996</v>
      </c>
      <c r="AH483" s="71">
        <v>0.90996068152031495</v>
      </c>
      <c r="AI483" s="73">
        <v>0.92</v>
      </c>
      <c r="AJ483" s="71">
        <v>0.90385295157299395</v>
      </c>
      <c r="AK483" s="71">
        <v>0.90185815231614797</v>
      </c>
      <c r="AL483" s="71">
        <v>0.91062801932367199</v>
      </c>
      <c r="AM483" s="71">
        <v>0.91965835949420405</v>
      </c>
      <c r="AN483" s="70">
        <v>0.99</v>
      </c>
      <c r="AO483" s="75">
        <v>1</v>
      </c>
      <c r="AP483" s="75">
        <v>1</v>
      </c>
      <c r="AQ483" s="75">
        <v>1</v>
      </c>
      <c r="AR483" s="75">
        <v>1</v>
      </c>
      <c r="AS483" s="95">
        <v>0.05</v>
      </c>
      <c r="AT483" s="79">
        <v>0</v>
      </c>
      <c r="AU483" s="79">
        <v>0</v>
      </c>
      <c r="AV483" s="79">
        <v>0</v>
      </c>
      <c r="AW483" s="79">
        <v>3.1339031339031299E-2</v>
      </c>
      <c r="AX483" s="56"/>
      <c r="AY483" s="54"/>
    </row>
    <row r="484" spans="1:51">
      <c r="A484" s="53"/>
      <c r="B484" s="56"/>
      <c r="C484" s="90" t="s">
        <v>370</v>
      </c>
      <c r="D484" s="230" t="s">
        <v>1757</v>
      </c>
      <c r="E484" s="68" t="s">
        <v>371</v>
      </c>
      <c r="F484" s="91" t="s">
        <v>505</v>
      </c>
      <c r="G484" s="91" t="s">
        <v>505</v>
      </c>
      <c r="H484" s="91" t="s">
        <v>505</v>
      </c>
      <c r="I484" s="91" t="s">
        <v>505</v>
      </c>
      <c r="J484" s="70">
        <v>0.9</v>
      </c>
      <c r="K484" s="71">
        <v>0.80555555555555602</v>
      </c>
      <c r="L484" s="71">
        <v>0.87878787878787901</v>
      </c>
      <c r="M484" s="72">
        <v>0.83783783783783805</v>
      </c>
      <c r="N484" s="71">
        <v>0.838046272493573</v>
      </c>
      <c r="O484" s="73">
        <v>0.9</v>
      </c>
      <c r="P484" s="71">
        <v>0.945266272189349</v>
      </c>
      <c r="Q484" s="71">
        <v>0.95752427184466005</v>
      </c>
      <c r="R484" s="71">
        <v>0.93502012650948796</v>
      </c>
      <c r="S484" s="71">
        <v>0.93551564310544599</v>
      </c>
      <c r="T484" s="73">
        <v>0.9</v>
      </c>
      <c r="U484" s="71">
        <v>0.88239644970414199</v>
      </c>
      <c r="V484" s="71">
        <v>0.84405339805825197</v>
      </c>
      <c r="W484" s="71">
        <v>0.90741805635422701</v>
      </c>
      <c r="X484" s="71">
        <v>0.88534183082271101</v>
      </c>
      <c r="Y484" s="73">
        <v>0.92</v>
      </c>
      <c r="Z484" s="73">
        <v>0.86457853523721795</v>
      </c>
      <c r="AA484" s="73">
        <v>0.86839266450916897</v>
      </c>
      <c r="AB484" s="73">
        <v>0.88392398561890095</v>
      </c>
      <c r="AC484" s="73">
        <v>0.87667044167610397</v>
      </c>
      <c r="AD484" s="73">
        <v>0.92</v>
      </c>
      <c r="AE484" s="71">
        <v>0.98905109489051102</v>
      </c>
      <c r="AF484" s="71">
        <v>0.99561403508771895</v>
      </c>
      <c r="AG484" s="71">
        <v>0.99398162812796997</v>
      </c>
      <c r="AH484" s="71">
        <v>0.99565446735826801</v>
      </c>
      <c r="AI484" s="73">
        <v>0.92</v>
      </c>
      <c r="AJ484" s="71">
        <v>0.89897843359818397</v>
      </c>
      <c r="AK484" s="71">
        <v>0.91689320388349504</v>
      </c>
      <c r="AL484" s="71">
        <v>0.92023874118285398</v>
      </c>
      <c r="AM484" s="71">
        <v>0.91819847677947697</v>
      </c>
      <c r="AN484" s="70">
        <v>0.99</v>
      </c>
      <c r="AO484" s="75">
        <v>1</v>
      </c>
      <c r="AP484" s="75">
        <v>1</v>
      </c>
      <c r="AQ484" s="75">
        <v>1</v>
      </c>
      <c r="AR484" s="75">
        <v>1</v>
      </c>
      <c r="AS484" s="95">
        <v>0.05</v>
      </c>
      <c r="AT484" s="79">
        <v>0</v>
      </c>
      <c r="AU484" s="79">
        <v>9.0909090909090898E-2</v>
      </c>
      <c r="AV484" s="79">
        <v>0</v>
      </c>
      <c r="AW484" s="79">
        <v>5.0632911392405097E-2</v>
      </c>
      <c r="AX484" s="56"/>
      <c r="AY484" s="54"/>
    </row>
    <row r="485" spans="1:51">
      <c r="A485" s="53"/>
      <c r="B485" s="56"/>
      <c r="C485" s="90" t="s">
        <v>370</v>
      </c>
      <c r="D485" s="230" t="s">
        <v>1757</v>
      </c>
      <c r="E485" s="68" t="s">
        <v>371</v>
      </c>
      <c r="F485" s="91" t="s">
        <v>506</v>
      </c>
      <c r="G485" s="91" t="s">
        <v>506</v>
      </c>
      <c r="H485" s="91" t="s">
        <v>506</v>
      </c>
      <c r="I485" s="91" t="s">
        <v>506</v>
      </c>
      <c r="J485" s="70">
        <v>0.9</v>
      </c>
      <c r="K485" s="71">
        <v>0.84090909090909105</v>
      </c>
      <c r="L485" s="71">
        <v>0.844444444444444</v>
      </c>
      <c r="M485" s="72">
        <v>0.72499999999999998</v>
      </c>
      <c r="N485" s="71">
        <v>0.75</v>
      </c>
      <c r="O485" s="73">
        <v>0.9</v>
      </c>
      <c r="P485" s="71">
        <v>0.97649186256781195</v>
      </c>
      <c r="Q485" s="71">
        <v>0.95363739163211503</v>
      </c>
      <c r="R485" s="71">
        <v>0.95789880262649696</v>
      </c>
      <c r="S485" s="71">
        <v>0.94293397072004803</v>
      </c>
      <c r="T485" s="73">
        <v>0.9</v>
      </c>
      <c r="U485" s="71">
        <v>0.88065099457504503</v>
      </c>
      <c r="V485" s="71">
        <v>0.80663399924613599</v>
      </c>
      <c r="W485" s="71">
        <v>0.80301274623406704</v>
      </c>
      <c r="X485" s="71">
        <v>0.81946519270988905</v>
      </c>
      <c r="Y485" s="73">
        <v>0.92</v>
      </c>
      <c r="Z485" s="73">
        <v>0.90390792291220601</v>
      </c>
      <c r="AA485" s="73">
        <v>0.90608034744842603</v>
      </c>
      <c r="AB485" s="73">
        <v>0.78231726779444599</v>
      </c>
      <c r="AC485" s="73">
        <v>0.85127450980392205</v>
      </c>
      <c r="AD485" s="73">
        <v>0.92</v>
      </c>
      <c r="AE485" s="71">
        <v>0.98099808061420302</v>
      </c>
      <c r="AF485" s="71">
        <v>0.950282942603072</v>
      </c>
      <c r="AG485" s="71">
        <v>0.96639209225700196</v>
      </c>
      <c r="AH485" s="71">
        <v>0.97957953234769801</v>
      </c>
      <c r="AI485" s="73">
        <v>0.92</v>
      </c>
      <c r="AJ485" s="71">
        <v>0.92654227601277495</v>
      </c>
      <c r="AK485" s="71">
        <v>0.93837597330367095</v>
      </c>
      <c r="AL485" s="71">
        <v>0.85112703127730205</v>
      </c>
      <c r="AM485" s="71">
        <v>0.89987802753092905</v>
      </c>
      <c r="AN485" s="70">
        <v>0.99</v>
      </c>
      <c r="AO485" s="75">
        <v>1</v>
      </c>
      <c r="AP485" s="75">
        <v>1</v>
      </c>
      <c r="AQ485" s="75">
        <v>1</v>
      </c>
      <c r="AR485" s="75">
        <v>1</v>
      </c>
      <c r="AS485" s="95">
        <v>0.05</v>
      </c>
      <c r="AT485" s="79">
        <v>2.77008310249307E-3</v>
      </c>
      <c r="AU485" s="79">
        <v>3.08641975308642E-3</v>
      </c>
      <c r="AV485" s="79">
        <v>6.2893081761006301E-3</v>
      </c>
      <c r="AW485" s="79">
        <v>5.0727088265133599E-3</v>
      </c>
      <c r="AX485" s="56"/>
      <c r="AY485" s="54"/>
    </row>
    <row r="486" spans="1:51">
      <c r="A486" s="53"/>
      <c r="B486" s="56"/>
      <c r="C486" s="90" t="s">
        <v>370</v>
      </c>
      <c r="D486" s="230" t="s">
        <v>1757</v>
      </c>
      <c r="E486" s="68" t="s">
        <v>371</v>
      </c>
      <c r="F486" s="91" t="s">
        <v>507</v>
      </c>
      <c r="G486" s="91" t="s">
        <v>507</v>
      </c>
      <c r="H486" s="91" t="s">
        <v>507</v>
      </c>
      <c r="I486" s="91" t="s">
        <v>507</v>
      </c>
      <c r="J486" s="70">
        <v>0.9</v>
      </c>
      <c r="K486" s="71">
        <v>0.97368421052631604</v>
      </c>
      <c r="L486" s="71">
        <v>0.96969696969696995</v>
      </c>
      <c r="M486" s="72">
        <v>1</v>
      </c>
      <c r="N486" s="71">
        <v>0.98469387755102</v>
      </c>
      <c r="O486" s="73">
        <v>0.9</v>
      </c>
      <c r="P486" s="71">
        <v>0.99665551839464905</v>
      </c>
      <c r="Q486" s="71">
        <v>0.99489216799091895</v>
      </c>
      <c r="R486" s="71">
        <v>0.99351620947630903</v>
      </c>
      <c r="S486" s="71">
        <v>0.993558698179</v>
      </c>
      <c r="T486" s="73">
        <v>0.9</v>
      </c>
      <c r="U486" s="71">
        <v>0.92040133779264199</v>
      </c>
      <c r="V486" s="71">
        <v>0.88933030646992095</v>
      </c>
      <c r="W486" s="71">
        <v>0.938154613466334</v>
      </c>
      <c r="X486" s="71">
        <v>0.92604610616040295</v>
      </c>
      <c r="Y486" s="73">
        <v>0.92</v>
      </c>
      <c r="Z486" s="73">
        <v>0.93081761006289299</v>
      </c>
      <c r="AA486" s="73">
        <v>0.93726235741444897</v>
      </c>
      <c r="AB486" s="73">
        <v>0.92101551480959098</v>
      </c>
      <c r="AC486" s="73">
        <v>0.93587712982961402</v>
      </c>
      <c r="AD486" s="73">
        <v>0.92</v>
      </c>
      <c r="AE486" s="71">
        <v>1</v>
      </c>
      <c r="AF486" s="71">
        <v>0.99910554561717402</v>
      </c>
      <c r="AG486" s="71">
        <v>0.99206349206349198</v>
      </c>
      <c r="AH486" s="71">
        <v>0.997678583272534</v>
      </c>
      <c r="AI486" s="73">
        <v>0.92</v>
      </c>
      <c r="AJ486" s="71">
        <v>0.95130121102808596</v>
      </c>
      <c r="AK486" s="71">
        <v>0.96090973702913995</v>
      </c>
      <c r="AL486" s="71">
        <v>0.95280735721200405</v>
      </c>
      <c r="AM486" s="71">
        <v>0.96131131734361797</v>
      </c>
      <c r="AN486" s="70">
        <v>0.99</v>
      </c>
      <c r="AO486" s="75">
        <v>1</v>
      </c>
      <c r="AP486" s="75">
        <v>1</v>
      </c>
      <c r="AQ486" s="75">
        <v>1</v>
      </c>
      <c r="AR486" s="75">
        <v>1</v>
      </c>
      <c r="AS486" s="95">
        <v>0.05</v>
      </c>
      <c r="AT486" s="79">
        <v>0</v>
      </c>
      <c r="AU486" s="79">
        <v>7.69230769230769E-2</v>
      </c>
      <c r="AV486" s="79">
        <v>0.15</v>
      </c>
      <c r="AW486" s="79">
        <v>5.4945054945054903E-2</v>
      </c>
      <c r="AX486" s="56"/>
      <c r="AY486" s="54"/>
    </row>
    <row r="487" spans="1:51">
      <c r="A487" s="53"/>
      <c r="B487" s="56"/>
      <c r="C487" s="90" t="s">
        <v>370</v>
      </c>
      <c r="D487" s="230" t="s">
        <v>1757</v>
      </c>
      <c r="E487" s="68" t="s">
        <v>371</v>
      </c>
      <c r="F487" s="91" t="s">
        <v>508</v>
      </c>
      <c r="G487" s="91" t="s">
        <v>508</v>
      </c>
      <c r="H487" s="91" t="s">
        <v>508</v>
      </c>
      <c r="I487" s="91" t="s">
        <v>508</v>
      </c>
      <c r="J487" s="70">
        <v>0.9</v>
      </c>
      <c r="K487" s="71">
        <v>0.92307692307692302</v>
      </c>
      <c r="L487" s="71">
        <v>0.94736842105263197</v>
      </c>
      <c r="M487" s="72">
        <v>0.95454545454545503</v>
      </c>
      <c r="N487" s="71">
        <v>0.94921875</v>
      </c>
      <c r="O487" s="73">
        <v>0.9</v>
      </c>
      <c r="P487" s="71">
        <v>0.84659746251441803</v>
      </c>
      <c r="Q487" s="71">
        <v>0.88764044943820197</v>
      </c>
      <c r="R487" s="71">
        <v>0.93505154639175303</v>
      </c>
      <c r="S487" s="71">
        <v>0.92073170731707299</v>
      </c>
      <c r="T487" s="73">
        <v>0.9</v>
      </c>
      <c r="U487" s="71">
        <v>0.91234140715109602</v>
      </c>
      <c r="V487" s="71">
        <v>0.86329588014981296</v>
      </c>
      <c r="W487" s="71">
        <v>0.82886597938144302</v>
      </c>
      <c r="X487" s="71">
        <v>0.86496995404736698</v>
      </c>
      <c r="Y487" s="73">
        <v>0.92</v>
      </c>
      <c r="Z487" s="73">
        <v>0.93769230769230805</v>
      </c>
      <c r="AA487" s="73">
        <v>0.90310786106032903</v>
      </c>
      <c r="AB487" s="73">
        <v>0.85500878734622099</v>
      </c>
      <c r="AC487" s="73">
        <v>0.89184525971667294</v>
      </c>
      <c r="AD487" s="73">
        <v>0.92</v>
      </c>
      <c r="AE487" s="71">
        <v>1</v>
      </c>
      <c r="AF487" s="71">
        <v>1</v>
      </c>
      <c r="AG487" s="71">
        <v>1</v>
      </c>
      <c r="AH487" s="71">
        <v>0.99318801089918296</v>
      </c>
      <c r="AI487" s="73">
        <v>0.92</v>
      </c>
      <c r="AJ487" s="71">
        <v>0.94877711121365904</v>
      </c>
      <c r="AK487" s="71">
        <v>0.93746130030959796</v>
      </c>
      <c r="AL487" s="71">
        <v>0.89895635673624297</v>
      </c>
      <c r="AM487" s="71">
        <v>0.92889127709117003</v>
      </c>
      <c r="AN487" s="70">
        <v>0.99</v>
      </c>
      <c r="AO487" s="75">
        <v>1</v>
      </c>
      <c r="AP487" s="75">
        <v>1</v>
      </c>
      <c r="AQ487" s="75">
        <v>1</v>
      </c>
      <c r="AR487" s="75">
        <v>1</v>
      </c>
      <c r="AS487" s="95">
        <v>0.05</v>
      </c>
      <c r="AT487" s="79">
        <v>1.9607843137254902E-2</v>
      </c>
      <c r="AU487" s="79">
        <v>0</v>
      </c>
      <c r="AV487" s="79">
        <v>7.8740157480314994E-3</v>
      </c>
      <c r="AW487" s="79">
        <v>3.08641975308642E-3</v>
      </c>
      <c r="AX487" s="56"/>
      <c r="AY487" s="54"/>
    </row>
    <row r="488" spans="1:51">
      <c r="A488" s="53"/>
      <c r="B488" s="56"/>
      <c r="C488" s="90" t="s">
        <v>370</v>
      </c>
      <c r="D488" s="230" t="s">
        <v>1757</v>
      </c>
      <c r="E488" s="68" t="s">
        <v>371</v>
      </c>
      <c r="F488" s="91" t="s">
        <v>509</v>
      </c>
      <c r="G488" s="91" t="s">
        <v>509</v>
      </c>
      <c r="H488" s="91" t="s">
        <v>509</v>
      </c>
      <c r="I488" s="91" t="s">
        <v>509</v>
      </c>
      <c r="J488" s="70">
        <v>0.9</v>
      </c>
      <c r="K488" s="71">
        <v>0.51351351351351304</v>
      </c>
      <c r="L488" s="71">
        <v>0.54285714285714304</v>
      </c>
      <c r="M488" s="72">
        <v>0.40625</v>
      </c>
      <c r="N488" s="71">
        <v>0.68716577540106905</v>
      </c>
      <c r="O488" s="73">
        <v>0.9</v>
      </c>
      <c r="P488" s="71">
        <v>0.99261992619926198</v>
      </c>
      <c r="Q488" s="71">
        <v>0.958860759493671</v>
      </c>
      <c r="R488" s="71">
        <v>0.94913151364764303</v>
      </c>
      <c r="S488" s="71">
        <v>0.95465863686374397</v>
      </c>
      <c r="T488" s="73">
        <v>0.9</v>
      </c>
      <c r="U488" s="71">
        <v>0.87453874538745402</v>
      </c>
      <c r="V488" s="71">
        <v>0.832278481012658</v>
      </c>
      <c r="W488" s="71">
        <v>0.82133995037220797</v>
      </c>
      <c r="X488" s="71">
        <v>0.81631825815044301</v>
      </c>
      <c r="Y488" s="73">
        <v>0.92</v>
      </c>
      <c r="Z488" s="73">
        <v>0.88534396809571303</v>
      </c>
      <c r="AA488" s="73">
        <v>0.86444444444444402</v>
      </c>
      <c r="AB488" s="73">
        <v>0.83118279569892495</v>
      </c>
      <c r="AC488" s="73">
        <v>0.85621691692773005</v>
      </c>
      <c r="AD488" s="73">
        <v>0.92</v>
      </c>
      <c r="AE488" s="71">
        <v>1</v>
      </c>
      <c r="AF488" s="71">
        <v>0.99509803921568596</v>
      </c>
      <c r="AG488" s="71">
        <v>0.969879518072289</v>
      </c>
      <c r="AH488" s="71">
        <v>0.98487818538224603</v>
      </c>
      <c r="AI488" s="73">
        <v>0.92</v>
      </c>
      <c r="AJ488" s="71">
        <v>0.91529259618493397</v>
      </c>
      <c r="AK488" s="71">
        <v>0.93548387096774199</v>
      </c>
      <c r="AL488" s="71">
        <v>0.893433179723502</v>
      </c>
      <c r="AM488" s="71">
        <v>0.90894613321412598</v>
      </c>
      <c r="AN488" s="70">
        <v>0.99</v>
      </c>
      <c r="AO488" s="75">
        <v>1</v>
      </c>
      <c r="AP488" s="75">
        <v>1</v>
      </c>
      <c r="AQ488" s="75">
        <v>1</v>
      </c>
      <c r="AR488" s="75">
        <v>1</v>
      </c>
      <c r="AS488" s="95">
        <v>0.05</v>
      </c>
      <c r="AT488" s="79">
        <v>0</v>
      </c>
      <c r="AU488" s="79">
        <v>0.28571428571428598</v>
      </c>
      <c r="AV488" s="79">
        <v>0.2</v>
      </c>
      <c r="AW488" s="79">
        <v>7.8651685393258397E-2</v>
      </c>
      <c r="AX488" s="56"/>
      <c r="AY488" s="54"/>
    </row>
    <row r="489" spans="1:51">
      <c r="A489" s="53"/>
      <c r="B489" s="56"/>
      <c r="C489" s="90" t="s">
        <v>370</v>
      </c>
      <c r="D489" s="230" t="s">
        <v>1757</v>
      </c>
      <c r="E489" s="68" t="s">
        <v>371</v>
      </c>
      <c r="F489" s="91" t="s">
        <v>510</v>
      </c>
      <c r="G489" s="91" t="s">
        <v>510</v>
      </c>
      <c r="H489" s="91" t="s">
        <v>510</v>
      </c>
      <c r="I489" s="91" t="s">
        <v>510</v>
      </c>
      <c r="J489" s="70">
        <v>0.9</v>
      </c>
      <c r="K489" s="71">
        <v>0.97674418604651203</v>
      </c>
      <c r="L489" s="71">
        <v>0.91666666666666696</v>
      </c>
      <c r="M489" s="72">
        <v>1</v>
      </c>
      <c r="N489" s="71">
        <v>0.95754716981132104</v>
      </c>
      <c r="O489" s="73">
        <v>0.9</v>
      </c>
      <c r="P489" s="71">
        <v>0.979828850855746</v>
      </c>
      <c r="Q489" s="71">
        <v>0.97915460335842497</v>
      </c>
      <c r="R489" s="71">
        <v>0.97634302612124202</v>
      </c>
      <c r="S489" s="71">
        <v>0.97882681295414098</v>
      </c>
      <c r="T489" s="73">
        <v>0.9</v>
      </c>
      <c r="U489" s="71">
        <v>0.935819070904645</v>
      </c>
      <c r="V489" s="71">
        <v>0.87608569774174905</v>
      </c>
      <c r="W489" s="71">
        <v>0.90487925086249399</v>
      </c>
      <c r="X489" s="71">
        <v>0.91323805399162705</v>
      </c>
      <c r="Y489" s="73">
        <v>0.92</v>
      </c>
      <c r="Z489" s="73">
        <v>0.93461829176114897</v>
      </c>
      <c r="AA489" s="73">
        <v>0.89980916030534397</v>
      </c>
      <c r="AB489" s="73">
        <v>0.85935162094763096</v>
      </c>
      <c r="AC489" s="73">
        <v>0.91343760274294294</v>
      </c>
      <c r="AD489" s="73">
        <v>0.92</v>
      </c>
      <c r="AE489" s="71">
        <v>0.99797979797979797</v>
      </c>
      <c r="AF489" s="71">
        <v>0.98920653442240403</v>
      </c>
      <c r="AG489" s="71">
        <v>0.97136563876652005</v>
      </c>
      <c r="AH489" s="71">
        <v>0.98754419656478298</v>
      </c>
      <c r="AI489" s="73">
        <v>0.92</v>
      </c>
      <c r="AJ489" s="71">
        <v>0.95165810368986503</v>
      </c>
      <c r="AK489" s="71">
        <v>0.94702702702702701</v>
      </c>
      <c r="AL489" s="71">
        <v>0.91051065939514098</v>
      </c>
      <c r="AM489" s="71">
        <v>0.945335710041592</v>
      </c>
      <c r="AN489" s="70">
        <v>0.99</v>
      </c>
      <c r="AO489" s="75">
        <v>1</v>
      </c>
      <c r="AP489" s="75">
        <v>1</v>
      </c>
      <c r="AQ489" s="75">
        <v>1</v>
      </c>
      <c r="AR489" s="75">
        <v>1</v>
      </c>
      <c r="AS489" s="95">
        <v>0.05</v>
      </c>
      <c r="AT489" s="79">
        <v>0.125</v>
      </c>
      <c r="AU489" s="79">
        <v>0</v>
      </c>
      <c r="AV489" s="79">
        <v>0</v>
      </c>
      <c r="AW489" s="79">
        <v>3.9603960396039598E-2</v>
      </c>
      <c r="AX489" s="56"/>
      <c r="AY489" s="54"/>
    </row>
    <row r="490" spans="1:51">
      <c r="A490" s="53"/>
      <c r="B490" s="56"/>
      <c r="C490" s="90" t="s">
        <v>370</v>
      </c>
      <c r="D490" s="230" t="s">
        <v>1757</v>
      </c>
      <c r="E490" s="68" t="s">
        <v>371</v>
      </c>
      <c r="F490" s="91" t="s">
        <v>511</v>
      </c>
      <c r="G490" s="91" t="s">
        <v>511</v>
      </c>
      <c r="H490" s="91" t="s">
        <v>511</v>
      </c>
      <c r="I490" s="91" t="s">
        <v>511</v>
      </c>
      <c r="J490" s="70">
        <v>0.9</v>
      </c>
      <c r="K490" s="71">
        <v>0.91836734693877597</v>
      </c>
      <c r="L490" s="71">
        <v>0.875</v>
      </c>
      <c r="M490" s="72">
        <v>0.87234042553191504</v>
      </c>
      <c r="N490" s="71">
        <v>0.90601503759398505</v>
      </c>
      <c r="O490" s="73">
        <v>0.9</v>
      </c>
      <c r="P490" s="71">
        <v>0.95799999999999996</v>
      </c>
      <c r="Q490" s="71">
        <v>0.96555118110236204</v>
      </c>
      <c r="R490" s="71">
        <v>0.98114710568242203</v>
      </c>
      <c r="S490" s="71">
        <v>0.95735727686947203</v>
      </c>
      <c r="T490" s="73">
        <v>0.9</v>
      </c>
      <c r="U490" s="71">
        <v>0.94899999999999995</v>
      </c>
      <c r="V490" s="71">
        <v>0.90649606299212604</v>
      </c>
      <c r="W490" s="71">
        <v>0.957514604354753</v>
      </c>
      <c r="X490" s="71">
        <v>0.92967032967033003</v>
      </c>
      <c r="Y490" s="73">
        <v>0.92</v>
      </c>
      <c r="Z490" s="73">
        <v>0.94274509803921602</v>
      </c>
      <c r="AA490" s="73">
        <v>0.95384615384615401</v>
      </c>
      <c r="AB490" s="73">
        <v>0.95035971223021598</v>
      </c>
      <c r="AC490" s="73">
        <v>0.948098468104565</v>
      </c>
      <c r="AD490" s="73">
        <v>0.92</v>
      </c>
      <c r="AE490" s="71">
        <v>0.99756690997566899</v>
      </c>
      <c r="AF490" s="71">
        <v>0.99229287090558804</v>
      </c>
      <c r="AG490" s="71">
        <v>0.99089253187613802</v>
      </c>
      <c r="AH490" s="71">
        <v>0.99390307999579497</v>
      </c>
      <c r="AI490" s="73">
        <v>0.92</v>
      </c>
      <c r="AJ490" s="71">
        <v>0.96674801708358804</v>
      </c>
      <c r="AK490" s="71">
        <v>0.97929967111627003</v>
      </c>
      <c r="AL490" s="71">
        <v>0.98041117145073697</v>
      </c>
      <c r="AM490" s="71">
        <v>0.97918277523344999</v>
      </c>
      <c r="AN490" s="70">
        <v>0.99</v>
      </c>
      <c r="AO490" s="75">
        <v>1</v>
      </c>
      <c r="AP490" s="75">
        <v>1</v>
      </c>
      <c r="AQ490" s="75">
        <v>1</v>
      </c>
      <c r="AR490" s="75">
        <v>1</v>
      </c>
      <c r="AS490" s="95">
        <v>0.05</v>
      </c>
      <c r="AT490" s="79">
        <v>6.25E-2</v>
      </c>
      <c r="AU490" s="79">
        <v>0.1</v>
      </c>
      <c r="AV490" s="79">
        <v>0</v>
      </c>
      <c r="AW490" s="79">
        <v>8.2872928176795604E-2</v>
      </c>
      <c r="AX490" s="56"/>
      <c r="AY490" s="54"/>
    </row>
    <row r="491" spans="1:51">
      <c r="A491" s="53"/>
      <c r="B491" s="56"/>
      <c r="C491" s="90" t="s">
        <v>370</v>
      </c>
      <c r="D491" s="230" t="s">
        <v>1757</v>
      </c>
      <c r="E491" s="68" t="s">
        <v>371</v>
      </c>
      <c r="F491" s="91" t="s">
        <v>512</v>
      </c>
      <c r="G491" s="91" t="s">
        <v>512</v>
      </c>
      <c r="H491" s="91" t="s">
        <v>512</v>
      </c>
      <c r="I491" s="91" t="s">
        <v>512</v>
      </c>
      <c r="J491" s="70">
        <v>0.9</v>
      </c>
      <c r="K491" s="71">
        <v>0.83333333333333304</v>
      </c>
      <c r="L491" s="71">
        <v>0.89473684210526305</v>
      </c>
      <c r="M491" s="72">
        <v>0.85714285714285698</v>
      </c>
      <c r="N491" s="71">
        <v>0.89033942558746704</v>
      </c>
      <c r="O491" s="73">
        <v>0.9</v>
      </c>
      <c r="P491" s="71">
        <v>0.96634341129492296</v>
      </c>
      <c r="Q491" s="71">
        <v>0.95071295722256699</v>
      </c>
      <c r="R491" s="71">
        <v>0.96144820650352003</v>
      </c>
      <c r="S491" s="71">
        <v>0.95225680811634295</v>
      </c>
      <c r="T491" s="73">
        <v>0.9</v>
      </c>
      <c r="U491" s="71">
        <v>0.903023388476897</v>
      </c>
      <c r="V491" s="71">
        <v>0.94420334779913195</v>
      </c>
      <c r="W491" s="71">
        <v>0.91216895742541104</v>
      </c>
      <c r="X491" s="71">
        <v>0.89713226748751496</v>
      </c>
      <c r="Y491" s="73">
        <v>0.92</v>
      </c>
      <c r="Z491" s="73">
        <v>0.86574074074074103</v>
      </c>
      <c r="AA491" s="73">
        <v>0.94400895856662903</v>
      </c>
      <c r="AB491" s="73">
        <v>0.92252396166134198</v>
      </c>
      <c r="AC491" s="73">
        <v>0.90948675189920303</v>
      </c>
      <c r="AD491" s="73">
        <v>0.92</v>
      </c>
      <c r="AE491" s="71">
        <v>0.99886589169265705</v>
      </c>
      <c r="AF491" s="71">
        <v>0.99919463087248295</v>
      </c>
      <c r="AG491" s="71">
        <v>0.99640804597701105</v>
      </c>
      <c r="AH491" s="71">
        <v>0.99848649266091705</v>
      </c>
      <c r="AI491" s="73">
        <v>0.92</v>
      </c>
      <c r="AJ491" s="71">
        <v>0.90751853159195195</v>
      </c>
      <c r="AK491" s="71">
        <v>0.96383495145631104</v>
      </c>
      <c r="AL491" s="71">
        <v>0.95018885741265302</v>
      </c>
      <c r="AM491" s="71">
        <v>0.95267132604718796</v>
      </c>
      <c r="AN491" s="70">
        <v>0.99</v>
      </c>
      <c r="AO491" s="75">
        <v>1</v>
      </c>
      <c r="AP491" s="75">
        <v>1</v>
      </c>
      <c r="AQ491" s="75">
        <v>1</v>
      </c>
      <c r="AR491" s="75">
        <v>1</v>
      </c>
      <c r="AS491" s="95">
        <v>0.05</v>
      </c>
      <c r="AT491" s="79">
        <v>0</v>
      </c>
      <c r="AU491" s="79">
        <v>0</v>
      </c>
      <c r="AV491" s="79">
        <v>0</v>
      </c>
      <c r="AW491" s="79">
        <v>3.37552742616034E-2</v>
      </c>
      <c r="AX491" s="56"/>
      <c r="AY491" s="54"/>
    </row>
    <row r="492" spans="1:51">
      <c r="A492" s="53"/>
      <c r="B492" s="56"/>
      <c r="C492" s="90" t="s">
        <v>370</v>
      </c>
      <c r="D492" s="230" t="s">
        <v>1757</v>
      </c>
      <c r="E492" s="68" t="s">
        <v>371</v>
      </c>
      <c r="F492" s="91" t="s">
        <v>513</v>
      </c>
      <c r="G492" s="91" t="s">
        <v>513</v>
      </c>
      <c r="H492" s="91" t="s">
        <v>513</v>
      </c>
      <c r="I492" s="91" t="s">
        <v>513</v>
      </c>
      <c r="J492" s="70">
        <v>0.9</v>
      </c>
      <c r="K492" s="71">
        <v>0.95348837209302295</v>
      </c>
      <c r="L492" s="71">
        <v>0.97959183673469397</v>
      </c>
      <c r="M492" s="72">
        <v>0.95121951219512202</v>
      </c>
      <c r="N492" s="71">
        <v>0.96579476861167002</v>
      </c>
      <c r="O492" s="73">
        <v>0.9</v>
      </c>
      <c r="P492" s="71">
        <v>0.66666666666666696</v>
      </c>
      <c r="Q492" s="71">
        <v>1</v>
      </c>
      <c r="R492" s="71" t="s">
        <v>1710</v>
      </c>
      <c r="S492" s="71">
        <v>0.85714285714285698</v>
      </c>
      <c r="T492" s="73">
        <v>0.9</v>
      </c>
      <c r="U492" s="71">
        <v>0.66666666666666696</v>
      </c>
      <c r="V492" s="71">
        <v>0</v>
      </c>
      <c r="W492" s="71" t="s">
        <v>1710</v>
      </c>
      <c r="X492" s="71">
        <v>0.57142857142857095</v>
      </c>
      <c r="Y492" s="73">
        <v>0.92</v>
      </c>
      <c r="Z492" s="73" t="s">
        <v>1710</v>
      </c>
      <c r="AA492" s="73" t="s">
        <v>1710</v>
      </c>
      <c r="AB492" s="73" t="s">
        <v>1710</v>
      </c>
      <c r="AC492" s="73" t="s">
        <v>1710</v>
      </c>
      <c r="AD492" s="73">
        <v>0.92</v>
      </c>
      <c r="AE492" s="71">
        <v>1</v>
      </c>
      <c r="AF492" s="71">
        <v>0.98255813953488402</v>
      </c>
      <c r="AG492" s="71">
        <v>0.98799999999999999</v>
      </c>
      <c r="AH492" s="71">
        <v>0.98819158816505204</v>
      </c>
      <c r="AI492" s="73">
        <v>0.92</v>
      </c>
      <c r="AJ492" s="71">
        <v>0.96081009994739597</v>
      </c>
      <c r="AK492" s="71">
        <v>0.97802197802197799</v>
      </c>
      <c r="AL492" s="71">
        <v>0.95857988165680497</v>
      </c>
      <c r="AM492" s="71">
        <v>0.97169042364962899</v>
      </c>
      <c r="AN492" s="70">
        <v>0.99</v>
      </c>
      <c r="AO492" s="75">
        <v>1</v>
      </c>
      <c r="AP492" s="75">
        <v>1</v>
      </c>
      <c r="AQ492" s="75">
        <v>1</v>
      </c>
      <c r="AR492" s="75">
        <v>1</v>
      </c>
      <c r="AS492" s="95">
        <v>0.05</v>
      </c>
      <c r="AT492" s="79">
        <v>0</v>
      </c>
      <c r="AU492" s="79">
        <v>0.105263157894737</v>
      </c>
      <c r="AV492" s="79">
        <v>0.13043478260869601</v>
      </c>
      <c r="AW492" s="79">
        <v>8.1339712918660295E-2</v>
      </c>
      <c r="AX492" s="56"/>
      <c r="AY492" s="54"/>
    </row>
    <row r="493" spans="1:51">
      <c r="A493" s="53"/>
      <c r="B493" s="56"/>
      <c r="C493" s="90" t="s">
        <v>370</v>
      </c>
      <c r="D493" s="230" t="s">
        <v>1757</v>
      </c>
      <c r="E493" s="68" t="s">
        <v>371</v>
      </c>
      <c r="F493" s="91" t="s">
        <v>514</v>
      </c>
      <c r="G493" s="91" t="s">
        <v>514</v>
      </c>
      <c r="H493" s="91" t="s">
        <v>514</v>
      </c>
      <c r="I493" s="91" t="s">
        <v>514</v>
      </c>
      <c r="J493" s="70">
        <v>0.9</v>
      </c>
      <c r="K493" s="71">
        <v>0.86111111111111105</v>
      </c>
      <c r="L493" s="71">
        <v>0.92156862745098</v>
      </c>
      <c r="M493" s="72">
        <v>0.94117647058823495</v>
      </c>
      <c r="N493" s="71">
        <v>0.88461538461538503</v>
      </c>
      <c r="O493" s="73">
        <v>0.9</v>
      </c>
      <c r="P493" s="71">
        <v>0</v>
      </c>
      <c r="Q493" s="71">
        <v>0</v>
      </c>
      <c r="R493" s="71">
        <v>0</v>
      </c>
      <c r="S493" s="71">
        <v>0</v>
      </c>
      <c r="T493" s="73">
        <v>0.9</v>
      </c>
      <c r="U493" s="71">
        <v>0</v>
      </c>
      <c r="V493" s="71">
        <v>0</v>
      </c>
      <c r="W493" s="71">
        <v>0</v>
      </c>
      <c r="X493" s="71">
        <v>0.31818181818181801</v>
      </c>
      <c r="Y493" s="73">
        <v>0.92</v>
      </c>
      <c r="Z493" s="73">
        <v>0</v>
      </c>
      <c r="AA493" s="73">
        <v>0</v>
      </c>
      <c r="AB493" s="73" t="s">
        <v>1710</v>
      </c>
      <c r="AC493" s="73">
        <v>0.2</v>
      </c>
      <c r="AD493" s="73">
        <v>0.92</v>
      </c>
      <c r="AE493" s="71">
        <v>0.99926953981008004</v>
      </c>
      <c r="AF493" s="71">
        <v>0.99584199584199595</v>
      </c>
      <c r="AG493" s="71">
        <v>0.98470948012232395</v>
      </c>
      <c r="AH493" s="71">
        <v>0.99197906112799705</v>
      </c>
      <c r="AI493" s="73">
        <v>0.92</v>
      </c>
      <c r="AJ493" s="71">
        <v>0.78580323785803197</v>
      </c>
      <c r="AK493" s="71">
        <v>0.94101821192053003</v>
      </c>
      <c r="AL493" s="71">
        <v>0.92579721995094</v>
      </c>
      <c r="AM493" s="71">
        <v>0.919881245708285</v>
      </c>
      <c r="AN493" s="70">
        <v>0.99</v>
      </c>
      <c r="AO493" s="75">
        <v>1</v>
      </c>
      <c r="AP493" s="75">
        <v>1</v>
      </c>
      <c r="AQ493" s="75">
        <v>1</v>
      </c>
      <c r="AR493" s="75">
        <v>1</v>
      </c>
      <c r="AS493" s="95">
        <v>0.05</v>
      </c>
      <c r="AT493" s="79">
        <v>0</v>
      </c>
      <c r="AU493" s="79">
        <v>0</v>
      </c>
      <c r="AV493" s="79">
        <v>0.230769230769231</v>
      </c>
      <c r="AW493" s="79">
        <v>5.2631578947368397E-2</v>
      </c>
      <c r="AX493" s="56"/>
      <c r="AY493" s="54"/>
    </row>
    <row r="494" spans="1:51">
      <c r="A494" s="53"/>
      <c r="B494" s="56"/>
      <c r="C494" s="90" t="s">
        <v>370</v>
      </c>
      <c r="D494" s="230" t="s">
        <v>1757</v>
      </c>
      <c r="E494" s="68" t="s">
        <v>371</v>
      </c>
      <c r="F494" s="91" t="s">
        <v>515</v>
      </c>
      <c r="G494" s="91" t="s">
        <v>515</v>
      </c>
      <c r="H494" s="91" t="s">
        <v>515</v>
      </c>
      <c r="I494" s="91" t="s">
        <v>515</v>
      </c>
      <c r="J494" s="70">
        <v>0.9</v>
      </c>
      <c r="K494" s="71">
        <v>0.93548387096774199</v>
      </c>
      <c r="L494" s="71">
        <v>0.97297297297297303</v>
      </c>
      <c r="M494" s="72">
        <v>0.96666666666666701</v>
      </c>
      <c r="N494" s="71">
        <v>0.91374663072776297</v>
      </c>
      <c r="O494" s="73">
        <v>0.9</v>
      </c>
      <c r="P494" s="71">
        <v>0.907769007062734</v>
      </c>
      <c r="Q494" s="71">
        <v>0.94126738794435905</v>
      </c>
      <c r="R494" s="71">
        <v>0.90296100850190597</v>
      </c>
      <c r="S494" s="71">
        <v>0.92730932677253397</v>
      </c>
      <c r="T494" s="73">
        <v>0.9</v>
      </c>
      <c r="U494" s="71">
        <v>0.89156626506024095</v>
      </c>
      <c r="V494" s="71">
        <v>0.89206594538897499</v>
      </c>
      <c r="W494" s="71">
        <v>0.86953972442099103</v>
      </c>
      <c r="X494" s="71">
        <v>0.876230149854619</v>
      </c>
      <c r="Y494" s="73">
        <v>0.92</v>
      </c>
      <c r="Z494" s="73" t="s">
        <v>1710</v>
      </c>
      <c r="AA494" s="73" t="s">
        <v>1710</v>
      </c>
      <c r="AB494" s="73">
        <v>1</v>
      </c>
      <c r="AC494" s="73">
        <v>0.66666666666666696</v>
      </c>
      <c r="AD494" s="73">
        <v>0.92</v>
      </c>
      <c r="AE494" s="71">
        <v>0.99951290793960101</v>
      </c>
      <c r="AF494" s="71">
        <v>0.996848739495798</v>
      </c>
      <c r="AG494" s="71">
        <v>0.99352051835853095</v>
      </c>
      <c r="AH494" s="71">
        <v>0.996892537451881</v>
      </c>
      <c r="AI494" s="73">
        <v>0.92</v>
      </c>
      <c r="AJ494" s="71">
        <v>0.95471541337764898</v>
      </c>
      <c r="AK494" s="71">
        <v>0.98042246264811905</v>
      </c>
      <c r="AL494" s="71">
        <v>0.94403750366246697</v>
      </c>
      <c r="AM494" s="71">
        <v>0.96525506638714198</v>
      </c>
      <c r="AN494" s="70">
        <v>0.99</v>
      </c>
      <c r="AO494" s="75">
        <v>1</v>
      </c>
      <c r="AP494" s="75">
        <v>1</v>
      </c>
      <c r="AQ494" s="75">
        <v>1</v>
      </c>
      <c r="AR494" s="75">
        <v>1</v>
      </c>
      <c r="AS494" s="95">
        <v>0.05</v>
      </c>
      <c r="AT494" s="79">
        <v>0.16666666666666699</v>
      </c>
      <c r="AU494" s="79">
        <v>0.16666666666666699</v>
      </c>
      <c r="AV494" s="79">
        <v>0</v>
      </c>
      <c r="AW494" s="79">
        <v>6.9444444444444406E-2</v>
      </c>
      <c r="AX494" s="56"/>
      <c r="AY494" s="54"/>
    </row>
    <row r="495" spans="1:51">
      <c r="A495" s="53"/>
      <c r="B495" s="56"/>
      <c r="C495" s="90" t="s">
        <v>370</v>
      </c>
      <c r="D495" s="230" t="s">
        <v>1757</v>
      </c>
      <c r="E495" s="68" t="s">
        <v>371</v>
      </c>
      <c r="F495" s="91" t="s">
        <v>516</v>
      </c>
      <c r="G495" s="91" t="s">
        <v>516</v>
      </c>
      <c r="H495" s="91" t="s">
        <v>516</v>
      </c>
      <c r="I495" s="91" t="s">
        <v>516</v>
      </c>
      <c r="J495" s="70">
        <v>0.9</v>
      </c>
      <c r="K495" s="71">
        <v>0.97674418604651203</v>
      </c>
      <c r="L495" s="71">
        <v>0.91836734693877597</v>
      </c>
      <c r="M495" s="72">
        <v>1</v>
      </c>
      <c r="N495" s="71">
        <v>0.97014925373134298</v>
      </c>
      <c r="O495" s="73">
        <v>0.9</v>
      </c>
      <c r="P495" s="71">
        <v>0.96455223880596996</v>
      </c>
      <c r="Q495" s="71">
        <v>0.95423925667828102</v>
      </c>
      <c r="R495" s="71">
        <v>0.959389479422186</v>
      </c>
      <c r="S495" s="71">
        <v>0.96129860130886702</v>
      </c>
      <c r="T495" s="73">
        <v>0.9</v>
      </c>
      <c r="U495" s="71">
        <v>0.92537313432835799</v>
      </c>
      <c r="V495" s="71">
        <v>0.91660859465737499</v>
      </c>
      <c r="W495" s="71">
        <v>0.912510220768602</v>
      </c>
      <c r="X495" s="71">
        <v>0.91356345438213804</v>
      </c>
      <c r="Y495" s="73">
        <v>0.92</v>
      </c>
      <c r="Z495" s="73">
        <v>0.90639269406392697</v>
      </c>
      <c r="AA495" s="73">
        <v>0.919070512820513</v>
      </c>
      <c r="AB495" s="73">
        <v>0.89432063263839001</v>
      </c>
      <c r="AC495" s="73">
        <v>0.90168232466681197</v>
      </c>
      <c r="AD495" s="73">
        <v>0.92</v>
      </c>
      <c r="AE495" s="71">
        <v>0.992299794661191</v>
      </c>
      <c r="AF495" s="71">
        <v>0.99781754692274105</v>
      </c>
      <c r="AG495" s="71">
        <v>0.99470198675496702</v>
      </c>
      <c r="AH495" s="71">
        <v>0.99388776590624694</v>
      </c>
      <c r="AI495" s="73">
        <v>0.92</v>
      </c>
      <c r="AJ495" s="71">
        <v>0.93969994229659504</v>
      </c>
      <c r="AK495" s="71">
        <v>0.96058315334773203</v>
      </c>
      <c r="AL495" s="71">
        <v>0.94407114624505895</v>
      </c>
      <c r="AM495" s="71">
        <v>0.95215419931323597</v>
      </c>
      <c r="AN495" s="70">
        <v>0.99</v>
      </c>
      <c r="AO495" s="75">
        <v>1</v>
      </c>
      <c r="AP495" s="75">
        <v>1</v>
      </c>
      <c r="AQ495" s="75">
        <v>1</v>
      </c>
      <c r="AR495" s="75">
        <v>1</v>
      </c>
      <c r="AS495" s="95">
        <v>0.05</v>
      </c>
      <c r="AT495" s="79">
        <v>4.5454545454545497E-2</v>
      </c>
      <c r="AU495" s="79">
        <v>0</v>
      </c>
      <c r="AV495" s="79">
        <v>0</v>
      </c>
      <c r="AW495" s="79">
        <v>2.6217228464419502E-2</v>
      </c>
      <c r="AX495" s="56"/>
      <c r="AY495" s="54"/>
    </row>
    <row r="496" spans="1:51">
      <c r="A496" s="53"/>
      <c r="B496" s="56"/>
      <c r="C496" s="90" t="s">
        <v>370</v>
      </c>
      <c r="D496" s="230" t="s">
        <v>1757</v>
      </c>
      <c r="E496" s="68" t="s">
        <v>371</v>
      </c>
      <c r="F496" s="91" t="s">
        <v>517</v>
      </c>
      <c r="G496" s="91" t="s">
        <v>517</v>
      </c>
      <c r="H496" s="91" t="s">
        <v>517</v>
      </c>
      <c r="I496" s="91" t="s">
        <v>517</v>
      </c>
      <c r="J496" s="70">
        <v>0.9</v>
      </c>
      <c r="K496" s="71">
        <v>0.95454545454545503</v>
      </c>
      <c r="L496" s="71">
        <v>0.97727272727272696</v>
      </c>
      <c r="M496" s="72">
        <v>1</v>
      </c>
      <c r="N496" s="71">
        <v>0.974683544303797</v>
      </c>
      <c r="O496" s="73">
        <v>0.9</v>
      </c>
      <c r="P496" s="71">
        <v>0.96114618746964497</v>
      </c>
      <c r="Q496" s="71">
        <v>0.97709696609161201</v>
      </c>
      <c r="R496" s="71">
        <v>0.96229802513465001</v>
      </c>
      <c r="S496" s="71">
        <v>0.97650784077201402</v>
      </c>
      <c r="T496" s="73">
        <v>0.9</v>
      </c>
      <c r="U496" s="71">
        <v>0.908207867897037</v>
      </c>
      <c r="V496" s="71">
        <v>0.91463414634146301</v>
      </c>
      <c r="W496" s="71">
        <v>0.92609216038300401</v>
      </c>
      <c r="X496" s="71">
        <v>0.92590470446320905</v>
      </c>
      <c r="Y496" s="73">
        <v>0.92</v>
      </c>
      <c r="Z496" s="73">
        <v>0.93786982248520701</v>
      </c>
      <c r="AA496" s="73">
        <v>0.93495934959349603</v>
      </c>
      <c r="AB496" s="73">
        <v>0.92192982456140304</v>
      </c>
      <c r="AC496" s="73">
        <v>0.93468584146550204</v>
      </c>
      <c r="AD496" s="73">
        <v>0.92</v>
      </c>
      <c r="AE496" s="71">
        <v>1</v>
      </c>
      <c r="AF496" s="71">
        <v>0.99815327793167097</v>
      </c>
      <c r="AG496" s="71">
        <v>0.99623706491063002</v>
      </c>
      <c r="AH496" s="71">
        <v>0.99840711853235198</v>
      </c>
      <c r="AI496" s="73">
        <v>0.92</v>
      </c>
      <c r="AJ496" s="71">
        <v>0.96108835576360396</v>
      </c>
      <c r="AK496" s="71">
        <v>0.97202953680912996</v>
      </c>
      <c r="AL496" s="71">
        <v>0.968763944667559</v>
      </c>
      <c r="AM496" s="71">
        <v>0.97219806924843399</v>
      </c>
      <c r="AN496" s="70">
        <v>0.99</v>
      </c>
      <c r="AO496" s="75">
        <v>1</v>
      </c>
      <c r="AP496" s="75">
        <v>1</v>
      </c>
      <c r="AQ496" s="75">
        <v>1</v>
      </c>
      <c r="AR496" s="75">
        <v>1</v>
      </c>
      <c r="AS496" s="95">
        <v>0.05</v>
      </c>
      <c r="AT496" s="79">
        <v>0.14285714285714299</v>
      </c>
      <c r="AU496" s="79">
        <v>0</v>
      </c>
      <c r="AV496" s="79">
        <v>0.11764705882352899</v>
      </c>
      <c r="AW496" s="79">
        <v>4.3209876543209902E-2</v>
      </c>
      <c r="AX496" s="56"/>
      <c r="AY496" s="54"/>
    </row>
    <row r="497" spans="1:51">
      <c r="A497" s="53"/>
      <c r="B497" s="56"/>
      <c r="C497" s="90" t="s">
        <v>370</v>
      </c>
      <c r="D497" s="230" t="s">
        <v>1757</v>
      </c>
      <c r="E497" s="68" t="s">
        <v>371</v>
      </c>
      <c r="F497" s="91" t="s">
        <v>518</v>
      </c>
      <c r="G497" s="91" t="s">
        <v>518</v>
      </c>
      <c r="H497" s="91" t="s">
        <v>518</v>
      </c>
      <c r="I497" s="91" t="s">
        <v>518</v>
      </c>
      <c r="J497" s="70">
        <v>0.9</v>
      </c>
      <c r="K497" s="71">
        <v>0.96825396825396803</v>
      </c>
      <c r="L497" s="71">
        <v>0.96296296296296302</v>
      </c>
      <c r="M497" s="72">
        <v>0.96629213483146104</v>
      </c>
      <c r="N497" s="71">
        <v>0.97932535364526696</v>
      </c>
      <c r="O497" s="73">
        <v>0.9</v>
      </c>
      <c r="P497" s="71">
        <v>0.97746243739565897</v>
      </c>
      <c r="Q497" s="71">
        <v>0.98274557287725095</v>
      </c>
      <c r="R497" s="71">
        <v>0.98343195266272199</v>
      </c>
      <c r="S497" s="71">
        <v>0.98139004937333796</v>
      </c>
      <c r="T497" s="73">
        <v>0.9</v>
      </c>
      <c r="U497" s="71">
        <v>0.90094602114635502</v>
      </c>
      <c r="V497" s="71">
        <v>0.96322082639624595</v>
      </c>
      <c r="W497" s="71">
        <v>0.95562130177514804</v>
      </c>
      <c r="X497" s="71">
        <v>0.94660960004674399</v>
      </c>
      <c r="Y497" s="73">
        <v>0.92</v>
      </c>
      <c r="Z497" s="73">
        <v>0.91975308641975295</v>
      </c>
      <c r="AA497" s="73">
        <v>0.93041749502982096</v>
      </c>
      <c r="AB497" s="73">
        <v>0.922119815668203</v>
      </c>
      <c r="AC497" s="73">
        <v>0.94189305735230699</v>
      </c>
      <c r="AD497" s="73">
        <v>0.92</v>
      </c>
      <c r="AE497" s="71">
        <v>0.99633251833740799</v>
      </c>
      <c r="AF497" s="71">
        <v>0.983899821109123</v>
      </c>
      <c r="AG497" s="71">
        <v>0.98674521354933697</v>
      </c>
      <c r="AH497" s="71">
        <v>0.98101164831657905</v>
      </c>
      <c r="AI497" s="73">
        <v>0.92</v>
      </c>
      <c r="AJ497" s="71">
        <v>0.95205479452054798</v>
      </c>
      <c r="AK497" s="71">
        <v>0.97895902547065305</v>
      </c>
      <c r="AL497" s="71">
        <v>0.97603583426651697</v>
      </c>
      <c r="AM497" s="71">
        <v>0.98117000988028802</v>
      </c>
      <c r="AN497" s="70">
        <v>0.99</v>
      </c>
      <c r="AO497" s="75">
        <v>1</v>
      </c>
      <c r="AP497" s="75">
        <v>1</v>
      </c>
      <c r="AQ497" s="75">
        <v>1</v>
      </c>
      <c r="AR497" s="75">
        <v>1</v>
      </c>
      <c r="AS497" s="95">
        <v>0.05</v>
      </c>
      <c r="AT497" s="79">
        <v>0</v>
      </c>
      <c r="AU497" s="79">
        <v>0.05</v>
      </c>
      <c r="AV497" s="79">
        <v>3.8461538461538498E-2</v>
      </c>
      <c r="AW497" s="79">
        <v>5.7239057239057201E-2</v>
      </c>
      <c r="AX497" s="56"/>
      <c r="AY497" s="54"/>
    </row>
    <row r="498" spans="1:51">
      <c r="A498" s="53"/>
      <c r="B498" s="56"/>
      <c r="C498" s="90" t="s">
        <v>370</v>
      </c>
      <c r="D498" s="230" t="s">
        <v>1757</v>
      </c>
      <c r="E498" s="68" t="s">
        <v>371</v>
      </c>
      <c r="F498" s="91" t="s">
        <v>519</v>
      </c>
      <c r="G498" s="91" t="s">
        <v>519</v>
      </c>
      <c r="H498" s="91" t="s">
        <v>519</v>
      </c>
      <c r="I498" s="91" t="s">
        <v>519</v>
      </c>
      <c r="J498" s="70">
        <v>0.9</v>
      </c>
      <c r="K498" s="71">
        <v>0.96153846153846201</v>
      </c>
      <c r="L498" s="71">
        <v>0.9375</v>
      </c>
      <c r="M498" s="72">
        <v>0.9375</v>
      </c>
      <c r="N498" s="71">
        <v>0.97297297297297303</v>
      </c>
      <c r="O498" s="73">
        <v>0.9</v>
      </c>
      <c r="P498" s="71" t="s">
        <v>1710</v>
      </c>
      <c r="Q498" s="71">
        <v>0</v>
      </c>
      <c r="R498" s="71" t="s">
        <v>1710</v>
      </c>
      <c r="S498" s="71">
        <v>0</v>
      </c>
      <c r="T498" s="73">
        <v>0.9</v>
      </c>
      <c r="U498" s="71" t="s">
        <v>1710</v>
      </c>
      <c r="V498" s="71">
        <v>0</v>
      </c>
      <c r="W498" s="71" t="s">
        <v>1710</v>
      </c>
      <c r="X498" s="71">
        <v>0.33333333333333298</v>
      </c>
      <c r="Y498" s="73">
        <v>0.92</v>
      </c>
      <c r="Z498" s="73" t="s">
        <v>1710</v>
      </c>
      <c r="AA498" s="73">
        <v>1</v>
      </c>
      <c r="AB498" s="73" t="s">
        <v>1710</v>
      </c>
      <c r="AC498" s="73">
        <v>1</v>
      </c>
      <c r="AD498" s="73">
        <v>0.92</v>
      </c>
      <c r="AE498" s="71">
        <v>0.967741935483871</v>
      </c>
      <c r="AF498" s="71">
        <v>1</v>
      </c>
      <c r="AG498" s="71">
        <v>1</v>
      </c>
      <c r="AH498" s="71">
        <v>0.971069182389937</v>
      </c>
      <c r="AI498" s="73">
        <v>0.92</v>
      </c>
      <c r="AJ498" s="71">
        <v>0.97216699801192796</v>
      </c>
      <c r="AK498" s="71">
        <v>0.98035050451407302</v>
      </c>
      <c r="AL498" s="71">
        <v>0.98160390916930196</v>
      </c>
      <c r="AM498" s="71">
        <v>0.98449657246984601</v>
      </c>
      <c r="AN498" s="70">
        <v>0.99</v>
      </c>
      <c r="AO498" s="75">
        <v>1</v>
      </c>
      <c r="AP498" s="75">
        <v>1</v>
      </c>
      <c r="AQ498" s="75">
        <v>1</v>
      </c>
      <c r="AR498" s="75">
        <v>1</v>
      </c>
      <c r="AS498" s="95">
        <v>0.05</v>
      </c>
      <c r="AT498" s="79">
        <v>0.28571428571428598</v>
      </c>
      <c r="AU498" s="79">
        <v>0</v>
      </c>
      <c r="AV498" s="79">
        <v>0</v>
      </c>
      <c r="AW498" s="79">
        <v>0.04</v>
      </c>
      <c r="AX498" s="56"/>
      <c r="AY498" s="54"/>
    </row>
    <row r="499" spans="1:51">
      <c r="A499" s="53"/>
      <c r="B499" s="56"/>
      <c r="C499" s="90" t="s">
        <v>370</v>
      </c>
      <c r="D499" s="230" t="s">
        <v>1757</v>
      </c>
      <c r="E499" s="68" t="s">
        <v>371</v>
      </c>
      <c r="F499" s="91" t="s">
        <v>520</v>
      </c>
      <c r="G499" s="91" t="s">
        <v>520</v>
      </c>
      <c r="H499" s="91" t="s">
        <v>520</v>
      </c>
      <c r="I499" s="91" t="s">
        <v>520</v>
      </c>
      <c r="J499" s="70">
        <v>0.9</v>
      </c>
      <c r="K499" s="71">
        <v>0.78431372549019596</v>
      </c>
      <c r="L499" s="71">
        <v>0.92592592592592604</v>
      </c>
      <c r="M499" s="72">
        <v>0.9</v>
      </c>
      <c r="N499" s="71">
        <v>0.91414141414141403</v>
      </c>
      <c r="O499" s="73">
        <v>0.9</v>
      </c>
      <c r="P499" s="71">
        <v>1</v>
      </c>
      <c r="Q499" s="71">
        <v>0.75</v>
      </c>
      <c r="R499" s="71" t="s">
        <v>1710</v>
      </c>
      <c r="S499" s="71">
        <v>0.81818181818181801</v>
      </c>
      <c r="T499" s="73">
        <v>0.9</v>
      </c>
      <c r="U499" s="71">
        <v>9.0909090909090898E-2</v>
      </c>
      <c r="V499" s="71">
        <v>0</v>
      </c>
      <c r="W499" s="71" t="s">
        <v>1710</v>
      </c>
      <c r="X499" s="71">
        <v>9.0909090909090898E-2</v>
      </c>
      <c r="Y499" s="73">
        <v>0.92</v>
      </c>
      <c r="Z499" s="73" t="s">
        <v>1710</v>
      </c>
      <c r="AA499" s="73" t="s">
        <v>1710</v>
      </c>
      <c r="AB499" s="73" t="s">
        <v>1710</v>
      </c>
      <c r="AC499" s="73" t="s">
        <v>1710</v>
      </c>
      <c r="AD499" s="73">
        <v>0.92</v>
      </c>
      <c r="AE499" s="71">
        <v>1</v>
      </c>
      <c r="AF499" s="71">
        <v>0.983108108108108</v>
      </c>
      <c r="AG499" s="71">
        <v>0.98285714285714298</v>
      </c>
      <c r="AH499" s="71">
        <v>0.990079365079365</v>
      </c>
      <c r="AI499" s="73">
        <v>0.92</v>
      </c>
      <c r="AJ499" s="71">
        <v>0.96054708048395598</v>
      </c>
      <c r="AK499" s="71">
        <v>0.96915292965562305</v>
      </c>
      <c r="AL499" s="71">
        <v>0.93935032894736803</v>
      </c>
      <c r="AM499" s="71">
        <v>0.96665830511309003</v>
      </c>
      <c r="AN499" s="70">
        <v>0.99</v>
      </c>
      <c r="AO499" s="75">
        <v>1</v>
      </c>
      <c r="AP499" s="75">
        <v>1</v>
      </c>
      <c r="AQ499" s="75">
        <v>1</v>
      </c>
      <c r="AR499" s="75">
        <v>1</v>
      </c>
      <c r="AS499" s="95">
        <v>0.05</v>
      </c>
      <c r="AT499" s="79">
        <v>0.125</v>
      </c>
      <c r="AU499" s="79">
        <v>9.5238095238095205E-2</v>
      </c>
      <c r="AV499" s="79">
        <v>0</v>
      </c>
      <c r="AW499" s="79">
        <v>3.4653465346534698E-2</v>
      </c>
      <c r="AX499" s="56"/>
      <c r="AY499" s="54"/>
    </row>
    <row r="500" spans="1:51">
      <c r="A500" s="53"/>
      <c r="B500" s="56"/>
      <c r="C500" s="90" t="s">
        <v>370</v>
      </c>
      <c r="D500" s="230" t="s">
        <v>1757</v>
      </c>
      <c r="E500" s="68" t="s">
        <v>371</v>
      </c>
      <c r="F500" s="91" t="s">
        <v>521</v>
      </c>
      <c r="G500" s="91" t="s">
        <v>521</v>
      </c>
      <c r="H500" s="91" t="s">
        <v>521</v>
      </c>
      <c r="I500" s="91" t="s">
        <v>521</v>
      </c>
      <c r="J500" s="70">
        <v>0.9</v>
      </c>
      <c r="K500" s="71">
        <v>0.88235294117647101</v>
      </c>
      <c r="L500" s="71">
        <v>0.952380952380952</v>
      </c>
      <c r="M500" s="72">
        <v>1</v>
      </c>
      <c r="N500" s="71">
        <v>0.92500000000000004</v>
      </c>
      <c r="O500" s="73">
        <v>0.9</v>
      </c>
      <c r="P500" s="71">
        <v>0</v>
      </c>
      <c r="Q500" s="71">
        <v>1</v>
      </c>
      <c r="R500" s="71" t="s">
        <v>1710</v>
      </c>
      <c r="S500" s="71">
        <v>0.66666666666666696</v>
      </c>
      <c r="T500" s="73">
        <v>0.9</v>
      </c>
      <c r="U500" s="71">
        <v>0</v>
      </c>
      <c r="V500" s="71">
        <v>0</v>
      </c>
      <c r="W500" s="71" t="s">
        <v>1710</v>
      </c>
      <c r="X500" s="71">
        <v>0.33333333333333298</v>
      </c>
      <c r="Y500" s="73">
        <v>0.92</v>
      </c>
      <c r="Z500" s="73" t="s">
        <v>1710</v>
      </c>
      <c r="AA500" s="73" t="s">
        <v>1710</v>
      </c>
      <c r="AB500" s="73" t="s">
        <v>1710</v>
      </c>
      <c r="AC500" s="73">
        <v>1</v>
      </c>
      <c r="AD500" s="73">
        <v>0.92</v>
      </c>
      <c r="AE500" s="71">
        <v>1</v>
      </c>
      <c r="AF500" s="71">
        <v>0.98013245033112595</v>
      </c>
      <c r="AG500" s="71">
        <v>0.92500000000000004</v>
      </c>
      <c r="AH500" s="71">
        <v>0.90490341753343195</v>
      </c>
      <c r="AI500" s="73">
        <v>0.92</v>
      </c>
      <c r="AJ500" s="71">
        <v>0.90172642762284205</v>
      </c>
      <c r="AK500" s="71">
        <v>0.96318289786223299</v>
      </c>
      <c r="AL500" s="71">
        <v>0.97782515991471197</v>
      </c>
      <c r="AM500" s="71">
        <v>0.96523192645215194</v>
      </c>
      <c r="AN500" s="70">
        <v>0.99</v>
      </c>
      <c r="AO500" s="75">
        <v>1</v>
      </c>
      <c r="AP500" s="75">
        <v>1</v>
      </c>
      <c r="AQ500" s="75">
        <v>1</v>
      </c>
      <c r="AR500" s="75">
        <v>1</v>
      </c>
      <c r="AS500" s="95">
        <v>0.05</v>
      </c>
      <c r="AT500" s="79">
        <v>2</v>
      </c>
      <c r="AU500" s="79">
        <v>0.2</v>
      </c>
      <c r="AV500" s="79">
        <v>0.5</v>
      </c>
      <c r="AW500" s="79">
        <v>8.9552238805970102E-2</v>
      </c>
      <c r="AX500" s="56"/>
      <c r="AY500" s="54"/>
    </row>
    <row r="501" spans="1:51">
      <c r="A501" s="53"/>
      <c r="B501" s="56"/>
      <c r="C501" s="90" t="s">
        <v>370</v>
      </c>
      <c r="D501" s="230" t="s">
        <v>1757</v>
      </c>
      <c r="E501" s="68" t="s">
        <v>371</v>
      </c>
      <c r="F501" s="91" t="s">
        <v>522</v>
      </c>
      <c r="G501" s="91" t="s">
        <v>522</v>
      </c>
      <c r="H501" s="91" t="s">
        <v>522</v>
      </c>
      <c r="I501" s="91" t="s">
        <v>522</v>
      </c>
      <c r="J501" s="70">
        <v>0.9</v>
      </c>
      <c r="K501" s="71">
        <v>0.92452830188679203</v>
      </c>
      <c r="L501" s="71">
        <v>0.93442622950819698</v>
      </c>
      <c r="M501" s="72">
        <v>0.90625</v>
      </c>
      <c r="N501" s="71">
        <v>0.91980360065466404</v>
      </c>
      <c r="O501" s="73">
        <v>0.9</v>
      </c>
      <c r="P501" s="71">
        <v>0.96172248803827798</v>
      </c>
      <c r="Q501" s="71">
        <v>0.96950444726810703</v>
      </c>
      <c r="R501" s="71">
        <v>0.94419134396355398</v>
      </c>
      <c r="S501" s="71">
        <v>0.95612772993750905</v>
      </c>
      <c r="T501" s="73">
        <v>0.9</v>
      </c>
      <c r="U501" s="71">
        <v>0.92384370015949002</v>
      </c>
      <c r="V501" s="71">
        <v>0.90957221516306697</v>
      </c>
      <c r="W501" s="71">
        <v>0.919817767653759</v>
      </c>
      <c r="X501" s="71">
        <v>0.86980050250177199</v>
      </c>
      <c r="Y501" s="73">
        <v>0.92</v>
      </c>
      <c r="Z501" s="73">
        <v>0.92900856793145703</v>
      </c>
      <c r="AA501" s="73">
        <v>0.93199167244968795</v>
      </c>
      <c r="AB501" s="73">
        <v>0.90153671030165095</v>
      </c>
      <c r="AC501" s="73">
        <v>0.91165929996416195</v>
      </c>
      <c r="AD501" s="73">
        <v>0.92</v>
      </c>
      <c r="AE501" s="71">
        <v>0.99890109890109902</v>
      </c>
      <c r="AF501" s="71">
        <v>0.995105237395986</v>
      </c>
      <c r="AG501" s="71">
        <v>0.99446640316205503</v>
      </c>
      <c r="AH501" s="71">
        <v>0.99339137732088501</v>
      </c>
      <c r="AI501" s="73">
        <v>0.92</v>
      </c>
      <c r="AJ501" s="71">
        <v>0.95372378886478704</v>
      </c>
      <c r="AK501" s="71">
        <v>0.97438391699092097</v>
      </c>
      <c r="AL501" s="71">
        <v>0.95136629798308403</v>
      </c>
      <c r="AM501" s="71">
        <v>0.959576819832623</v>
      </c>
      <c r="AN501" s="70">
        <v>0.99</v>
      </c>
      <c r="AO501" s="75">
        <v>1</v>
      </c>
      <c r="AP501" s="75">
        <v>1</v>
      </c>
      <c r="AQ501" s="75">
        <v>1</v>
      </c>
      <c r="AR501" s="75">
        <v>1</v>
      </c>
      <c r="AS501" s="95">
        <v>0.05</v>
      </c>
      <c r="AT501" s="79">
        <v>0</v>
      </c>
      <c r="AU501" s="79">
        <v>0.11111111111111099</v>
      </c>
      <c r="AV501" s="79">
        <v>0.16</v>
      </c>
      <c r="AW501" s="79">
        <v>6.8767908309455603E-2</v>
      </c>
      <c r="AX501" s="56"/>
      <c r="AY501" s="54"/>
    </row>
    <row r="502" spans="1:51">
      <c r="A502" s="53"/>
      <c r="B502" s="56"/>
      <c r="C502" s="90" t="s">
        <v>370</v>
      </c>
      <c r="D502" s="230" t="s">
        <v>1757</v>
      </c>
      <c r="E502" s="68" t="s">
        <v>371</v>
      </c>
      <c r="F502" s="91" t="s">
        <v>523</v>
      </c>
      <c r="G502" s="91" t="s">
        <v>523</v>
      </c>
      <c r="H502" s="91" t="s">
        <v>523</v>
      </c>
      <c r="I502" s="91" t="s">
        <v>523</v>
      </c>
      <c r="J502" s="70">
        <v>0.9</v>
      </c>
      <c r="K502" s="71">
        <v>0.92307692307692302</v>
      </c>
      <c r="L502" s="71">
        <v>1</v>
      </c>
      <c r="M502" s="72">
        <v>0.96969696969696995</v>
      </c>
      <c r="N502" s="71">
        <v>0.98192771084337305</v>
      </c>
      <c r="O502" s="73">
        <v>0.9</v>
      </c>
      <c r="P502" s="71">
        <v>0.98073141958316901</v>
      </c>
      <c r="Q502" s="71">
        <v>0.97891891891891902</v>
      </c>
      <c r="R502" s="71">
        <v>0.97803577031691202</v>
      </c>
      <c r="S502" s="71">
        <v>0.98191725046404399</v>
      </c>
      <c r="T502" s="73">
        <v>0.9</v>
      </c>
      <c r="U502" s="71">
        <v>0.90011797090051104</v>
      </c>
      <c r="V502" s="71">
        <v>0.89756756756756795</v>
      </c>
      <c r="W502" s="71">
        <v>0.93787260746783796</v>
      </c>
      <c r="X502" s="71">
        <v>0.922998622836956</v>
      </c>
      <c r="Y502" s="73">
        <v>0.92</v>
      </c>
      <c r="Z502" s="73" t="s">
        <v>1710</v>
      </c>
      <c r="AA502" s="73" t="s">
        <v>1710</v>
      </c>
      <c r="AB502" s="73" t="s">
        <v>1710</v>
      </c>
      <c r="AC502" s="73">
        <v>0</v>
      </c>
      <c r="AD502" s="73">
        <v>0.92</v>
      </c>
      <c r="AE502" s="71">
        <v>0.994360902255639</v>
      </c>
      <c r="AF502" s="71">
        <v>0.99060542797494799</v>
      </c>
      <c r="AG502" s="71">
        <v>0.97361477572559396</v>
      </c>
      <c r="AH502" s="71">
        <v>0.99184665999141797</v>
      </c>
      <c r="AI502" s="73">
        <v>0.92</v>
      </c>
      <c r="AJ502" s="71">
        <v>0.97365316555249704</v>
      </c>
      <c r="AK502" s="71">
        <v>0.98945945945945901</v>
      </c>
      <c r="AL502" s="71">
        <v>0.98525258864135501</v>
      </c>
      <c r="AM502" s="71">
        <v>0.98628947762311003</v>
      </c>
      <c r="AN502" s="70">
        <v>0.99</v>
      </c>
      <c r="AO502" s="75">
        <v>1</v>
      </c>
      <c r="AP502" s="75">
        <v>1</v>
      </c>
      <c r="AQ502" s="75">
        <v>1</v>
      </c>
      <c r="AR502" s="75">
        <v>1</v>
      </c>
      <c r="AS502" s="95">
        <v>0.05</v>
      </c>
      <c r="AT502" s="79">
        <v>0</v>
      </c>
      <c r="AU502" s="79">
        <v>0</v>
      </c>
      <c r="AV502" s="79">
        <v>0</v>
      </c>
      <c r="AW502" s="79">
        <v>3.0487804878048801E-2</v>
      </c>
      <c r="AX502" s="56"/>
      <c r="AY502" s="54"/>
    </row>
    <row r="503" spans="1:51">
      <c r="A503" s="53"/>
      <c r="B503" s="56"/>
      <c r="C503" s="90" t="s">
        <v>370</v>
      </c>
      <c r="D503" s="230" t="s">
        <v>1757</v>
      </c>
      <c r="E503" s="68" t="s">
        <v>371</v>
      </c>
      <c r="F503" s="91" t="s">
        <v>524</v>
      </c>
      <c r="G503" s="91" t="s">
        <v>524</v>
      </c>
      <c r="H503" s="91" t="s">
        <v>524</v>
      </c>
      <c r="I503" s="91" t="s">
        <v>524</v>
      </c>
      <c r="J503" s="70">
        <v>0.9</v>
      </c>
      <c r="K503" s="71">
        <v>0.96296296296296302</v>
      </c>
      <c r="L503" s="71">
        <v>0.96428571428571397</v>
      </c>
      <c r="M503" s="72">
        <v>1</v>
      </c>
      <c r="N503" s="71">
        <v>0.99335548172757504</v>
      </c>
      <c r="O503" s="73">
        <v>0.9</v>
      </c>
      <c r="P503" s="71">
        <v>1</v>
      </c>
      <c r="Q503" s="71">
        <v>0</v>
      </c>
      <c r="R503" s="71">
        <v>0</v>
      </c>
      <c r="S503" s="71">
        <v>0.16666666666666699</v>
      </c>
      <c r="T503" s="73">
        <v>0.9</v>
      </c>
      <c r="U503" s="71">
        <v>1</v>
      </c>
      <c r="V503" s="71">
        <v>0</v>
      </c>
      <c r="W503" s="71">
        <v>0</v>
      </c>
      <c r="X503" s="71">
        <v>0.16666666666666699</v>
      </c>
      <c r="Y503" s="73">
        <v>0.92</v>
      </c>
      <c r="Z503" s="73">
        <v>0</v>
      </c>
      <c r="AA503" s="73" t="s">
        <v>1710</v>
      </c>
      <c r="AB503" s="73" t="s">
        <v>1710</v>
      </c>
      <c r="AC503" s="73">
        <v>0</v>
      </c>
      <c r="AD503" s="73">
        <v>0.92</v>
      </c>
      <c r="AE503" s="71">
        <v>0.99731182795698903</v>
      </c>
      <c r="AF503" s="71">
        <v>0.99315068493150704</v>
      </c>
      <c r="AG503" s="71">
        <v>1</v>
      </c>
      <c r="AH503" s="71">
        <v>0.99386503067484699</v>
      </c>
      <c r="AI503" s="73">
        <v>0.92</v>
      </c>
      <c r="AJ503" s="71">
        <v>0.97429305912596398</v>
      </c>
      <c r="AK503" s="71">
        <v>0.97793493635077799</v>
      </c>
      <c r="AL503" s="71">
        <v>0.98375184638109303</v>
      </c>
      <c r="AM503" s="71">
        <v>0.98445932099187095</v>
      </c>
      <c r="AN503" s="70">
        <v>0.99</v>
      </c>
      <c r="AO503" s="75">
        <v>1</v>
      </c>
      <c r="AP503" s="75">
        <v>1</v>
      </c>
      <c r="AQ503" s="75">
        <v>1</v>
      </c>
      <c r="AR503" s="75">
        <v>1</v>
      </c>
      <c r="AS503" s="95">
        <v>0.05</v>
      </c>
      <c r="AT503" s="79">
        <v>0</v>
      </c>
      <c r="AU503" s="79">
        <v>0</v>
      </c>
      <c r="AV503" s="79">
        <v>0.14285714285714299</v>
      </c>
      <c r="AW503" s="79">
        <v>8.3333333333333301E-2</v>
      </c>
      <c r="AX503" s="56"/>
      <c r="AY503" s="54"/>
    </row>
    <row r="504" spans="1:51">
      <c r="A504" s="53"/>
      <c r="B504" s="56"/>
      <c r="C504" s="90" t="s">
        <v>370</v>
      </c>
      <c r="D504" s="230" t="s">
        <v>1757</v>
      </c>
      <c r="E504" s="68" t="s">
        <v>371</v>
      </c>
      <c r="F504" s="91" t="s">
        <v>525</v>
      </c>
      <c r="G504" s="91" t="s">
        <v>525</v>
      </c>
      <c r="H504" s="91" t="s">
        <v>525</v>
      </c>
      <c r="I504" s="91" t="s">
        <v>525</v>
      </c>
      <c r="J504" s="70">
        <v>0.9</v>
      </c>
      <c r="K504" s="71">
        <v>0.95</v>
      </c>
      <c r="L504" s="71">
        <v>0.95121951219512202</v>
      </c>
      <c r="M504" s="72">
        <v>0.97499999999999998</v>
      </c>
      <c r="N504" s="71">
        <v>0.97592997811816196</v>
      </c>
      <c r="O504" s="73">
        <v>0.9</v>
      </c>
      <c r="P504" s="71" t="s">
        <v>1710</v>
      </c>
      <c r="Q504" s="71">
        <v>0</v>
      </c>
      <c r="R504" s="71">
        <v>0</v>
      </c>
      <c r="S504" s="71">
        <v>0.25</v>
      </c>
      <c r="T504" s="73">
        <v>0.9</v>
      </c>
      <c r="U504" s="71" t="s">
        <v>1710</v>
      </c>
      <c r="V504" s="71">
        <v>0</v>
      </c>
      <c r="W504" s="71">
        <v>0</v>
      </c>
      <c r="X504" s="71">
        <v>0.25</v>
      </c>
      <c r="Y504" s="73">
        <v>0.92</v>
      </c>
      <c r="Z504" s="73" t="s">
        <v>1710</v>
      </c>
      <c r="AA504" s="73" t="s">
        <v>1710</v>
      </c>
      <c r="AB504" s="73">
        <v>1</v>
      </c>
      <c r="AC504" s="73">
        <v>1</v>
      </c>
      <c r="AD504" s="73">
        <v>0.92</v>
      </c>
      <c r="AE504" s="71">
        <v>0.99591836734693895</v>
      </c>
      <c r="AF504" s="71">
        <v>0.98646034816247596</v>
      </c>
      <c r="AG504" s="71">
        <v>0.95652173913043503</v>
      </c>
      <c r="AH504" s="71">
        <v>0.98912705809257495</v>
      </c>
      <c r="AI504" s="73">
        <v>0.92</v>
      </c>
      <c r="AJ504" s="71">
        <v>0.93925049309664699</v>
      </c>
      <c r="AK504" s="71">
        <v>0.943994280266921</v>
      </c>
      <c r="AL504" s="71">
        <v>0.95</v>
      </c>
      <c r="AM504" s="71">
        <v>0.96219637788550905</v>
      </c>
      <c r="AN504" s="70">
        <v>0.99</v>
      </c>
      <c r="AO504" s="75">
        <v>1</v>
      </c>
      <c r="AP504" s="75">
        <v>1</v>
      </c>
      <c r="AQ504" s="75">
        <v>1</v>
      </c>
      <c r="AR504" s="75">
        <v>1</v>
      </c>
      <c r="AS504" s="95">
        <v>0.05</v>
      </c>
      <c r="AT504" s="79">
        <v>0.33333333333333298</v>
      </c>
      <c r="AU504" s="79">
        <v>0</v>
      </c>
      <c r="AV504" s="79">
        <v>0.28571428571428598</v>
      </c>
      <c r="AW504" s="79">
        <v>0.04</v>
      </c>
      <c r="AX504" s="56"/>
      <c r="AY504" s="54"/>
    </row>
    <row r="505" spans="1:51">
      <c r="A505" s="53"/>
      <c r="B505" s="56"/>
      <c r="C505" s="90" t="s">
        <v>370</v>
      </c>
      <c r="D505" s="230" t="s">
        <v>1757</v>
      </c>
      <c r="E505" s="68" t="s">
        <v>371</v>
      </c>
      <c r="F505" s="91" t="s">
        <v>526</v>
      </c>
      <c r="G505" s="91" t="s">
        <v>526</v>
      </c>
      <c r="H505" s="91" t="s">
        <v>526</v>
      </c>
      <c r="I505" s="91" t="s">
        <v>526</v>
      </c>
      <c r="J505" s="70">
        <v>0.9</v>
      </c>
      <c r="K505" s="71">
        <v>0.96969696969696995</v>
      </c>
      <c r="L505" s="71">
        <v>0.93023255813953498</v>
      </c>
      <c r="M505" s="72">
        <v>0.934782608695652</v>
      </c>
      <c r="N505" s="71">
        <v>0.955602536997886</v>
      </c>
      <c r="O505" s="73">
        <v>0.9</v>
      </c>
      <c r="P505" s="71">
        <v>0.5</v>
      </c>
      <c r="Q505" s="71">
        <v>0</v>
      </c>
      <c r="R505" s="71" t="s">
        <v>1710</v>
      </c>
      <c r="S505" s="71">
        <v>0.4</v>
      </c>
      <c r="T505" s="73">
        <v>0.9</v>
      </c>
      <c r="U505" s="71">
        <v>0</v>
      </c>
      <c r="V505" s="71">
        <v>0</v>
      </c>
      <c r="W505" s="71" t="s">
        <v>1710</v>
      </c>
      <c r="X505" s="71">
        <v>0.6</v>
      </c>
      <c r="Y505" s="73">
        <v>0.92</v>
      </c>
      <c r="Z505" s="73" t="s">
        <v>1710</v>
      </c>
      <c r="AA505" s="73" t="s">
        <v>1710</v>
      </c>
      <c r="AB505" s="73" t="s">
        <v>1710</v>
      </c>
      <c r="AC505" s="73" t="s">
        <v>1710</v>
      </c>
      <c r="AD505" s="73">
        <v>0.92</v>
      </c>
      <c r="AE505" s="71">
        <v>1</v>
      </c>
      <c r="AF505" s="71">
        <v>0.891891891891892</v>
      </c>
      <c r="AG505" s="71">
        <v>0.97222222222222199</v>
      </c>
      <c r="AH505" s="71">
        <v>0.97441860465116303</v>
      </c>
      <c r="AI505" s="73">
        <v>0.92</v>
      </c>
      <c r="AJ505" s="71">
        <v>0.97550850975508496</v>
      </c>
      <c r="AK505" s="71">
        <v>0.98092412038999599</v>
      </c>
      <c r="AL505" s="71">
        <v>0.98399829315126996</v>
      </c>
      <c r="AM505" s="71">
        <v>0.98874122921650998</v>
      </c>
      <c r="AN505" s="70">
        <v>0.99</v>
      </c>
      <c r="AO505" s="75">
        <v>1</v>
      </c>
      <c r="AP505" s="75">
        <v>1</v>
      </c>
      <c r="AQ505" s="75">
        <v>1</v>
      </c>
      <c r="AR505" s="75">
        <v>1</v>
      </c>
      <c r="AS505" s="95">
        <v>0.05</v>
      </c>
      <c r="AT505" s="79">
        <v>0</v>
      </c>
      <c r="AU505" s="79">
        <v>0.16666666666666699</v>
      </c>
      <c r="AV505" s="79">
        <v>0</v>
      </c>
      <c r="AW505" s="79">
        <v>0.104761904761905</v>
      </c>
      <c r="AX505" s="56"/>
      <c r="AY505" s="54"/>
    </row>
    <row r="506" spans="1:51">
      <c r="A506" s="53"/>
      <c r="B506" s="56"/>
      <c r="C506" s="90" t="s">
        <v>370</v>
      </c>
      <c r="D506" s="230" t="s">
        <v>1757</v>
      </c>
      <c r="E506" s="68" t="s">
        <v>371</v>
      </c>
      <c r="F506" s="91" t="s">
        <v>527</v>
      </c>
      <c r="G506" s="91" t="s">
        <v>527</v>
      </c>
      <c r="H506" s="91" t="s">
        <v>527</v>
      </c>
      <c r="I506" s="91" t="s">
        <v>527</v>
      </c>
      <c r="J506" s="70">
        <v>0.9</v>
      </c>
      <c r="K506" s="71">
        <v>1</v>
      </c>
      <c r="L506" s="71">
        <v>1</v>
      </c>
      <c r="M506" s="72">
        <v>1</v>
      </c>
      <c r="N506" s="71">
        <v>1</v>
      </c>
      <c r="O506" s="73">
        <v>0.9</v>
      </c>
      <c r="P506" s="71">
        <v>0.98826118855465905</v>
      </c>
      <c r="Q506" s="71">
        <v>0.99004524886877798</v>
      </c>
      <c r="R506" s="71">
        <v>0.99955136832660396</v>
      </c>
      <c r="S506" s="71">
        <v>0.99447604239125997</v>
      </c>
      <c r="T506" s="73">
        <v>0.9</v>
      </c>
      <c r="U506" s="71">
        <v>0.95084372707263398</v>
      </c>
      <c r="V506" s="71">
        <v>0.96018099547511304</v>
      </c>
      <c r="W506" s="71">
        <v>0.95737999102736604</v>
      </c>
      <c r="X506" s="71">
        <v>0.96391014362289795</v>
      </c>
      <c r="Y506" s="73">
        <v>0.92</v>
      </c>
      <c r="Z506" s="73">
        <v>0.94943240454076405</v>
      </c>
      <c r="AA506" s="73">
        <v>0.92866578599735805</v>
      </c>
      <c r="AB506" s="73">
        <v>0.95772787318361996</v>
      </c>
      <c r="AC506" s="73">
        <v>0.94646351691361497</v>
      </c>
      <c r="AD506" s="73">
        <v>0.92</v>
      </c>
      <c r="AE506" s="71">
        <v>0.99929378531073398</v>
      </c>
      <c r="AF506" s="71">
        <v>0.99935608499677997</v>
      </c>
      <c r="AG506" s="71">
        <v>1</v>
      </c>
      <c r="AH506" s="71">
        <v>0.99912551740220401</v>
      </c>
      <c r="AI506" s="73">
        <v>0.92</v>
      </c>
      <c r="AJ506" s="71">
        <v>0.96913844834976404</v>
      </c>
      <c r="AK506" s="71">
        <v>0.977081226828446</v>
      </c>
      <c r="AL506" s="71">
        <v>0.98459993304318705</v>
      </c>
      <c r="AM506" s="71">
        <v>0.983321201379878</v>
      </c>
      <c r="AN506" s="70">
        <v>0.99</v>
      </c>
      <c r="AO506" s="75">
        <v>1</v>
      </c>
      <c r="AP506" s="75">
        <v>1</v>
      </c>
      <c r="AQ506" s="75">
        <v>1</v>
      </c>
      <c r="AR506" s="75">
        <v>1</v>
      </c>
      <c r="AS506" s="95">
        <v>0.05</v>
      </c>
      <c r="AT506" s="79">
        <v>0</v>
      </c>
      <c r="AU506" s="79">
        <v>0</v>
      </c>
      <c r="AV506" s="79">
        <v>0</v>
      </c>
      <c r="AW506" s="79">
        <v>6.3829787234042507E-2</v>
      </c>
      <c r="AX506" s="56"/>
      <c r="AY506" s="54"/>
    </row>
    <row r="507" spans="1:51">
      <c r="A507" s="53"/>
      <c r="B507" s="56"/>
      <c r="C507" s="90" t="s">
        <v>370</v>
      </c>
      <c r="D507" s="230" t="s">
        <v>1757</v>
      </c>
      <c r="E507" s="68" t="s">
        <v>371</v>
      </c>
      <c r="F507" s="91" t="s">
        <v>528</v>
      </c>
      <c r="G507" s="91" t="s">
        <v>528</v>
      </c>
      <c r="H507" s="91" t="s">
        <v>528</v>
      </c>
      <c r="I507" s="91" t="s">
        <v>528</v>
      </c>
      <c r="J507" s="70">
        <v>0.9</v>
      </c>
      <c r="K507" s="71">
        <v>0.98113207547169801</v>
      </c>
      <c r="L507" s="71">
        <v>0.96428571428571397</v>
      </c>
      <c r="M507" s="72">
        <v>0.98181818181818203</v>
      </c>
      <c r="N507" s="71">
        <v>0.98083067092651799</v>
      </c>
      <c r="O507" s="73">
        <v>0.9</v>
      </c>
      <c r="P507" s="71">
        <v>0.98359558085035104</v>
      </c>
      <c r="Q507" s="71">
        <v>0.98416833667334702</v>
      </c>
      <c r="R507" s="71">
        <v>0.984649122807018</v>
      </c>
      <c r="S507" s="71">
        <v>0.98517707918822095</v>
      </c>
      <c r="T507" s="73">
        <v>0.9</v>
      </c>
      <c r="U507" s="71">
        <v>0.91831268831603596</v>
      </c>
      <c r="V507" s="71">
        <v>0.945490981963928</v>
      </c>
      <c r="W507" s="71">
        <v>0.945175438596491</v>
      </c>
      <c r="X507" s="71">
        <v>0.94317548746518098</v>
      </c>
      <c r="Y507" s="73">
        <v>0.92</v>
      </c>
      <c r="Z507" s="73" t="s">
        <v>1710</v>
      </c>
      <c r="AA507" s="73">
        <v>0</v>
      </c>
      <c r="AB507" s="73">
        <v>0</v>
      </c>
      <c r="AC507" s="73">
        <v>0</v>
      </c>
      <c r="AD507" s="73">
        <v>0.92</v>
      </c>
      <c r="AE507" s="71">
        <v>0.990291262135922</v>
      </c>
      <c r="AF507" s="71">
        <v>0.96078431372549</v>
      </c>
      <c r="AG507" s="71">
        <v>0.969387755102041</v>
      </c>
      <c r="AH507" s="71">
        <v>0.93590869183494296</v>
      </c>
      <c r="AI507" s="73">
        <v>0.92</v>
      </c>
      <c r="AJ507" s="71">
        <v>0.97673645729478198</v>
      </c>
      <c r="AK507" s="71">
        <v>0.98878205128205099</v>
      </c>
      <c r="AL507" s="71">
        <v>0.98943802311677997</v>
      </c>
      <c r="AM507" s="71">
        <v>0.98974114278897796</v>
      </c>
      <c r="AN507" s="70">
        <v>0.99</v>
      </c>
      <c r="AO507" s="75">
        <v>1</v>
      </c>
      <c r="AP507" s="75">
        <v>1</v>
      </c>
      <c r="AQ507" s="75">
        <v>1</v>
      </c>
      <c r="AR507" s="75">
        <v>1</v>
      </c>
      <c r="AS507" s="95">
        <v>0.05</v>
      </c>
      <c r="AT507" s="79">
        <v>0.2</v>
      </c>
      <c r="AU507" s="79">
        <v>0</v>
      </c>
      <c r="AV507" s="79">
        <v>0</v>
      </c>
      <c r="AW507" s="79">
        <v>3.4188034188034198E-2</v>
      </c>
      <c r="AX507" s="56"/>
      <c r="AY507" s="54"/>
    </row>
    <row r="508" spans="1:51">
      <c r="A508" s="53"/>
      <c r="B508" s="56"/>
      <c r="C508" s="90" t="s">
        <v>370</v>
      </c>
      <c r="D508" s="230" t="s">
        <v>1757</v>
      </c>
      <c r="E508" s="68" t="s">
        <v>371</v>
      </c>
      <c r="F508" s="91" t="s">
        <v>529</v>
      </c>
      <c r="G508" s="91" t="s">
        <v>529</v>
      </c>
      <c r="H508" s="91" t="s">
        <v>529</v>
      </c>
      <c r="I508" s="91" t="s">
        <v>529</v>
      </c>
      <c r="J508" s="70">
        <v>0.9</v>
      </c>
      <c r="K508" s="71">
        <v>0.88888888888888895</v>
      </c>
      <c r="L508" s="71">
        <v>0.95454545454545503</v>
      </c>
      <c r="M508" s="72">
        <v>0.90476190476190499</v>
      </c>
      <c r="N508" s="71">
        <v>0.91322314049586795</v>
      </c>
      <c r="O508" s="73">
        <v>0.9</v>
      </c>
      <c r="P508" s="71">
        <v>0.96165884194053197</v>
      </c>
      <c r="Q508" s="71">
        <v>0.98862559241706205</v>
      </c>
      <c r="R508" s="71">
        <v>0.988668555240793</v>
      </c>
      <c r="S508" s="71">
        <v>0.97438043427721199</v>
      </c>
      <c r="T508" s="73">
        <v>0.9</v>
      </c>
      <c r="U508" s="71">
        <v>0.91549295774647899</v>
      </c>
      <c r="V508" s="71">
        <v>0.94881516587677694</v>
      </c>
      <c r="W508" s="71">
        <v>0.95845136921624197</v>
      </c>
      <c r="X508" s="71">
        <v>0.93741572511275395</v>
      </c>
      <c r="Y508" s="73">
        <v>0.92</v>
      </c>
      <c r="Z508" s="73" t="s">
        <v>1710</v>
      </c>
      <c r="AA508" s="73" t="s">
        <v>1710</v>
      </c>
      <c r="AB508" s="73" t="s">
        <v>1710</v>
      </c>
      <c r="AC508" s="73">
        <v>1</v>
      </c>
      <c r="AD508" s="73">
        <v>0.92</v>
      </c>
      <c r="AE508" s="71">
        <v>1</v>
      </c>
      <c r="AF508" s="71">
        <v>0.97499999999999998</v>
      </c>
      <c r="AG508" s="71">
        <v>1</v>
      </c>
      <c r="AH508" s="71">
        <v>0.98253968253968205</v>
      </c>
      <c r="AI508" s="73">
        <v>0.92</v>
      </c>
      <c r="AJ508" s="71">
        <v>0.96255850234009399</v>
      </c>
      <c r="AK508" s="71">
        <v>0.98672985781990497</v>
      </c>
      <c r="AL508" s="71">
        <v>0.98394711992445705</v>
      </c>
      <c r="AM508" s="71">
        <v>0.98363932140367205</v>
      </c>
      <c r="AN508" s="70">
        <v>0.99</v>
      </c>
      <c r="AO508" s="75">
        <v>1</v>
      </c>
      <c r="AP508" s="75">
        <v>1</v>
      </c>
      <c r="AQ508" s="75">
        <v>1</v>
      </c>
      <c r="AR508" s="75">
        <v>1</v>
      </c>
      <c r="AS508" s="95">
        <v>0.05</v>
      </c>
      <c r="AT508" s="79">
        <v>0.33333333333333298</v>
      </c>
      <c r="AU508" s="79">
        <v>0</v>
      </c>
      <c r="AV508" s="79">
        <v>0</v>
      </c>
      <c r="AW508" s="79">
        <v>5.3571428571428603E-2</v>
      </c>
      <c r="AX508" s="56"/>
      <c r="AY508" s="54"/>
    </row>
    <row r="509" spans="1:51">
      <c r="A509" s="53"/>
      <c r="B509" s="56"/>
      <c r="C509" s="90" t="s">
        <v>370</v>
      </c>
      <c r="D509" s="230" t="s">
        <v>1757</v>
      </c>
      <c r="E509" s="68" t="s">
        <v>371</v>
      </c>
      <c r="F509" s="91" t="s">
        <v>530</v>
      </c>
      <c r="G509" s="91" t="s">
        <v>530</v>
      </c>
      <c r="H509" s="91" t="s">
        <v>530</v>
      </c>
      <c r="I509" s="91" t="s">
        <v>530</v>
      </c>
      <c r="J509" s="70">
        <v>0.9</v>
      </c>
      <c r="K509" s="71">
        <v>0.907407407407407</v>
      </c>
      <c r="L509" s="71">
        <v>0.88235294117647101</v>
      </c>
      <c r="M509" s="72">
        <v>0.88709677419354804</v>
      </c>
      <c r="N509" s="71">
        <v>0.90291262135922301</v>
      </c>
      <c r="O509" s="73">
        <v>0.9</v>
      </c>
      <c r="P509" s="71">
        <v>0</v>
      </c>
      <c r="Q509" s="71" t="s">
        <v>1710</v>
      </c>
      <c r="R509" s="71" t="s">
        <v>1710</v>
      </c>
      <c r="S509" s="71">
        <v>0</v>
      </c>
      <c r="T509" s="73">
        <v>0.9</v>
      </c>
      <c r="U509" s="71">
        <v>0</v>
      </c>
      <c r="V509" s="71" t="s">
        <v>1710</v>
      </c>
      <c r="W509" s="71" t="s">
        <v>1710</v>
      </c>
      <c r="X509" s="71">
        <v>0.16666666666666699</v>
      </c>
      <c r="Y509" s="73">
        <v>0.92</v>
      </c>
      <c r="Z509" s="73" t="s">
        <v>1710</v>
      </c>
      <c r="AA509" s="73">
        <v>1</v>
      </c>
      <c r="AB509" s="73">
        <v>0</v>
      </c>
      <c r="AC509" s="73">
        <v>0.25</v>
      </c>
      <c r="AD509" s="73">
        <v>0.92</v>
      </c>
      <c r="AE509" s="71">
        <v>1</v>
      </c>
      <c r="AF509" s="71">
        <v>0.99021526418786698</v>
      </c>
      <c r="AG509" s="71">
        <v>0.980582524271845</v>
      </c>
      <c r="AH509" s="71">
        <v>0.99074700970435603</v>
      </c>
      <c r="AI509" s="73">
        <v>0.92</v>
      </c>
      <c r="AJ509" s="71">
        <v>0.93302180685358305</v>
      </c>
      <c r="AK509" s="71">
        <v>0.96815094339622598</v>
      </c>
      <c r="AL509" s="71">
        <v>0.94839694656488505</v>
      </c>
      <c r="AM509" s="71">
        <v>0.96527726364107502</v>
      </c>
      <c r="AN509" s="70">
        <v>0.99</v>
      </c>
      <c r="AO509" s="75">
        <v>1</v>
      </c>
      <c r="AP509" s="75">
        <v>1</v>
      </c>
      <c r="AQ509" s="75">
        <v>1</v>
      </c>
      <c r="AR509" s="75">
        <v>1</v>
      </c>
      <c r="AS509" s="95">
        <v>0.05</v>
      </c>
      <c r="AT509" s="79">
        <v>8.3333333333333301E-2</v>
      </c>
      <c r="AU509" s="79">
        <v>5.5555555555555601E-2</v>
      </c>
      <c r="AV509" s="79">
        <v>0</v>
      </c>
      <c r="AW509" s="79">
        <v>5.5555555555555601E-2</v>
      </c>
      <c r="AX509" s="56"/>
      <c r="AY509" s="54"/>
    </row>
    <row r="510" spans="1:51">
      <c r="A510" s="53"/>
      <c r="B510" s="56"/>
      <c r="C510" s="90" t="s">
        <v>370</v>
      </c>
      <c r="D510" s="230" t="s">
        <v>1757</v>
      </c>
      <c r="E510" s="68" t="s">
        <v>371</v>
      </c>
      <c r="F510" s="91" t="s">
        <v>531</v>
      </c>
      <c r="G510" s="91" t="s">
        <v>531</v>
      </c>
      <c r="H510" s="91" t="s">
        <v>531</v>
      </c>
      <c r="I510" s="91" t="s">
        <v>531</v>
      </c>
      <c r="J510" s="70">
        <v>0.9</v>
      </c>
      <c r="K510" s="71">
        <v>0.936708860759494</v>
      </c>
      <c r="L510" s="71">
        <v>0.949367088607595</v>
      </c>
      <c r="M510" s="72">
        <v>0.91463414634146301</v>
      </c>
      <c r="N510" s="71">
        <v>0.93902439024390205</v>
      </c>
      <c r="O510" s="73">
        <v>0.9</v>
      </c>
      <c r="P510" s="71">
        <v>0</v>
      </c>
      <c r="Q510" s="71">
        <v>0.5</v>
      </c>
      <c r="R510" s="71">
        <v>0</v>
      </c>
      <c r="S510" s="71">
        <v>0.2</v>
      </c>
      <c r="T510" s="73">
        <v>0.9</v>
      </c>
      <c r="U510" s="71">
        <v>0</v>
      </c>
      <c r="V510" s="71">
        <v>0</v>
      </c>
      <c r="W510" s="71">
        <v>0</v>
      </c>
      <c r="X510" s="71">
        <v>0</v>
      </c>
      <c r="Y510" s="73">
        <v>0.92</v>
      </c>
      <c r="Z510" s="73" t="s">
        <v>1710</v>
      </c>
      <c r="AA510" s="73" t="s">
        <v>1710</v>
      </c>
      <c r="AB510" s="73" t="s">
        <v>1710</v>
      </c>
      <c r="AC510" s="73" t="s">
        <v>1710</v>
      </c>
      <c r="AD510" s="73">
        <v>0.92</v>
      </c>
      <c r="AE510" s="71">
        <v>1</v>
      </c>
      <c r="AF510" s="71">
        <v>0.99357601713062105</v>
      </c>
      <c r="AG510" s="71">
        <v>0.98344370860927199</v>
      </c>
      <c r="AH510" s="71">
        <v>0.98741690408357097</v>
      </c>
      <c r="AI510" s="73">
        <v>0.92</v>
      </c>
      <c r="AJ510" s="71">
        <v>0.96799999999999997</v>
      </c>
      <c r="AK510" s="71">
        <v>0.91665631598559205</v>
      </c>
      <c r="AL510" s="71">
        <v>0.92727503490290597</v>
      </c>
      <c r="AM510" s="71">
        <v>0.94621466962922496</v>
      </c>
      <c r="AN510" s="70">
        <v>0.99</v>
      </c>
      <c r="AO510" s="75">
        <v>1</v>
      </c>
      <c r="AP510" s="75">
        <v>1</v>
      </c>
      <c r="AQ510" s="75">
        <v>1</v>
      </c>
      <c r="AR510" s="75">
        <v>1</v>
      </c>
      <c r="AS510" s="95">
        <v>0.05</v>
      </c>
      <c r="AT510" s="79">
        <v>0.11111111111111099</v>
      </c>
      <c r="AU510" s="79">
        <v>0</v>
      </c>
      <c r="AV510" s="79">
        <v>0.29411764705882398</v>
      </c>
      <c r="AW510" s="79">
        <v>9.45945945945946E-2</v>
      </c>
      <c r="AX510" s="56"/>
      <c r="AY510" s="54"/>
    </row>
    <row r="511" spans="1:51">
      <c r="A511" s="53"/>
      <c r="B511" s="56"/>
      <c r="C511" s="90" t="s">
        <v>370</v>
      </c>
      <c r="D511" s="230" t="s">
        <v>1757</v>
      </c>
      <c r="E511" s="68" t="s">
        <v>371</v>
      </c>
      <c r="F511" s="91" t="s">
        <v>532</v>
      </c>
      <c r="G511" s="91" t="s">
        <v>532</v>
      </c>
      <c r="H511" s="91" t="s">
        <v>532</v>
      </c>
      <c r="I511" s="91" t="s">
        <v>532</v>
      </c>
      <c r="J511" s="70">
        <v>0.9</v>
      </c>
      <c r="K511" s="71">
        <v>0.96721311475409799</v>
      </c>
      <c r="L511" s="71">
        <v>0.90625</v>
      </c>
      <c r="M511" s="72">
        <v>0.92063492063492103</v>
      </c>
      <c r="N511" s="71">
        <v>0.93519882179675995</v>
      </c>
      <c r="O511" s="73">
        <v>0.9</v>
      </c>
      <c r="P511" s="71">
        <v>0</v>
      </c>
      <c r="Q511" s="71">
        <v>0</v>
      </c>
      <c r="R511" s="71">
        <v>0.33333333333333298</v>
      </c>
      <c r="S511" s="71">
        <v>6.6666666666666693E-2</v>
      </c>
      <c r="T511" s="73">
        <v>0.9</v>
      </c>
      <c r="U511" s="71">
        <v>0</v>
      </c>
      <c r="V511" s="71">
        <v>0</v>
      </c>
      <c r="W511" s="71">
        <v>0</v>
      </c>
      <c r="X511" s="71">
        <v>0.33333333333333298</v>
      </c>
      <c r="Y511" s="73">
        <v>0.92</v>
      </c>
      <c r="Z511" s="73">
        <v>0</v>
      </c>
      <c r="AA511" s="73">
        <v>0</v>
      </c>
      <c r="AB511" s="73" t="s">
        <v>1710</v>
      </c>
      <c r="AC511" s="73">
        <v>0</v>
      </c>
      <c r="AD511" s="73">
        <v>0.92</v>
      </c>
      <c r="AE511" s="71">
        <v>0.95081967213114704</v>
      </c>
      <c r="AF511" s="71">
        <v>0.943037974683544</v>
      </c>
      <c r="AG511" s="71">
        <v>0.91346153846153799</v>
      </c>
      <c r="AH511" s="71">
        <v>0.91743119266055095</v>
      </c>
      <c r="AI511" s="73">
        <v>0.92</v>
      </c>
      <c r="AJ511" s="71">
        <v>0.96347165400350698</v>
      </c>
      <c r="AK511" s="71">
        <v>0.97827574409852902</v>
      </c>
      <c r="AL511" s="71">
        <v>0.98151602509750702</v>
      </c>
      <c r="AM511" s="71">
        <v>0.981654218153031</v>
      </c>
      <c r="AN511" s="70">
        <v>0.99</v>
      </c>
      <c r="AO511" s="75">
        <v>1</v>
      </c>
      <c r="AP511" s="75">
        <v>1</v>
      </c>
      <c r="AQ511" s="75">
        <v>1</v>
      </c>
      <c r="AR511" s="75">
        <v>1</v>
      </c>
      <c r="AS511" s="95">
        <v>0.05</v>
      </c>
      <c r="AT511" s="79">
        <v>0.16666666666666699</v>
      </c>
      <c r="AU511" s="79">
        <v>0.125</v>
      </c>
      <c r="AV511" s="79">
        <v>0</v>
      </c>
      <c r="AW511" s="79">
        <v>9.2436974789915999E-2</v>
      </c>
      <c r="AX511" s="56"/>
      <c r="AY511" s="54"/>
    </row>
    <row r="512" spans="1:51">
      <c r="A512" s="53"/>
      <c r="B512" s="56"/>
      <c r="C512" s="90" t="s">
        <v>370</v>
      </c>
      <c r="D512" s="230" t="s">
        <v>1757</v>
      </c>
      <c r="E512" s="68" t="s">
        <v>371</v>
      </c>
      <c r="F512" s="91" t="s">
        <v>533</v>
      </c>
      <c r="G512" s="91" t="s">
        <v>533</v>
      </c>
      <c r="H512" s="91" t="s">
        <v>533</v>
      </c>
      <c r="I512" s="91" t="s">
        <v>533</v>
      </c>
      <c r="J512" s="70">
        <v>0.9</v>
      </c>
      <c r="K512" s="71">
        <v>1</v>
      </c>
      <c r="L512" s="71">
        <v>1</v>
      </c>
      <c r="M512" s="72">
        <v>1</v>
      </c>
      <c r="N512" s="71">
        <v>1</v>
      </c>
      <c r="O512" s="73">
        <v>0.9</v>
      </c>
      <c r="P512" s="71">
        <v>0.99009900990098998</v>
      </c>
      <c r="Q512" s="71">
        <v>0.98577524893314405</v>
      </c>
      <c r="R512" s="71">
        <v>0.98622115053393</v>
      </c>
      <c r="S512" s="71">
        <v>0.98826736602367204</v>
      </c>
      <c r="T512" s="73">
        <v>0.9</v>
      </c>
      <c r="U512" s="71">
        <v>0.94917491749174898</v>
      </c>
      <c r="V512" s="71">
        <v>0.97012802275960197</v>
      </c>
      <c r="W512" s="71">
        <v>0.972442301067861</v>
      </c>
      <c r="X512" s="71">
        <v>0.97153110873391102</v>
      </c>
      <c r="Y512" s="73">
        <v>0.92</v>
      </c>
      <c r="Z512" s="73" t="s">
        <v>1710</v>
      </c>
      <c r="AA512" s="73">
        <v>0</v>
      </c>
      <c r="AB512" s="73" t="s">
        <v>1710</v>
      </c>
      <c r="AC512" s="73">
        <v>0</v>
      </c>
      <c r="AD512" s="73">
        <v>0.92</v>
      </c>
      <c r="AE512" s="71">
        <v>0.974683544303797</v>
      </c>
      <c r="AF512" s="71">
        <v>0.984375</v>
      </c>
      <c r="AG512" s="71">
        <v>0.98591549295774605</v>
      </c>
      <c r="AH512" s="71">
        <v>0.97874852420307001</v>
      </c>
      <c r="AI512" s="73">
        <v>0.92</v>
      </c>
      <c r="AJ512" s="71">
        <v>0.97097625329815296</v>
      </c>
      <c r="AK512" s="71">
        <v>0.98506932100959799</v>
      </c>
      <c r="AL512" s="71">
        <v>0.99242163279366202</v>
      </c>
      <c r="AM512" s="71">
        <v>0.98995997791885204</v>
      </c>
      <c r="AN512" s="70">
        <v>0.99</v>
      </c>
      <c r="AO512" s="75">
        <v>1</v>
      </c>
      <c r="AP512" s="75">
        <v>1</v>
      </c>
      <c r="AQ512" s="75">
        <v>1</v>
      </c>
      <c r="AR512" s="75">
        <v>1</v>
      </c>
      <c r="AS512" s="95">
        <v>0.05</v>
      </c>
      <c r="AT512" s="79">
        <v>0</v>
      </c>
      <c r="AU512" s="79">
        <v>0</v>
      </c>
      <c r="AV512" s="79">
        <v>0</v>
      </c>
      <c r="AW512" s="79">
        <v>5.3571428571428603E-2</v>
      </c>
      <c r="AX512" s="56"/>
      <c r="AY512" s="54"/>
    </row>
    <row r="513" spans="1:51">
      <c r="A513" s="53"/>
      <c r="B513" s="56"/>
      <c r="C513" s="90" t="s">
        <v>370</v>
      </c>
      <c r="D513" s="230" t="s">
        <v>1757</v>
      </c>
      <c r="E513" s="68" t="s">
        <v>371</v>
      </c>
      <c r="F513" s="91" t="s">
        <v>534</v>
      </c>
      <c r="G513" s="91" t="s">
        <v>534</v>
      </c>
      <c r="H513" s="91" t="s">
        <v>534</v>
      </c>
      <c r="I513" s="91" t="s">
        <v>534</v>
      </c>
      <c r="J513" s="70">
        <v>0.9</v>
      </c>
      <c r="K513" s="71">
        <v>1</v>
      </c>
      <c r="L513" s="71">
        <v>0.95833333333333304</v>
      </c>
      <c r="M513" s="72">
        <v>1</v>
      </c>
      <c r="N513" s="71">
        <v>0.99640287769784197</v>
      </c>
      <c r="O513" s="73">
        <v>0.9</v>
      </c>
      <c r="P513" s="71">
        <v>0.97243107769423598</v>
      </c>
      <c r="Q513" s="71">
        <v>0.97159324825030902</v>
      </c>
      <c r="R513" s="71">
        <v>0.98041089345437205</v>
      </c>
      <c r="S513" s="71">
        <v>0.97659537672219998</v>
      </c>
      <c r="T513" s="73">
        <v>0.9</v>
      </c>
      <c r="U513" s="71">
        <v>0.92648287385129502</v>
      </c>
      <c r="V513" s="71">
        <v>0.91189790037052298</v>
      </c>
      <c r="W513" s="71">
        <v>0.92116579073100802</v>
      </c>
      <c r="X513" s="71">
        <v>0.93214965123652505</v>
      </c>
      <c r="Y513" s="73">
        <v>0.92</v>
      </c>
      <c r="Z513" s="73">
        <v>0.96556291390728499</v>
      </c>
      <c r="AA513" s="73">
        <v>0.96315789473684199</v>
      </c>
      <c r="AB513" s="73">
        <v>0.96</v>
      </c>
      <c r="AC513" s="73">
        <v>0.96385366564640695</v>
      </c>
      <c r="AD513" s="73">
        <v>0.92</v>
      </c>
      <c r="AE513" s="71">
        <v>1</v>
      </c>
      <c r="AF513" s="71">
        <v>0.99840764331210197</v>
      </c>
      <c r="AG513" s="71">
        <v>1</v>
      </c>
      <c r="AH513" s="71">
        <v>0.99866831541900503</v>
      </c>
      <c r="AI513" s="73">
        <v>0.92</v>
      </c>
      <c r="AJ513" s="71">
        <v>0.97745901639344301</v>
      </c>
      <c r="AK513" s="71">
        <v>0.98199399799933296</v>
      </c>
      <c r="AL513" s="71">
        <v>0.97908678982223796</v>
      </c>
      <c r="AM513" s="71">
        <v>0.98162068395836799</v>
      </c>
      <c r="AN513" s="70">
        <v>0.99</v>
      </c>
      <c r="AO513" s="75">
        <v>1</v>
      </c>
      <c r="AP513" s="75">
        <v>1</v>
      </c>
      <c r="AQ513" s="75">
        <v>1</v>
      </c>
      <c r="AR513" s="75">
        <v>1</v>
      </c>
      <c r="AS513" s="95">
        <v>0.05</v>
      </c>
      <c r="AT513" s="79">
        <v>0</v>
      </c>
      <c r="AU513" s="79">
        <v>0</v>
      </c>
      <c r="AV513" s="79">
        <v>0</v>
      </c>
      <c r="AW513" s="79">
        <v>1.4492753623188401E-2</v>
      </c>
      <c r="AX513" s="56"/>
      <c r="AY513" s="54"/>
    </row>
    <row r="514" spans="1:51">
      <c r="A514" s="53"/>
      <c r="B514" s="56"/>
      <c r="C514" s="90" t="s">
        <v>370</v>
      </c>
      <c r="D514" s="230" t="s">
        <v>1757</v>
      </c>
      <c r="E514" s="68" t="s">
        <v>371</v>
      </c>
      <c r="F514" s="91" t="s">
        <v>535</v>
      </c>
      <c r="G514" s="91" t="s">
        <v>535</v>
      </c>
      <c r="H514" s="91" t="s">
        <v>535</v>
      </c>
      <c r="I514" s="91" t="s">
        <v>535</v>
      </c>
      <c r="J514" s="70">
        <v>0.9</v>
      </c>
      <c r="K514" s="71">
        <v>0.95454545454545503</v>
      </c>
      <c r="L514" s="71">
        <v>0.96153846153846201</v>
      </c>
      <c r="M514" s="72">
        <v>0.98113207547169801</v>
      </c>
      <c r="N514" s="71">
        <v>0.96607142857142903</v>
      </c>
      <c r="O514" s="73">
        <v>0.9</v>
      </c>
      <c r="P514" s="71">
        <v>0</v>
      </c>
      <c r="Q514" s="71">
        <v>0.5</v>
      </c>
      <c r="R514" s="71" t="s">
        <v>1710</v>
      </c>
      <c r="S514" s="71">
        <v>0.33333333333333298</v>
      </c>
      <c r="T514" s="73">
        <v>0.9</v>
      </c>
      <c r="U514" s="71">
        <v>0</v>
      </c>
      <c r="V514" s="71">
        <v>0</v>
      </c>
      <c r="W514" s="71" t="s">
        <v>1710</v>
      </c>
      <c r="X514" s="71">
        <v>0</v>
      </c>
      <c r="Y514" s="73">
        <v>0.92</v>
      </c>
      <c r="Z514" s="73" t="s">
        <v>1710</v>
      </c>
      <c r="AA514" s="73">
        <v>0</v>
      </c>
      <c r="AB514" s="73">
        <v>1</v>
      </c>
      <c r="AC514" s="73">
        <v>0.5</v>
      </c>
      <c r="AD514" s="73">
        <v>0.92</v>
      </c>
      <c r="AE514" s="71">
        <v>0.995444191343964</v>
      </c>
      <c r="AF514" s="71">
        <v>0.99090909090909096</v>
      </c>
      <c r="AG514" s="71">
        <v>0.98780487804878003</v>
      </c>
      <c r="AH514" s="71">
        <v>0.983488733488733</v>
      </c>
      <c r="AI514" s="73">
        <v>0.92</v>
      </c>
      <c r="AJ514" s="71">
        <v>0.93559660509236098</v>
      </c>
      <c r="AK514" s="71">
        <v>0.95640046975924797</v>
      </c>
      <c r="AL514" s="71">
        <v>0.97676912080057199</v>
      </c>
      <c r="AM514" s="71">
        <v>0.97513059474844199</v>
      </c>
      <c r="AN514" s="70">
        <v>0.99</v>
      </c>
      <c r="AO514" s="75">
        <v>1</v>
      </c>
      <c r="AP514" s="75">
        <v>1</v>
      </c>
      <c r="AQ514" s="75">
        <v>1</v>
      </c>
      <c r="AR514" s="75">
        <v>1</v>
      </c>
      <c r="AS514" s="95">
        <v>0.05</v>
      </c>
      <c r="AT514" s="79">
        <v>0.2</v>
      </c>
      <c r="AU514" s="79">
        <v>0</v>
      </c>
      <c r="AV514" s="79">
        <v>0</v>
      </c>
      <c r="AW514" s="79">
        <v>6.0773480662983402E-2</v>
      </c>
      <c r="AX514" s="56"/>
      <c r="AY514" s="54"/>
    </row>
    <row r="515" spans="1:51">
      <c r="A515" s="53"/>
      <c r="B515" s="56"/>
      <c r="C515" s="90" t="s">
        <v>370</v>
      </c>
      <c r="D515" s="230" t="s">
        <v>1757</v>
      </c>
      <c r="E515" s="68" t="s">
        <v>371</v>
      </c>
      <c r="F515" s="91" t="s">
        <v>536</v>
      </c>
      <c r="G515" s="91" t="s">
        <v>536</v>
      </c>
      <c r="H515" s="91" t="s">
        <v>536</v>
      </c>
      <c r="I515" s="91" t="s">
        <v>536</v>
      </c>
      <c r="J515" s="70">
        <v>0.9</v>
      </c>
      <c r="K515" s="71">
        <v>0.93442622950819698</v>
      </c>
      <c r="L515" s="71">
        <v>0.92424242424242398</v>
      </c>
      <c r="M515" s="72">
        <v>0.92063492063492103</v>
      </c>
      <c r="N515" s="71">
        <v>0.92196531791907499</v>
      </c>
      <c r="O515" s="73">
        <v>0.9</v>
      </c>
      <c r="P515" s="71">
        <v>0.91543086172344701</v>
      </c>
      <c r="Q515" s="71">
        <v>0.88945795988049503</v>
      </c>
      <c r="R515" s="71">
        <v>0.862956033676333</v>
      </c>
      <c r="S515" s="71">
        <v>0.919075144508671</v>
      </c>
      <c r="T515" s="73">
        <v>0.9</v>
      </c>
      <c r="U515" s="71">
        <v>0.89979959919839703</v>
      </c>
      <c r="V515" s="71">
        <v>0.83525394793000396</v>
      </c>
      <c r="W515" s="71">
        <v>0.84869036482694105</v>
      </c>
      <c r="X515" s="71">
        <v>0.84141157418861501</v>
      </c>
      <c r="Y515" s="73">
        <v>0.92</v>
      </c>
      <c r="Z515" s="73">
        <v>0.76853642811089595</v>
      </c>
      <c r="AA515" s="73">
        <v>0.79577995478523</v>
      </c>
      <c r="AB515" s="73">
        <v>0.71614100185528795</v>
      </c>
      <c r="AC515" s="73">
        <v>0.80387188982004798</v>
      </c>
      <c r="AD515" s="73">
        <v>0.92</v>
      </c>
      <c r="AE515" s="71">
        <v>0.99887703537338601</v>
      </c>
      <c r="AF515" s="71">
        <v>0.99914236706689497</v>
      </c>
      <c r="AG515" s="71">
        <v>0.99877899877899901</v>
      </c>
      <c r="AH515" s="71">
        <v>0.99804335513104403</v>
      </c>
      <c r="AI515" s="73">
        <v>0.92</v>
      </c>
      <c r="AJ515" s="71">
        <v>0.88142292490118601</v>
      </c>
      <c r="AK515" s="71">
        <v>0.92284669105420702</v>
      </c>
      <c r="AL515" s="71">
        <v>0.87512724804886299</v>
      </c>
      <c r="AM515" s="71">
        <v>0.91341094723479599</v>
      </c>
      <c r="AN515" s="70">
        <v>0.99</v>
      </c>
      <c r="AO515" s="75">
        <v>1</v>
      </c>
      <c r="AP515" s="75">
        <v>1</v>
      </c>
      <c r="AQ515" s="75">
        <v>1</v>
      </c>
      <c r="AR515" s="75">
        <v>1</v>
      </c>
      <c r="AS515" s="95">
        <v>0.05</v>
      </c>
      <c r="AT515" s="79">
        <v>7.69230769230769E-2</v>
      </c>
      <c r="AU515" s="79">
        <v>0</v>
      </c>
      <c r="AV515" s="79">
        <v>6.25E-2</v>
      </c>
      <c r="AW515" s="79">
        <v>2.0576131687242798E-2</v>
      </c>
      <c r="AX515" s="56"/>
      <c r="AY515" s="54"/>
    </row>
    <row r="516" spans="1:51">
      <c r="A516" s="53"/>
      <c r="B516" s="56"/>
      <c r="C516" s="90" t="s">
        <v>370</v>
      </c>
      <c r="D516" s="230" t="s">
        <v>1757</v>
      </c>
      <c r="E516" s="68" t="s">
        <v>371</v>
      </c>
      <c r="F516" s="91" t="s">
        <v>537</v>
      </c>
      <c r="G516" s="91" t="s">
        <v>537</v>
      </c>
      <c r="H516" s="91" t="s">
        <v>537</v>
      </c>
      <c r="I516" s="91" t="s">
        <v>537</v>
      </c>
      <c r="J516" s="70">
        <v>0.9</v>
      </c>
      <c r="K516" s="71">
        <v>0.90909090909090895</v>
      </c>
      <c r="L516" s="71">
        <v>1</v>
      </c>
      <c r="M516" s="72">
        <v>1</v>
      </c>
      <c r="N516" s="71">
        <v>0.95617529880478103</v>
      </c>
      <c r="O516" s="73">
        <v>0.9</v>
      </c>
      <c r="P516" s="71">
        <v>0.97416723317471099</v>
      </c>
      <c r="Q516" s="71">
        <v>0.98037037037037</v>
      </c>
      <c r="R516" s="71">
        <v>0.943674564148413</v>
      </c>
      <c r="S516" s="71">
        <v>0.97818827408378095</v>
      </c>
      <c r="T516" s="73">
        <v>0.9</v>
      </c>
      <c r="U516" s="71">
        <v>0.91298436437797403</v>
      </c>
      <c r="V516" s="71">
        <v>0.94814814814814796</v>
      </c>
      <c r="W516" s="71">
        <v>0.93741618238712598</v>
      </c>
      <c r="X516" s="71">
        <v>0.96064589762015495</v>
      </c>
      <c r="Y516" s="73">
        <v>0.92</v>
      </c>
      <c r="Z516" s="73">
        <v>0</v>
      </c>
      <c r="AA516" s="73" t="s">
        <v>1710</v>
      </c>
      <c r="AB516" s="73" t="s">
        <v>1710</v>
      </c>
      <c r="AC516" s="73">
        <v>0</v>
      </c>
      <c r="AD516" s="73">
        <v>0.92</v>
      </c>
      <c r="AE516" s="71">
        <v>1</v>
      </c>
      <c r="AF516" s="71">
        <v>0.95833333333333304</v>
      </c>
      <c r="AG516" s="71">
        <v>0.98601398601398604</v>
      </c>
      <c r="AH516" s="71">
        <v>0.980946527350953</v>
      </c>
      <c r="AI516" s="73">
        <v>0.92</v>
      </c>
      <c r="AJ516" s="71">
        <v>0.94793779580797799</v>
      </c>
      <c r="AK516" s="71">
        <v>0.99296296296296305</v>
      </c>
      <c r="AL516" s="71">
        <v>0.97273133661153299</v>
      </c>
      <c r="AM516" s="71">
        <v>0.98795740725090897</v>
      </c>
      <c r="AN516" s="70">
        <v>0.99</v>
      </c>
      <c r="AO516" s="75">
        <v>1</v>
      </c>
      <c r="AP516" s="75">
        <v>1</v>
      </c>
      <c r="AQ516" s="75">
        <v>1</v>
      </c>
      <c r="AR516" s="75">
        <v>1</v>
      </c>
      <c r="AS516" s="95">
        <v>0.05</v>
      </c>
      <c r="AT516" s="79">
        <v>0.125</v>
      </c>
      <c r="AU516" s="79">
        <v>0.11111111111111099</v>
      </c>
      <c r="AV516" s="79">
        <v>0</v>
      </c>
      <c r="AW516" s="79">
        <v>5.5555555555555601E-2</v>
      </c>
      <c r="AX516" s="56"/>
      <c r="AY516" s="54"/>
    </row>
    <row r="517" spans="1:51">
      <c r="A517" s="53"/>
      <c r="B517" s="56"/>
      <c r="C517" s="90" t="s">
        <v>370</v>
      </c>
      <c r="D517" s="230" t="s">
        <v>1757</v>
      </c>
      <c r="E517" s="68" t="s">
        <v>371</v>
      </c>
      <c r="F517" s="91" t="s">
        <v>538</v>
      </c>
      <c r="G517" s="91" t="s">
        <v>538</v>
      </c>
      <c r="H517" s="91" t="s">
        <v>538</v>
      </c>
      <c r="I517" s="91" t="s">
        <v>538</v>
      </c>
      <c r="J517" s="70">
        <v>0.9</v>
      </c>
      <c r="K517" s="71">
        <v>0.9375</v>
      </c>
      <c r="L517" s="71">
        <v>0.94117647058823495</v>
      </c>
      <c r="M517" s="72">
        <v>1</v>
      </c>
      <c r="N517" s="71">
        <v>0.97164948453608202</v>
      </c>
      <c r="O517" s="73">
        <v>0.9</v>
      </c>
      <c r="P517" s="71">
        <v>0.66666666666666696</v>
      </c>
      <c r="Q517" s="71">
        <v>0.5</v>
      </c>
      <c r="R517" s="71">
        <v>1</v>
      </c>
      <c r="S517" s="71">
        <v>0.77777777777777801</v>
      </c>
      <c r="T517" s="73">
        <v>0.9</v>
      </c>
      <c r="U517" s="71">
        <v>0.33333333333333298</v>
      </c>
      <c r="V517" s="71">
        <v>0.5</v>
      </c>
      <c r="W517" s="71">
        <v>0</v>
      </c>
      <c r="X517" s="71">
        <v>0.55555555555555602</v>
      </c>
      <c r="Y517" s="73">
        <v>0.92</v>
      </c>
      <c r="Z517" s="73" t="s">
        <v>1710</v>
      </c>
      <c r="AA517" s="73" t="s">
        <v>1710</v>
      </c>
      <c r="AB517" s="73" t="s">
        <v>1710</v>
      </c>
      <c r="AC517" s="73" t="s">
        <v>1710</v>
      </c>
      <c r="AD517" s="73">
        <v>0.92</v>
      </c>
      <c r="AE517" s="71">
        <v>1</v>
      </c>
      <c r="AF517" s="71">
        <v>1</v>
      </c>
      <c r="AG517" s="71">
        <v>0.98492462311557805</v>
      </c>
      <c r="AH517" s="71">
        <v>0.99644055730702696</v>
      </c>
      <c r="AI517" s="73">
        <v>0.92</v>
      </c>
      <c r="AJ517" s="71">
        <v>0.98799563477628205</v>
      </c>
      <c r="AK517" s="71">
        <v>0.99317180616740097</v>
      </c>
      <c r="AL517" s="71">
        <v>0.95917016111233699</v>
      </c>
      <c r="AM517" s="71">
        <v>0.99054812257229197</v>
      </c>
      <c r="AN517" s="70">
        <v>0.99</v>
      </c>
      <c r="AO517" s="75">
        <v>1</v>
      </c>
      <c r="AP517" s="75">
        <v>1</v>
      </c>
      <c r="AQ517" s="75">
        <v>1</v>
      </c>
      <c r="AR517" s="75">
        <v>1</v>
      </c>
      <c r="AS517" s="95">
        <v>0.05</v>
      </c>
      <c r="AT517" s="79">
        <v>0</v>
      </c>
      <c r="AU517" s="79">
        <v>0</v>
      </c>
      <c r="AV517" s="79">
        <v>9.0909090909090898E-2</v>
      </c>
      <c r="AW517" s="79">
        <v>4.1958041958042001E-2</v>
      </c>
      <c r="AX517" s="56"/>
      <c r="AY517" s="54"/>
    </row>
    <row r="518" spans="1:51">
      <c r="A518" s="53"/>
      <c r="B518" s="56"/>
      <c r="C518" s="90" t="s">
        <v>370</v>
      </c>
      <c r="D518" s="230" t="s">
        <v>1757</v>
      </c>
      <c r="E518" s="68" t="s">
        <v>371</v>
      </c>
      <c r="F518" s="91" t="s">
        <v>539</v>
      </c>
      <c r="G518" s="91" t="s">
        <v>539</v>
      </c>
      <c r="H518" s="91" t="s">
        <v>539</v>
      </c>
      <c r="I518" s="91" t="s">
        <v>539</v>
      </c>
      <c r="J518" s="70">
        <v>0.9</v>
      </c>
      <c r="K518" s="71">
        <v>1</v>
      </c>
      <c r="L518" s="71">
        <v>1</v>
      </c>
      <c r="M518" s="72">
        <v>0.94117647058823495</v>
      </c>
      <c r="N518" s="71">
        <v>0.94892473118279597</v>
      </c>
      <c r="O518" s="73">
        <v>0.9</v>
      </c>
      <c r="P518" s="71">
        <v>0.96151972722844603</v>
      </c>
      <c r="Q518" s="71">
        <v>0.96831364124597197</v>
      </c>
      <c r="R518" s="71">
        <v>0.96466212027278397</v>
      </c>
      <c r="S518" s="71">
        <v>0.95145743479896905</v>
      </c>
      <c r="T518" s="73">
        <v>0.9</v>
      </c>
      <c r="U518" s="71">
        <v>0.91086215294690698</v>
      </c>
      <c r="V518" s="71">
        <v>0.89044038668098802</v>
      </c>
      <c r="W518" s="71">
        <v>0.92219466831990105</v>
      </c>
      <c r="X518" s="71">
        <v>0.913480186412713</v>
      </c>
      <c r="Y518" s="73">
        <v>0.92</v>
      </c>
      <c r="Z518" s="73">
        <v>1</v>
      </c>
      <c r="AA518" s="73" t="s">
        <v>1710</v>
      </c>
      <c r="AB518" s="73" t="s">
        <v>1710</v>
      </c>
      <c r="AC518" s="73">
        <v>1</v>
      </c>
      <c r="AD518" s="73">
        <v>0.92</v>
      </c>
      <c r="AE518" s="71">
        <v>0.96341463414634099</v>
      </c>
      <c r="AF518" s="71">
        <v>1</v>
      </c>
      <c r="AG518" s="71">
        <v>1</v>
      </c>
      <c r="AH518" s="71">
        <v>0.98230563002681004</v>
      </c>
      <c r="AI518" s="73">
        <v>0.92</v>
      </c>
      <c r="AJ518" s="71">
        <v>0.96007789678675803</v>
      </c>
      <c r="AK518" s="71">
        <v>0.968582169709989</v>
      </c>
      <c r="AL518" s="71">
        <v>0.97396156230626196</v>
      </c>
      <c r="AM518" s="71">
        <v>0.97609123538265596</v>
      </c>
      <c r="AN518" s="70">
        <v>0.99</v>
      </c>
      <c r="AO518" s="75">
        <v>1</v>
      </c>
      <c r="AP518" s="75">
        <v>1</v>
      </c>
      <c r="AQ518" s="75">
        <v>1</v>
      </c>
      <c r="AR518" s="75">
        <v>1</v>
      </c>
      <c r="AS518" s="95">
        <v>0.05</v>
      </c>
      <c r="AT518" s="79">
        <v>5.8823529411764698E-2</v>
      </c>
      <c r="AU518" s="79">
        <v>0.14285714285714299</v>
      </c>
      <c r="AV518" s="79">
        <v>0</v>
      </c>
      <c r="AW518" s="79">
        <v>4.08163265306122E-2</v>
      </c>
      <c r="AX518" s="56"/>
      <c r="AY518" s="54"/>
    </row>
    <row r="519" spans="1:51">
      <c r="A519" s="53"/>
      <c r="B519" s="56"/>
      <c r="C519" s="90" t="s">
        <v>370</v>
      </c>
      <c r="D519" s="230" t="s">
        <v>1757</v>
      </c>
      <c r="E519" s="68" t="s">
        <v>371</v>
      </c>
      <c r="F519" s="91" t="s">
        <v>540</v>
      </c>
      <c r="G519" s="91" t="s">
        <v>540</v>
      </c>
      <c r="H519" s="91" t="s">
        <v>540</v>
      </c>
      <c r="I519" s="91" t="s">
        <v>540</v>
      </c>
      <c r="J519" s="70">
        <v>0.9</v>
      </c>
      <c r="K519" s="71">
        <v>0.952380952380952</v>
      </c>
      <c r="L519" s="71">
        <v>1</v>
      </c>
      <c r="M519" s="72">
        <v>0.952380952380952</v>
      </c>
      <c r="N519" s="71">
        <v>0.98173515981735204</v>
      </c>
      <c r="O519" s="73">
        <v>0.9</v>
      </c>
      <c r="P519" s="71">
        <v>0.98106060606060597</v>
      </c>
      <c r="Q519" s="71">
        <v>0.97125097125097104</v>
      </c>
      <c r="R519" s="71">
        <v>0.98814655172413801</v>
      </c>
      <c r="S519" s="71">
        <v>0.96451104100946405</v>
      </c>
      <c r="T519" s="73">
        <v>0.9</v>
      </c>
      <c r="U519" s="71">
        <v>0.95265151515151503</v>
      </c>
      <c r="V519" s="71">
        <v>0.91841491841491796</v>
      </c>
      <c r="W519" s="71">
        <v>0.96551724137931005</v>
      </c>
      <c r="X519" s="71">
        <v>0.94686514195583604</v>
      </c>
      <c r="Y519" s="73">
        <v>0.92</v>
      </c>
      <c r="Z519" s="73">
        <v>0.95769230769230795</v>
      </c>
      <c r="AA519" s="73">
        <v>0.95726495726495697</v>
      </c>
      <c r="AB519" s="73">
        <v>0.97356426618049197</v>
      </c>
      <c r="AC519" s="73">
        <v>0.96114435609476201</v>
      </c>
      <c r="AD519" s="73">
        <v>0.92</v>
      </c>
      <c r="AE519" s="71">
        <v>1</v>
      </c>
      <c r="AF519" s="71">
        <v>0.98</v>
      </c>
      <c r="AG519" s="71">
        <v>0.96428571428571397</v>
      </c>
      <c r="AH519" s="71">
        <v>0.97252747252747296</v>
      </c>
      <c r="AI519" s="73">
        <v>0.92</v>
      </c>
      <c r="AJ519" s="71">
        <v>0.96613872200983097</v>
      </c>
      <c r="AK519" s="71">
        <v>0.95879396984924603</v>
      </c>
      <c r="AL519" s="71">
        <v>0.98172839506172804</v>
      </c>
      <c r="AM519" s="71">
        <v>0.97148475909537901</v>
      </c>
      <c r="AN519" s="70">
        <v>0.99</v>
      </c>
      <c r="AO519" s="75">
        <v>1</v>
      </c>
      <c r="AP519" s="75">
        <v>1</v>
      </c>
      <c r="AQ519" s="75">
        <v>1</v>
      </c>
      <c r="AR519" s="75">
        <v>1</v>
      </c>
      <c r="AS519" s="95">
        <v>0.05</v>
      </c>
      <c r="AT519" s="79">
        <v>0</v>
      </c>
      <c r="AU519" s="79">
        <v>0</v>
      </c>
      <c r="AV519" s="79">
        <v>0.33333333333333298</v>
      </c>
      <c r="AW519" s="79">
        <v>4.8780487804878099E-2</v>
      </c>
      <c r="AX519" s="56"/>
      <c r="AY519" s="54"/>
    </row>
    <row r="520" spans="1:51">
      <c r="A520" s="53"/>
      <c r="B520" s="56"/>
      <c r="C520" s="90" t="s">
        <v>370</v>
      </c>
      <c r="D520" s="230" t="s">
        <v>1757</v>
      </c>
      <c r="E520" s="68" t="s">
        <v>371</v>
      </c>
      <c r="F520" s="91" t="s">
        <v>541</v>
      </c>
      <c r="G520" s="91" t="s">
        <v>541</v>
      </c>
      <c r="H520" s="91" t="s">
        <v>541</v>
      </c>
      <c r="I520" s="91" t="s">
        <v>541</v>
      </c>
      <c r="J520" s="70">
        <v>0.9</v>
      </c>
      <c r="K520" s="71">
        <v>0.95384615384615401</v>
      </c>
      <c r="L520" s="71">
        <v>0.88235294117647101</v>
      </c>
      <c r="M520" s="72">
        <v>0.86885245901639296</v>
      </c>
      <c r="N520" s="71">
        <v>0.90883190883190901</v>
      </c>
      <c r="O520" s="73">
        <v>0.9</v>
      </c>
      <c r="P520" s="71">
        <v>0.78173719376392004</v>
      </c>
      <c r="Q520" s="71">
        <v>0.81598002496878896</v>
      </c>
      <c r="R520" s="71">
        <v>0.83872126436781602</v>
      </c>
      <c r="S520" s="71">
        <v>0.83021128981393899</v>
      </c>
      <c r="T520" s="73">
        <v>0.9</v>
      </c>
      <c r="U520" s="71">
        <v>0.77783964365256097</v>
      </c>
      <c r="V520" s="71">
        <v>0.73233458177278399</v>
      </c>
      <c r="W520" s="71">
        <v>0.77083333333333304</v>
      </c>
      <c r="X520" s="71">
        <v>0.790854619993693</v>
      </c>
      <c r="Y520" s="73">
        <v>0.92</v>
      </c>
      <c r="Z520" s="73">
        <v>0.87362281270252795</v>
      </c>
      <c r="AA520" s="73">
        <v>0.75947056138749403</v>
      </c>
      <c r="AB520" s="73">
        <v>0.829690346083789</v>
      </c>
      <c r="AC520" s="73">
        <v>0.84807960618106204</v>
      </c>
      <c r="AD520" s="73">
        <v>0.92</v>
      </c>
      <c r="AE520" s="71">
        <v>0.99632352941176505</v>
      </c>
      <c r="AF520" s="71">
        <v>0.99312714776632305</v>
      </c>
      <c r="AG520" s="71">
        <v>0.98618090452261298</v>
      </c>
      <c r="AH520" s="71">
        <v>0.99455109397267205</v>
      </c>
      <c r="AI520" s="73">
        <v>0.92</v>
      </c>
      <c r="AJ520" s="71">
        <v>0.89463035019455295</v>
      </c>
      <c r="AK520" s="71">
        <v>0.87266279819471304</v>
      </c>
      <c r="AL520" s="71">
        <v>0.878369493754109</v>
      </c>
      <c r="AM520" s="71">
        <v>0.89144175780074197</v>
      </c>
      <c r="AN520" s="70">
        <v>0.99</v>
      </c>
      <c r="AO520" s="75">
        <v>1</v>
      </c>
      <c r="AP520" s="75">
        <v>1</v>
      </c>
      <c r="AQ520" s="75">
        <v>1</v>
      </c>
      <c r="AR520" s="75">
        <v>1</v>
      </c>
      <c r="AS520" s="95">
        <v>0.05</v>
      </c>
      <c r="AT520" s="79">
        <v>0.3125</v>
      </c>
      <c r="AU520" s="79">
        <v>9.5238095238095205E-2</v>
      </c>
      <c r="AV520" s="79">
        <v>0.238095238095238</v>
      </c>
      <c r="AW520" s="79">
        <v>0.105263157894737</v>
      </c>
      <c r="AX520" s="56"/>
      <c r="AY520" s="54"/>
    </row>
    <row r="521" spans="1:51">
      <c r="A521" s="53"/>
      <c r="B521" s="56"/>
      <c r="C521" s="90" t="s">
        <v>370</v>
      </c>
      <c r="D521" s="230" t="s">
        <v>1757</v>
      </c>
      <c r="E521" s="68" t="s">
        <v>371</v>
      </c>
      <c r="F521" s="91" t="s">
        <v>542</v>
      </c>
      <c r="G521" s="91" t="s">
        <v>542</v>
      </c>
      <c r="H521" s="91" t="s">
        <v>542</v>
      </c>
      <c r="I521" s="91" t="s">
        <v>542</v>
      </c>
      <c r="J521" s="70">
        <v>0.9</v>
      </c>
      <c r="K521" s="71">
        <v>0.98571428571428599</v>
      </c>
      <c r="L521" s="71">
        <v>0.987341772151899</v>
      </c>
      <c r="M521" s="72">
        <v>1</v>
      </c>
      <c r="N521" s="71">
        <v>0.98533007334963296</v>
      </c>
      <c r="O521" s="73">
        <v>0.9</v>
      </c>
      <c r="P521" s="71">
        <v>0.959361393323657</v>
      </c>
      <c r="Q521" s="71">
        <v>0.97200699825043702</v>
      </c>
      <c r="R521" s="71">
        <v>0.97032040472175396</v>
      </c>
      <c r="S521" s="71">
        <v>0.966283568181176</v>
      </c>
      <c r="T521" s="73">
        <v>0.9</v>
      </c>
      <c r="U521" s="71">
        <v>0.87131107885824899</v>
      </c>
      <c r="V521" s="71">
        <v>0.88477880529867503</v>
      </c>
      <c r="W521" s="71">
        <v>0.90792580101180398</v>
      </c>
      <c r="X521" s="71">
        <v>0.90622087933809603</v>
      </c>
      <c r="Y521" s="73">
        <v>0.92</v>
      </c>
      <c r="Z521" s="73">
        <v>0.87680785123966898</v>
      </c>
      <c r="AA521" s="73">
        <v>0.92251815980629503</v>
      </c>
      <c r="AB521" s="73">
        <v>0.88205474822575203</v>
      </c>
      <c r="AC521" s="73">
        <v>0.911517768410952</v>
      </c>
      <c r="AD521" s="73">
        <v>0.92</v>
      </c>
      <c r="AE521" s="71">
        <v>0.99603174603174605</v>
      </c>
      <c r="AF521" s="71">
        <v>0.99745547073791396</v>
      </c>
      <c r="AG521" s="71">
        <v>1</v>
      </c>
      <c r="AH521" s="71">
        <v>0.99694811800610394</v>
      </c>
      <c r="AI521" s="73">
        <v>0.92</v>
      </c>
      <c r="AJ521" s="71">
        <v>0.90802085084916795</v>
      </c>
      <c r="AK521" s="71">
        <v>0.94961304133047897</v>
      </c>
      <c r="AL521" s="71">
        <v>0.92665655032878103</v>
      </c>
      <c r="AM521" s="71">
        <v>0.94789572961439705</v>
      </c>
      <c r="AN521" s="70">
        <v>0.99</v>
      </c>
      <c r="AO521" s="75">
        <v>1</v>
      </c>
      <c r="AP521" s="75">
        <v>1</v>
      </c>
      <c r="AQ521" s="75">
        <v>1</v>
      </c>
      <c r="AR521" s="75">
        <v>1</v>
      </c>
      <c r="AS521" s="95">
        <v>0.05</v>
      </c>
      <c r="AT521" s="79">
        <v>0</v>
      </c>
      <c r="AU521" s="79">
        <v>5.8823529411764698E-2</v>
      </c>
      <c r="AV521" s="79">
        <v>5.5555555555555601E-2</v>
      </c>
      <c r="AW521" s="79">
        <v>3.4334763948497903E-2</v>
      </c>
      <c r="AX521" s="56"/>
      <c r="AY521" s="54"/>
    </row>
    <row r="522" spans="1:51">
      <c r="A522" s="53"/>
      <c r="B522" s="56"/>
      <c r="C522" s="90" t="s">
        <v>370</v>
      </c>
      <c r="D522" s="230" t="s">
        <v>1757</v>
      </c>
      <c r="E522" s="68" t="s">
        <v>371</v>
      </c>
      <c r="F522" s="91" t="s">
        <v>543</v>
      </c>
      <c r="G522" s="91" t="s">
        <v>543</v>
      </c>
      <c r="H522" s="91" t="s">
        <v>543</v>
      </c>
      <c r="I522" s="91" t="s">
        <v>543</v>
      </c>
      <c r="J522" s="70">
        <v>0.9</v>
      </c>
      <c r="K522" s="71">
        <v>0.98245614035087703</v>
      </c>
      <c r="L522" s="71">
        <v>1</v>
      </c>
      <c r="M522" s="72">
        <v>1</v>
      </c>
      <c r="N522" s="71">
        <v>0.99189627228525101</v>
      </c>
      <c r="O522" s="73">
        <v>0.9</v>
      </c>
      <c r="P522" s="71">
        <v>0.95248653785239101</v>
      </c>
      <c r="Q522" s="71">
        <v>0.91250810110174996</v>
      </c>
      <c r="R522" s="71">
        <v>0.94804964539007097</v>
      </c>
      <c r="S522" s="71">
        <v>0.95449639661595198</v>
      </c>
      <c r="T522" s="73">
        <v>0.9</v>
      </c>
      <c r="U522" s="71">
        <v>0.90212226797592698</v>
      </c>
      <c r="V522" s="71">
        <v>0.81983149708360303</v>
      </c>
      <c r="W522" s="71">
        <v>0.89521276595744703</v>
      </c>
      <c r="X522" s="71">
        <v>0.90446680360686604</v>
      </c>
      <c r="Y522" s="73">
        <v>0.92</v>
      </c>
      <c r="Z522" s="73">
        <v>0.33333333333333298</v>
      </c>
      <c r="AA522" s="73">
        <v>0</v>
      </c>
      <c r="AB522" s="73" t="s">
        <v>1710</v>
      </c>
      <c r="AC522" s="73">
        <v>0.25</v>
      </c>
      <c r="AD522" s="73">
        <v>0.92</v>
      </c>
      <c r="AE522" s="71">
        <v>0.997647058823529</v>
      </c>
      <c r="AF522" s="71">
        <v>0.99382716049382702</v>
      </c>
      <c r="AG522" s="71">
        <v>0.97039473684210498</v>
      </c>
      <c r="AH522" s="71">
        <v>0.98961480362537801</v>
      </c>
      <c r="AI522" s="73">
        <v>0.92</v>
      </c>
      <c r="AJ522" s="71">
        <v>0.963607594936709</v>
      </c>
      <c r="AK522" s="71">
        <v>0.95221124250769495</v>
      </c>
      <c r="AL522" s="71">
        <v>0.97411347517730495</v>
      </c>
      <c r="AM522" s="71">
        <v>0.97331592689294999</v>
      </c>
      <c r="AN522" s="70">
        <v>0.99</v>
      </c>
      <c r="AO522" s="75">
        <v>1</v>
      </c>
      <c r="AP522" s="75">
        <v>1</v>
      </c>
      <c r="AQ522" s="75">
        <v>1</v>
      </c>
      <c r="AR522" s="75">
        <v>1</v>
      </c>
      <c r="AS522" s="95">
        <v>0.05</v>
      </c>
      <c r="AT522" s="79">
        <v>0.18181818181818199</v>
      </c>
      <c r="AU522" s="79">
        <v>0</v>
      </c>
      <c r="AV522" s="79">
        <v>5.8823529411764698E-2</v>
      </c>
      <c r="AW522" s="79">
        <v>6.25E-2</v>
      </c>
      <c r="AX522" s="56"/>
      <c r="AY522" s="54"/>
    </row>
    <row r="523" spans="1:51">
      <c r="A523" s="53"/>
      <c r="B523" s="56"/>
      <c r="C523" s="90" t="s">
        <v>370</v>
      </c>
      <c r="D523" s="230" t="s">
        <v>1757</v>
      </c>
      <c r="E523" s="68" t="s">
        <v>371</v>
      </c>
      <c r="F523" s="91" t="s">
        <v>544</v>
      </c>
      <c r="G523" s="91" t="s">
        <v>544</v>
      </c>
      <c r="H523" s="91" t="s">
        <v>544</v>
      </c>
      <c r="I523" s="91" t="s">
        <v>544</v>
      </c>
      <c r="J523" s="70">
        <v>0.9</v>
      </c>
      <c r="K523" s="71">
        <v>0.95081967213114704</v>
      </c>
      <c r="L523" s="71">
        <v>0.98333333333333295</v>
      </c>
      <c r="M523" s="72">
        <v>0.98214285714285698</v>
      </c>
      <c r="N523" s="71">
        <v>0.96242774566473999</v>
      </c>
      <c r="O523" s="73">
        <v>0.9</v>
      </c>
      <c r="P523" s="71">
        <v>0.93524199045671397</v>
      </c>
      <c r="Q523" s="71">
        <v>0.87069458748140505</v>
      </c>
      <c r="R523" s="71">
        <v>0.92765776009096101</v>
      </c>
      <c r="S523" s="71">
        <v>0.92705483200175098</v>
      </c>
      <c r="T523" s="73">
        <v>0.9</v>
      </c>
      <c r="U523" s="71">
        <v>0.91501931379232004</v>
      </c>
      <c r="V523" s="71">
        <v>0.89426707861311405</v>
      </c>
      <c r="W523" s="71">
        <v>0.94499715747583901</v>
      </c>
      <c r="X523" s="71">
        <v>0.92899748276239502</v>
      </c>
      <c r="Y523" s="73">
        <v>0.92</v>
      </c>
      <c r="Z523" s="73" t="s">
        <v>1710</v>
      </c>
      <c r="AA523" s="73" t="s">
        <v>1710</v>
      </c>
      <c r="AB523" s="73" t="s">
        <v>1710</v>
      </c>
      <c r="AC523" s="73" t="s">
        <v>1710</v>
      </c>
      <c r="AD523" s="73">
        <v>0.92</v>
      </c>
      <c r="AE523" s="71">
        <v>0.999191592562652</v>
      </c>
      <c r="AF523" s="71">
        <v>0.99646954986760805</v>
      </c>
      <c r="AG523" s="71">
        <v>0.99352750809061496</v>
      </c>
      <c r="AH523" s="71">
        <v>0.99537480063795902</v>
      </c>
      <c r="AI523" s="73">
        <v>0.92</v>
      </c>
      <c r="AJ523" s="71">
        <v>0.97137014314928405</v>
      </c>
      <c r="AK523" s="71">
        <v>0.97894495937750303</v>
      </c>
      <c r="AL523" s="71">
        <v>0.98479249573621397</v>
      </c>
      <c r="AM523" s="71">
        <v>0.98214676589690297</v>
      </c>
      <c r="AN523" s="70">
        <v>0.99</v>
      </c>
      <c r="AO523" s="75">
        <v>1</v>
      </c>
      <c r="AP523" s="75">
        <v>1</v>
      </c>
      <c r="AQ523" s="75">
        <v>1</v>
      </c>
      <c r="AR523" s="75">
        <v>1</v>
      </c>
      <c r="AS523" s="95">
        <v>0.05</v>
      </c>
      <c r="AT523" s="79">
        <v>0</v>
      </c>
      <c r="AU523" s="79">
        <v>0</v>
      </c>
      <c r="AV523" s="79">
        <v>0.2</v>
      </c>
      <c r="AW523" s="79">
        <v>7.2289156626505993E-2</v>
      </c>
      <c r="AX523" s="56"/>
      <c r="AY523" s="54"/>
    </row>
    <row r="524" spans="1:51">
      <c r="A524" s="53"/>
      <c r="B524" s="56"/>
      <c r="C524" s="90" t="s">
        <v>370</v>
      </c>
      <c r="D524" s="230" t="s">
        <v>1757</v>
      </c>
      <c r="E524" s="68" t="s">
        <v>371</v>
      </c>
      <c r="F524" s="91" t="s">
        <v>545</v>
      </c>
      <c r="G524" s="91" t="s">
        <v>545</v>
      </c>
      <c r="H524" s="91" t="s">
        <v>545</v>
      </c>
      <c r="I524" s="91" t="s">
        <v>545</v>
      </c>
      <c r="J524" s="70">
        <v>0.9</v>
      </c>
      <c r="K524" s="71">
        <v>1</v>
      </c>
      <c r="L524" s="71">
        <v>1</v>
      </c>
      <c r="M524" s="72">
        <v>0.9375</v>
      </c>
      <c r="N524" s="71">
        <v>0.98901098901098905</v>
      </c>
      <c r="O524" s="73">
        <v>0.9</v>
      </c>
      <c r="P524" s="71">
        <v>0.90809628008752696</v>
      </c>
      <c r="Q524" s="71">
        <v>0.96567717996289404</v>
      </c>
      <c r="R524" s="71">
        <v>0.96984924623115598</v>
      </c>
      <c r="S524" s="71">
        <v>0.96891314665400996</v>
      </c>
      <c r="T524" s="73">
        <v>0.9</v>
      </c>
      <c r="U524" s="71">
        <v>0.844638949671772</v>
      </c>
      <c r="V524" s="71">
        <v>0.80055658627087201</v>
      </c>
      <c r="W524" s="71">
        <v>0.88442211055276398</v>
      </c>
      <c r="X524" s="71">
        <v>0.88787375415282399</v>
      </c>
      <c r="Y524" s="73">
        <v>0.92</v>
      </c>
      <c r="Z524" s="73">
        <v>0.94360902255639101</v>
      </c>
      <c r="AA524" s="73">
        <v>0.95353535353535401</v>
      </c>
      <c r="AB524" s="73">
        <v>0.93422818791946305</v>
      </c>
      <c r="AC524" s="73">
        <v>0.95076498331991299</v>
      </c>
      <c r="AD524" s="73">
        <v>0.92</v>
      </c>
      <c r="AE524" s="71">
        <v>0.99137931034482796</v>
      </c>
      <c r="AF524" s="71">
        <v>1</v>
      </c>
      <c r="AG524" s="71">
        <v>0.987179487179487</v>
      </c>
      <c r="AH524" s="71">
        <v>0.987179487179487</v>
      </c>
      <c r="AI524" s="73">
        <v>0.92</v>
      </c>
      <c r="AJ524" s="71">
        <v>0.95075508864084002</v>
      </c>
      <c r="AK524" s="71">
        <v>0.97460317460317503</v>
      </c>
      <c r="AL524" s="71">
        <v>0.95265888456549896</v>
      </c>
      <c r="AM524" s="71">
        <v>0.96715285880980195</v>
      </c>
      <c r="AN524" s="70">
        <v>0.99</v>
      </c>
      <c r="AO524" s="75">
        <v>1</v>
      </c>
      <c r="AP524" s="75">
        <v>1</v>
      </c>
      <c r="AQ524" s="75">
        <v>1</v>
      </c>
      <c r="AR524" s="75">
        <v>1</v>
      </c>
      <c r="AS524" s="95">
        <v>0.05</v>
      </c>
      <c r="AT524" s="79">
        <v>0</v>
      </c>
      <c r="AU524" s="79">
        <v>0</v>
      </c>
      <c r="AV524" s="79">
        <v>0.14285714285714299</v>
      </c>
      <c r="AW524" s="79">
        <v>6.02409638554217E-2</v>
      </c>
      <c r="AX524" s="56"/>
      <c r="AY524" s="54"/>
    </row>
    <row r="525" spans="1:51">
      <c r="A525" s="53"/>
      <c r="B525" s="56"/>
      <c r="C525" s="90" t="s">
        <v>370</v>
      </c>
      <c r="D525" s="230" t="s">
        <v>1757</v>
      </c>
      <c r="E525" s="68" t="s">
        <v>371</v>
      </c>
      <c r="F525" s="91" t="s">
        <v>546</v>
      </c>
      <c r="G525" s="91" t="s">
        <v>546</v>
      </c>
      <c r="H525" s="91" t="s">
        <v>546</v>
      </c>
      <c r="I525" s="91" t="s">
        <v>546</v>
      </c>
      <c r="J525" s="70">
        <v>0.9</v>
      </c>
      <c r="K525" s="71">
        <v>0.98529411764705899</v>
      </c>
      <c r="L525" s="71">
        <v>1</v>
      </c>
      <c r="M525" s="72">
        <v>1</v>
      </c>
      <c r="N525" s="71">
        <v>0.98626373626373598</v>
      </c>
      <c r="O525" s="73">
        <v>0.9</v>
      </c>
      <c r="P525" s="71">
        <v>0.96150761828388098</v>
      </c>
      <c r="Q525" s="71">
        <v>0.97921836228287795</v>
      </c>
      <c r="R525" s="71">
        <v>0.98537400752193904</v>
      </c>
      <c r="S525" s="71">
        <v>0.97605773636780202</v>
      </c>
      <c r="T525" s="73">
        <v>0.9</v>
      </c>
      <c r="U525" s="71">
        <v>0.92141138732959105</v>
      </c>
      <c r="V525" s="71">
        <v>0.91222084367245704</v>
      </c>
      <c r="W525" s="71">
        <v>0.92269118261596295</v>
      </c>
      <c r="X525" s="71">
        <v>0.91717580571253998</v>
      </c>
      <c r="Y525" s="73">
        <v>0.92</v>
      </c>
      <c r="Z525" s="73">
        <v>0.94393776824034303</v>
      </c>
      <c r="AA525" s="73">
        <v>0.93206521739130399</v>
      </c>
      <c r="AB525" s="73">
        <v>0.92420299284320095</v>
      </c>
      <c r="AC525" s="73">
        <v>0.93446490218642098</v>
      </c>
      <c r="AD525" s="73">
        <v>0.92</v>
      </c>
      <c r="AE525" s="71">
        <v>0.98284734133790697</v>
      </c>
      <c r="AF525" s="71">
        <v>0.96148148148148105</v>
      </c>
      <c r="AG525" s="71">
        <v>0.98833333333333295</v>
      </c>
      <c r="AH525" s="71">
        <v>0.97647058823529398</v>
      </c>
      <c r="AI525" s="73">
        <v>0.92</v>
      </c>
      <c r="AJ525" s="71">
        <v>0.95168404170008003</v>
      </c>
      <c r="AK525" s="71">
        <v>0.96410964306842795</v>
      </c>
      <c r="AL525" s="71">
        <v>0.94953373560065801</v>
      </c>
      <c r="AM525" s="71">
        <v>0.95295370749692798</v>
      </c>
      <c r="AN525" s="70">
        <v>0.99</v>
      </c>
      <c r="AO525" s="75">
        <v>1</v>
      </c>
      <c r="AP525" s="75">
        <v>1</v>
      </c>
      <c r="AQ525" s="75">
        <v>1</v>
      </c>
      <c r="AR525" s="75">
        <v>1</v>
      </c>
      <c r="AS525" s="95">
        <v>0.05</v>
      </c>
      <c r="AT525" s="79">
        <v>0</v>
      </c>
      <c r="AU525" s="79">
        <v>0.125</v>
      </c>
      <c r="AV525" s="79">
        <v>0.133333333333333</v>
      </c>
      <c r="AW525" s="79">
        <v>8.3798882681564199E-2</v>
      </c>
      <c r="AX525" s="56"/>
      <c r="AY525" s="54"/>
    </row>
    <row r="526" spans="1:51">
      <c r="A526" s="53"/>
      <c r="B526" s="56"/>
      <c r="C526" s="90" t="s">
        <v>370</v>
      </c>
      <c r="D526" s="230" t="s">
        <v>1757</v>
      </c>
      <c r="E526" s="68" t="s">
        <v>371</v>
      </c>
      <c r="F526" s="91" t="s">
        <v>547</v>
      </c>
      <c r="G526" s="91" t="s">
        <v>547</v>
      </c>
      <c r="H526" s="91" t="s">
        <v>547</v>
      </c>
      <c r="I526" s="91" t="s">
        <v>547</v>
      </c>
      <c r="J526" s="70">
        <v>0.9</v>
      </c>
      <c r="K526" s="71">
        <v>1</v>
      </c>
      <c r="L526" s="71">
        <v>1</v>
      </c>
      <c r="M526" s="72">
        <v>1</v>
      </c>
      <c r="N526" s="71">
        <v>0.99494949494949503</v>
      </c>
      <c r="O526" s="73">
        <v>0.9</v>
      </c>
      <c r="P526" s="71">
        <v>0.97420867526377497</v>
      </c>
      <c r="Q526" s="71">
        <v>0.99184782608695699</v>
      </c>
      <c r="R526" s="71">
        <v>0.99491417673235905</v>
      </c>
      <c r="S526" s="71">
        <v>0.99033613445378199</v>
      </c>
      <c r="T526" s="73">
        <v>0.9</v>
      </c>
      <c r="U526" s="71">
        <v>0.97889800703399799</v>
      </c>
      <c r="V526" s="71">
        <v>0.94239130434782603</v>
      </c>
      <c r="W526" s="71">
        <v>0.97902097902097895</v>
      </c>
      <c r="X526" s="71">
        <v>0.966446578631453</v>
      </c>
      <c r="Y526" s="73">
        <v>0.92</v>
      </c>
      <c r="Z526" s="73">
        <v>0</v>
      </c>
      <c r="AA526" s="73">
        <v>0</v>
      </c>
      <c r="AB526" s="73" t="s">
        <v>1710</v>
      </c>
      <c r="AC526" s="73">
        <v>0</v>
      </c>
      <c r="AD526" s="73">
        <v>0.92</v>
      </c>
      <c r="AE526" s="71">
        <v>1</v>
      </c>
      <c r="AF526" s="71">
        <v>1</v>
      </c>
      <c r="AG526" s="71">
        <v>1</v>
      </c>
      <c r="AH526" s="71">
        <v>0.99017071908949805</v>
      </c>
      <c r="AI526" s="73">
        <v>0.92</v>
      </c>
      <c r="AJ526" s="71">
        <v>0.99063231850117095</v>
      </c>
      <c r="AK526" s="71">
        <v>0.99511135252580096</v>
      </c>
      <c r="AL526" s="71">
        <v>0.99809281627463398</v>
      </c>
      <c r="AM526" s="71">
        <v>0.99615892449886001</v>
      </c>
      <c r="AN526" s="70">
        <v>0.99</v>
      </c>
      <c r="AO526" s="75">
        <v>1</v>
      </c>
      <c r="AP526" s="75">
        <v>1</v>
      </c>
      <c r="AQ526" s="75">
        <v>1</v>
      </c>
      <c r="AR526" s="75">
        <v>1</v>
      </c>
      <c r="AS526" s="95">
        <v>0.05</v>
      </c>
      <c r="AT526" s="79">
        <v>0</v>
      </c>
      <c r="AU526" s="79">
        <v>0.2</v>
      </c>
      <c r="AV526" s="79">
        <v>0.66666666666666696</v>
      </c>
      <c r="AW526" s="79">
        <v>0.13793103448275901</v>
      </c>
      <c r="AX526" s="56"/>
      <c r="AY526" s="54"/>
    </row>
    <row r="527" spans="1:51">
      <c r="A527" s="53"/>
      <c r="B527" s="56"/>
      <c r="C527" s="90" t="s">
        <v>370</v>
      </c>
      <c r="D527" s="230" t="s">
        <v>1757</v>
      </c>
      <c r="E527" s="68" t="s">
        <v>371</v>
      </c>
      <c r="F527" s="91" t="s">
        <v>548</v>
      </c>
      <c r="G527" s="91" t="s">
        <v>548</v>
      </c>
      <c r="H527" s="91" t="s">
        <v>548</v>
      </c>
      <c r="I527" s="91" t="s">
        <v>548</v>
      </c>
      <c r="J527" s="70">
        <v>0.9</v>
      </c>
      <c r="K527" s="71">
        <v>0.97619047619047605</v>
      </c>
      <c r="L527" s="71">
        <v>0.97777777777777797</v>
      </c>
      <c r="M527" s="72">
        <v>1</v>
      </c>
      <c r="N527" s="71">
        <v>0.98406374501992</v>
      </c>
      <c r="O527" s="73">
        <v>0.9</v>
      </c>
      <c r="P527" s="71">
        <v>0.92371601208459198</v>
      </c>
      <c r="Q527" s="71">
        <v>0.94801352493660196</v>
      </c>
      <c r="R527" s="71">
        <v>0.94606854838709697</v>
      </c>
      <c r="S527" s="71">
        <v>0.95073457394711103</v>
      </c>
      <c r="T527" s="73">
        <v>0.9</v>
      </c>
      <c r="U527" s="71">
        <v>0.88444108761329299</v>
      </c>
      <c r="V527" s="71">
        <v>0.91969568892645803</v>
      </c>
      <c r="W527" s="71">
        <v>0.90574596774193505</v>
      </c>
      <c r="X527" s="71">
        <v>0.91709108716944199</v>
      </c>
      <c r="Y527" s="73">
        <v>0.92</v>
      </c>
      <c r="Z527" s="73">
        <v>0.95905089934940702</v>
      </c>
      <c r="AA527" s="73">
        <v>0.95348837209302295</v>
      </c>
      <c r="AB527" s="73">
        <v>0.95426829268292701</v>
      </c>
      <c r="AC527" s="73">
        <v>0.954778269053977</v>
      </c>
      <c r="AD527" s="73">
        <v>0.92</v>
      </c>
      <c r="AE527" s="71">
        <v>0.99591836734693895</v>
      </c>
      <c r="AF527" s="71">
        <v>0.99672131147540999</v>
      </c>
      <c r="AG527" s="71">
        <v>0.97931034482758605</v>
      </c>
      <c r="AH527" s="71">
        <v>0.98994974874371899</v>
      </c>
      <c r="AI527" s="73">
        <v>0.92</v>
      </c>
      <c r="AJ527" s="71">
        <v>0.96678498985801198</v>
      </c>
      <c r="AK527" s="71">
        <v>0.97368421052631604</v>
      </c>
      <c r="AL527" s="71">
        <v>0.97091552857865404</v>
      </c>
      <c r="AM527" s="71">
        <v>0.97050950710725503</v>
      </c>
      <c r="AN527" s="70">
        <v>0.99</v>
      </c>
      <c r="AO527" s="75">
        <v>1</v>
      </c>
      <c r="AP527" s="75">
        <v>1</v>
      </c>
      <c r="AQ527" s="75">
        <v>1</v>
      </c>
      <c r="AR527" s="75">
        <v>1</v>
      </c>
      <c r="AS527" s="95">
        <v>0.05</v>
      </c>
      <c r="AT527" s="79">
        <v>0</v>
      </c>
      <c r="AU527" s="79">
        <v>0</v>
      </c>
      <c r="AV527" s="79">
        <v>0</v>
      </c>
      <c r="AW527" s="79">
        <v>0</v>
      </c>
      <c r="AX527" s="56"/>
      <c r="AY527" s="54"/>
    </row>
    <row r="528" spans="1:51">
      <c r="A528" s="53"/>
      <c r="B528" s="56"/>
      <c r="C528" s="90" t="s">
        <v>370</v>
      </c>
      <c r="D528" s="230" t="s">
        <v>1757</v>
      </c>
      <c r="E528" s="68" t="s">
        <v>371</v>
      </c>
      <c r="F528" s="91" t="s">
        <v>549</v>
      </c>
      <c r="G528" s="91" t="s">
        <v>549</v>
      </c>
      <c r="H528" s="91" t="s">
        <v>549</v>
      </c>
      <c r="I528" s="91" t="s">
        <v>549</v>
      </c>
      <c r="J528" s="70">
        <v>0.9</v>
      </c>
      <c r="K528" s="71">
        <v>0.95833333333333304</v>
      </c>
      <c r="L528" s="71">
        <v>0.96153846153846201</v>
      </c>
      <c r="M528" s="72">
        <v>0.952380952380952</v>
      </c>
      <c r="N528" s="71">
        <v>0.91911764705882304</v>
      </c>
      <c r="O528" s="73">
        <v>0.9</v>
      </c>
      <c r="P528" s="71">
        <v>0.89647577092510999</v>
      </c>
      <c r="Q528" s="71">
        <v>0.92264088029343105</v>
      </c>
      <c r="R528" s="71">
        <v>0.88434504792332302</v>
      </c>
      <c r="S528" s="71">
        <v>0.90356002650442702</v>
      </c>
      <c r="T528" s="73">
        <v>0.9</v>
      </c>
      <c r="U528" s="71">
        <v>0.87444933920704804</v>
      </c>
      <c r="V528" s="71">
        <v>0.83794598199399795</v>
      </c>
      <c r="W528" s="71">
        <v>0.75015974440894595</v>
      </c>
      <c r="X528" s="71">
        <v>0.81410758388048898</v>
      </c>
      <c r="Y528" s="73">
        <v>0.92</v>
      </c>
      <c r="Z528" s="73">
        <v>0.95029239766081897</v>
      </c>
      <c r="AA528" s="73">
        <v>0.93145654834761304</v>
      </c>
      <c r="AB528" s="73" t="s">
        <v>1710</v>
      </c>
      <c r="AC528" s="73">
        <v>0.92665305481388405</v>
      </c>
      <c r="AD528" s="73">
        <v>0.92</v>
      </c>
      <c r="AE528" s="71">
        <v>0.88524590163934402</v>
      </c>
      <c r="AF528" s="71">
        <v>0.989247311827957</v>
      </c>
      <c r="AG528" s="71">
        <v>0.97727272727272696</v>
      </c>
      <c r="AH528" s="71">
        <v>0.93582089552238801</v>
      </c>
      <c r="AI528" s="73">
        <v>0.92</v>
      </c>
      <c r="AJ528" s="71">
        <v>0.96115765422696098</v>
      </c>
      <c r="AK528" s="71">
        <v>0.96074326092645901</v>
      </c>
      <c r="AL528" s="71">
        <v>0.93035143769968098</v>
      </c>
      <c r="AM528" s="71">
        <v>0.94279978222403704</v>
      </c>
      <c r="AN528" s="70">
        <v>0.99</v>
      </c>
      <c r="AO528" s="75">
        <v>1</v>
      </c>
      <c r="AP528" s="75">
        <v>1</v>
      </c>
      <c r="AQ528" s="75">
        <v>1</v>
      </c>
      <c r="AR528" s="75">
        <v>1</v>
      </c>
      <c r="AS528" s="95">
        <v>0.05</v>
      </c>
      <c r="AT528" s="79">
        <v>0</v>
      </c>
      <c r="AU528" s="79">
        <v>0.5</v>
      </c>
      <c r="AV528" s="79">
        <v>0</v>
      </c>
      <c r="AW528" s="79">
        <v>7.5949367088607597E-2</v>
      </c>
      <c r="AX528" s="56"/>
      <c r="AY528" s="54"/>
    </row>
    <row r="529" spans="1:51">
      <c r="A529" s="53"/>
      <c r="B529" s="56"/>
      <c r="C529" s="90" t="s">
        <v>370</v>
      </c>
      <c r="D529" s="230" t="s">
        <v>1757</v>
      </c>
      <c r="E529" s="68" t="s">
        <v>371</v>
      </c>
      <c r="F529" s="91" t="s">
        <v>550</v>
      </c>
      <c r="G529" s="91" t="s">
        <v>550</v>
      </c>
      <c r="H529" s="91" t="s">
        <v>550</v>
      </c>
      <c r="I529" s="91" t="s">
        <v>550</v>
      </c>
      <c r="J529" s="70">
        <v>0.9</v>
      </c>
      <c r="K529" s="71">
        <v>0.97916666666666696</v>
      </c>
      <c r="L529" s="71">
        <v>0.97916666666666696</v>
      </c>
      <c r="M529" s="72">
        <v>0.90476190476190499</v>
      </c>
      <c r="N529" s="71">
        <v>0.94831013916500995</v>
      </c>
      <c r="O529" s="73">
        <v>0.9</v>
      </c>
      <c r="P529" s="71">
        <v>0.94916666666666705</v>
      </c>
      <c r="Q529" s="71">
        <v>0.978820598006645</v>
      </c>
      <c r="R529" s="71">
        <v>0.95335725269092797</v>
      </c>
      <c r="S529" s="71">
        <v>0.96672566371681401</v>
      </c>
      <c r="T529" s="73">
        <v>0.9</v>
      </c>
      <c r="U529" s="71">
        <v>0.86666666666666703</v>
      </c>
      <c r="V529" s="71">
        <v>0.85838870431893699</v>
      </c>
      <c r="W529" s="71">
        <v>0.85955920041004596</v>
      </c>
      <c r="X529" s="71">
        <v>0.87408343868520899</v>
      </c>
      <c r="Y529" s="73">
        <v>0.92</v>
      </c>
      <c r="Z529" s="73">
        <v>0.89581689029202805</v>
      </c>
      <c r="AA529" s="73">
        <v>0.966503267973856</v>
      </c>
      <c r="AB529" s="73">
        <v>0.94030851777330604</v>
      </c>
      <c r="AC529" s="73">
        <v>0.943201094391245</v>
      </c>
      <c r="AD529" s="73">
        <v>0.92</v>
      </c>
      <c r="AE529" s="71">
        <v>0.99294781382228503</v>
      </c>
      <c r="AF529" s="71">
        <v>0.97603195739014603</v>
      </c>
      <c r="AG529" s="71">
        <v>0.96196513470681499</v>
      </c>
      <c r="AH529" s="71">
        <v>0.97636986301369899</v>
      </c>
      <c r="AI529" s="73">
        <v>0.92</v>
      </c>
      <c r="AJ529" s="71">
        <v>0.92110189890344996</v>
      </c>
      <c r="AK529" s="71">
        <v>0.97881122729774395</v>
      </c>
      <c r="AL529" s="71">
        <v>0.96226415094339601</v>
      </c>
      <c r="AM529" s="71">
        <v>0.96227356261485997</v>
      </c>
      <c r="AN529" s="70">
        <v>0.99</v>
      </c>
      <c r="AO529" s="75">
        <v>1</v>
      </c>
      <c r="AP529" s="75">
        <v>1</v>
      </c>
      <c r="AQ529" s="75">
        <v>1</v>
      </c>
      <c r="AR529" s="75">
        <v>1</v>
      </c>
      <c r="AS529" s="95">
        <v>0.05</v>
      </c>
      <c r="AT529" s="79">
        <v>0</v>
      </c>
      <c r="AU529" s="79">
        <v>0.2</v>
      </c>
      <c r="AV529" s="79">
        <v>8.3333333333333301E-2</v>
      </c>
      <c r="AW529" s="79">
        <v>3.4482758620689703E-2</v>
      </c>
      <c r="AX529" s="56"/>
      <c r="AY529" s="54"/>
    </row>
    <row r="530" spans="1:51">
      <c r="A530" s="53"/>
      <c r="B530" s="56"/>
      <c r="C530" s="90" t="s">
        <v>370</v>
      </c>
      <c r="D530" s="230" t="s">
        <v>1757</v>
      </c>
      <c r="E530" s="68" t="s">
        <v>371</v>
      </c>
      <c r="F530" s="91" t="s">
        <v>551</v>
      </c>
      <c r="G530" s="91" t="s">
        <v>551</v>
      </c>
      <c r="H530" s="91" t="s">
        <v>551</v>
      </c>
      <c r="I530" s="91" t="s">
        <v>551</v>
      </c>
      <c r="J530" s="70">
        <v>0.9</v>
      </c>
      <c r="K530" s="71">
        <v>0.96428571428571397</v>
      </c>
      <c r="L530" s="71">
        <v>0.98360655737704905</v>
      </c>
      <c r="M530" s="72">
        <v>0.96078431372549</v>
      </c>
      <c r="N530" s="71">
        <v>0.97590361445783103</v>
      </c>
      <c r="O530" s="73">
        <v>0.9</v>
      </c>
      <c r="P530" s="71">
        <v>0.91453524641297601</v>
      </c>
      <c r="Q530" s="71">
        <v>0.92676211453744495</v>
      </c>
      <c r="R530" s="71">
        <v>0.91711409395973198</v>
      </c>
      <c r="S530" s="71">
        <v>0.93807142174508595</v>
      </c>
      <c r="T530" s="73">
        <v>0.9</v>
      </c>
      <c r="U530" s="71">
        <v>0.84653774173424801</v>
      </c>
      <c r="V530" s="71">
        <v>0.85545154185021999</v>
      </c>
      <c r="W530" s="71">
        <v>0.85536912751677896</v>
      </c>
      <c r="X530" s="71">
        <v>0.88474403491446596</v>
      </c>
      <c r="Y530" s="73">
        <v>0.92</v>
      </c>
      <c r="Z530" s="73">
        <v>0.92922564529558704</v>
      </c>
      <c r="AA530" s="73">
        <v>0.90209020902090198</v>
      </c>
      <c r="AB530" s="73">
        <v>0.88990825688073405</v>
      </c>
      <c r="AC530" s="73">
        <v>0.93514658196016098</v>
      </c>
      <c r="AD530" s="73">
        <v>0.92</v>
      </c>
      <c r="AE530" s="71">
        <v>0.98523489932885899</v>
      </c>
      <c r="AF530" s="71">
        <v>0.99391171993911698</v>
      </c>
      <c r="AG530" s="71">
        <v>0.98979591836734704</v>
      </c>
      <c r="AH530" s="71">
        <v>0.98899108138238601</v>
      </c>
      <c r="AI530" s="73">
        <v>0.92</v>
      </c>
      <c r="AJ530" s="71">
        <v>0.93558282208589005</v>
      </c>
      <c r="AK530" s="71">
        <v>0.93506969919295702</v>
      </c>
      <c r="AL530" s="71">
        <v>0.92422586520947203</v>
      </c>
      <c r="AM530" s="71">
        <v>0.95421233543031303</v>
      </c>
      <c r="AN530" s="70">
        <v>0.99</v>
      </c>
      <c r="AO530" s="75">
        <v>1</v>
      </c>
      <c r="AP530" s="75">
        <v>1</v>
      </c>
      <c r="AQ530" s="75">
        <v>1</v>
      </c>
      <c r="AR530" s="75">
        <v>1</v>
      </c>
      <c r="AS530" s="95">
        <v>0.05</v>
      </c>
      <c r="AT530" s="79">
        <v>0</v>
      </c>
      <c r="AU530" s="79">
        <v>0</v>
      </c>
      <c r="AV530" s="79">
        <v>0</v>
      </c>
      <c r="AW530" s="79">
        <v>3.77358490566038E-2</v>
      </c>
      <c r="AX530" s="56"/>
      <c r="AY530" s="54"/>
    </row>
    <row r="531" spans="1:51">
      <c r="A531" s="53"/>
      <c r="B531" s="56"/>
      <c r="C531" s="90" t="s">
        <v>370</v>
      </c>
      <c r="D531" s="230" t="s">
        <v>1757</v>
      </c>
      <c r="E531" s="68" t="s">
        <v>371</v>
      </c>
      <c r="F531" s="91" t="s">
        <v>552</v>
      </c>
      <c r="G531" s="91" t="s">
        <v>552</v>
      </c>
      <c r="H531" s="91" t="s">
        <v>552</v>
      </c>
      <c r="I531" s="91" t="s">
        <v>552</v>
      </c>
      <c r="J531" s="70">
        <v>0.9</v>
      </c>
      <c r="K531" s="71">
        <v>0.91176470588235303</v>
      </c>
      <c r="L531" s="71">
        <v>1</v>
      </c>
      <c r="M531" s="72">
        <v>1</v>
      </c>
      <c r="N531" s="71">
        <v>0.96766743648960696</v>
      </c>
      <c r="O531" s="73">
        <v>0.9</v>
      </c>
      <c r="P531" s="71">
        <v>0.87038703870387002</v>
      </c>
      <c r="Q531" s="71">
        <v>0.95570971184631803</v>
      </c>
      <c r="R531" s="71">
        <v>0.91370262390670598</v>
      </c>
      <c r="S531" s="71">
        <v>0.92824869855613401</v>
      </c>
      <c r="T531" s="73">
        <v>0.9</v>
      </c>
      <c r="U531" s="71">
        <v>0.78847884788478895</v>
      </c>
      <c r="V531" s="71">
        <v>0.90261472785485597</v>
      </c>
      <c r="W531" s="71">
        <v>0.88279883381924196</v>
      </c>
      <c r="X531" s="71">
        <v>0.87849916511148196</v>
      </c>
      <c r="Y531" s="73">
        <v>0.92</v>
      </c>
      <c r="Z531" s="73">
        <v>0.92350027517886601</v>
      </c>
      <c r="AA531" s="73">
        <v>0.93194706994328902</v>
      </c>
      <c r="AB531" s="73" t="s">
        <v>1710</v>
      </c>
      <c r="AC531" s="73">
        <v>0.94125908286010895</v>
      </c>
      <c r="AD531" s="73">
        <v>0.92</v>
      </c>
      <c r="AE531" s="71">
        <v>0.962025316455696</v>
      </c>
      <c r="AF531" s="71">
        <v>0.98581560283687897</v>
      </c>
      <c r="AG531" s="71">
        <v>0.962025316455696</v>
      </c>
      <c r="AH531" s="71">
        <v>0.97643732327992505</v>
      </c>
      <c r="AI531" s="73">
        <v>0.92</v>
      </c>
      <c r="AJ531" s="71">
        <v>0.94165813715455504</v>
      </c>
      <c r="AK531" s="71">
        <v>0.97236076475477995</v>
      </c>
      <c r="AL531" s="71">
        <v>0.98775510204081596</v>
      </c>
      <c r="AM531" s="71">
        <v>0.96477590846084804</v>
      </c>
      <c r="AN531" s="70">
        <v>0.99</v>
      </c>
      <c r="AO531" s="75">
        <v>1</v>
      </c>
      <c r="AP531" s="75">
        <v>1</v>
      </c>
      <c r="AQ531" s="75">
        <v>1</v>
      </c>
      <c r="AR531" s="75">
        <v>1</v>
      </c>
      <c r="AS531" s="95">
        <v>0.05</v>
      </c>
      <c r="AT531" s="79">
        <v>0.25</v>
      </c>
      <c r="AU531" s="79">
        <v>0</v>
      </c>
      <c r="AV531" s="79">
        <v>0</v>
      </c>
      <c r="AW531" s="79">
        <v>3.4188034188034198E-2</v>
      </c>
      <c r="AX531" s="56"/>
      <c r="AY531" s="54"/>
    </row>
    <row r="532" spans="1:51">
      <c r="A532" s="53"/>
      <c r="B532" s="56"/>
      <c r="C532" s="90" t="s">
        <v>370</v>
      </c>
      <c r="D532" s="230" t="s">
        <v>1757</v>
      </c>
      <c r="E532" s="68" t="s">
        <v>371</v>
      </c>
      <c r="F532" s="91" t="s">
        <v>553</v>
      </c>
      <c r="G532" s="91" t="s">
        <v>553</v>
      </c>
      <c r="H532" s="91" t="s">
        <v>553</v>
      </c>
      <c r="I532" s="91" t="s">
        <v>553</v>
      </c>
      <c r="J532" s="70">
        <v>0.9</v>
      </c>
      <c r="K532" s="71">
        <v>0.96491228070175405</v>
      </c>
      <c r="L532" s="71">
        <v>0.96491228070175405</v>
      </c>
      <c r="M532" s="72">
        <v>1</v>
      </c>
      <c r="N532" s="71">
        <v>0.94912559618442005</v>
      </c>
      <c r="O532" s="73">
        <v>0.9</v>
      </c>
      <c r="P532" s="71">
        <v>0.97883096366508704</v>
      </c>
      <c r="Q532" s="71">
        <v>0.96901365240067505</v>
      </c>
      <c r="R532" s="71">
        <v>0.97711851033612096</v>
      </c>
      <c r="S532" s="71">
        <v>0.98273057787983198</v>
      </c>
      <c r="T532" s="73">
        <v>0.9</v>
      </c>
      <c r="U532" s="71">
        <v>0.92701421800947903</v>
      </c>
      <c r="V532" s="71">
        <v>0.88832643043411597</v>
      </c>
      <c r="W532" s="71">
        <v>0.928041660091526</v>
      </c>
      <c r="X532" s="71">
        <v>0.93264446995790296</v>
      </c>
      <c r="Y532" s="73">
        <v>0.92</v>
      </c>
      <c r="Z532" s="73">
        <v>0.33333333333333298</v>
      </c>
      <c r="AA532" s="73" t="s">
        <v>1710</v>
      </c>
      <c r="AB532" s="73" t="s">
        <v>1710</v>
      </c>
      <c r="AC532" s="73">
        <v>0.33333333333333298</v>
      </c>
      <c r="AD532" s="73">
        <v>0.92</v>
      </c>
      <c r="AE532" s="71">
        <v>0.99178082191780803</v>
      </c>
      <c r="AF532" s="71">
        <v>0.99214145383104102</v>
      </c>
      <c r="AG532" s="71">
        <v>0.97593582887700503</v>
      </c>
      <c r="AH532" s="71">
        <v>0.97900848593121903</v>
      </c>
      <c r="AI532" s="73">
        <v>0.92</v>
      </c>
      <c r="AJ532" s="71">
        <v>0.97885101010101006</v>
      </c>
      <c r="AK532" s="71">
        <v>0.94923312883435595</v>
      </c>
      <c r="AL532" s="71">
        <v>0.985482089316711</v>
      </c>
      <c r="AM532" s="71">
        <v>0.98195124284507096</v>
      </c>
      <c r="AN532" s="70">
        <v>0.99</v>
      </c>
      <c r="AO532" s="75">
        <v>1</v>
      </c>
      <c r="AP532" s="75">
        <v>1</v>
      </c>
      <c r="AQ532" s="75">
        <v>1</v>
      </c>
      <c r="AR532" s="75">
        <v>1</v>
      </c>
      <c r="AS532" s="95">
        <v>0.05</v>
      </c>
      <c r="AT532" s="79">
        <v>0</v>
      </c>
      <c r="AU532" s="79">
        <v>5.2631578947368397E-2</v>
      </c>
      <c r="AV532" s="79">
        <v>0.1</v>
      </c>
      <c r="AW532" s="79">
        <v>1.5228426395939101E-2</v>
      </c>
      <c r="AX532" s="56"/>
      <c r="AY532" s="54"/>
    </row>
    <row r="533" spans="1:51">
      <c r="A533" s="53"/>
      <c r="B533" s="56"/>
      <c r="C533" s="90" t="s">
        <v>370</v>
      </c>
      <c r="D533" s="230" t="s">
        <v>1757</v>
      </c>
      <c r="E533" s="68" t="s">
        <v>371</v>
      </c>
      <c r="F533" s="91" t="s">
        <v>554</v>
      </c>
      <c r="G533" s="91" t="s">
        <v>554</v>
      </c>
      <c r="H533" s="91" t="s">
        <v>554</v>
      </c>
      <c r="I533" s="91" t="s">
        <v>554</v>
      </c>
      <c r="J533" s="70">
        <v>0.9</v>
      </c>
      <c r="K533" s="71">
        <v>0.95652173913043503</v>
      </c>
      <c r="L533" s="71">
        <v>0.939393939393939</v>
      </c>
      <c r="M533" s="72">
        <v>1</v>
      </c>
      <c r="N533" s="71">
        <v>0.96911196911196895</v>
      </c>
      <c r="O533" s="73">
        <v>0.9</v>
      </c>
      <c r="P533" s="71">
        <v>0.96963239211507701</v>
      </c>
      <c r="Q533" s="71">
        <v>0.88482166800750905</v>
      </c>
      <c r="R533" s="71">
        <v>0.97107897664071197</v>
      </c>
      <c r="S533" s="71">
        <v>0.96599349077860297</v>
      </c>
      <c r="T533" s="73">
        <v>0.9</v>
      </c>
      <c r="U533" s="71">
        <v>0.92274906766116105</v>
      </c>
      <c r="V533" s="71">
        <v>0.83909895414320201</v>
      </c>
      <c r="W533" s="71">
        <v>0.91240266963292505</v>
      </c>
      <c r="X533" s="71">
        <v>0.91027566830788098</v>
      </c>
      <c r="Y533" s="73">
        <v>0.92</v>
      </c>
      <c r="Z533" s="73" t="s">
        <v>1710</v>
      </c>
      <c r="AA533" s="73" t="s">
        <v>1710</v>
      </c>
      <c r="AB533" s="73" t="s">
        <v>1710</v>
      </c>
      <c r="AC533" s="73">
        <v>0.5</v>
      </c>
      <c r="AD533" s="73">
        <v>0.92</v>
      </c>
      <c r="AE533" s="71">
        <v>0.98677248677248697</v>
      </c>
      <c r="AF533" s="71">
        <v>0.99130434782608701</v>
      </c>
      <c r="AG533" s="71">
        <v>0.997058823529412</v>
      </c>
      <c r="AH533" s="71">
        <v>0.99095883892457803</v>
      </c>
      <c r="AI533" s="73">
        <v>0.92</v>
      </c>
      <c r="AJ533" s="71">
        <v>0.974427277570591</v>
      </c>
      <c r="AK533" s="71">
        <v>0.96312684365781698</v>
      </c>
      <c r="AL533" s="71">
        <v>0.97497219132369295</v>
      </c>
      <c r="AM533" s="71">
        <v>0.97721899251759303</v>
      </c>
      <c r="AN533" s="70">
        <v>0.99</v>
      </c>
      <c r="AO533" s="75">
        <v>1</v>
      </c>
      <c r="AP533" s="75">
        <v>1</v>
      </c>
      <c r="AQ533" s="75">
        <v>1</v>
      </c>
      <c r="AR533" s="75">
        <v>1</v>
      </c>
      <c r="AS533" s="95">
        <v>0.05</v>
      </c>
      <c r="AT533" s="79">
        <v>0.1</v>
      </c>
      <c r="AU533" s="79">
        <v>0</v>
      </c>
      <c r="AV533" s="79">
        <v>0.04</v>
      </c>
      <c r="AW533" s="79">
        <v>3.6734693877551003E-2</v>
      </c>
      <c r="AX533" s="56"/>
      <c r="AY533" s="54"/>
    </row>
    <row r="534" spans="1:51">
      <c r="A534" s="53"/>
      <c r="B534" s="56"/>
      <c r="C534" s="90" t="s">
        <v>370</v>
      </c>
      <c r="D534" s="230" t="s">
        <v>1757</v>
      </c>
      <c r="E534" s="68" t="s">
        <v>371</v>
      </c>
      <c r="F534" s="91" t="s">
        <v>555</v>
      </c>
      <c r="G534" s="91" t="s">
        <v>555</v>
      </c>
      <c r="H534" s="91" t="s">
        <v>555</v>
      </c>
      <c r="I534" s="91" t="s">
        <v>555</v>
      </c>
      <c r="J534" s="70">
        <v>0.9</v>
      </c>
      <c r="K534" s="71">
        <v>0.952380952380952</v>
      </c>
      <c r="L534" s="71">
        <v>0.97297297297297303</v>
      </c>
      <c r="M534" s="72">
        <v>0.97435897435897401</v>
      </c>
      <c r="N534" s="71">
        <v>0.97511312217194601</v>
      </c>
      <c r="O534" s="73">
        <v>0.9</v>
      </c>
      <c r="P534" s="71">
        <v>0.92451229855810002</v>
      </c>
      <c r="Q534" s="71">
        <v>0.90133982947624802</v>
      </c>
      <c r="R534" s="71">
        <v>0.96402272249105803</v>
      </c>
      <c r="S534" s="71">
        <v>0.94754243355936496</v>
      </c>
      <c r="T534" s="73">
        <v>0.9</v>
      </c>
      <c r="U534" s="71">
        <v>0.89949109414758299</v>
      </c>
      <c r="V534" s="71">
        <v>0.87515225334957403</v>
      </c>
      <c r="W534" s="71">
        <v>0.94193141173995398</v>
      </c>
      <c r="X534" s="71">
        <v>0.92608347723539597</v>
      </c>
      <c r="Y534" s="73">
        <v>0.92</v>
      </c>
      <c r="Z534" s="73" t="s">
        <v>1710</v>
      </c>
      <c r="AA534" s="73" t="s">
        <v>1710</v>
      </c>
      <c r="AB534" s="73" t="s">
        <v>1710</v>
      </c>
      <c r="AC534" s="73" t="s">
        <v>1710</v>
      </c>
      <c r="AD534" s="73">
        <v>0.92</v>
      </c>
      <c r="AE534" s="71">
        <v>0.99391480730223103</v>
      </c>
      <c r="AF534" s="71">
        <v>0.984615384615385</v>
      </c>
      <c r="AG534" s="71">
        <v>0.96666666666666701</v>
      </c>
      <c r="AH534" s="71">
        <v>0.96869355809753199</v>
      </c>
      <c r="AI534" s="73">
        <v>0.92</v>
      </c>
      <c r="AJ534" s="71">
        <v>0.98346757100466298</v>
      </c>
      <c r="AK534" s="71">
        <v>0.96346661254313004</v>
      </c>
      <c r="AL534" s="71">
        <v>0.98401009888491497</v>
      </c>
      <c r="AM534" s="71">
        <v>0.98285882749326103</v>
      </c>
      <c r="AN534" s="70">
        <v>0.99</v>
      </c>
      <c r="AO534" s="75">
        <v>1</v>
      </c>
      <c r="AP534" s="75">
        <v>1</v>
      </c>
      <c r="AQ534" s="75">
        <v>1</v>
      </c>
      <c r="AR534" s="75">
        <v>1</v>
      </c>
      <c r="AS534" s="95">
        <v>0.05</v>
      </c>
      <c r="AT534" s="79">
        <v>0</v>
      </c>
      <c r="AU534" s="79">
        <v>0.2</v>
      </c>
      <c r="AV534" s="79">
        <v>0</v>
      </c>
      <c r="AW534" s="79">
        <v>5.1282051282051301E-2</v>
      </c>
      <c r="AX534" s="56"/>
      <c r="AY534" s="54"/>
    </row>
    <row r="535" spans="1:51">
      <c r="A535" s="53"/>
      <c r="B535" s="56"/>
      <c r="C535" s="90" t="s">
        <v>370</v>
      </c>
      <c r="D535" s="230" t="s">
        <v>1757</v>
      </c>
      <c r="E535" s="68" t="s">
        <v>371</v>
      </c>
      <c r="F535" s="91" t="s">
        <v>556</v>
      </c>
      <c r="G535" s="91" t="s">
        <v>556</v>
      </c>
      <c r="H535" s="91" t="s">
        <v>556</v>
      </c>
      <c r="I535" s="91" t="s">
        <v>556</v>
      </c>
      <c r="J535" s="70">
        <v>0.9</v>
      </c>
      <c r="K535" s="71">
        <v>0.95833333333333304</v>
      </c>
      <c r="L535" s="71">
        <v>0.94202898550724601</v>
      </c>
      <c r="M535" s="72">
        <v>0.93846153846153801</v>
      </c>
      <c r="N535" s="71">
        <v>0.93775372124492595</v>
      </c>
      <c r="O535" s="73">
        <v>0.9</v>
      </c>
      <c r="P535" s="71" t="s">
        <v>1710</v>
      </c>
      <c r="Q535" s="71">
        <v>1</v>
      </c>
      <c r="R535" s="71" t="s">
        <v>1710</v>
      </c>
      <c r="S535" s="71">
        <v>0.6</v>
      </c>
      <c r="T535" s="73">
        <v>0.9</v>
      </c>
      <c r="U535" s="71" t="s">
        <v>1710</v>
      </c>
      <c r="V535" s="71">
        <v>0</v>
      </c>
      <c r="W535" s="71" t="s">
        <v>1710</v>
      </c>
      <c r="X535" s="71">
        <v>0.4</v>
      </c>
      <c r="Y535" s="73">
        <v>0.92</v>
      </c>
      <c r="Z535" s="73">
        <v>0</v>
      </c>
      <c r="AA535" s="73" t="s">
        <v>1710</v>
      </c>
      <c r="AB535" s="73" t="s">
        <v>1710</v>
      </c>
      <c r="AC535" s="73">
        <v>0.4</v>
      </c>
      <c r="AD535" s="73">
        <v>0.92</v>
      </c>
      <c r="AE535" s="71">
        <v>0.99785254115962796</v>
      </c>
      <c r="AF535" s="71">
        <v>0.99675324675324695</v>
      </c>
      <c r="AG535" s="71">
        <v>0.36175395858708898</v>
      </c>
      <c r="AH535" s="71">
        <v>0.92716410321596499</v>
      </c>
      <c r="AI535" s="73">
        <v>0.92</v>
      </c>
      <c r="AJ535" s="71">
        <v>0.97477174435367597</v>
      </c>
      <c r="AK535" s="71">
        <v>0.97738963990908001</v>
      </c>
      <c r="AL535" s="71">
        <v>0.96987107623318403</v>
      </c>
      <c r="AM535" s="71">
        <v>0.97668953158737404</v>
      </c>
      <c r="AN535" s="70">
        <v>0.99</v>
      </c>
      <c r="AO535" s="75">
        <v>1</v>
      </c>
      <c r="AP535" s="75">
        <v>1</v>
      </c>
      <c r="AQ535" s="75">
        <v>1</v>
      </c>
      <c r="AR535" s="75">
        <v>1</v>
      </c>
      <c r="AS535" s="95">
        <v>0.05</v>
      </c>
      <c r="AT535" s="79">
        <v>0.11111111111111099</v>
      </c>
      <c r="AU535" s="79">
        <v>6.6666666666666693E-2</v>
      </c>
      <c r="AV535" s="79">
        <v>0.2</v>
      </c>
      <c r="AW535" s="79">
        <v>8.7336244541484698E-2</v>
      </c>
      <c r="AX535" s="56"/>
      <c r="AY535" s="54"/>
    </row>
    <row r="536" spans="1:51">
      <c r="A536" s="53"/>
      <c r="B536" s="56"/>
      <c r="C536" s="90" t="s">
        <v>370</v>
      </c>
      <c r="D536" s="230" t="s">
        <v>1757</v>
      </c>
      <c r="E536" s="68" t="s">
        <v>371</v>
      </c>
      <c r="F536" s="91" t="s">
        <v>557</v>
      </c>
      <c r="G536" s="91" t="s">
        <v>557</v>
      </c>
      <c r="H536" s="91" t="s">
        <v>557</v>
      </c>
      <c r="I536" s="91" t="s">
        <v>557</v>
      </c>
      <c r="J536" s="70">
        <v>0.9</v>
      </c>
      <c r="K536" s="71">
        <v>1</v>
      </c>
      <c r="L536" s="71">
        <v>1</v>
      </c>
      <c r="M536" s="72">
        <v>0.96428571428571397</v>
      </c>
      <c r="N536" s="71">
        <v>0.93154761904761896</v>
      </c>
      <c r="O536" s="73">
        <v>0.9</v>
      </c>
      <c r="P536" s="71">
        <v>0.98971193415637904</v>
      </c>
      <c r="Q536" s="71">
        <v>0.96853665776194697</v>
      </c>
      <c r="R536" s="71">
        <v>0.83127413127413097</v>
      </c>
      <c r="S536" s="71">
        <v>0.94431705397173105</v>
      </c>
      <c r="T536" s="73">
        <v>0.9</v>
      </c>
      <c r="U536" s="71">
        <v>0.93758573388203004</v>
      </c>
      <c r="V536" s="71">
        <v>0.929059067972692</v>
      </c>
      <c r="W536" s="71">
        <v>0.92664092664092701</v>
      </c>
      <c r="X536" s="71">
        <v>0.93230432252986095</v>
      </c>
      <c r="Y536" s="73">
        <v>0.92</v>
      </c>
      <c r="Z536" s="73" t="s">
        <v>1710</v>
      </c>
      <c r="AA536" s="73">
        <v>0</v>
      </c>
      <c r="AB536" s="73" t="s">
        <v>1710</v>
      </c>
      <c r="AC536" s="73">
        <v>0</v>
      </c>
      <c r="AD536" s="73">
        <v>0.92</v>
      </c>
      <c r="AE536" s="71">
        <v>0.875</v>
      </c>
      <c r="AF536" s="71">
        <v>0.88235294117647101</v>
      </c>
      <c r="AG536" s="71">
        <v>0.63636363636363602</v>
      </c>
      <c r="AH536" s="71">
        <v>0.923705722070845</v>
      </c>
      <c r="AI536" s="73">
        <v>0.92</v>
      </c>
      <c r="AJ536" s="71">
        <v>0.96457765667574902</v>
      </c>
      <c r="AK536" s="71">
        <v>0.97986378442404498</v>
      </c>
      <c r="AL536" s="71">
        <v>0.97528957528957505</v>
      </c>
      <c r="AM536" s="71">
        <v>0.98021895569728201</v>
      </c>
      <c r="AN536" s="70">
        <v>0.99</v>
      </c>
      <c r="AO536" s="75">
        <v>1</v>
      </c>
      <c r="AP536" s="75">
        <v>1</v>
      </c>
      <c r="AQ536" s="75">
        <v>1</v>
      </c>
      <c r="AR536" s="75">
        <v>1</v>
      </c>
      <c r="AS536" s="95">
        <v>0.05</v>
      </c>
      <c r="AT536" s="79" t="s">
        <v>1710</v>
      </c>
      <c r="AU536" s="79">
        <v>0.66666666666666696</v>
      </c>
      <c r="AV536" s="79">
        <v>0.14285714285714299</v>
      </c>
      <c r="AW536" s="79">
        <v>0.12280701754386</v>
      </c>
      <c r="AX536" s="56"/>
      <c r="AY536" s="54"/>
    </row>
    <row r="537" spans="1:51">
      <c r="A537" s="53"/>
      <c r="B537" s="56"/>
      <c r="C537" s="90" t="s">
        <v>370</v>
      </c>
      <c r="D537" s="230" t="s">
        <v>1757</v>
      </c>
      <c r="E537" s="68" t="s">
        <v>371</v>
      </c>
      <c r="F537" s="91" t="s">
        <v>558</v>
      </c>
      <c r="G537" s="91" t="s">
        <v>558</v>
      </c>
      <c r="H537" s="91" t="s">
        <v>558</v>
      </c>
      <c r="I537" s="91" t="s">
        <v>558</v>
      </c>
      <c r="J537" s="70">
        <v>0.9</v>
      </c>
      <c r="K537" s="71">
        <v>0.92</v>
      </c>
      <c r="L537" s="71">
        <v>0.94117647058823495</v>
      </c>
      <c r="M537" s="72">
        <v>0.967741935483871</v>
      </c>
      <c r="N537" s="71">
        <v>0.93888888888888899</v>
      </c>
      <c r="O537" s="73">
        <v>0.9</v>
      </c>
      <c r="P537" s="71">
        <v>0.89072067828544499</v>
      </c>
      <c r="Q537" s="71">
        <v>0.447360660572103</v>
      </c>
      <c r="R537" s="71">
        <v>0.79438347320852198</v>
      </c>
      <c r="S537" s="71">
        <v>0.82258682140858297</v>
      </c>
      <c r="T537" s="73">
        <v>0.9</v>
      </c>
      <c r="U537" s="71">
        <v>0.88648139425341499</v>
      </c>
      <c r="V537" s="71">
        <v>0.89767030374520795</v>
      </c>
      <c r="W537" s="71">
        <v>0.90251775338928297</v>
      </c>
      <c r="X537" s="71">
        <v>0.92220683967127204</v>
      </c>
      <c r="Y537" s="73">
        <v>0.92</v>
      </c>
      <c r="Z537" s="73" t="s">
        <v>1710</v>
      </c>
      <c r="AA537" s="73" t="s">
        <v>1710</v>
      </c>
      <c r="AB537" s="73" t="s">
        <v>1710</v>
      </c>
      <c r="AC537" s="73" t="s">
        <v>1710</v>
      </c>
      <c r="AD537" s="73">
        <v>0.92</v>
      </c>
      <c r="AE537" s="71">
        <v>0.95964125560538105</v>
      </c>
      <c r="AF537" s="71">
        <v>0.97959183673469397</v>
      </c>
      <c r="AG537" s="71">
        <v>0.243816254416961</v>
      </c>
      <c r="AH537" s="71">
        <v>0.85992217898832701</v>
      </c>
      <c r="AI537" s="73">
        <v>0.92</v>
      </c>
      <c r="AJ537" s="71">
        <v>0.94501879699248104</v>
      </c>
      <c r="AK537" s="71">
        <v>0.94128009395184997</v>
      </c>
      <c r="AL537" s="71">
        <v>0.96099290780141799</v>
      </c>
      <c r="AM537" s="71">
        <v>0.96735739094601803</v>
      </c>
      <c r="AN537" s="70">
        <v>0.99</v>
      </c>
      <c r="AO537" s="75">
        <v>1</v>
      </c>
      <c r="AP537" s="75">
        <v>1</v>
      </c>
      <c r="AQ537" s="75">
        <v>1</v>
      </c>
      <c r="AR537" s="75">
        <v>1</v>
      </c>
      <c r="AS537" s="95">
        <v>0.05</v>
      </c>
      <c r="AT537" s="79">
        <v>0</v>
      </c>
      <c r="AU537" s="79">
        <v>0.16666666666666699</v>
      </c>
      <c r="AV537" s="79">
        <v>0</v>
      </c>
      <c r="AW537" s="79">
        <v>7.8947368421052599E-2</v>
      </c>
      <c r="AX537" s="56"/>
      <c r="AY537" s="54"/>
    </row>
    <row r="538" spans="1:51">
      <c r="A538" s="53"/>
      <c r="B538" s="56"/>
      <c r="C538" s="90" t="s">
        <v>370</v>
      </c>
      <c r="D538" s="230" t="s">
        <v>1757</v>
      </c>
      <c r="E538" s="68" t="s">
        <v>371</v>
      </c>
      <c r="F538" s="91" t="s">
        <v>559</v>
      </c>
      <c r="G538" s="91" t="s">
        <v>559</v>
      </c>
      <c r="H538" s="91" t="s">
        <v>559</v>
      </c>
      <c r="I538" s="91" t="s">
        <v>559</v>
      </c>
      <c r="J538" s="70">
        <v>0.9</v>
      </c>
      <c r="K538" s="71">
        <v>0.953125</v>
      </c>
      <c r="L538" s="71">
        <v>0.967741935483871</v>
      </c>
      <c r="M538" s="72">
        <v>0.95161290322580605</v>
      </c>
      <c r="N538" s="71">
        <v>0.96551724137931005</v>
      </c>
      <c r="O538" s="73">
        <v>0.9</v>
      </c>
      <c r="P538" s="71">
        <v>0.66666666666666696</v>
      </c>
      <c r="Q538" s="71">
        <v>0</v>
      </c>
      <c r="R538" s="71">
        <v>0</v>
      </c>
      <c r="S538" s="71">
        <v>0.5</v>
      </c>
      <c r="T538" s="73">
        <v>0.9</v>
      </c>
      <c r="U538" s="71">
        <v>0</v>
      </c>
      <c r="V538" s="71">
        <v>1</v>
      </c>
      <c r="W538" s="71">
        <v>0</v>
      </c>
      <c r="X538" s="71">
        <v>0.5</v>
      </c>
      <c r="Y538" s="73">
        <v>0.92</v>
      </c>
      <c r="Z538" s="73">
        <v>0</v>
      </c>
      <c r="AA538" s="73">
        <v>0</v>
      </c>
      <c r="AB538" s="73">
        <v>0</v>
      </c>
      <c r="AC538" s="73">
        <v>0.14285714285714299</v>
      </c>
      <c r="AD538" s="73">
        <v>0.92</v>
      </c>
      <c r="AE538" s="71">
        <v>0.993897787948131</v>
      </c>
      <c r="AF538" s="71">
        <v>0.97764530551415796</v>
      </c>
      <c r="AG538" s="71">
        <v>0.99231754161331598</v>
      </c>
      <c r="AH538" s="71">
        <v>0.98716773602199803</v>
      </c>
      <c r="AI538" s="73">
        <v>0.92</v>
      </c>
      <c r="AJ538" s="71">
        <v>0.93334897911288395</v>
      </c>
      <c r="AK538" s="71">
        <v>0.92126802650383299</v>
      </c>
      <c r="AL538" s="71">
        <v>0.94717557251908402</v>
      </c>
      <c r="AM538" s="71">
        <v>0.95562478049078403</v>
      </c>
      <c r="AN538" s="70">
        <v>0.99</v>
      </c>
      <c r="AO538" s="75">
        <v>1</v>
      </c>
      <c r="AP538" s="75">
        <v>1</v>
      </c>
      <c r="AQ538" s="75">
        <v>1</v>
      </c>
      <c r="AR538" s="75">
        <v>1</v>
      </c>
      <c r="AS538" s="95">
        <v>0.05</v>
      </c>
      <c r="AT538" s="79">
        <v>0</v>
      </c>
      <c r="AU538" s="79">
        <v>0</v>
      </c>
      <c r="AV538" s="79">
        <v>9.0909090909090898E-2</v>
      </c>
      <c r="AW538" s="79">
        <v>4.39024390243902E-2</v>
      </c>
      <c r="AX538" s="56"/>
      <c r="AY538" s="54"/>
    </row>
    <row r="539" spans="1:51">
      <c r="A539" s="53"/>
      <c r="B539" s="56"/>
      <c r="C539" s="90" t="s">
        <v>370</v>
      </c>
      <c r="D539" s="230" t="s">
        <v>1757</v>
      </c>
      <c r="E539" s="68" t="s">
        <v>371</v>
      </c>
      <c r="F539" s="91" t="s">
        <v>560</v>
      </c>
      <c r="G539" s="91" t="s">
        <v>560</v>
      </c>
      <c r="H539" s="91" t="s">
        <v>560</v>
      </c>
      <c r="I539" s="91" t="s">
        <v>560</v>
      </c>
      <c r="J539" s="70">
        <v>0.9</v>
      </c>
      <c r="K539" s="71">
        <v>0.89655172413793105</v>
      </c>
      <c r="L539" s="71">
        <v>0.96875</v>
      </c>
      <c r="M539" s="72">
        <v>0.96551724137931005</v>
      </c>
      <c r="N539" s="71">
        <v>0.94970414201183395</v>
      </c>
      <c r="O539" s="73">
        <v>0.9</v>
      </c>
      <c r="P539" s="71">
        <v>1</v>
      </c>
      <c r="Q539" s="71">
        <v>1</v>
      </c>
      <c r="R539" s="71" t="s">
        <v>1710</v>
      </c>
      <c r="S539" s="71">
        <v>0.4</v>
      </c>
      <c r="T539" s="73">
        <v>0.9</v>
      </c>
      <c r="U539" s="71">
        <v>1</v>
      </c>
      <c r="V539" s="71">
        <v>1</v>
      </c>
      <c r="W539" s="71" t="s">
        <v>1710</v>
      </c>
      <c r="X539" s="71">
        <v>0.8</v>
      </c>
      <c r="Y539" s="73">
        <v>0.92</v>
      </c>
      <c r="Z539" s="73" t="s">
        <v>1710</v>
      </c>
      <c r="AA539" s="73" t="s">
        <v>1710</v>
      </c>
      <c r="AB539" s="73" t="s">
        <v>1710</v>
      </c>
      <c r="AC539" s="73" t="s">
        <v>1710</v>
      </c>
      <c r="AD539" s="73">
        <v>0.92</v>
      </c>
      <c r="AE539" s="71">
        <v>0.99733333333333296</v>
      </c>
      <c r="AF539" s="71">
        <v>0.99656357388316197</v>
      </c>
      <c r="AG539" s="71">
        <v>0.99523809523809503</v>
      </c>
      <c r="AH539" s="71">
        <v>0.99353504008275195</v>
      </c>
      <c r="AI539" s="73">
        <v>0.92</v>
      </c>
      <c r="AJ539" s="71">
        <v>0.96664902064584401</v>
      </c>
      <c r="AK539" s="71">
        <v>0.97053206002728498</v>
      </c>
      <c r="AL539" s="71">
        <v>0.98012820512820498</v>
      </c>
      <c r="AM539" s="71">
        <v>0.98083524881339701</v>
      </c>
      <c r="AN539" s="70">
        <v>0.99</v>
      </c>
      <c r="AO539" s="75">
        <v>1</v>
      </c>
      <c r="AP539" s="75">
        <v>1</v>
      </c>
      <c r="AQ539" s="75">
        <v>1</v>
      </c>
      <c r="AR539" s="75">
        <v>1</v>
      </c>
      <c r="AS539" s="95">
        <v>0.05</v>
      </c>
      <c r="AT539" s="79">
        <v>7.69230769230769E-2</v>
      </c>
      <c r="AU539" s="79">
        <v>0</v>
      </c>
      <c r="AV539" s="79">
        <v>0</v>
      </c>
      <c r="AW539" s="79">
        <v>3.125E-2</v>
      </c>
      <c r="AX539" s="56"/>
      <c r="AY539" s="54"/>
    </row>
    <row r="540" spans="1:51">
      <c r="A540" s="53"/>
      <c r="B540" s="56"/>
      <c r="C540" s="90" t="s">
        <v>370</v>
      </c>
      <c r="D540" s="230" t="s">
        <v>1757</v>
      </c>
      <c r="E540" s="68" t="s">
        <v>371</v>
      </c>
      <c r="F540" s="91" t="s">
        <v>561</v>
      </c>
      <c r="G540" s="91" t="s">
        <v>561</v>
      </c>
      <c r="H540" s="91" t="s">
        <v>561</v>
      </c>
      <c r="I540" s="91" t="s">
        <v>561</v>
      </c>
      <c r="J540" s="70">
        <v>0.9</v>
      </c>
      <c r="K540" s="71">
        <v>0.86666666666666703</v>
      </c>
      <c r="L540" s="71">
        <v>0.89705882352941202</v>
      </c>
      <c r="M540" s="72">
        <v>0.95384615384615401</v>
      </c>
      <c r="N540" s="71">
        <v>0.89719626168224298</v>
      </c>
      <c r="O540" s="73">
        <v>0.9</v>
      </c>
      <c r="P540" s="71" t="s">
        <v>1710</v>
      </c>
      <c r="Q540" s="71" t="s">
        <v>1710</v>
      </c>
      <c r="R540" s="71">
        <v>0</v>
      </c>
      <c r="S540" s="71">
        <v>0.6</v>
      </c>
      <c r="T540" s="73">
        <v>0.9</v>
      </c>
      <c r="U540" s="71" t="s">
        <v>1710</v>
      </c>
      <c r="V540" s="71" t="s">
        <v>1710</v>
      </c>
      <c r="W540" s="71">
        <v>0</v>
      </c>
      <c r="X540" s="71">
        <v>0.4</v>
      </c>
      <c r="Y540" s="73">
        <v>0.92</v>
      </c>
      <c r="Z540" s="73" t="s">
        <v>1710</v>
      </c>
      <c r="AA540" s="73" t="s">
        <v>1710</v>
      </c>
      <c r="AB540" s="73" t="s">
        <v>1710</v>
      </c>
      <c r="AC540" s="73">
        <v>0.5</v>
      </c>
      <c r="AD540" s="73">
        <v>0.92</v>
      </c>
      <c r="AE540" s="71">
        <v>0.94642857142857095</v>
      </c>
      <c r="AF540" s="71">
        <v>0.96</v>
      </c>
      <c r="AG540" s="71">
        <v>0.96747967479674801</v>
      </c>
      <c r="AH540" s="71">
        <v>0.96378418329637805</v>
      </c>
      <c r="AI540" s="73">
        <v>0.92</v>
      </c>
      <c r="AJ540" s="71">
        <v>0.95332671300893701</v>
      </c>
      <c r="AK540" s="71">
        <v>0.97347850362925703</v>
      </c>
      <c r="AL540" s="71">
        <v>0.97817489380401301</v>
      </c>
      <c r="AM540" s="71">
        <v>0.97882258157334401</v>
      </c>
      <c r="AN540" s="70">
        <v>0.99</v>
      </c>
      <c r="AO540" s="75">
        <v>1</v>
      </c>
      <c r="AP540" s="75">
        <v>1</v>
      </c>
      <c r="AQ540" s="75">
        <v>1</v>
      </c>
      <c r="AR540" s="75">
        <v>1</v>
      </c>
      <c r="AS540" s="95">
        <v>0.05</v>
      </c>
      <c r="AT540" s="79">
        <v>0</v>
      </c>
      <c r="AU540" s="79">
        <v>0</v>
      </c>
      <c r="AV540" s="79">
        <v>0.125</v>
      </c>
      <c r="AW540" s="79">
        <v>2.2598870056497199E-2</v>
      </c>
      <c r="AX540" s="56"/>
      <c r="AY540" s="54"/>
    </row>
    <row r="541" spans="1:51">
      <c r="A541" s="53"/>
      <c r="B541" s="56"/>
      <c r="C541" s="90" t="s">
        <v>370</v>
      </c>
      <c r="D541" s="230" t="s">
        <v>1757</v>
      </c>
      <c r="E541" s="68" t="s">
        <v>371</v>
      </c>
      <c r="F541" s="91" t="s">
        <v>562</v>
      </c>
      <c r="G541" s="91" t="s">
        <v>562</v>
      </c>
      <c r="H541" s="91" t="s">
        <v>562</v>
      </c>
      <c r="I541" s="91" t="s">
        <v>562</v>
      </c>
      <c r="J541" s="70">
        <v>0.9</v>
      </c>
      <c r="K541" s="71">
        <v>0.967741935483871</v>
      </c>
      <c r="L541" s="71">
        <v>0.97222222222222199</v>
      </c>
      <c r="M541" s="72">
        <v>1</v>
      </c>
      <c r="N541" s="71">
        <v>0.97493734335839599</v>
      </c>
      <c r="O541" s="73">
        <v>0.9</v>
      </c>
      <c r="P541" s="71" t="s">
        <v>1710</v>
      </c>
      <c r="Q541" s="71">
        <v>0</v>
      </c>
      <c r="R541" s="71" t="s">
        <v>1710</v>
      </c>
      <c r="S541" s="71">
        <v>0.11111111111111099</v>
      </c>
      <c r="T541" s="73">
        <v>0.9</v>
      </c>
      <c r="U541" s="71" t="s">
        <v>1710</v>
      </c>
      <c r="V541" s="71">
        <v>1</v>
      </c>
      <c r="W541" s="71" t="s">
        <v>1710</v>
      </c>
      <c r="X541" s="71">
        <v>0.66666666666666696</v>
      </c>
      <c r="Y541" s="73">
        <v>0.92</v>
      </c>
      <c r="Z541" s="73" t="s">
        <v>1710</v>
      </c>
      <c r="AA541" s="73">
        <v>1</v>
      </c>
      <c r="AB541" s="73" t="s">
        <v>1710</v>
      </c>
      <c r="AC541" s="73">
        <v>1</v>
      </c>
      <c r="AD541" s="73">
        <v>0.92</v>
      </c>
      <c r="AE541" s="71">
        <v>0.99480207916833296</v>
      </c>
      <c r="AF541" s="71">
        <v>0.99861046780917095</v>
      </c>
      <c r="AG541" s="71">
        <v>0.30084589922765698</v>
      </c>
      <c r="AH541" s="71">
        <v>0.900954227687911</v>
      </c>
      <c r="AI541" s="73">
        <v>0.92</v>
      </c>
      <c r="AJ541" s="71">
        <v>0.97159364467982701</v>
      </c>
      <c r="AK541" s="71">
        <v>0.97590643274853806</v>
      </c>
      <c r="AL541" s="71">
        <v>0.98702330508474601</v>
      </c>
      <c r="AM541" s="71">
        <v>0.98419370698131803</v>
      </c>
      <c r="AN541" s="70">
        <v>0.99</v>
      </c>
      <c r="AO541" s="75">
        <v>1</v>
      </c>
      <c r="AP541" s="75">
        <v>1</v>
      </c>
      <c r="AQ541" s="75">
        <v>1</v>
      </c>
      <c r="AR541" s="75">
        <v>1</v>
      </c>
      <c r="AS541" s="95">
        <v>0.05</v>
      </c>
      <c r="AT541" s="79">
        <v>0</v>
      </c>
      <c r="AU541" s="79">
        <v>0</v>
      </c>
      <c r="AV541" s="79">
        <v>0.1</v>
      </c>
      <c r="AW541" s="79">
        <v>4.6296296296296301E-2</v>
      </c>
      <c r="AX541" s="56"/>
      <c r="AY541" s="54"/>
    </row>
    <row r="542" spans="1:51">
      <c r="A542" s="53"/>
      <c r="B542" s="56"/>
      <c r="C542" s="90" t="s">
        <v>370</v>
      </c>
      <c r="D542" s="230" t="s">
        <v>1757</v>
      </c>
      <c r="E542" s="68" t="s">
        <v>371</v>
      </c>
      <c r="F542" s="91" t="s">
        <v>563</v>
      </c>
      <c r="G542" s="91" t="s">
        <v>563</v>
      </c>
      <c r="H542" s="91" t="s">
        <v>563</v>
      </c>
      <c r="I542" s="91" t="s">
        <v>563</v>
      </c>
      <c r="J542" s="70">
        <v>0.9</v>
      </c>
      <c r="K542" s="71">
        <v>0.91176470588235303</v>
      </c>
      <c r="L542" s="71">
        <v>1</v>
      </c>
      <c r="M542" s="72">
        <v>0.96428571428571397</v>
      </c>
      <c r="N542" s="71">
        <v>0.94933333333333303</v>
      </c>
      <c r="O542" s="73">
        <v>0.9</v>
      </c>
      <c r="P542" s="71" t="s">
        <v>1710</v>
      </c>
      <c r="Q542" s="71">
        <v>1</v>
      </c>
      <c r="R542" s="71" t="s">
        <v>1710</v>
      </c>
      <c r="S542" s="71">
        <v>1</v>
      </c>
      <c r="T542" s="73">
        <v>0.9</v>
      </c>
      <c r="U542" s="71" t="s">
        <v>1710</v>
      </c>
      <c r="V542" s="71">
        <v>0</v>
      </c>
      <c r="W542" s="71" t="s">
        <v>1710</v>
      </c>
      <c r="X542" s="71">
        <v>0.5</v>
      </c>
      <c r="Y542" s="73">
        <v>0.92</v>
      </c>
      <c r="Z542" s="73" t="s">
        <v>1710</v>
      </c>
      <c r="AA542" s="73" t="s">
        <v>1710</v>
      </c>
      <c r="AB542" s="73" t="s">
        <v>1710</v>
      </c>
      <c r="AC542" s="73" t="s">
        <v>1710</v>
      </c>
      <c r="AD542" s="73">
        <v>0.92</v>
      </c>
      <c r="AE542" s="71">
        <v>0.98649864986498603</v>
      </c>
      <c r="AF542" s="71">
        <v>0.99284009546539398</v>
      </c>
      <c r="AG542" s="71">
        <v>0.89526184538653397</v>
      </c>
      <c r="AH542" s="71">
        <v>0.98128817753034903</v>
      </c>
      <c r="AI542" s="73">
        <v>0.92</v>
      </c>
      <c r="AJ542" s="71">
        <v>0.95796676441837703</v>
      </c>
      <c r="AK542" s="71">
        <v>0.967741935483871</v>
      </c>
      <c r="AL542" s="71">
        <v>0.95515548281505702</v>
      </c>
      <c r="AM542" s="71">
        <v>0.96945627251883404</v>
      </c>
      <c r="AN542" s="70">
        <v>0.99</v>
      </c>
      <c r="AO542" s="75">
        <v>1</v>
      </c>
      <c r="AP542" s="75">
        <v>1</v>
      </c>
      <c r="AQ542" s="75">
        <v>1</v>
      </c>
      <c r="AR542" s="75">
        <v>1</v>
      </c>
      <c r="AS542" s="95">
        <v>0.05</v>
      </c>
      <c r="AT542" s="79">
        <v>0</v>
      </c>
      <c r="AU542" s="79">
        <v>0</v>
      </c>
      <c r="AV542" s="79">
        <v>0</v>
      </c>
      <c r="AW542" s="79">
        <v>3.1007751937984499E-2</v>
      </c>
      <c r="AX542" s="56"/>
      <c r="AY542" s="54"/>
    </row>
    <row r="543" spans="1:51">
      <c r="A543" s="53"/>
      <c r="B543" s="56"/>
      <c r="C543" s="90" t="s">
        <v>370</v>
      </c>
      <c r="D543" s="230" t="s">
        <v>1757</v>
      </c>
      <c r="E543" s="68" t="s">
        <v>371</v>
      </c>
      <c r="F543" s="91" t="s">
        <v>564</v>
      </c>
      <c r="G543" s="91" t="s">
        <v>564</v>
      </c>
      <c r="H543" s="91" t="s">
        <v>564</v>
      </c>
      <c r="I543" s="91" t="s">
        <v>564</v>
      </c>
      <c r="J543" s="70">
        <v>0.9</v>
      </c>
      <c r="K543" s="71">
        <v>0.97777777777777797</v>
      </c>
      <c r="L543" s="71">
        <v>0.86538461538461497</v>
      </c>
      <c r="M543" s="72">
        <v>0.93877551020408201</v>
      </c>
      <c r="N543" s="71">
        <v>0.91636363636363605</v>
      </c>
      <c r="O543" s="73">
        <v>0.9</v>
      </c>
      <c r="P543" s="71" t="s">
        <v>1710</v>
      </c>
      <c r="Q543" s="71" t="s">
        <v>1710</v>
      </c>
      <c r="R543" s="71" t="s">
        <v>1710</v>
      </c>
      <c r="S543" s="71">
        <v>0.25</v>
      </c>
      <c r="T543" s="73">
        <v>0.9</v>
      </c>
      <c r="U543" s="71" t="s">
        <v>1710</v>
      </c>
      <c r="V543" s="71" t="s">
        <v>1710</v>
      </c>
      <c r="W543" s="71" t="s">
        <v>1710</v>
      </c>
      <c r="X543" s="71">
        <v>0.5</v>
      </c>
      <c r="Y543" s="73">
        <v>0.92</v>
      </c>
      <c r="Z543" s="73" t="s">
        <v>1710</v>
      </c>
      <c r="AA543" s="73" t="s">
        <v>1710</v>
      </c>
      <c r="AB543" s="73" t="s">
        <v>1710</v>
      </c>
      <c r="AC543" s="73" t="s">
        <v>1710</v>
      </c>
      <c r="AD543" s="73">
        <v>0.92</v>
      </c>
      <c r="AE543" s="71">
        <v>0.988826815642458</v>
      </c>
      <c r="AF543" s="71">
        <v>0.96350364963503699</v>
      </c>
      <c r="AG543" s="71">
        <v>0.94117647058823495</v>
      </c>
      <c r="AH543" s="71">
        <v>0.97371714643304097</v>
      </c>
      <c r="AI543" s="73">
        <v>0.92</v>
      </c>
      <c r="AJ543" s="71">
        <v>0.92065868263473005</v>
      </c>
      <c r="AK543" s="71">
        <v>0.96403978576893601</v>
      </c>
      <c r="AL543" s="71">
        <v>0.962422546472117</v>
      </c>
      <c r="AM543" s="71">
        <v>0.96058650792065403</v>
      </c>
      <c r="AN543" s="70">
        <v>0.99</v>
      </c>
      <c r="AO543" s="75">
        <v>1</v>
      </c>
      <c r="AP543" s="75">
        <v>1</v>
      </c>
      <c r="AQ543" s="75">
        <v>1</v>
      </c>
      <c r="AR543" s="75">
        <v>1</v>
      </c>
      <c r="AS543" s="95">
        <v>0.05</v>
      </c>
      <c r="AT543" s="79">
        <v>0</v>
      </c>
      <c r="AU543" s="79">
        <v>0</v>
      </c>
      <c r="AV543" s="79">
        <v>0</v>
      </c>
      <c r="AW543" s="79">
        <v>2.9126213592233E-2</v>
      </c>
      <c r="AX543" s="56"/>
      <c r="AY543" s="54"/>
    </row>
    <row r="544" spans="1:51">
      <c r="A544" s="53"/>
      <c r="B544" s="56"/>
      <c r="C544" s="90" t="s">
        <v>370</v>
      </c>
      <c r="D544" s="230" t="s">
        <v>1757</v>
      </c>
      <c r="E544" s="68" t="s">
        <v>371</v>
      </c>
      <c r="F544" s="91" t="s">
        <v>565</v>
      </c>
      <c r="G544" s="91" t="s">
        <v>565</v>
      </c>
      <c r="H544" s="91" t="s">
        <v>565</v>
      </c>
      <c r="I544" s="91" t="s">
        <v>565</v>
      </c>
      <c r="J544" s="70">
        <v>0.9</v>
      </c>
      <c r="K544" s="71">
        <v>0.931034482758621</v>
      </c>
      <c r="L544" s="71">
        <v>0.931034482758621</v>
      </c>
      <c r="M544" s="72">
        <v>0.96428571428571397</v>
      </c>
      <c r="N544" s="71">
        <v>0.933544303797468</v>
      </c>
      <c r="O544" s="73">
        <v>0.9</v>
      </c>
      <c r="P544" s="71">
        <v>0</v>
      </c>
      <c r="Q544" s="71" t="s">
        <v>1710</v>
      </c>
      <c r="R544" s="71" t="s">
        <v>1710</v>
      </c>
      <c r="S544" s="71">
        <v>0</v>
      </c>
      <c r="T544" s="73">
        <v>0.9</v>
      </c>
      <c r="U544" s="71">
        <v>0.5</v>
      </c>
      <c r="V544" s="71" t="s">
        <v>1710</v>
      </c>
      <c r="W544" s="71" t="s">
        <v>1710</v>
      </c>
      <c r="X544" s="71">
        <v>0.14285714285714299</v>
      </c>
      <c r="Y544" s="73">
        <v>0.92</v>
      </c>
      <c r="Z544" s="73" t="s">
        <v>1710</v>
      </c>
      <c r="AA544" s="73" t="s">
        <v>1710</v>
      </c>
      <c r="AB544" s="73">
        <v>0</v>
      </c>
      <c r="AC544" s="73">
        <v>0</v>
      </c>
      <c r="AD544" s="73">
        <v>0.92</v>
      </c>
      <c r="AE544" s="71">
        <v>0.98039215686274495</v>
      </c>
      <c r="AF544" s="71">
        <v>0.98550724637681197</v>
      </c>
      <c r="AG544" s="71">
        <v>0.99489795918367396</v>
      </c>
      <c r="AH544" s="71">
        <v>0.991435768261965</v>
      </c>
      <c r="AI544" s="73">
        <v>0.92</v>
      </c>
      <c r="AJ544" s="71">
        <v>0.97103274559193997</v>
      </c>
      <c r="AK544" s="71">
        <v>0.97120271033314498</v>
      </c>
      <c r="AL544" s="71">
        <v>0.98283931357254295</v>
      </c>
      <c r="AM544" s="71">
        <v>0.98230909278279699</v>
      </c>
      <c r="AN544" s="70">
        <v>0.99</v>
      </c>
      <c r="AO544" s="75">
        <v>1</v>
      </c>
      <c r="AP544" s="75">
        <v>1</v>
      </c>
      <c r="AQ544" s="75">
        <v>1</v>
      </c>
      <c r="AR544" s="75">
        <v>1</v>
      </c>
      <c r="AS544" s="95">
        <v>0.05</v>
      </c>
      <c r="AT544" s="79">
        <v>0</v>
      </c>
      <c r="AU544" s="79">
        <v>0.1</v>
      </c>
      <c r="AV544" s="79">
        <v>0</v>
      </c>
      <c r="AW544" s="79">
        <v>1.35135135135135E-2</v>
      </c>
      <c r="AX544" s="56"/>
      <c r="AY544" s="54"/>
    </row>
    <row r="545" spans="1:51">
      <c r="A545" s="53"/>
      <c r="B545" s="56"/>
      <c r="C545" s="90" t="s">
        <v>370</v>
      </c>
      <c r="D545" s="230" t="s">
        <v>1757</v>
      </c>
      <c r="E545" s="68" t="s">
        <v>371</v>
      </c>
      <c r="F545" s="91" t="s">
        <v>566</v>
      </c>
      <c r="G545" s="91" t="s">
        <v>566</v>
      </c>
      <c r="H545" s="91" t="s">
        <v>566</v>
      </c>
      <c r="I545" s="91" t="s">
        <v>566</v>
      </c>
      <c r="J545" s="70">
        <v>0.9</v>
      </c>
      <c r="K545" s="71">
        <v>0.92424242424242398</v>
      </c>
      <c r="L545" s="71">
        <v>0.89655172413793105</v>
      </c>
      <c r="M545" s="72">
        <v>0.90384615384615397</v>
      </c>
      <c r="N545" s="71">
        <v>0.88906752411575596</v>
      </c>
      <c r="O545" s="73">
        <v>0.9</v>
      </c>
      <c r="P545" s="71">
        <v>1</v>
      </c>
      <c r="Q545" s="71">
        <v>0.6</v>
      </c>
      <c r="R545" s="71">
        <v>0.75</v>
      </c>
      <c r="S545" s="71">
        <v>0.63157894736842102</v>
      </c>
      <c r="T545" s="73">
        <v>0.9</v>
      </c>
      <c r="U545" s="71">
        <v>1</v>
      </c>
      <c r="V545" s="71">
        <v>0</v>
      </c>
      <c r="W545" s="71">
        <v>0.5</v>
      </c>
      <c r="X545" s="71">
        <v>0.47368421052631599</v>
      </c>
      <c r="Y545" s="73">
        <v>0.92</v>
      </c>
      <c r="Z545" s="73" t="s">
        <v>1710</v>
      </c>
      <c r="AA545" s="73">
        <v>1</v>
      </c>
      <c r="AB545" s="73">
        <v>0</v>
      </c>
      <c r="AC545" s="73">
        <v>0.33333333333333298</v>
      </c>
      <c r="AD545" s="73">
        <v>0.92</v>
      </c>
      <c r="AE545" s="71">
        <v>0.97457627118644097</v>
      </c>
      <c r="AF545" s="71">
        <v>0.976780185758514</v>
      </c>
      <c r="AG545" s="71">
        <v>0.99201065246338205</v>
      </c>
      <c r="AH545" s="71">
        <v>0.97197859372677298</v>
      </c>
      <c r="AI545" s="73">
        <v>0.92</v>
      </c>
      <c r="AJ545" s="71">
        <v>0.918415417558887</v>
      </c>
      <c r="AK545" s="71">
        <v>0.87255046412258697</v>
      </c>
      <c r="AL545" s="71">
        <v>0.85622947986867104</v>
      </c>
      <c r="AM545" s="71">
        <v>0.91803640723096802</v>
      </c>
      <c r="AN545" s="70">
        <v>0.99</v>
      </c>
      <c r="AO545" s="75">
        <v>1</v>
      </c>
      <c r="AP545" s="75">
        <v>1</v>
      </c>
      <c r="AQ545" s="75">
        <v>1</v>
      </c>
      <c r="AR545" s="75">
        <v>1</v>
      </c>
      <c r="AS545" s="95">
        <v>0.05</v>
      </c>
      <c r="AT545" s="79">
        <v>0.133333333333333</v>
      </c>
      <c r="AU545" s="79">
        <v>0</v>
      </c>
      <c r="AV545" s="79">
        <v>4.5454545454545497E-2</v>
      </c>
      <c r="AW545" s="79">
        <v>5.7347670250896099E-2</v>
      </c>
      <c r="AX545" s="56"/>
      <c r="AY545" s="54"/>
    </row>
    <row r="546" spans="1:51">
      <c r="A546" s="53"/>
      <c r="B546" s="56"/>
      <c r="C546" s="90" t="s">
        <v>370</v>
      </c>
      <c r="D546" s="230" t="s">
        <v>1757</v>
      </c>
      <c r="E546" s="68" t="s">
        <v>371</v>
      </c>
      <c r="F546" s="91" t="s">
        <v>567</v>
      </c>
      <c r="G546" s="91" t="s">
        <v>567</v>
      </c>
      <c r="H546" s="91" t="s">
        <v>567</v>
      </c>
      <c r="I546" s="91" t="s">
        <v>567</v>
      </c>
      <c r="J546" s="70">
        <v>0.9</v>
      </c>
      <c r="K546" s="71">
        <v>0.86956521739130399</v>
      </c>
      <c r="L546" s="71">
        <v>1</v>
      </c>
      <c r="M546" s="72">
        <v>0.95652173913043503</v>
      </c>
      <c r="N546" s="71">
        <v>0.93436293436293405</v>
      </c>
      <c r="O546" s="73">
        <v>0.9</v>
      </c>
      <c r="P546" s="71" t="s">
        <v>1710</v>
      </c>
      <c r="Q546" s="71" t="s">
        <v>1710</v>
      </c>
      <c r="R546" s="71" t="s">
        <v>1710</v>
      </c>
      <c r="S546" s="71">
        <v>0</v>
      </c>
      <c r="T546" s="73">
        <v>0.9</v>
      </c>
      <c r="U546" s="71" t="s">
        <v>1710</v>
      </c>
      <c r="V546" s="71" t="s">
        <v>1710</v>
      </c>
      <c r="W546" s="71" t="s">
        <v>1710</v>
      </c>
      <c r="X546" s="71">
        <v>0</v>
      </c>
      <c r="Y546" s="73">
        <v>0.92</v>
      </c>
      <c r="Z546" s="73" t="s">
        <v>1710</v>
      </c>
      <c r="AA546" s="73" t="s">
        <v>1710</v>
      </c>
      <c r="AB546" s="73" t="s">
        <v>1710</v>
      </c>
      <c r="AC546" s="73">
        <v>1</v>
      </c>
      <c r="AD546" s="73">
        <v>0.92</v>
      </c>
      <c r="AE546" s="71">
        <v>0.99126637554585195</v>
      </c>
      <c r="AF546" s="71">
        <v>0.994871794871795</v>
      </c>
      <c r="AG546" s="71">
        <v>0.26139817629179302</v>
      </c>
      <c r="AH546" s="71">
        <v>0.84918200408998001</v>
      </c>
      <c r="AI546" s="73">
        <v>0.92</v>
      </c>
      <c r="AJ546" s="71">
        <v>0.95768688293370896</v>
      </c>
      <c r="AK546" s="71">
        <v>0.96792707629979702</v>
      </c>
      <c r="AL546" s="71">
        <v>0.96685934489402703</v>
      </c>
      <c r="AM546" s="71">
        <v>0.96975188179537197</v>
      </c>
      <c r="AN546" s="70">
        <v>0.99</v>
      </c>
      <c r="AO546" s="75">
        <v>1</v>
      </c>
      <c r="AP546" s="75">
        <v>1</v>
      </c>
      <c r="AQ546" s="75">
        <v>1</v>
      </c>
      <c r="AR546" s="75">
        <v>1</v>
      </c>
      <c r="AS546" s="95">
        <v>0.05</v>
      </c>
      <c r="AT546" s="79">
        <v>0</v>
      </c>
      <c r="AU546" s="79">
        <v>9.0909090909090898E-2</v>
      </c>
      <c r="AV546" s="79">
        <v>0</v>
      </c>
      <c r="AW546" s="79">
        <v>5.4421768707482998E-2</v>
      </c>
      <c r="AX546" s="56"/>
      <c r="AY546" s="54"/>
    </row>
    <row r="547" spans="1:51">
      <c r="A547" s="53"/>
      <c r="B547" s="56"/>
      <c r="C547" s="90" t="s">
        <v>370</v>
      </c>
      <c r="D547" s="230" t="s">
        <v>1757</v>
      </c>
      <c r="E547" s="68" t="s">
        <v>371</v>
      </c>
      <c r="F547" s="91" t="s">
        <v>568</v>
      </c>
      <c r="G547" s="91" t="s">
        <v>568</v>
      </c>
      <c r="H547" s="91" t="s">
        <v>568</v>
      </c>
      <c r="I547" s="91" t="s">
        <v>568</v>
      </c>
      <c r="J547" s="70">
        <v>0.9</v>
      </c>
      <c r="K547" s="71">
        <v>0.86486486486486502</v>
      </c>
      <c r="L547" s="71">
        <v>0.934782608695652</v>
      </c>
      <c r="M547" s="72">
        <v>0.891891891891892</v>
      </c>
      <c r="N547" s="71">
        <v>0.89755011135857499</v>
      </c>
      <c r="O547" s="73">
        <v>0.9</v>
      </c>
      <c r="P547" s="71">
        <v>1</v>
      </c>
      <c r="Q547" s="71" t="s">
        <v>1710</v>
      </c>
      <c r="R547" s="71" t="s">
        <v>1710</v>
      </c>
      <c r="S547" s="71">
        <v>0.33333333333333298</v>
      </c>
      <c r="T547" s="73">
        <v>0.9</v>
      </c>
      <c r="U547" s="71">
        <v>0</v>
      </c>
      <c r="V547" s="71" t="s">
        <v>1710</v>
      </c>
      <c r="W547" s="71" t="s">
        <v>1710</v>
      </c>
      <c r="X547" s="71">
        <v>0.5</v>
      </c>
      <c r="Y547" s="73">
        <v>0.92</v>
      </c>
      <c r="Z547" s="73" t="s">
        <v>1710</v>
      </c>
      <c r="AA547" s="73">
        <v>0</v>
      </c>
      <c r="AB547" s="73" t="s">
        <v>1710</v>
      </c>
      <c r="AC547" s="73">
        <v>0</v>
      </c>
      <c r="AD547" s="73">
        <v>0.92</v>
      </c>
      <c r="AE547" s="71">
        <v>0.99134199134199097</v>
      </c>
      <c r="AF547" s="71">
        <v>1</v>
      </c>
      <c r="AG547" s="71">
        <v>0.37735849056603799</v>
      </c>
      <c r="AH547" s="71">
        <v>0.952853598014888</v>
      </c>
      <c r="AI547" s="73">
        <v>0.92</v>
      </c>
      <c r="AJ547" s="71">
        <v>0.95509654243376696</v>
      </c>
      <c r="AK547" s="71">
        <v>0.96646272377067799</v>
      </c>
      <c r="AL547" s="71">
        <v>0.95391262602016302</v>
      </c>
      <c r="AM547" s="71">
        <v>0.96614000800583999</v>
      </c>
      <c r="AN547" s="70">
        <v>0.99</v>
      </c>
      <c r="AO547" s="75">
        <v>1</v>
      </c>
      <c r="AP547" s="75">
        <v>1</v>
      </c>
      <c r="AQ547" s="75">
        <v>1</v>
      </c>
      <c r="AR547" s="75">
        <v>1</v>
      </c>
      <c r="AS547" s="95">
        <v>0.05</v>
      </c>
      <c r="AT547" s="79">
        <v>0.4</v>
      </c>
      <c r="AU547" s="79">
        <v>0</v>
      </c>
      <c r="AV547" s="79">
        <v>0</v>
      </c>
      <c r="AW547" s="79">
        <v>6.0344827586206899E-2</v>
      </c>
      <c r="AX547" s="56"/>
      <c r="AY547" s="54"/>
    </row>
    <row r="548" spans="1:51">
      <c r="A548" s="53"/>
      <c r="B548" s="56"/>
      <c r="C548" s="90" t="s">
        <v>370</v>
      </c>
      <c r="D548" s="230" t="s">
        <v>1757</v>
      </c>
      <c r="E548" s="68" t="s">
        <v>371</v>
      </c>
      <c r="F548" s="91" t="s">
        <v>569</v>
      </c>
      <c r="G548" s="91" t="s">
        <v>569</v>
      </c>
      <c r="H548" s="91" t="s">
        <v>569</v>
      </c>
      <c r="I548" s="91" t="s">
        <v>569</v>
      </c>
      <c r="J548" s="70">
        <v>0.9</v>
      </c>
      <c r="K548" s="71">
        <v>0.98214285714285698</v>
      </c>
      <c r="L548" s="71">
        <v>0.94444444444444398</v>
      </c>
      <c r="M548" s="72">
        <v>0.94230769230769196</v>
      </c>
      <c r="N548" s="71">
        <v>0.90697674418604601</v>
      </c>
      <c r="O548" s="73">
        <v>0.9</v>
      </c>
      <c r="P548" s="71" t="s">
        <v>1710</v>
      </c>
      <c r="Q548" s="71">
        <v>0</v>
      </c>
      <c r="R548" s="71">
        <v>0</v>
      </c>
      <c r="S548" s="71">
        <v>0.16666666666666699</v>
      </c>
      <c r="T548" s="73">
        <v>0.9</v>
      </c>
      <c r="U548" s="71" t="s">
        <v>1710</v>
      </c>
      <c r="V548" s="71">
        <v>1</v>
      </c>
      <c r="W548" s="71">
        <v>0</v>
      </c>
      <c r="X548" s="71">
        <v>0.33333333333333298</v>
      </c>
      <c r="Y548" s="73">
        <v>0.92</v>
      </c>
      <c r="Z548" s="73" t="s">
        <v>1710</v>
      </c>
      <c r="AA548" s="73" t="s">
        <v>1710</v>
      </c>
      <c r="AB548" s="73" t="s">
        <v>1710</v>
      </c>
      <c r="AC548" s="73">
        <v>0.25</v>
      </c>
      <c r="AD548" s="73">
        <v>0.92</v>
      </c>
      <c r="AE548" s="71">
        <v>0.97391304347826102</v>
      </c>
      <c r="AF548" s="71">
        <v>0.99393939393939401</v>
      </c>
      <c r="AG548" s="71">
        <v>0.98726114649681496</v>
      </c>
      <c r="AH548" s="71">
        <v>0.98833955223880599</v>
      </c>
      <c r="AI548" s="73">
        <v>0.92</v>
      </c>
      <c r="AJ548" s="71">
        <v>0.98120672601384795</v>
      </c>
      <c r="AK548" s="71">
        <v>0.97071060076551796</v>
      </c>
      <c r="AL548" s="71">
        <v>0.97021501586182601</v>
      </c>
      <c r="AM548" s="71">
        <v>0.97128083292572098</v>
      </c>
      <c r="AN548" s="70">
        <v>0.99</v>
      </c>
      <c r="AO548" s="75">
        <v>1</v>
      </c>
      <c r="AP548" s="75">
        <v>1</v>
      </c>
      <c r="AQ548" s="75">
        <v>1</v>
      </c>
      <c r="AR548" s="75">
        <v>1</v>
      </c>
      <c r="AS548" s="95">
        <v>0.05</v>
      </c>
      <c r="AT548" s="79">
        <v>0</v>
      </c>
      <c r="AU548" s="79">
        <v>0.18181818181818199</v>
      </c>
      <c r="AV548" s="79">
        <v>0</v>
      </c>
      <c r="AW548" s="79">
        <v>3.5211267605633798E-2</v>
      </c>
      <c r="AX548" s="56"/>
      <c r="AY548" s="54"/>
    </row>
    <row r="549" spans="1:51">
      <c r="A549" s="53"/>
      <c r="B549" s="56"/>
      <c r="C549" s="90" t="s">
        <v>370</v>
      </c>
      <c r="D549" s="230" t="s">
        <v>1757</v>
      </c>
      <c r="E549" s="68" t="s">
        <v>371</v>
      </c>
      <c r="F549" s="91" t="s">
        <v>570</v>
      </c>
      <c r="G549" s="91" t="s">
        <v>570</v>
      </c>
      <c r="H549" s="91" t="s">
        <v>570</v>
      </c>
      <c r="I549" s="91" t="s">
        <v>570</v>
      </c>
      <c r="J549" s="70">
        <v>0.9</v>
      </c>
      <c r="K549" s="71">
        <v>0.96428571428571397</v>
      </c>
      <c r="L549" s="71">
        <v>0.98275862068965503</v>
      </c>
      <c r="M549" s="72">
        <v>1</v>
      </c>
      <c r="N549" s="71">
        <v>0.96290322580645205</v>
      </c>
      <c r="O549" s="73">
        <v>0.9</v>
      </c>
      <c r="P549" s="71">
        <v>0.99182268129976303</v>
      </c>
      <c r="Q549" s="71">
        <v>0.98466337405770699</v>
      </c>
      <c r="R549" s="71">
        <v>0.97738527566853795</v>
      </c>
      <c r="S549" s="71">
        <v>0.97933554227560504</v>
      </c>
      <c r="T549" s="73">
        <v>0.9</v>
      </c>
      <c r="U549" s="71">
        <v>0.95588551753819695</v>
      </c>
      <c r="V549" s="71">
        <v>0.94125292435664198</v>
      </c>
      <c r="W549" s="71">
        <v>0.93446682073291498</v>
      </c>
      <c r="X549" s="71">
        <v>0.93367256375362395</v>
      </c>
      <c r="Y549" s="73">
        <v>0.92</v>
      </c>
      <c r="Z549" s="73">
        <v>1</v>
      </c>
      <c r="AA549" s="73" t="s">
        <v>1710</v>
      </c>
      <c r="AB549" s="73" t="s">
        <v>1710</v>
      </c>
      <c r="AC549" s="73">
        <v>1</v>
      </c>
      <c r="AD549" s="73">
        <v>0.92</v>
      </c>
      <c r="AE549" s="71">
        <v>0.99291177019212795</v>
      </c>
      <c r="AF549" s="71">
        <v>0.99847351549381802</v>
      </c>
      <c r="AG549" s="71">
        <v>0.75218459858001097</v>
      </c>
      <c r="AH549" s="71">
        <v>0.96883940525685297</v>
      </c>
      <c r="AI549" s="73">
        <v>0.92</v>
      </c>
      <c r="AJ549" s="71">
        <v>0.97746781115879799</v>
      </c>
      <c r="AK549" s="71">
        <v>0.982727272727273</v>
      </c>
      <c r="AL549" s="71">
        <v>0.98085808580858103</v>
      </c>
      <c r="AM549" s="71">
        <v>0.976034536288236</v>
      </c>
      <c r="AN549" s="70">
        <v>0.99</v>
      </c>
      <c r="AO549" s="75">
        <v>1</v>
      </c>
      <c r="AP549" s="75">
        <v>1</v>
      </c>
      <c r="AQ549" s="75">
        <v>1</v>
      </c>
      <c r="AR549" s="75">
        <v>1</v>
      </c>
      <c r="AS549" s="95">
        <v>0.05</v>
      </c>
      <c r="AT549" s="79">
        <v>3.2258064516128997E-2</v>
      </c>
      <c r="AU549" s="79">
        <v>0.11111111111111099</v>
      </c>
      <c r="AV549" s="79">
        <v>6.8965517241379296E-2</v>
      </c>
      <c r="AW549" s="79">
        <v>5.8631921824104198E-2</v>
      </c>
      <c r="AX549" s="56"/>
      <c r="AY549" s="54"/>
    </row>
    <row r="550" spans="1:51">
      <c r="A550" s="53"/>
      <c r="B550" s="56"/>
      <c r="C550" s="90" t="s">
        <v>370</v>
      </c>
      <c r="D550" s="230" t="s">
        <v>1757</v>
      </c>
      <c r="E550" s="68" t="s">
        <v>371</v>
      </c>
      <c r="F550" s="91" t="s">
        <v>571</v>
      </c>
      <c r="G550" s="91" t="s">
        <v>571</v>
      </c>
      <c r="H550" s="91" t="s">
        <v>571</v>
      </c>
      <c r="I550" s="91" t="s">
        <v>571</v>
      </c>
      <c r="J550" s="70">
        <v>0.9</v>
      </c>
      <c r="K550" s="71">
        <v>0.931034482758621</v>
      </c>
      <c r="L550" s="71">
        <v>0.95652173913043503</v>
      </c>
      <c r="M550" s="72">
        <v>0.98387096774193505</v>
      </c>
      <c r="N550" s="71">
        <v>0.97046413502109696</v>
      </c>
      <c r="O550" s="73">
        <v>0.9</v>
      </c>
      <c r="P550" s="71">
        <v>0.94736842105263197</v>
      </c>
      <c r="Q550" s="71">
        <v>1</v>
      </c>
      <c r="R550" s="71">
        <v>1</v>
      </c>
      <c r="S550" s="71">
        <v>0.98412698412698396</v>
      </c>
      <c r="T550" s="73">
        <v>0.9</v>
      </c>
      <c r="U550" s="71">
        <v>0.89473684210526305</v>
      </c>
      <c r="V550" s="71">
        <v>1</v>
      </c>
      <c r="W550" s="71">
        <v>1</v>
      </c>
      <c r="X550" s="71">
        <v>0.97883597883597895</v>
      </c>
      <c r="Y550" s="73">
        <v>0.92</v>
      </c>
      <c r="Z550" s="73" t="s">
        <v>1710</v>
      </c>
      <c r="AA550" s="73">
        <v>1</v>
      </c>
      <c r="AB550" s="73" t="s">
        <v>1710</v>
      </c>
      <c r="AC550" s="73">
        <v>0.90909090909090895</v>
      </c>
      <c r="AD550" s="73">
        <v>0.92</v>
      </c>
      <c r="AE550" s="71">
        <v>0.81332164767747595</v>
      </c>
      <c r="AF550" s="71">
        <v>0.99416909620991301</v>
      </c>
      <c r="AG550" s="71">
        <v>0.98043478260869599</v>
      </c>
      <c r="AH550" s="71">
        <v>0.97247492418940995</v>
      </c>
      <c r="AI550" s="73">
        <v>0.92</v>
      </c>
      <c r="AJ550" s="71">
        <v>0.88151425762045199</v>
      </c>
      <c r="AK550" s="71">
        <v>0.96363401061213905</v>
      </c>
      <c r="AL550" s="71">
        <v>0.96087949743003997</v>
      </c>
      <c r="AM550" s="71">
        <v>0.96248841613280101</v>
      </c>
      <c r="AN550" s="70">
        <v>0.99</v>
      </c>
      <c r="AO550" s="75">
        <v>1</v>
      </c>
      <c r="AP550" s="75">
        <v>1</v>
      </c>
      <c r="AQ550" s="75">
        <v>1</v>
      </c>
      <c r="AR550" s="75">
        <v>1</v>
      </c>
      <c r="AS550" s="95">
        <v>0.05</v>
      </c>
      <c r="AT550" s="79">
        <v>0.14457831325301199</v>
      </c>
      <c r="AU550" s="79">
        <v>1.01204819277108</v>
      </c>
      <c r="AV550" s="79">
        <v>0</v>
      </c>
      <c r="AW550" s="79">
        <v>0.15823122003196599</v>
      </c>
      <c r="AX550" s="56"/>
      <c r="AY550" s="54"/>
    </row>
    <row r="551" spans="1:51">
      <c r="A551" s="53"/>
      <c r="B551" s="56"/>
      <c r="C551" s="90" t="s">
        <v>370</v>
      </c>
      <c r="D551" s="230" t="s">
        <v>1757</v>
      </c>
      <c r="E551" s="68" t="s">
        <v>371</v>
      </c>
      <c r="F551" s="91" t="s">
        <v>572</v>
      </c>
      <c r="G551" s="91" t="s">
        <v>572</v>
      </c>
      <c r="H551" s="91" t="s">
        <v>572</v>
      </c>
      <c r="I551" s="91" t="s">
        <v>572</v>
      </c>
      <c r="J551" s="70">
        <v>0.9</v>
      </c>
      <c r="K551" s="71">
        <v>0.94736842105263197</v>
      </c>
      <c r="L551" s="71">
        <v>0.97368421052631604</v>
      </c>
      <c r="M551" s="72">
        <v>0.92105263157894701</v>
      </c>
      <c r="N551" s="71">
        <v>0.95581395348837195</v>
      </c>
      <c r="O551" s="73">
        <v>0.9</v>
      </c>
      <c r="P551" s="71" t="s">
        <v>1710</v>
      </c>
      <c r="Q551" s="71">
        <v>1</v>
      </c>
      <c r="R551" s="71">
        <v>1</v>
      </c>
      <c r="S551" s="71">
        <v>0.8</v>
      </c>
      <c r="T551" s="73">
        <v>0.9</v>
      </c>
      <c r="U551" s="71" t="s">
        <v>1710</v>
      </c>
      <c r="V551" s="71">
        <v>1</v>
      </c>
      <c r="W551" s="71">
        <v>1</v>
      </c>
      <c r="X551" s="71">
        <v>0.85</v>
      </c>
      <c r="Y551" s="73">
        <v>0.92</v>
      </c>
      <c r="Z551" s="73" t="s">
        <v>1710</v>
      </c>
      <c r="AA551" s="73" t="s">
        <v>1710</v>
      </c>
      <c r="AB551" s="73" t="s">
        <v>1710</v>
      </c>
      <c r="AC551" s="73" t="s">
        <v>1710</v>
      </c>
      <c r="AD551" s="73">
        <v>0.92</v>
      </c>
      <c r="AE551" s="71">
        <v>0.998987854251012</v>
      </c>
      <c r="AF551" s="71">
        <v>0.99605522682445802</v>
      </c>
      <c r="AG551" s="71">
        <v>0.99507389162561599</v>
      </c>
      <c r="AH551" s="71">
        <v>0.99244332493702803</v>
      </c>
      <c r="AI551" s="73">
        <v>0.92</v>
      </c>
      <c r="AJ551" s="71">
        <v>0.97210923881464295</v>
      </c>
      <c r="AK551" s="71">
        <v>0.97669064748201395</v>
      </c>
      <c r="AL551" s="71">
        <v>0.97781512605041998</v>
      </c>
      <c r="AM551" s="71">
        <v>0.97493164572516999</v>
      </c>
      <c r="AN551" s="70">
        <v>0.99</v>
      </c>
      <c r="AO551" s="75">
        <v>1</v>
      </c>
      <c r="AP551" s="75">
        <v>1</v>
      </c>
      <c r="AQ551" s="75">
        <v>1</v>
      </c>
      <c r="AR551" s="75">
        <v>1</v>
      </c>
      <c r="AS551" s="95">
        <v>0.05</v>
      </c>
      <c r="AT551" s="79">
        <v>0.214285714285714</v>
      </c>
      <c r="AU551" s="79">
        <v>0</v>
      </c>
      <c r="AV551" s="79">
        <v>0</v>
      </c>
      <c r="AW551" s="79">
        <v>6.6666666666666693E-2</v>
      </c>
      <c r="AX551" s="56"/>
      <c r="AY551" s="54"/>
    </row>
    <row r="552" spans="1:51">
      <c r="A552" s="53"/>
      <c r="B552" s="56"/>
      <c r="C552" s="90" t="s">
        <v>370</v>
      </c>
      <c r="D552" s="230" t="s">
        <v>1757</v>
      </c>
      <c r="E552" s="68" t="s">
        <v>371</v>
      </c>
      <c r="F552" s="91" t="s">
        <v>573</v>
      </c>
      <c r="G552" s="91" t="s">
        <v>573</v>
      </c>
      <c r="H552" s="91" t="s">
        <v>573</v>
      </c>
      <c r="I552" s="91" t="s">
        <v>573</v>
      </c>
      <c r="J552" s="70">
        <v>0.9</v>
      </c>
      <c r="K552" s="71">
        <v>0.92857142857142905</v>
      </c>
      <c r="L552" s="71">
        <v>0.97959183673469397</v>
      </c>
      <c r="M552" s="72">
        <v>0.93617021276595702</v>
      </c>
      <c r="N552" s="71">
        <v>0.925318761384335</v>
      </c>
      <c r="O552" s="73">
        <v>0.9</v>
      </c>
      <c r="P552" s="71" t="s">
        <v>1710</v>
      </c>
      <c r="Q552" s="71" t="s">
        <v>1710</v>
      </c>
      <c r="R552" s="71" t="s">
        <v>1710</v>
      </c>
      <c r="S552" s="71">
        <v>1</v>
      </c>
      <c r="T552" s="73">
        <v>0.9</v>
      </c>
      <c r="U552" s="71" t="s">
        <v>1710</v>
      </c>
      <c r="V552" s="71" t="s">
        <v>1710</v>
      </c>
      <c r="W552" s="71" t="s">
        <v>1710</v>
      </c>
      <c r="X552" s="71">
        <v>0</v>
      </c>
      <c r="Y552" s="73">
        <v>0.92</v>
      </c>
      <c r="Z552" s="73" t="s">
        <v>1710</v>
      </c>
      <c r="AA552" s="73" t="s">
        <v>1710</v>
      </c>
      <c r="AB552" s="73" t="s">
        <v>1710</v>
      </c>
      <c r="AC552" s="73" t="s">
        <v>1710</v>
      </c>
      <c r="AD552" s="73">
        <v>0.92</v>
      </c>
      <c r="AE552" s="71">
        <v>0.99397590361445798</v>
      </c>
      <c r="AF552" s="71">
        <v>0.99480519480519503</v>
      </c>
      <c r="AG552" s="71">
        <v>0.32038834951456302</v>
      </c>
      <c r="AH552" s="71">
        <v>0.92046970910061399</v>
      </c>
      <c r="AI552" s="73">
        <v>0.92</v>
      </c>
      <c r="AJ552" s="71">
        <v>0.93453815261044204</v>
      </c>
      <c r="AK552" s="71">
        <v>0.96673553719008298</v>
      </c>
      <c r="AL552" s="71">
        <v>0.97513397642014998</v>
      </c>
      <c r="AM552" s="71">
        <v>0.96815245891155599</v>
      </c>
      <c r="AN552" s="70">
        <v>0.99</v>
      </c>
      <c r="AO552" s="75">
        <v>1</v>
      </c>
      <c r="AP552" s="75">
        <v>1</v>
      </c>
      <c r="AQ552" s="75">
        <v>1</v>
      </c>
      <c r="AR552" s="75">
        <v>1</v>
      </c>
      <c r="AS552" s="95">
        <v>0.05</v>
      </c>
      <c r="AT552" s="79">
        <v>0</v>
      </c>
      <c r="AU552" s="79">
        <v>9.0909090909090898E-2</v>
      </c>
      <c r="AV552" s="79">
        <v>0</v>
      </c>
      <c r="AW552" s="79">
        <v>4.5454545454545497E-2</v>
      </c>
      <c r="AX552" s="56"/>
      <c r="AY552" s="54"/>
    </row>
    <row r="553" spans="1:51">
      <c r="A553" s="53"/>
      <c r="B553" s="56"/>
      <c r="C553" s="90" t="s">
        <v>370</v>
      </c>
      <c r="D553" s="230" t="s">
        <v>1757</v>
      </c>
      <c r="E553" s="68" t="s">
        <v>371</v>
      </c>
      <c r="F553" s="91" t="s">
        <v>574</v>
      </c>
      <c r="G553" s="91" t="s">
        <v>574</v>
      </c>
      <c r="H553" s="91" t="s">
        <v>574</v>
      </c>
      <c r="I553" s="91" t="s">
        <v>574</v>
      </c>
      <c r="J553" s="70">
        <v>0.9</v>
      </c>
      <c r="K553" s="71">
        <v>0.91044776119403004</v>
      </c>
      <c r="L553" s="71">
        <v>0.89855072463768104</v>
      </c>
      <c r="M553" s="72">
        <v>0.88059701492537301</v>
      </c>
      <c r="N553" s="71">
        <v>0.90420899854862102</v>
      </c>
      <c r="O553" s="73">
        <v>0.9</v>
      </c>
      <c r="P553" s="71">
        <v>0</v>
      </c>
      <c r="Q553" s="71" t="s">
        <v>1710</v>
      </c>
      <c r="R553" s="71">
        <v>0</v>
      </c>
      <c r="S553" s="71">
        <v>0.1</v>
      </c>
      <c r="T553" s="73">
        <v>0.9</v>
      </c>
      <c r="U553" s="71">
        <v>0</v>
      </c>
      <c r="V553" s="71" t="s">
        <v>1710</v>
      </c>
      <c r="W553" s="71">
        <v>0</v>
      </c>
      <c r="X553" s="71">
        <v>0.3</v>
      </c>
      <c r="Y553" s="73">
        <v>0.92</v>
      </c>
      <c r="Z553" s="73" t="s">
        <v>1710</v>
      </c>
      <c r="AA553" s="73">
        <v>0</v>
      </c>
      <c r="AB553" s="73">
        <v>0</v>
      </c>
      <c r="AC553" s="73">
        <v>0</v>
      </c>
      <c r="AD553" s="73">
        <v>0.92</v>
      </c>
      <c r="AE553" s="71">
        <v>0.99401197604790403</v>
      </c>
      <c r="AF553" s="71">
        <v>0.95679012345679004</v>
      </c>
      <c r="AG553" s="71">
        <v>0.97859327217125402</v>
      </c>
      <c r="AH553" s="71">
        <v>0.980527799128875</v>
      </c>
      <c r="AI553" s="73">
        <v>0.92</v>
      </c>
      <c r="AJ553" s="71">
        <v>0.97703430677629699</v>
      </c>
      <c r="AK553" s="71">
        <v>0.97610827233807496</v>
      </c>
      <c r="AL553" s="71">
        <v>0.98603122432210399</v>
      </c>
      <c r="AM553" s="71">
        <v>0.97247552276649996</v>
      </c>
      <c r="AN553" s="70">
        <v>0.99</v>
      </c>
      <c r="AO553" s="75">
        <v>1</v>
      </c>
      <c r="AP553" s="75">
        <v>1</v>
      </c>
      <c r="AQ553" s="75">
        <v>1</v>
      </c>
      <c r="AR553" s="75">
        <v>1</v>
      </c>
      <c r="AS553" s="95">
        <v>0.05</v>
      </c>
      <c r="AT553" s="79">
        <v>0</v>
      </c>
      <c r="AU553" s="79">
        <v>0</v>
      </c>
      <c r="AV553" s="79">
        <v>0</v>
      </c>
      <c r="AW553" s="79">
        <v>3.8834951456310697E-2</v>
      </c>
      <c r="AX553" s="56"/>
      <c r="AY553" s="54"/>
    </row>
    <row r="554" spans="1:51">
      <c r="A554" s="53"/>
      <c r="B554" s="56"/>
      <c r="C554" s="90" t="s">
        <v>370</v>
      </c>
      <c r="D554" s="230" t="s">
        <v>1757</v>
      </c>
      <c r="E554" s="68" t="s">
        <v>371</v>
      </c>
      <c r="F554" s="91" t="s">
        <v>575</v>
      </c>
      <c r="G554" s="91" t="s">
        <v>575</v>
      </c>
      <c r="H554" s="91" t="s">
        <v>575</v>
      </c>
      <c r="I554" s="91" t="s">
        <v>575</v>
      </c>
      <c r="J554" s="70">
        <v>0.9</v>
      </c>
      <c r="K554" s="71">
        <v>0.97916666666666696</v>
      </c>
      <c r="L554" s="71">
        <v>1</v>
      </c>
      <c r="M554" s="72">
        <v>1</v>
      </c>
      <c r="N554" s="71">
        <v>0.97868217054263595</v>
      </c>
      <c r="O554" s="73">
        <v>0.9</v>
      </c>
      <c r="P554" s="71">
        <v>0.94815340909090895</v>
      </c>
      <c r="Q554" s="71">
        <v>0.93586109142452201</v>
      </c>
      <c r="R554" s="71">
        <v>0.94969072164948498</v>
      </c>
      <c r="S554" s="71">
        <v>0.962448848591832</v>
      </c>
      <c r="T554" s="73">
        <v>0.9</v>
      </c>
      <c r="U554" s="71">
        <v>0.91548295454545503</v>
      </c>
      <c r="V554" s="71">
        <v>0.87455705173635701</v>
      </c>
      <c r="W554" s="71">
        <v>0.94927835051546405</v>
      </c>
      <c r="X554" s="71">
        <v>0.93480702880526401</v>
      </c>
      <c r="Y554" s="73">
        <v>0.92</v>
      </c>
      <c r="Z554" s="73">
        <v>0.94609348345274602</v>
      </c>
      <c r="AA554" s="73">
        <v>0.90949088623507202</v>
      </c>
      <c r="AB554" s="73">
        <v>0.94022891055531999</v>
      </c>
      <c r="AC554" s="73">
        <v>0.93514023261499801</v>
      </c>
      <c r="AD554" s="73">
        <v>0.92</v>
      </c>
      <c r="AE554" s="71">
        <v>0.97073170731707303</v>
      </c>
      <c r="AF554" s="71">
        <v>0.75494071146245101</v>
      </c>
      <c r="AG554" s="71">
        <v>0.944827586206897</v>
      </c>
      <c r="AH554" s="71">
        <v>0.94888783719829595</v>
      </c>
      <c r="AI554" s="73">
        <v>0.92</v>
      </c>
      <c r="AJ554" s="71">
        <v>0.95656170995173495</v>
      </c>
      <c r="AK554" s="71">
        <v>0.94202898550724601</v>
      </c>
      <c r="AL554" s="71">
        <v>0.96509926854754402</v>
      </c>
      <c r="AM554" s="71">
        <v>0.95685506435366496</v>
      </c>
      <c r="AN554" s="70">
        <v>0.99</v>
      </c>
      <c r="AO554" s="75">
        <v>1</v>
      </c>
      <c r="AP554" s="75">
        <v>1</v>
      </c>
      <c r="AQ554" s="75">
        <v>1</v>
      </c>
      <c r="AR554" s="75">
        <v>1</v>
      </c>
      <c r="AS554" s="95">
        <v>0.05</v>
      </c>
      <c r="AT554" s="79">
        <v>0</v>
      </c>
      <c r="AU554" s="79">
        <v>0.125</v>
      </c>
      <c r="AV554" s="79">
        <v>0</v>
      </c>
      <c r="AW554" s="79">
        <v>3.8461538461538498E-2</v>
      </c>
      <c r="AX554" s="56"/>
      <c r="AY554" s="54"/>
    </row>
    <row r="555" spans="1:51">
      <c r="A555" s="53"/>
      <c r="B555" s="56"/>
      <c r="C555" s="90" t="s">
        <v>370</v>
      </c>
      <c r="D555" s="230" t="s">
        <v>1757</v>
      </c>
      <c r="E555" s="68" t="s">
        <v>371</v>
      </c>
      <c r="F555" s="91" t="s">
        <v>576</v>
      </c>
      <c r="G555" s="91" t="s">
        <v>576</v>
      </c>
      <c r="H555" s="91" t="s">
        <v>576</v>
      </c>
      <c r="I555" s="91" t="s">
        <v>576</v>
      </c>
      <c r="J555" s="70">
        <v>0.9</v>
      </c>
      <c r="K555" s="71">
        <v>0.98507462686567204</v>
      </c>
      <c r="L555" s="71">
        <v>0.98333333333333295</v>
      </c>
      <c r="M555" s="72">
        <v>0.984375</v>
      </c>
      <c r="N555" s="71">
        <v>0.98176718092566595</v>
      </c>
      <c r="O555" s="73">
        <v>0.9</v>
      </c>
      <c r="P555" s="71">
        <v>0.980657640232108</v>
      </c>
      <c r="Q555" s="71">
        <v>0.98318149964961499</v>
      </c>
      <c r="R555" s="71">
        <v>0.974045235446793</v>
      </c>
      <c r="S555" s="71">
        <v>0.98087358477925901</v>
      </c>
      <c r="T555" s="73">
        <v>0.9</v>
      </c>
      <c r="U555" s="71">
        <v>0.93810444874274701</v>
      </c>
      <c r="V555" s="71">
        <v>0.92676944639102998</v>
      </c>
      <c r="W555" s="71">
        <v>0.94697812384130498</v>
      </c>
      <c r="X555" s="71">
        <v>0.940878944195083</v>
      </c>
      <c r="Y555" s="73">
        <v>0.92</v>
      </c>
      <c r="Z555" s="73">
        <v>0.946270899868495</v>
      </c>
      <c r="AA555" s="73">
        <v>0.95673271330368004</v>
      </c>
      <c r="AB555" s="73">
        <v>0.95398406374501998</v>
      </c>
      <c r="AC555" s="73">
        <v>0.96305108182853405</v>
      </c>
      <c r="AD555" s="73">
        <v>0.92</v>
      </c>
      <c r="AE555" s="71">
        <v>1</v>
      </c>
      <c r="AF555" s="71">
        <v>1</v>
      </c>
      <c r="AG555" s="71">
        <v>0.99863201094391196</v>
      </c>
      <c r="AH555" s="71">
        <v>0.99977613610924598</v>
      </c>
      <c r="AI555" s="73">
        <v>0.92</v>
      </c>
      <c r="AJ555" s="71">
        <v>0.958096782914301</v>
      </c>
      <c r="AK555" s="71">
        <v>0.97036759189797495</v>
      </c>
      <c r="AL555" s="71">
        <v>0.96634739839503003</v>
      </c>
      <c r="AM555" s="71">
        <v>0.97266765229917695</v>
      </c>
      <c r="AN555" s="70">
        <v>0.99</v>
      </c>
      <c r="AO555" s="75">
        <v>1</v>
      </c>
      <c r="AP555" s="75">
        <v>1</v>
      </c>
      <c r="AQ555" s="75">
        <v>1</v>
      </c>
      <c r="AR555" s="75">
        <v>1</v>
      </c>
      <c r="AS555" s="95">
        <v>0.05</v>
      </c>
      <c r="AT555" s="79">
        <v>6.6666666666666693E-2</v>
      </c>
      <c r="AU555" s="79">
        <v>0.230769230769231</v>
      </c>
      <c r="AV555" s="79">
        <v>0</v>
      </c>
      <c r="AW555" s="79">
        <v>5.3061224489795902E-2</v>
      </c>
      <c r="AX555" s="56"/>
      <c r="AY555" s="54"/>
    </row>
    <row r="556" spans="1:51">
      <c r="A556" s="53"/>
      <c r="B556" s="56"/>
      <c r="C556" s="90" t="s">
        <v>370</v>
      </c>
      <c r="D556" s="230" t="s">
        <v>1757</v>
      </c>
      <c r="E556" s="68" t="s">
        <v>371</v>
      </c>
      <c r="F556" s="91" t="s">
        <v>577</v>
      </c>
      <c r="G556" s="91" t="s">
        <v>577</v>
      </c>
      <c r="H556" s="91" t="s">
        <v>577</v>
      </c>
      <c r="I556" s="91" t="s">
        <v>577</v>
      </c>
      <c r="J556" s="70">
        <v>0.9</v>
      </c>
      <c r="K556" s="71">
        <v>0.85106382978723405</v>
      </c>
      <c r="L556" s="71">
        <v>0.84090909090909105</v>
      </c>
      <c r="M556" s="72">
        <v>0.84090909090909105</v>
      </c>
      <c r="N556" s="71">
        <v>0.86998087954110903</v>
      </c>
      <c r="O556" s="73">
        <v>0.9</v>
      </c>
      <c r="P556" s="71">
        <v>0.89659294680215196</v>
      </c>
      <c r="Q556" s="71">
        <v>0.90703851261620205</v>
      </c>
      <c r="R556" s="71">
        <v>0.90230832646331405</v>
      </c>
      <c r="S556" s="71">
        <v>0.93753211480584298</v>
      </c>
      <c r="T556" s="73">
        <v>0.9</v>
      </c>
      <c r="U556" s="71">
        <v>0.827256425582785</v>
      </c>
      <c r="V556" s="71">
        <v>0.78784860557768899</v>
      </c>
      <c r="W556" s="71">
        <v>0.85531739488870595</v>
      </c>
      <c r="X556" s="71">
        <v>0.87748660353813401</v>
      </c>
      <c r="Y556" s="73">
        <v>0.92</v>
      </c>
      <c r="Z556" s="73">
        <v>0.86782296650717705</v>
      </c>
      <c r="AA556" s="73">
        <v>0.79261025029797405</v>
      </c>
      <c r="AB556" s="73">
        <v>0.88976648351648302</v>
      </c>
      <c r="AC556" s="73">
        <v>0.89327879520312403</v>
      </c>
      <c r="AD556" s="73">
        <v>0.92</v>
      </c>
      <c r="AE556" s="71">
        <v>0.97391304347826102</v>
      </c>
      <c r="AF556" s="71">
        <v>0.96907216494845405</v>
      </c>
      <c r="AG556" s="71">
        <v>0.96666666666666701</v>
      </c>
      <c r="AH556" s="71">
        <v>0.94505494505494503</v>
      </c>
      <c r="AI556" s="73">
        <v>0.92</v>
      </c>
      <c r="AJ556" s="71">
        <v>0.89337577083747799</v>
      </c>
      <c r="AK556" s="71">
        <v>0.88413205537806205</v>
      </c>
      <c r="AL556" s="71">
        <v>0.92173750234038598</v>
      </c>
      <c r="AM556" s="71">
        <v>0.92871283806455895</v>
      </c>
      <c r="AN556" s="70">
        <v>0.99</v>
      </c>
      <c r="AO556" s="75">
        <v>1</v>
      </c>
      <c r="AP556" s="75">
        <v>1</v>
      </c>
      <c r="AQ556" s="75">
        <v>1</v>
      </c>
      <c r="AR556" s="75">
        <v>1</v>
      </c>
      <c r="AS556" s="95">
        <v>0.05</v>
      </c>
      <c r="AT556" s="79">
        <v>0.11111111111111099</v>
      </c>
      <c r="AU556" s="79">
        <v>0.214285714285714</v>
      </c>
      <c r="AV556" s="79">
        <v>0.125</v>
      </c>
      <c r="AW556" s="79">
        <v>8.8888888888888906E-2</v>
      </c>
      <c r="AX556" s="56"/>
      <c r="AY556" s="54"/>
    </row>
    <row r="557" spans="1:51">
      <c r="A557" s="53"/>
      <c r="B557" s="56"/>
      <c r="C557" s="90" t="s">
        <v>370</v>
      </c>
      <c r="D557" s="230" t="s">
        <v>1757</v>
      </c>
      <c r="E557" s="68" t="s">
        <v>371</v>
      </c>
      <c r="F557" s="91" t="s">
        <v>578</v>
      </c>
      <c r="G557" s="91" t="s">
        <v>578</v>
      </c>
      <c r="H557" s="91" t="s">
        <v>578</v>
      </c>
      <c r="I557" s="91" t="s">
        <v>578</v>
      </c>
      <c r="J557" s="70">
        <v>0.9</v>
      </c>
      <c r="K557" s="71">
        <v>0.971830985915493</v>
      </c>
      <c r="L557" s="71">
        <v>0.87301587301587302</v>
      </c>
      <c r="M557" s="72">
        <v>0.95454545454545503</v>
      </c>
      <c r="N557" s="71">
        <v>0.928292046936115</v>
      </c>
      <c r="O557" s="73">
        <v>0.9</v>
      </c>
      <c r="P557" s="71">
        <v>0.96726602120793004</v>
      </c>
      <c r="Q557" s="71">
        <v>0.97109144542772896</v>
      </c>
      <c r="R557" s="71">
        <v>0.97123826824099302</v>
      </c>
      <c r="S557" s="71">
        <v>0.97800689210769598</v>
      </c>
      <c r="T557" s="73">
        <v>0.9</v>
      </c>
      <c r="U557" s="71">
        <v>0.93176579068695298</v>
      </c>
      <c r="V557" s="71">
        <v>0.92271386430678504</v>
      </c>
      <c r="W557" s="71">
        <v>0.93399939448985803</v>
      </c>
      <c r="X557" s="71">
        <v>0.94351833692881004</v>
      </c>
      <c r="Y557" s="73">
        <v>0.92</v>
      </c>
      <c r="Z557" s="73">
        <v>0.93958301628367102</v>
      </c>
      <c r="AA557" s="73">
        <v>0.95493257629524497</v>
      </c>
      <c r="AB557" s="73">
        <v>0.94450280112044804</v>
      </c>
      <c r="AC557" s="73">
        <v>0.95255776945264103</v>
      </c>
      <c r="AD557" s="73">
        <v>0.92</v>
      </c>
      <c r="AE557" s="71">
        <v>0.98348623853211004</v>
      </c>
      <c r="AF557" s="71">
        <v>0.99156829679595304</v>
      </c>
      <c r="AG557" s="71">
        <v>0.99335548172757504</v>
      </c>
      <c r="AH557" s="71">
        <v>0.98805878750765497</v>
      </c>
      <c r="AI557" s="73">
        <v>0.92</v>
      </c>
      <c r="AJ557" s="71">
        <v>0.94763919057962698</v>
      </c>
      <c r="AK557" s="71">
        <v>0.97119407788863898</v>
      </c>
      <c r="AL557" s="71">
        <v>0.95598181616587197</v>
      </c>
      <c r="AM557" s="71">
        <v>0.96458068945430298</v>
      </c>
      <c r="AN557" s="70">
        <v>0.99</v>
      </c>
      <c r="AO557" s="75">
        <v>1</v>
      </c>
      <c r="AP557" s="75">
        <v>1</v>
      </c>
      <c r="AQ557" s="75">
        <v>1</v>
      </c>
      <c r="AR557" s="75">
        <v>1</v>
      </c>
      <c r="AS557" s="95">
        <v>0.05</v>
      </c>
      <c r="AT557" s="79">
        <v>0.05</v>
      </c>
      <c r="AU557" s="79">
        <v>6.25E-2</v>
      </c>
      <c r="AV557" s="79">
        <v>0</v>
      </c>
      <c r="AW557" s="79">
        <v>3.30788804071247E-2</v>
      </c>
      <c r="AX557" s="56"/>
      <c r="AY557" s="54"/>
    </row>
    <row r="558" spans="1:51">
      <c r="A558" s="53"/>
      <c r="B558" s="56"/>
      <c r="C558" s="90" t="s">
        <v>370</v>
      </c>
      <c r="D558" s="230" t="s">
        <v>1757</v>
      </c>
      <c r="E558" s="68" t="s">
        <v>371</v>
      </c>
      <c r="F558" s="91" t="s">
        <v>579</v>
      </c>
      <c r="G558" s="91" t="s">
        <v>579</v>
      </c>
      <c r="H558" s="91" t="s">
        <v>579</v>
      </c>
      <c r="I558" s="91" t="s">
        <v>579</v>
      </c>
      <c r="J558" s="70">
        <v>0.9</v>
      </c>
      <c r="K558" s="71">
        <v>0.85714285714285698</v>
      </c>
      <c r="L558" s="71">
        <v>0.83928571428571397</v>
      </c>
      <c r="M558" s="72">
        <v>0.90566037735849103</v>
      </c>
      <c r="N558" s="71">
        <v>0.859842519685039</v>
      </c>
      <c r="O558" s="73">
        <v>0.9</v>
      </c>
      <c r="P558" s="71">
        <v>0.92501719789039205</v>
      </c>
      <c r="Q558" s="71">
        <v>0.92375443670303703</v>
      </c>
      <c r="R558" s="71">
        <v>0.98069914968281802</v>
      </c>
      <c r="S558" s="71">
        <v>0.94855314041872296</v>
      </c>
      <c r="T558" s="73">
        <v>0.9</v>
      </c>
      <c r="U558" s="71">
        <v>0.86149965604219203</v>
      </c>
      <c r="V558" s="71">
        <v>0.83896411200210297</v>
      </c>
      <c r="W558" s="71">
        <v>0.89688217033337803</v>
      </c>
      <c r="X558" s="71">
        <v>0.88293105747432998</v>
      </c>
      <c r="Y558" s="73">
        <v>0.92</v>
      </c>
      <c r="Z558" s="73">
        <v>1</v>
      </c>
      <c r="AA558" s="73" t="s">
        <v>1710</v>
      </c>
      <c r="AB558" s="73">
        <v>0</v>
      </c>
      <c r="AC558" s="73">
        <v>0.625</v>
      </c>
      <c r="AD558" s="73">
        <v>0.92</v>
      </c>
      <c r="AE558" s="71">
        <v>0.99653979238754298</v>
      </c>
      <c r="AF558" s="71">
        <v>0.99906890130353798</v>
      </c>
      <c r="AG558" s="71">
        <v>0.99311136624569496</v>
      </c>
      <c r="AH558" s="71">
        <v>0.98950366151342595</v>
      </c>
      <c r="AI558" s="73">
        <v>0.92</v>
      </c>
      <c r="AJ558" s="71">
        <v>0.97134342044933497</v>
      </c>
      <c r="AK558" s="71">
        <v>0.96739844879716097</v>
      </c>
      <c r="AL558" s="71">
        <v>0.96990553306342797</v>
      </c>
      <c r="AM558" s="71">
        <v>0.97326595375876701</v>
      </c>
      <c r="AN558" s="70">
        <v>0.99</v>
      </c>
      <c r="AO558" s="75">
        <v>1</v>
      </c>
      <c r="AP558" s="75">
        <v>1</v>
      </c>
      <c r="AQ558" s="75">
        <v>1</v>
      </c>
      <c r="AR558" s="75">
        <v>1</v>
      </c>
      <c r="AS558" s="95">
        <v>0.05</v>
      </c>
      <c r="AT558" s="79">
        <v>0.1</v>
      </c>
      <c r="AU558" s="79">
        <v>0.11111111111111099</v>
      </c>
      <c r="AV558" s="79">
        <v>0</v>
      </c>
      <c r="AW558" s="79">
        <v>4.7619047619047603E-2</v>
      </c>
      <c r="AX558" s="56"/>
      <c r="AY558" s="54"/>
    </row>
    <row r="559" spans="1:51">
      <c r="A559" s="53"/>
      <c r="B559" s="56"/>
      <c r="C559" s="90" t="s">
        <v>370</v>
      </c>
      <c r="D559" s="230" t="s">
        <v>1757</v>
      </c>
      <c r="E559" s="68" t="s">
        <v>371</v>
      </c>
      <c r="F559" s="91" t="s">
        <v>580</v>
      </c>
      <c r="G559" s="91" t="s">
        <v>580</v>
      </c>
      <c r="H559" s="91" t="s">
        <v>580</v>
      </c>
      <c r="I559" s="91" t="s">
        <v>580</v>
      </c>
      <c r="J559" s="70">
        <v>0.9</v>
      </c>
      <c r="K559" s="71">
        <v>1</v>
      </c>
      <c r="L559" s="71">
        <v>0.93333333333333302</v>
      </c>
      <c r="M559" s="72">
        <v>1</v>
      </c>
      <c r="N559" s="71">
        <v>0.97580645161290303</v>
      </c>
      <c r="O559" s="73">
        <v>0.9</v>
      </c>
      <c r="P559" s="71">
        <v>0.93759999999999999</v>
      </c>
      <c r="Q559" s="71">
        <v>0.89222222222222203</v>
      </c>
      <c r="R559" s="71">
        <v>0.91574279379157397</v>
      </c>
      <c r="S559" s="71">
        <v>0.93481112277019895</v>
      </c>
      <c r="T559" s="73">
        <v>0.9</v>
      </c>
      <c r="U559" s="71">
        <v>0.91200000000000003</v>
      </c>
      <c r="V559" s="71">
        <v>0.85777777777777797</v>
      </c>
      <c r="W559" s="71">
        <v>0.89312638580931303</v>
      </c>
      <c r="X559" s="71">
        <v>0.91338754809373901</v>
      </c>
      <c r="Y559" s="73">
        <v>0.92</v>
      </c>
      <c r="Z559" s="73">
        <v>0.94821162444113305</v>
      </c>
      <c r="AA559" s="73">
        <v>0.90927152317880799</v>
      </c>
      <c r="AB559" s="73">
        <v>0.92796248934356396</v>
      </c>
      <c r="AC559" s="73">
        <v>0.93233305000184796</v>
      </c>
      <c r="AD559" s="73">
        <v>0.92</v>
      </c>
      <c r="AE559" s="71">
        <v>0.99513085818624503</v>
      </c>
      <c r="AF559" s="71">
        <v>0.99577613516367502</v>
      </c>
      <c r="AG559" s="71">
        <v>0.99738448125544898</v>
      </c>
      <c r="AH559" s="71">
        <v>0.99649798634214704</v>
      </c>
      <c r="AI559" s="73">
        <v>0.92</v>
      </c>
      <c r="AJ559" s="71">
        <v>0.95560629122273</v>
      </c>
      <c r="AK559" s="71">
        <v>0.94328429046036999</v>
      </c>
      <c r="AL559" s="71">
        <v>0.93591136215511594</v>
      </c>
      <c r="AM559" s="71">
        <v>0.95121316984377802</v>
      </c>
      <c r="AN559" s="70">
        <v>0.99</v>
      </c>
      <c r="AO559" s="75">
        <v>1</v>
      </c>
      <c r="AP559" s="75">
        <v>1</v>
      </c>
      <c r="AQ559" s="75">
        <v>1</v>
      </c>
      <c r="AR559" s="75">
        <v>1</v>
      </c>
      <c r="AS559" s="95">
        <v>0.05</v>
      </c>
      <c r="AT559" s="79">
        <v>0</v>
      </c>
      <c r="AU559" s="79">
        <v>0</v>
      </c>
      <c r="AV559" s="79">
        <v>0.22222222222222199</v>
      </c>
      <c r="AW559" s="79">
        <v>7.3394495412843999E-2</v>
      </c>
      <c r="AX559" s="56"/>
      <c r="AY559" s="54"/>
    </row>
    <row r="560" spans="1:51">
      <c r="A560" s="53"/>
      <c r="B560" s="56"/>
      <c r="C560" s="90" t="s">
        <v>370</v>
      </c>
      <c r="D560" s="230" t="s">
        <v>1757</v>
      </c>
      <c r="E560" s="68" t="s">
        <v>371</v>
      </c>
      <c r="F560" s="91" t="s">
        <v>581</v>
      </c>
      <c r="G560" s="91" t="s">
        <v>581</v>
      </c>
      <c r="H560" s="91" t="s">
        <v>581</v>
      </c>
      <c r="I560" s="91" t="s">
        <v>581</v>
      </c>
      <c r="J560" s="70">
        <v>0.9</v>
      </c>
      <c r="K560" s="71">
        <v>0.94736842105263197</v>
      </c>
      <c r="L560" s="71">
        <v>0.88888888888888895</v>
      </c>
      <c r="M560" s="72">
        <v>0.939393939393939</v>
      </c>
      <c r="N560" s="71">
        <v>0.95388349514563098</v>
      </c>
      <c r="O560" s="73">
        <v>0.9</v>
      </c>
      <c r="P560" s="71">
        <v>0.94139534883720899</v>
      </c>
      <c r="Q560" s="71">
        <v>0.89651293588301495</v>
      </c>
      <c r="R560" s="71">
        <v>0.90716510903426795</v>
      </c>
      <c r="S560" s="71">
        <v>0.92462457238940099</v>
      </c>
      <c r="T560" s="73">
        <v>0.9</v>
      </c>
      <c r="U560" s="71">
        <v>0.87255813953488404</v>
      </c>
      <c r="V560" s="71">
        <v>0.83914510686164201</v>
      </c>
      <c r="W560" s="71">
        <v>0.85981308411214996</v>
      </c>
      <c r="X560" s="71">
        <v>0.89667768307531703</v>
      </c>
      <c r="Y560" s="73">
        <v>0.92</v>
      </c>
      <c r="Z560" s="73">
        <v>0.92738323736404304</v>
      </c>
      <c r="AA560" s="73">
        <v>0.89526350900600404</v>
      </c>
      <c r="AB560" s="73">
        <v>0.86015037593985</v>
      </c>
      <c r="AC560" s="73">
        <v>0.91197244354754503</v>
      </c>
      <c r="AD560" s="73">
        <v>0.92</v>
      </c>
      <c r="AE560" s="71">
        <v>0.99420289855072497</v>
      </c>
      <c r="AF560" s="71">
        <v>0.98923283983849297</v>
      </c>
      <c r="AG560" s="71">
        <v>0.99735099337748301</v>
      </c>
      <c r="AH560" s="71">
        <v>0.990814853693741</v>
      </c>
      <c r="AI560" s="73">
        <v>0.92</v>
      </c>
      <c r="AJ560" s="71">
        <v>0.941232453009755</v>
      </c>
      <c r="AK560" s="71">
        <v>0.929508696978944</v>
      </c>
      <c r="AL560" s="71">
        <v>0.88815943728018798</v>
      </c>
      <c r="AM560" s="71">
        <v>0.93414787920951403</v>
      </c>
      <c r="AN560" s="70">
        <v>0.99</v>
      </c>
      <c r="AO560" s="75">
        <v>1</v>
      </c>
      <c r="AP560" s="75">
        <v>1</v>
      </c>
      <c r="AQ560" s="75">
        <v>1</v>
      </c>
      <c r="AR560" s="75">
        <v>1</v>
      </c>
      <c r="AS560" s="95">
        <v>0.05</v>
      </c>
      <c r="AT560" s="79">
        <v>8.3333333333333301E-2</v>
      </c>
      <c r="AU560" s="79">
        <v>0</v>
      </c>
      <c r="AV560" s="79">
        <v>0</v>
      </c>
      <c r="AW560" s="79">
        <v>1.38888888888889E-2</v>
      </c>
      <c r="AX560" s="56"/>
      <c r="AY560" s="54"/>
    </row>
    <row r="561" spans="1:51">
      <c r="A561" s="53"/>
      <c r="B561" s="56"/>
      <c r="C561" s="90" t="s">
        <v>370</v>
      </c>
      <c r="D561" s="230" t="s">
        <v>1757</v>
      </c>
      <c r="E561" s="68" t="s">
        <v>371</v>
      </c>
      <c r="F561" s="91" t="s">
        <v>582</v>
      </c>
      <c r="G561" s="91" t="s">
        <v>582</v>
      </c>
      <c r="H561" s="91" t="s">
        <v>582</v>
      </c>
      <c r="I561" s="91" t="s">
        <v>582</v>
      </c>
      <c r="J561" s="70">
        <v>0.9</v>
      </c>
      <c r="K561" s="71">
        <v>0.92105263157894701</v>
      </c>
      <c r="L561" s="71">
        <v>0.89655172413793105</v>
      </c>
      <c r="M561" s="72">
        <v>0.96875</v>
      </c>
      <c r="N561" s="71">
        <v>0.9296875</v>
      </c>
      <c r="O561" s="73">
        <v>0.9</v>
      </c>
      <c r="P561" s="71">
        <v>0.95805739514348798</v>
      </c>
      <c r="Q561" s="71">
        <v>0.92538046146293595</v>
      </c>
      <c r="R561" s="71">
        <v>0.92956852791878197</v>
      </c>
      <c r="S561" s="71">
        <v>0.93489980077346801</v>
      </c>
      <c r="T561" s="73">
        <v>0.9</v>
      </c>
      <c r="U561" s="71">
        <v>0.94812362030905095</v>
      </c>
      <c r="V561" s="71">
        <v>0.89347079037800703</v>
      </c>
      <c r="W561" s="71">
        <v>0.92385786802030501</v>
      </c>
      <c r="X561" s="71">
        <v>0.92874721668815197</v>
      </c>
      <c r="Y561" s="73">
        <v>0.92</v>
      </c>
      <c r="Z561" s="73">
        <v>0.93029871977240397</v>
      </c>
      <c r="AA561" s="73">
        <v>0.88437217705510396</v>
      </c>
      <c r="AB561" s="73">
        <v>0.89094874591057804</v>
      </c>
      <c r="AC561" s="73">
        <v>0.91701553632896105</v>
      </c>
      <c r="AD561" s="73">
        <v>0.92</v>
      </c>
      <c r="AE561" s="71">
        <v>0.98706896551724099</v>
      </c>
      <c r="AF561" s="71">
        <v>0.99633699633699602</v>
      </c>
      <c r="AG561" s="71">
        <v>0.99507389162561599</v>
      </c>
      <c r="AH561" s="71">
        <v>0.99092495636998301</v>
      </c>
      <c r="AI561" s="73">
        <v>0.92</v>
      </c>
      <c r="AJ561" s="71">
        <v>0.94328358208955199</v>
      </c>
      <c r="AK561" s="71">
        <v>0.92496025437201901</v>
      </c>
      <c r="AL561" s="71">
        <v>0.92140762463343096</v>
      </c>
      <c r="AM561" s="71">
        <v>0.93875699771926202</v>
      </c>
      <c r="AN561" s="70">
        <v>0.99</v>
      </c>
      <c r="AO561" s="75">
        <v>1</v>
      </c>
      <c r="AP561" s="75">
        <v>1</v>
      </c>
      <c r="AQ561" s="75">
        <v>1</v>
      </c>
      <c r="AR561" s="75">
        <v>1</v>
      </c>
      <c r="AS561" s="95">
        <v>0.05</v>
      </c>
      <c r="AT561" s="79">
        <v>0</v>
      </c>
      <c r="AU561" s="79">
        <v>0</v>
      </c>
      <c r="AV561" s="79">
        <v>0</v>
      </c>
      <c r="AW561" s="79">
        <v>1.2820512820512799E-2</v>
      </c>
      <c r="AX561" s="56"/>
      <c r="AY561" s="54"/>
    </row>
    <row r="562" spans="1:51">
      <c r="A562" s="53"/>
      <c r="B562" s="56"/>
      <c r="C562" s="90" t="s">
        <v>370</v>
      </c>
      <c r="D562" s="230" t="s">
        <v>1757</v>
      </c>
      <c r="E562" s="68" t="s">
        <v>371</v>
      </c>
      <c r="F562" s="91" t="s">
        <v>583</v>
      </c>
      <c r="G562" s="91" t="s">
        <v>583</v>
      </c>
      <c r="H562" s="91" t="s">
        <v>583</v>
      </c>
      <c r="I562" s="91" t="s">
        <v>583</v>
      </c>
      <c r="J562" s="70">
        <v>0.9</v>
      </c>
      <c r="K562" s="71">
        <v>0.95</v>
      </c>
      <c r="L562" s="71">
        <v>1</v>
      </c>
      <c r="M562" s="72">
        <v>1</v>
      </c>
      <c r="N562" s="71">
        <v>0.986425339366516</v>
      </c>
      <c r="O562" s="73">
        <v>0.9</v>
      </c>
      <c r="P562" s="71">
        <v>0.95645412130637597</v>
      </c>
      <c r="Q562" s="71">
        <v>0.92895683453237399</v>
      </c>
      <c r="R562" s="71">
        <v>0.95</v>
      </c>
      <c r="S562" s="71">
        <v>0.93454862794531202</v>
      </c>
      <c r="T562" s="73">
        <v>0.9</v>
      </c>
      <c r="U562" s="71">
        <v>0.94401244167962695</v>
      </c>
      <c r="V562" s="71">
        <v>0.91996402877697803</v>
      </c>
      <c r="W562" s="71">
        <v>0.94056603773584901</v>
      </c>
      <c r="X562" s="71">
        <v>0.92494909337729103</v>
      </c>
      <c r="Y562" s="73">
        <v>0.92</v>
      </c>
      <c r="Z562" s="73">
        <v>0.94679695982627599</v>
      </c>
      <c r="AA562" s="73">
        <v>0.94385964912280695</v>
      </c>
      <c r="AB562" s="73">
        <v>0.92467532467532498</v>
      </c>
      <c r="AC562" s="73">
        <v>0.94988124961939002</v>
      </c>
      <c r="AD562" s="73">
        <v>0.92</v>
      </c>
      <c r="AE562" s="71">
        <v>0.99612403100775204</v>
      </c>
      <c r="AF562" s="71">
        <v>0.99758454106280203</v>
      </c>
      <c r="AG562" s="71">
        <v>1</v>
      </c>
      <c r="AH562" s="71">
        <v>0.98592592592592598</v>
      </c>
      <c r="AI562" s="73">
        <v>0.92</v>
      </c>
      <c r="AJ562" s="71">
        <v>0.95454545454545503</v>
      </c>
      <c r="AK562" s="71">
        <v>0.96493902439024404</v>
      </c>
      <c r="AL562" s="71">
        <v>0.94692307692307698</v>
      </c>
      <c r="AM562" s="71">
        <v>0.96164772727272696</v>
      </c>
      <c r="AN562" s="70">
        <v>0.99</v>
      </c>
      <c r="AO562" s="75">
        <v>1</v>
      </c>
      <c r="AP562" s="75">
        <v>1</v>
      </c>
      <c r="AQ562" s="75">
        <v>1</v>
      </c>
      <c r="AR562" s="75">
        <v>1</v>
      </c>
      <c r="AS562" s="95">
        <v>0.05</v>
      </c>
      <c r="AT562" s="79">
        <v>0</v>
      </c>
      <c r="AU562" s="79">
        <v>0</v>
      </c>
      <c r="AV562" s="79">
        <v>0</v>
      </c>
      <c r="AW562" s="79">
        <v>0.05</v>
      </c>
      <c r="AX562" s="56"/>
      <c r="AY562" s="54"/>
    </row>
    <row r="563" spans="1:51">
      <c r="A563" s="53"/>
      <c r="B563" s="56"/>
      <c r="C563" s="90" t="s">
        <v>370</v>
      </c>
      <c r="D563" s="230" t="s">
        <v>1757</v>
      </c>
      <c r="E563" s="68" t="s">
        <v>371</v>
      </c>
      <c r="F563" s="91" t="s">
        <v>584</v>
      </c>
      <c r="G563" s="91" t="s">
        <v>584</v>
      </c>
      <c r="H563" s="91" t="s">
        <v>584</v>
      </c>
      <c r="I563" s="91" t="s">
        <v>584</v>
      </c>
      <c r="J563" s="70">
        <v>0.9</v>
      </c>
      <c r="K563" s="71">
        <v>0.93421052631578905</v>
      </c>
      <c r="L563" s="71">
        <v>0.97260273972602695</v>
      </c>
      <c r="M563" s="72">
        <v>0.936708860759494</v>
      </c>
      <c r="N563" s="71">
        <v>0.94382022471910099</v>
      </c>
      <c r="O563" s="73">
        <v>0.9</v>
      </c>
      <c r="P563" s="71">
        <v>0.97415431394906904</v>
      </c>
      <c r="Q563" s="71">
        <v>0.97142301710730905</v>
      </c>
      <c r="R563" s="71">
        <v>0.97989949748743699</v>
      </c>
      <c r="S563" s="71">
        <v>0.97523508881132903</v>
      </c>
      <c r="T563" s="73">
        <v>0.9</v>
      </c>
      <c r="U563" s="71">
        <v>0.928924363359939</v>
      </c>
      <c r="V563" s="71">
        <v>0.91601866251943997</v>
      </c>
      <c r="W563" s="71">
        <v>0.94304857621440497</v>
      </c>
      <c r="X563" s="71">
        <v>0.93397505724384799</v>
      </c>
      <c r="Y563" s="73">
        <v>0.92</v>
      </c>
      <c r="Z563" s="73">
        <v>0.97842352531755705</v>
      </c>
      <c r="AA563" s="73">
        <v>0.96581480252240304</v>
      </c>
      <c r="AB563" s="73">
        <v>0.97155747351902699</v>
      </c>
      <c r="AC563" s="73">
        <v>0.96888912728638099</v>
      </c>
      <c r="AD563" s="73">
        <v>0.92</v>
      </c>
      <c r="AE563" s="71">
        <v>0.99439775910364103</v>
      </c>
      <c r="AF563" s="71">
        <v>0.99640028797696201</v>
      </c>
      <c r="AG563" s="71">
        <v>0.998842592592593</v>
      </c>
      <c r="AH563" s="71">
        <v>0.99842506631299699</v>
      </c>
      <c r="AI563" s="73">
        <v>0.92</v>
      </c>
      <c r="AJ563" s="71">
        <v>0.98296402192041898</v>
      </c>
      <c r="AK563" s="71">
        <v>0.97683823529411795</v>
      </c>
      <c r="AL563" s="71">
        <v>0.98190240224065495</v>
      </c>
      <c r="AM563" s="71">
        <v>0.97925968458880697</v>
      </c>
      <c r="AN563" s="70">
        <v>0.99</v>
      </c>
      <c r="AO563" s="75">
        <v>1</v>
      </c>
      <c r="AP563" s="75">
        <v>1</v>
      </c>
      <c r="AQ563" s="75">
        <v>1</v>
      </c>
      <c r="AR563" s="75">
        <v>1</v>
      </c>
      <c r="AS563" s="95">
        <v>0.05</v>
      </c>
      <c r="AT563" s="79">
        <v>0.125</v>
      </c>
      <c r="AU563" s="79">
        <v>0</v>
      </c>
      <c r="AV563" s="79">
        <v>5.8823529411764698E-2</v>
      </c>
      <c r="AW563" s="79">
        <v>4.3636363636363598E-2</v>
      </c>
      <c r="AX563" s="56"/>
      <c r="AY563" s="54"/>
    </row>
    <row r="564" spans="1:51">
      <c r="A564" s="53"/>
      <c r="B564" s="56"/>
      <c r="C564" s="90" t="s">
        <v>370</v>
      </c>
      <c r="D564" s="230" t="s">
        <v>1757</v>
      </c>
      <c r="E564" s="68" t="s">
        <v>371</v>
      </c>
      <c r="F564" s="91" t="s">
        <v>585</v>
      </c>
      <c r="G564" s="91" t="s">
        <v>585</v>
      </c>
      <c r="H564" s="91" t="s">
        <v>585</v>
      </c>
      <c r="I564" s="91" t="s">
        <v>585</v>
      </c>
      <c r="J564" s="70">
        <v>0.9</v>
      </c>
      <c r="K564" s="71">
        <v>0.93846153846153801</v>
      </c>
      <c r="L564" s="71">
        <v>0.95161290322580605</v>
      </c>
      <c r="M564" s="72">
        <v>0.931034482758621</v>
      </c>
      <c r="N564" s="71">
        <v>0.95278969957081505</v>
      </c>
      <c r="O564" s="73">
        <v>0.9</v>
      </c>
      <c r="P564" s="71">
        <v>0.94461538461538497</v>
      </c>
      <c r="Q564" s="71">
        <v>0.95021645021644996</v>
      </c>
      <c r="R564" s="71">
        <v>0.96541786743515801</v>
      </c>
      <c r="S564" s="71">
        <v>0.95927716976329902</v>
      </c>
      <c r="T564" s="73">
        <v>0.9</v>
      </c>
      <c r="U564" s="71">
        <v>0.92076923076923101</v>
      </c>
      <c r="V564" s="71">
        <v>0.939393939393939</v>
      </c>
      <c r="W564" s="71">
        <v>0.95965417867435199</v>
      </c>
      <c r="X564" s="71">
        <v>0.94847834781660201</v>
      </c>
      <c r="Y564" s="73">
        <v>0.92</v>
      </c>
      <c r="Z564" s="73">
        <v>0.95572554473806204</v>
      </c>
      <c r="AA564" s="73">
        <v>0.93799603174603197</v>
      </c>
      <c r="AB564" s="73">
        <v>0.95936860567085602</v>
      </c>
      <c r="AC564" s="73">
        <v>0.96116379086999304</v>
      </c>
      <c r="AD564" s="73">
        <v>0.92</v>
      </c>
      <c r="AE564" s="71">
        <v>0.99206349206349198</v>
      </c>
      <c r="AF564" s="71">
        <v>0.88009049773755699</v>
      </c>
      <c r="AG564" s="71">
        <v>0.98670212765957399</v>
      </c>
      <c r="AH564" s="71">
        <v>0.96151419558359597</v>
      </c>
      <c r="AI564" s="73">
        <v>0.92</v>
      </c>
      <c r="AJ564" s="71">
        <v>0.96351014595941598</v>
      </c>
      <c r="AK564" s="71">
        <v>0.96497239672568103</v>
      </c>
      <c r="AL564" s="71">
        <v>0.97232188621219895</v>
      </c>
      <c r="AM564" s="71">
        <v>0.97169126542463102</v>
      </c>
      <c r="AN564" s="70">
        <v>0.99</v>
      </c>
      <c r="AO564" s="75">
        <v>1</v>
      </c>
      <c r="AP564" s="75">
        <v>1</v>
      </c>
      <c r="AQ564" s="75">
        <v>1</v>
      </c>
      <c r="AR564" s="75">
        <v>1</v>
      </c>
      <c r="AS564" s="95">
        <v>0.05</v>
      </c>
      <c r="AT564" s="79">
        <v>0.14285714285714299</v>
      </c>
      <c r="AU564" s="79">
        <v>0</v>
      </c>
      <c r="AV564" s="79">
        <v>0</v>
      </c>
      <c r="AW564" s="79">
        <v>5.0359712230215799E-2</v>
      </c>
      <c r="AX564" s="56"/>
      <c r="AY564" s="54"/>
    </row>
    <row r="565" spans="1:51">
      <c r="A565" s="53"/>
      <c r="B565" s="56"/>
      <c r="C565" s="90" t="s">
        <v>370</v>
      </c>
      <c r="D565" s="230" t="s">
        <v>1757</v>
      </c>
      <c r="E565" s="68" t="s">
        <v>371</v>
      </c>
      <c r="F565" s="91" t="s">
        <v>586</v>
      </c>
      <c r="G565" s="91" t="s">
        <v>586</v>
      </c>
      <c r="H565" s="91" t="s">
        <v>586</v>
      </c>
      <c r="I565" s="91" t="s">
        <v>586</v>
      </c>
      <c r="J565" s="70">
        <v>0.9</v>
      </c>
      <c r="K565" s="71">
        <v>0.77777777777777801</v>
      </c>
      <c r="L565" s="71">
        <v>0.95652173913043503</v>
      </c>
      <c r="M565" s="72">
        <v>0.96</v>
      </c>
      <c r="N565" s="71">
        <v>0.94880546075085304</v>
      </c>
      <c r="O565" s="73">
        <v>0.9</v>
      </c>
      <c r="P565" s="71">
        <v>0.93712212817412299</v>
      </c>
      <c r="Q565" s="71">
        <v>0.94112090680100802</v>
      </c>
      <c r="R565" s="71">
        <v>0.94046865104496502</v>
      </c>
      <c r="S565" s="71">
        <v>0.95624603677869402</v>
      </c>
      <c r="T565" s="73">
        <v>0.9</v>
      </c>
      <c r="U565" s="71">
        <v>0.93833131801692904</v>
      </c>
      <c r="V565" s="71">
        <v>0.89074307304785905</v>
      </c>
      <c r="W565" s="71">
        <v>0.939202026599113</v>
      </c>
      <c r="X565" s="71">
        <v>0.93191906381506895</v>
      </c>
      <c r="Y565" s="73">
        <v>0.92</v>
      </c>
      <c r="Z565" s="73">
        <v>0.90163934426229497</v>
      </c>
      <c r="AA565" s="73">
        <v>0.73921765295887698</v>
      </c>
      <c r="AB565" s="73">
        <v>1</v>
      </c>
      <c r="AC565" s="73">
        <v>0.876410870798915</v>
      </c>
      <c r="AD565" s="73">
        <v>0.92</v>
      </c>
      <c r="AE565" s="71">
        <v>0.99715909090909105</v>
      </c>
      <c r="AF565" s="71">
        <v>0.99493670886075902</v>
      </c>
      <c r="AG565" s="71">
        <v>0.97626112759643902</v>
      </c>
      <c r="AH565" s="71">
        <v>0.99041314768317701</v>
      </c>
      <c r="AI565" s="73">
        <v>0.92</v>
      </c>
      <c r="AJ565" s="71">
        <v>0.92616191904047995</v>
      </c>
      <c r="AK565" s="71">
        <v>0.90232224084270996</v>
      </c>
      <c r="AL565" s="71">
        <v>0.97620538509705701</v>
      </c>
      <c r="AM565" s="71">
        <v>0.92994798713207705</v>
      </c>
      <c r="AN565" s="70">
        <v>0.99</v>
      </c>
      <c r="AO565" s="75">
        <v>1</v>
      </c>
      <c r="AP565" s="75">
        <v>1</v>
      </c>
      <c r="AQ565" s="75">
        <v>1</v>
      </c>
      <c r="AR565" s="75">
        <v>1</v>
      </c>
      <c r="AS565" s="95">
        <v>0.05</v>
      </c>
      <c r="AT565" s="79">
        <v>0.33333333333333298</v>
      </c>
      <c r="AU565" s="79">
        <v>0</v>
      </c>
      <c r="AV565" s="79">
        <v>0.33333333333333298</v>
      </c>
      <c r="AW565" s="79">
        <v>0.101694915254237</v>
      </c>
      <c r="AX565" s="56"/>
      <c r="AY565" s="54"/>
    </row>
    <row r="566" spans="1:51">
      <c r="A566" s="53"/>
      <c r="B566" s="56"/>
      <c r="C566" s="90" t="s">
        <v>370</v>
      </c>
      <c r="D566" s="230" t="s">
        <v>1757</v>
      </c>
      <c r="E566" s="68" t="s">
        <v>371</v>
      </c>
      <c r="F566" s="91" t="s">
        <v>587</v>
      </c>
      <c r="G566" s="91" t="s">
        <v>587</v>
      </c>
      <c r="H566" s="91" t="s">
        <v>587</v>
      </c>
      <c r="I566" s="91" t="s">
        <v>587</v>
      </c>
      <c r="J566" s="70">
        <v>0.9</v>
      </c>
      <c r="K566" s="71">
        <v>0.95121951219512202</v>
      </c>
      <c r="L566" s="71">
        <v>0.94594594594594605</v>
      </c>
      <c r="M566" s="72">
        <v>0.97222222222222199</v>
      </c>
      <c r="N566" s="71">
        <v>0.96153846153846201</v>
      </c>
      <c r="O566" s="73">
        <v>0.9</v>
      </c>
      <c r="P566" s="71">
        <v>0.926234384295062</v>
      </c>
      <c r="Q566" s="71">
        <v>0.63268535262206105</v>
      </c>
      <c r="R566" s="71">
        <v>0.92769953051643195</v>
      </c>
      <c r="S566" s="71">
        <v>0.90180553500074001</v>
      </c>
      <c r="T566" s="73">
        <v>0.9</v>
      </c>
      <c r="U566" s="71">
        <v>0.92682926829268297</v>
      </c>
      <c r="V566" s="71">
        <v>0.96270343580470197</v>
      </c>
      <c r="W566" s="71">
        <v>0.956807511737089</v>
      </c>
      <c r="X566" s="71">
        <v>0.95530560899807604</v>
      </c>
      <c r="Y566" s="73">
        <v>0.92</v>
      </c>
      <c r="Z566" s="73">
        <v>0.93605481016271797</v>
      </c>
      <c r="AA566" s="73">
        <v>0.96223126089482902</v>
      </c>
      <c r="AB566" s="73">
        <v>0.95787292817679603</v>
      </c>
      <c r="AC566" s="73">
        <v>0.95918428281380597</v>
      </c>
      <c r="AD566" s="73">
        <v>0.92</v>
      </c>
      <c r="AE566" s="71">
        <v>0.996614759647935</v>
      </c>
      <c r="AF566" s="71">
        <v>0.99741007194244602</v>
      </c>
      <c r="AG566" s="71">
        <v>0.99538461538461498</v>
      </c>
      <c r="AH566" s="71">
        <v>0.99608787240445396</v>
      </c>
      <c r="AI566" s="73">
        <v>0.92</v>
      </c>
      <c r="AJ566" s="71">
        <v>0.94676952748312404</v>
      </c>
      <c r="AK566" s="71">
        <v>0.98259596616785905</v>
      </c>
      <c r="AL566" s="71">
        <v>0.96442986881937398</v>
      </c>
      <c r="AM566" s="71">
        <v>0.97196122789345896</v>
      </c>
      <c r="AN566" s="70">
        <v>0.99</v>
      </c>
      <c r="AO566" s="75">
        <v>1</v>
      </c>
      <c r="AP566" s="75">
        <v>1</v>
      </c>
      <c r="AQ566" s="75">
        <v>1</v>
      </c>
      <c r="AR566" s="75">
        <v>1</v>
      </c>
      <c r="AS566" s="95">
        <v>0.05</v>
      </c>
      <c r="AT566" s="79">
        <v>0.157894736842105</v>
      </c>
      <c r="AU566" s="79">
        <v>0</v>
      </c>
      <c r="AV566" s="79">
        <v>5.5555555555555601E-2</v>
      </c>
      <c r="AW566" s="79">
        <v>3.8095238095238099E-2</v>
      </c>
      <c r="AX566" s="56"/>
      <c r="AY566" s="54"/>
    </row>
    <row r="567" spans="1:51">
      <c r="A567" s="53"/>
      <c r="B567" s="56"/>
      <c r="C567" s="90" t="s">
        <v>370</v>
      </c>
      <c r="D567" s="230" t="s">
        <v>1757</v>
      </c>
      <c r="E567" s="68" t="s">
        <v>371</v>
      </c>
      <c r="F567" s="91" t="s">
        <v>588</v>
      </c>
      <c r="G567" s="91" t="s">
        <v>588</v>
      </c>
      <c r="H567" s="91" t="s">
        <v>588</v>
      </c>
      <c r="I567" s="91" t="s">
        <v>588</v>
      </c>
      <c r="J567" s="70">
        <v>0.9</v>
      </c>
      <c r="K567" s="71">
        <v>0.9375</v>
      </c>
      <c r="L567" s="71">
        <v>0.90476190476190499</v>
      </c>
      <c r="M567" s="72">
        <v>0.93181818181818199</v>
      </c>
      <c r="N567" s="71">
        <v>0.93145161290322598</v>
      </c>
      <c r="O567" s="73">
        <v>0.9</v>
      </c>
      <c r="P567" s="71">
        <v>0.86254295532646097</v>
      </c>
      <c r="Q567" s="71">
        <v>0.62436699434018506</v>
      </c>
      <c r="R567" s="71">
        <v>0.86293436293436299</v>
      </c>
      <c r="S567" s="71">
        <v>0.84916224995725798</v>
      </c>
      <c r="T567" s="73">
        <v>0.9</v>
      </c>
      <c r="U567" s="71">
        <v>0.86391752577319603</v>
      </c>
      <c r="V567" s="71">
        <v>0.908251414953828</v>
      </c>
      <c r="W567" s="71">
        <v>0.869208494208494</v>
      </c>
      <c r="X567" s="71">
        <v>0.87322619251153999</v>
      </c>
      <c r="Y567" s="73">
        <v>0.92</v>
      </c>
      <c r="Z567" s="73">
        <v>0.91890034364261197</v>
      </c>
      <c r="AA567" s="73">
        <v>0.94354442808051098</v>
      </c>
      <c r="AB567" s="73">
        <v>0.891156462585034</v>
      </c>
      <c r="AC567" s="73">
        <v>0.90467243510506801</v>
      </c>
      <c r="AD567" s="73">
        <v>0.92</v>
      </c>
      <c r="AE567" s="71">
        <v>1</v>
      </c>
      <c r="AF567" s="71">
        <v>0.99713672154616995</v>
      </c>
      <c r="AG567" s="71">
        <v>0.98611111111111105</v>
      </c>
      <c r="AH567" s="71">
        <v>0.99793704156479202</v>
      </c>
      <c r="AI567" s="73">
        <v>0.92</v>
      </c>
      <c r="AJ567" s="71">
        <v>0.93285248153872602</v>
      </c>
      <c r="AK567" s="71">
        <v>0.96887159533073897</v>
      </c>
      <c r="AL567" s="71">
        <v>0.91789652247667497</v>
      </c>
      <c r="AM567" s="71">
        <v>0.93105553120891504</v>
      </c>
      <c r="AN567" s="70">
        <v>0.99</v>
      </c>
      <c r="AO567" s="75">
        <v>1</v>
      </c>
      <c r="AP567" s="75">
        <v>1</v>
      </c>
      <c r="AQ567" s="75">
        <v>1</v>
      </c>
      <c r="AR567" s="75">
        <v>1</v>
      </c>
      <c r="AS567" s="95">
        <v>0.05</v>
      </c>
      <c r="AT567" s="79">
        <v>5.8823529411764698E-2</v>
      </c>
      <c r="AU567" s="79">
        <v>7.1428571428571397E-2</v>
      </c>
      <c r="AV567" s="79">
        <v>6.25E-2</v>
      </c>
      <c r="AW567" s="79">
        <v>1.6528925619834701E-2</v>
      </c>
      <c r="AX567" s="56"/>
      <c r="AY567" s="54"/>
    </row>
    <row r="568" spans="1:51">
      <c r="A568" s="53"/>
      <c r="B568" s="56"/>
      <c r="C568" s="90" t="s">
        <v>370</v>
      </c>
      <c r="D568" s="230" t="s">
        <v>1757</v>
      </c>
      <c r="E568" s="68" t="s">
        <v>371</v>
      </c>
      <c r="F568" s="91" t="s">
        <v>589</v>
      </c>
      <c r="G568" s="91" t="s">
        <v>589</v>
      </c>
      <c r="H568" s="91" t="s">
        <v>589</v>
      </c>
      <c r="I568" s="91" t="s">
        <v>589</v>
      </c>
      <c r="J568" s="70">
        <v>0.9</v>
      </c>
      <c r="K568" s="71">
        <v>0.93243243243243201</v>
      </c>
      <c r="L568" s="71">
        <v>0.95774647887323905</v>
      </c>
      <c r="M568" s="72">
        <v>0.81690140845070403</v>
      </c>
      <c r="N568" s="71">
        <v>0.90830235439900897</v>
      </c>
      <c r="O568" s="73">
        <v>0.9</v>
      </c>
      <c r="P568" s="71">
        <v>0.88466413181242098</v>
      </c>
      <c r="Q568" s="71">
        <v>0.90749784544671097</v>
      </c>
      <c r="R568" s="71">
        <v>0.90080910997902297</v>
      </c>
      <c r="S568" s="71">
        <v>0.91029764500654198</v>
      </c>
      <c r="T568" s="73">
        <v>0.9</v>
      </c>
      <c r="U568" s="71">
        <v>0.877059569074778</v>
      </c>
      <c r="V568" s="71">
        <v>0.89313415685147901</v>
      </c>
      <c r="W568" s="71">
        <v>0.89091998801318595</v>
      </c>
      <c r="X568" s="71">
        <v>0.895769733972961</v>
      </c>
      <c r="Y568" s="73">
        <v>0.92</v>
      </c>
      <c r="Z568" s="73">
        <v>0.91777146464646497</v>
      </c>
      <c r="AA568" s="73">
        <v>0.94403117251151303</v>
      </c>
      <c r="AB568" s="73">
        <v>0.94496715781998897</v>
      </c>
      <c r="AC568" s="73">
        <v>0.95182374205485798</v>
      </c>
      <c r="AD568" s="73">
        <v>0.92</v>
      </c>
      <c r="AE568" s="71">
        <v>0.99813748730105001</v>
      </c>
      <c r="AF568" s="71">
        <v>0.99594999119563299</v>
      </c>
      <c r="AG568" s="71">
        <v>0.98859449026144897</v>
      </c>
      <c r="AH568" s="71">
        <v>0.96125190198856203</v>
      </c>
      <c r="AI568" s="73">
        <v>0.92</v>
      </c>
      <c r="AJ568" s="71">
        <v>0.93126004131283002</v>
      </c>
      <c r="AK568" s="71">
        <v>0.96132509113964204</v>
      </c>
      <c r="AL568" s="71">
        <v>0.95409982174688102</v>
      </c>
      <c r="AM568" s="71">
        <v>0.96263920991804997</v>
      </c>
      <c r="AN568" s="70">
        <v>0.99</v>
      </c>
      <c r="AO568" s="75">
        <v>1</v>
      </c>
      <c r="AP568" s="75">
        <v>1</v>
      </c>
      <c r="AQ568" s="75">
        <v>1</v>
      </c>
      <c r="AR568" s="75">
        <v>1</v>
      </c>
      <c r="AS568" s="95">
        <v>0.05</v>
      </c>
      <c r="AT568" s="79">
        <v>7.1428571428571397E-2</v>
      </c>
      <c r="AU568" s="79">
        <v>3.8461538461538498E-2</v>
      </c>
      <c r="AV568" s="79">
        <v>7.1428571428571397E-2</v>
      </c>
      <c r="AW568" s="79">
        <v>5.0264550264550303E-2</v>
      </c>
      <c r="AX568" s="56"/>
      <c r="AY568" s="54"/>
    </row>
    <row r="569" spans="1:51">
      <c r="A569" s="53"/>
      <c r="B569" s="56"/>
      <c r="C569" s="90" t="s">
        <v>370</v>
      </c>
      <c r="D569" s="230" t="s">
        <v>1757</v>
      </c>
      <c r="E569" s="68" t="s">
        <v>371</v>
      </c>
      <c r="F569" s="91" t="s">
        <v>590</v>
      </c>
      <c r="G569" s="91" t="s">
        <v>590</v>
      </c>
      <c r="H569" s="91" t="s">
        <v>590</v>
      </c>
      <c r="I569" s="91" t="s">
        <v>590</v>
      </c>
      <c r="J569" s="70">
        <v>0.9</v>
      </c>
      <c r="K569" s="71">
        <v>0.93333333333333302</v>
      </c>
      <c r="L569" s="71">
        <v>0.97368421052631604</v>
      </c>
      <c r="M569" s="72">
        <v>0.93181818181818199</v>
      </c>
      <c r="N569" s="71">
        <v>0.95378151260504196</v>
      </c>
      <c r="O569" s="73">
        <v>0.9</v>
      </c>
      <c r="P569" s="71">
        <v>0.92436412315930405</v>
      </c>
      <c r="Q569" s="71">
        <v>0.94865970013630196</v>
      </c>
      <c r="R569" s="71">
        <v>0.97192445125063798</v>
      </c>
      <c r="S569" s="71">
        <v>0.955024133391839</v>
      </c>
      <c r="T569" s="73">
        <v>0.9</v>
      </c>
      <c r="U569" s="71">
        <v>0.89223560910307897</v>
      </c>
      <c r="V569" s="71">
        <v>0.919127669241254</v>
      </c>
      <c r="W569" s="71">
        <v>0.91424196018376702</v>
      </c>
      <c r="X569" s="71">
        <v>0.91614743308468605</v>
      </c>
      <c r="Y569" s="73">
        <v>0.92</v>
      </c>
      <c r="Z569" s="73">
        <v>0.93306792734511101</v>
      </c>
      <c r="AA569" s="73">
        <v>0.942922374429224</v>
      </c>
      <c r="AB569" s="73">
        <v>0.94870424792946795</v>
      </c>
      <c r="AC569" s="73">
        <v>0.95216253406362095</v>
      </c>
      <c r="AD569" s="73">
        <v>0.92</v>
      </c>
      <c r="AE569" s="71">
        <v>0.99427564949361502</v>
      </c>
      <c r="AF569" s="71">
        <v>0.97491638795986602</v>
      </c>
      <c r="AG569" s="71">
        <v>0.95564516129032295</v>
      </c>
      <c r="AH569" s="71">
        <v>0.98569471087969296</v>
      </c>
      <c r="AI569" s="73">
        <v>0.92</v>
      </c>
      <c r="AJ569" s="71">
        <v>0.93984417466932402</v>
      </c>
      <c r="AK569" s="71">
        <v>0.96206373292867997</v>
      </c>
      <c r="AL569" s="71">
        <v>0.96054708048395598</v>
      </c>
      <c r="AM569" s="71">
        <v>0.96404198161218702</v>
      </c>
      <c r="AN569" s="70">
        <v>0.99</v>
      </c>
      <c r="AO569" s="75">
        <v>1</v>
      </c>
      <c r="AP569" s="75">
        <v>1</v>
      </c>
      <c r="AQ569" s="75">
        <v>1</v>
      </c>
      <c r="AR569" s="75">
        <v>1</v>
      </c>
      <c r="AS569" s="95">
        <v>0.05</v>
      </c>
      <c r="AT569" s="79">
        <v>0.35</v>
      </c>
      <c r="AU569" s="79">
        <v>0</v>
      </c>
      <c r="AV569" s="79">
        <v>0</v>
      </c>
      <c r="AW569" s="79">
        <v>8.1447963800904993E-2</v>
      </c>
      <c r="AX569" s="56"/>
      <c r="AY569" s="54"/>
    </row>
    <row r="570" spans="1:51">
      <c r="A570" s="53"/>
      <c r="B570" s="56"/>
      <c r="C570" s="90" t="s">
        <v>370</v>
      </c>
      <c r="D570" s="230" t="s">
        <v>1757</v>
      </c>
      <c r="E570" s="68" t="s">
        <v>371</v>
      </c>
      <c r="F570" s="91" t="s">
        <v>591</v>
      </c>
      <c r="G570" s="91" t="s">
        <v>591</v>
      </c>
      <c r="H570" s="91" t="s">
        <v>591</v>
      </c>
      <c r="I570" s="91" t="s">
        <v>591</v>
      </c>
      <c r="J570" s="70">
        <v>0.9</v>
      </c>
      <c r="K570" s="71">
        <v>1</v>
      </c>
      <c r="L570" s="71">
        <v>0.95</v>
      </c>
      <c r="M570" s="72">
        <v>1</v>
      </c>
      <c r="N570" s="71">
        <v>0.93333333333333302</v>
      </c>
      <c r="O570" s="73">
        <v>0.9</v>
      </c>
      <c r="P570" s="71">
        <v>0.96143250688705195</v>
      </c>
      <c r="Q570" s="71">
        <v>0.95483870967741902</v>
      </c>
      <c r="R570" s="71">
        <v>0.96470081790787798</v>
      </c>
      <c r="S570" s="71">
        <v>0.959998171344976</v>
      </c>
      <c r="T570" s="73">
        <v>0.9</v>
      </c>
      <c r="U570" s="71">
        <v>0.93112947658402201</v>
      </c>
      <c r="V570" s="71">
        <v>0.924301075268817</v>
      </c>
      <c r="W570" s="71">
        <v>0.94877313818338405</v>
      </c>
      <c r="X570" s="71">
        <v>0.92749382828929305</v>
      </c>
      <c r="Y570" s="73">
        <v>0.92</v>
      </c>
      <c r="Z570" s="73">
        <v>0</v>
      </c>
      <c r="AA570" s="73">
        <v>0</v>
      </c>
      <c r="AB570" s="73" t="s">
        <v>1710</v>
      </c>
      <c r="AC570" s="73">
        <v>0.25</v>
      </c>
      <c r="AD570" s="73">
        <v>0.92</v>
      </c>
      <c r="AE570" s="71">
        <v>1</v>
      </c>
      <c r="AF570" s="71">
        <v>0.84615384615384603</v>
      </c>
      <c r="AG570" s="71">
        <v>0.94444444444444398</v>
      </c>
      <c r="AH570" s="71">
        <v>0.91271820448877805</v>
      </c>
      <c r="AI570" s="73">
        <v>0.92</v>
      </c>
      <c r="AJ570" s="71">
        <v>0.97706422018348604</v>
      </c>
      <c r="AK570" s="71">
        <v>0.97034808766652303</v>
      </c>
      <c r="AL570" s="71">
        <v>0.974601808006888</v>
      </c>
      <c r="AM570" s="71">
        <v>0.97673568261803601</v>
      </c>
      <c r="AN570" s="70">
        <v>0.99</v>
      </c>
      <c r="AO570" s="75">
        <v>1</v>
      </c>
      <c r="AP570" s="75">
        <v>1</v>
      </c>
      <c r="AQ570" s="75">
        <v>1</v>
      </c>
      <c r="AR570" s="75">
        <v>1</v>
      </c>
      <c r="AS570" s="95">
        <v>0.05</v>
      </c>
      <c r="AT570" s="79">
        <v>0</v>
      </c>
      <c r="AU570" s="79">
        <v>0</v>
      </c>
      <c r="AV570" s="79">
        <v>0</v>
      </c>
      <c r="AW570" s="79">
        <v>6.4516129032258104E-2</v>
      </c>
      <c r="AX570" s="56"/>
      <c r="AY570" s="54"/>
    </row>
    <row r="571" spans="1:51">
      <c r="A571" s="53"/>
      <c r="B571" s="56"/>
      <c r="C571" s="90" t="s">
        <v>370</v>
      </c>
      <c r="D571" s="230" t="s">
        <v>1757</v>
      </c>
      <c r="E571" s="68" t="s">
        <v>371</v>
      </c>
      <c r="F571" s="91" t="s">
        <v>592</v>
      </c>
      <c r="G571" s="91" t="s">
        <v>592</v>
      </c>
      <c r="H571" s="91" t="s">
        <v>592</v>
      </c>
      <c r="I571" s="91" t="s">
        <v>592</v>
      </c>
      <c r="J571" s="70">
        <v>0.9</v>
      </c>
      <c r="K571" s="71">
        <v>0.86</v>
      </c>
      <c r="L571" s="71">
        <v>0.69767441860465096</v>
      </c>
      <c r="M571" s="72">
        <v>0.72340425531914898</v>
      </c>
      <c r="N571" s="71">
        <v>0.80851063829787195</v>
      </c>
      <c r="O571" s="73">
        <v>0.9</v>
      </c>
      <c r="P571" s="71">
        <v>0.92043503148254102</v>
      </c>
      <c r="Q571" s="71">
        <v>0.77515337423312902</v>
      </c>
      <c r="R571" s="71">
        <v>0.78417818740399403</v>
      </c>
      <c r="S571" s="71">
        <v>0.83059667381597002</v>
      </c>
      <c r="T571" s="73">
        <v>0.9</v>
      </c>
      <c r="U571" s="71">
        <v>0.91184888380080098</v>
      </c>
      <c r="V571" s="71">
        <v>0.88159509202454001</v>
      </c>
      <c r="W571" s="71">
        <v>0.89592933947772702</v>
      </c>
      <c r="X571" s="71">
        <v>0.90714109911747098</v>
      </c>
      <c r="Y571" s="73">
        <v>0.92</v>
      </c>
      <c r="Z571" s="73">
        <v>0.95306239267315396</v>
      </c>
      <c r="AA571" s="73">
        <v>0.924057649667406</v>
      </c>
      <c r="AB571" s="73">
        <v>0.91634366925064603</v>
      </c>
      <c r="AC571" s="73">
        <v>0.94161368317363703</v>
      </c>
      <c r="AD571" s="73">
        <v>0.92</v>
      </c>
      <c r="AE571" s="71">
        <v>1</v>
      </c>
      <c r="AF571" s="71">
        <v>0.99653979238754298</v>
      </c>
      <c r="AG571" s="71">
        <v>0.95049504950495001</v>
      </c>
      <c r="AH571" s="71">
        <v>0.94078319006685796</v>
      </c>
      <c r="AI571" s="73">
        <v>0.92</v>
      </c>
      <c r="AJ571" s="71">
        <v>0.95846036585365901</v>
      </c>
      <c r="AK571" s="71">
        <v>0.95560378847671701</v>
      </c>
      <c r="AL571" s="71">
        <v>0.93811360448807901</v>
      </c>
      <c r="AM571" s="71">
        <v>0.95808808114689303</v>
      </c>
      <c r="AN571" s="70">
        <v>0.99</v>
      </c>
      <c r="AO571" s="75">
        <v>1</v>
      </c>
      <c r="AP571" s="75">
        <v>1</v>
      </c>
      <c r="AQ571" s="75">
        <v>1</v>
      </c>
      <c r="AR571" s="75">
        <v>1</v>
      </c>
      <c r="AS571" s="95">
        <v>0.05</v>
      </c>
      <c r="AT571" s="79">
        <v>0.27272727272727298</v>
      </c>
      <c r="AU571" s="79">
        <v>0.18181818181818199</v>
      </c>
      <c r="AV571" s="79">
        <v>0</v>
      </c>
      <c r="AW571" s="79">
        <v>0.10243902439024399</v>
      </c>
      <c r="AX571" s="56"/>
      <c r="AY571" s="54"/>
    </row>
    <row r="572" spans="1:51">
      <c r="A572" s="53"/>
      <c r="B572" s="56"/>
      <c r="C572" s="90" t="s">
        <v>370</v>
      </c>
      <c r="D572" s="230" t="s">
        <v>1757</v>
      </c>
      <c r="E572" s="68" t="s">
        <v>371</v>
      </c>
      <c r="F572" s="91" t="s">
        <v>593</v>
      </c>
      <c r="G572" s="91" t="s">
        <v>593</v>
      </c>
      <c r="H572" s="91" t="s">
        <v>593</v>
      </c>
      <c r="I572" s="91" t="s">
        <v>593</v>
      </c>
      <c r="J572" s="70">
        <v>0.9</v>
      </c>
      <c r="K572" s="71">
        <v>0.97727272727272696</v>
      </c>
      <c r="L572" s="71">
        <v>0.97959183673469397</v>
      </c>
      <c r="M572" s="72">
        <v>1</v>
      </c>
      <c r="N572" s="71">
        <v>0.98354661791590503</v>
      </c>
      <c r="O572" s="73">
        <v>0.9</v>
      </c>
      <c r="P572" s="71">
        <v>0.99162178336325602</v>
      </c>
      <c r="Q572" s="71">
        <v>0.98683322079675895</v>
      </c>
      <c r="R572" s="71">
        <v>0.985412474849095</v>
      </c>
      <c r="S572" s="71">
        <v>0.98331939099882903</v>
      </c>
      <c r="T572" s="73">
        <v>0.9</v>
      </c>
      <c r="U572" s="71">
        <v>0.87013764213046096</v>
      </c>
      <c r="V572" s="71">
        <v>0.90327481431465195</v>
      </c>
      <c r="W572" s="71">
        <v>0.82763246143527802</v>
      </c>
      <c r="X572" s="71">
        <v>0.87557302994813402</v>
      </c>
      <c r="Y572" s="73">
        <v>0.92</v>
      </c>
      <c r="Z572" s="73" t="s">
        <v>1710</v>
      </c>
      <c r="AA572" s="73" t="s">
        <v>1710</v>
      </c>
      <c r="AB572" s="73" t="s">
        <v>1710</v>
      </c>
      <c r="AC572" s="73">
        <v>0.94285714285714295</v>
      </c>
      <c r="AD572" s="73">
        <v>0.92</v>
      </c>
      <c r="AE572" s="71">
        <v>0.98366650414432</v>
      </c>
      <c r="AF572" s="71">
        <v>0.99166840241616305</v>
      </c>
      <c r="AG572" s="71">
        <v>0.98140495867768596</v>
      </c>
      <c r="AH572" s="71">
        <v>0.98965453799232905</v>
      </c>
      <c r="AI572" s="73">
        <v>0.92</v>
      </c>
      <c r="AJ572" s="71">
        <v>0.95423272509721802</v>
      </c>
      <c r="AK572" s="71">
        <v>0.97349763673193801</v>
      </c>
      <c r="AL572" s="71">
        <v>0.969818913480885</v>
      </c>
      <c r="AM572" s="71">
        <v>0.97204434115266902</v>
      </c>
      <c r="AN572" s="70">
        <v>0.99</v>
      </c>
      <c r="AO572" s="75">
        <v>1</v>
      </c>
      <c r="AP572" s="75">
        <v>1</v>
      </c>
      <c r="AQ572" s="75">
        <v>1</v>
      </c>
      <c r="AR572" s="75">
        <v>1</v>
      </c>
      <c r="AS572" s="95">
        <v>0.05</v>
      </c>
      <c r="AT572" s="79">
        <v>5.8823529411764698E-2</v>
      </c>
      <c r="AU572" s="79">
        <v>0</v>
      </c>
      <c r="AV572" s="79">
        <v>4.3478260869565202E-2</v>
      </c>
      <c r="AW572" s="79">
        <v>2.68817204301075E-2</v>
      </c>
      <c r="AX572" s="56"/>
      <c r="AY572" s="54"/>
    </row>
    <row r="573" spans="1:51">
      <c r="A573" s="53"/>
      <c r="B573" s="56"/>
      <c r="C573" s="90" t="s">
        <v>370</v>
      </c>
      <c r="D573" s="230" t="s">
        <v>1757</v>
      </c>
      <c r="E573" s="68" t="s">
        <v>371</v>
      </c>
      <c r="F573" s="91" t="s">
        <v>594</v>
      </c>
      <c r="G573" s="91" t="s">
        <v>594</v>
      </c>
      <c r="H573" s="91" t="s">
        <v>594</v>
      </c>
      <c r="I573" s="91" t="s">
        <v>594</v>
      </c>
      <c r="J573" s="70">
        <v>0.9</v>
      </c>
      <c r="K573" s="71">
        <v>1</v>
      </c>
      <c r="L573" s="71">
        <v>1</v>
      </c>
      <c r="M573" s="72">
        <v>1</v>
      </c>
      <c r="N573" s="71">
        <v>0.99657534246575297</v>
      </c>
      <c r="O573" s="73">
        <v>0.9</v>
      </c>
      <c r="P573" s="71">
        <v>0.98523379819524204</v>
      </c>
      <c r="Q573" s="71">
        <v>0.98894518654997698</v>
      </c>
      <c r="R573" s="71">
        <v>0.99238095238095203</v>
      </c>
      <c r="S573" s="71">
        <v>0.98933811388404003</v>
      </c>
      <c r="T573" s="73">
        <v>0.9</v>
      </c>
      <c r="U573" s="71">
        <v>0.93683347005742401</v>
      </c>
      <c r="V573" s="71">
        <v>0.91570704744357401</v>
      </c>
      <c r="W573" s="71">
        <v>0.90380952380952395</v>
      </c>
      <c r="X573" s="71">
        <v>0.89762702269188999</v>
      </c>
      <c r="Y573" s="73">
        <v>0.92</v>
      </c>
      <c r="Z573" s="73">
        <v>0.91906721536351199</v>
      </c>
      <c r="AA573" s="73">
        <v>0.81590909090909103</v>
      </c>
      <c r="AB573" s="73">
        <v>0.87046632124352297</v>
      </c>
      <c r="AC573" s="73">
        <v>0.87151730257320303</v>
      </c>
      <c r="AD573" s="73">
        <v>0.92</v>
      </c>
      <c r="AE573" s="71">
        <v>1</v>
      </c>
      <c r="AF573" s="71">
        <v>0.99080793420416102</v>
      </c>
      <c r="AG573" s="71">
        <v>0.99398315282791805</v>
      </c>
      <c r="AH573" s="71">
        <v>0.99310801124772596</v>
      </c>
      <c r="AI573" s="73">
        <v>0.92</v>
      </c>
      <c r="AJ573" s="71">
        <v>0.95533880903490798</v>
      </c>
      <c r="AK573" s="71">
        <v>0.952526799387443</v>
      </c>
      <c r="AL573" s="71">
        <v>0.96117954460619603</v>
      </c>
      <c r="AM573" s="71">
        <v>0.96157716244922298</v>
      </c>
      <c r="AN573" s="70">
        <v>0.99</v>
      </c>
      <c r="AO573" s="75">
        <v>1</v>
      </c>
      <c r="AP573" s="75">
        <v>1</v>
      </c>
      <c r="AQ573" s="75">
        <v>1</v>
      </c>
      <c r="AR573" s="75">
        <v>1</v>
      </c>
      <c r="AS573" s="95">
        <v>0.05</v>
      </c>
      <c r="AT573" s="79">
        <v>0.16666666666666699</v>
      </c>
      <c r="AU573" s="79">
        <v>0</v>
      </c>
      <c r="AV573" s="79">
        <v>0</v>
      </c>
      <c r="AW573" s="79">
        <v>7.1428571428571397E-2</v>
      </c>
      <c r="AX573" s="56"/>
      <c r="AY573" s="54"/>
    </row>
    <row r="574" spans="1:51">
      <c r="A574" s="53"/>
      <c r="B574" s="56"/>
      <c r="C574" s="90" t="s">
        <v>370</v>
      </c>
      <c r="D574" s="230" t="s">
        <v>1757</v>
      </c>
      <c r="E574" s="68" t="s">
        <v>371</v>
      </c>
      <c r="F574" s="91" t="s">
        <v>595</v>
      </c>
      <c r="G574" s="91" t="s">
        <v>595</v>
      </c>
      <c r="H574" s="91" t="s">
        <v>595</v>
      </c>
      <c r="I574" s="91" t="s">
        <v>595</v>
      </c>
      <c r="J574" s="70">
        <v>0.9</v>
      </c>
      <c r="K574" s="71">
        <v>1</v>
      </c>
      <c r="L574" s="71">
        <v>1</v>
      </c>
      <c r="M574" s="72">
        <v>1</v>
      </c>
      <c r="N574" s="71">
        <v>0.98333333333333295</v>
      </c>
      <c r="O574" s="73">
        <v>0.9</v>
      </c>
      <c r="P574" s="71">
        <v>0.99182156133829003</v>
      </c>
      <c r="Q574" s="71">
        <v>0.98466780238500895</v>
      </c>
      <c r="R574" s="71">
        <v>0.99256342957130395</v>
      </c>
      <c r="S574" s="71">
        <v>0.98902208755983001</v>
      </c>
      <c r="T574" s="73">
        <v>0.9</v>
      </c>
      <c r="U574" s="71">
        <v>0.95092936802974004</v>
      </c>
      <c r="V574" s="71">
        <v>0.89693356047700201</v>
      </c>
      <c r="W574" s="71">
        <v>0.88013998250218695</v>
      </c>
      <c r="X574" s="71">
        <v>0.91309884512361095</v>
      </c>
      <c r="Y574" s="73">
        <v>0.92</v>
      </c>
      <c r="Z574" s="73">
        <v>0.93530239099859402</v>
      </c>
      <c r="AA574" s="73">
        <v>0.91831683168316802</v>
      </c>
      <c r="AB574" s="73">
        <v>0.86885245901639296</v>
      </c>
      <c r="AC574" s="73">
        <v>0.90071051193295704</v>
      </c>
      <c r="AD574" s="73">
        <v>0.92</v>
      </c>
      <c r="AE574" s="71">
        <v>0.99604365620736701</v>
      </c>
      <c r="AF574" s="71">
        <v>0.99801762114537396</v>
      </c>
      <c r="AG574" s="71">
        <v>0.99846035411855305</v>
      </c>
      <c r="AH574" s="71">
        <v>0.99784497272543604</v>
      </c>
      <c r="AI574" s="73">
        <v>0.92</v>
      </c>
      <c r="AJ574" s="71">
        <v>0.96887159533073897</v>
      </c>
      <c r="AK574" s="71">
        <v>0.97311046511627897</v>
      </c>
      <c r="AL574" s="71">
        <v>0.96296296296296302</v>
      </c>
      <c r="AM574" s="71">
        <v>0.96646265963844802</v>
      </c>
      <c r="AN574" s="70">
        <v>0.99</v>
      </c>
      <c r="AO574" s="75">
        <v>1</v>
      </c>
      <c r="AP574" s="75">
        <v>1</v>
      </c>
      <c r="AQ574" s="75">
        <v>1</v>
      </c>
      <c r="AR574" s="75">
        <v>1</v>
      </c>
      <c r="AS574" s="95">
        <v>0.05</v>
      </c>
      <c r="AT574" s="79">
        <v>0</v>
      </c>
      <c r="AU574" s="79">
        <v>0</v>
      </c>
      <c r="AV574" s="79">
        <v>0.16666666666666699</v>
      </c>
      <c r="AW574" s="79">
        <v>5.4054054054054099E-2</v>
      </c>
      <c r="AX574" s="56"/>
      <c r="AY574" s="54"/>
    </row>
    <row r="575" spans="1:51">
      <c r="A575" s="53"/>
      <c r="B575" s="56"/>
      <c r="C575" s="90" t="s">
        <v>370</v>
      </c>
      <c r="D575" s="230" t="s">
        <v>1757</v>
      </c>
      <c r="E575" s="68" t="s">
        <v>371</v>
      </c>
      <c r="F575" s="91" t="s">
        <v>596</v>
      </c>
      <c r="G575" s="91" t="s">
        <v>596</v>
      </c>
      <c r="H575" s="91" t="s">
        <v>596</v>
      </c>
      <c r="I575" s="91" t="s">
        <v>596</v>
      </c>
      <c r="J575" s="70">
        <v>0.9</v>
      </c>
      <c r="K575" s="71">
        <v>1</v>
      </c>
      <c r="L575" s="71">
        <v>0.97872340425531901</v>
      </c>
      <c r="M575" s="72">
        <v>0.97777777777777797</v>
      </c>
      <c r="N575" s="71">
        <v>0.99045801526717603</v>
      </c>
      <c r="O575" s="73">
        <v>0.9</v>
      </c>
      <c r="P575" s="71">
        <v>0</v>
      </c>
      <c r="Q575" s="71">
        <v>0</v>
      </c>
      <c r="R575" s="71" t="s">
        <v>1710</v>
      </c>
      <c r="S575" s="71">
        <v>0</v>
      </c>
      <c r="T575" s="73">
        <v>0.9</v>
      </c>
      <c r="U575" s="71">
        <v>0</v>
      </c>
      <c r="V575" s="71">
        <v>0</v>
      </c>
      <c r="W575" s="71" t="s">
        <v>1710</v>
      </c>
      <c r="X575" s="71">
        <v>0</v>
      </c>
      <c r="Y575" s="73">
        <v>0.92</v>
      </c>
      <c r="Z575" s="73" t="s">
        <v>1710</v>
      </c>
      <c r="AA575" s="73" t="s">
        <v>1710</v>
      </c>
      <c r="AB575" s="73" t="s">
        <v>1710</v>
      </c>
      <c r="AC575" s="73">
        <v>0</v>
      </c>
      <c r="AD575" s="73">
        <v>0.92</v>
      </c>
      <c r="AE575" s="71">
        <v>0.99764150943396201</v>
      </c>
      <c r="AF575" s="71">
        <v>0.99108734402852094</v>
      </c>
      <c r="AG575" s="71">
        <v>0.99240506329113898</v>
      </c>
      <c r="AH575" s="71">
        <v>0.99151172190784198</v>
      </c>
      <c r="AI575" s="73">
        <v>0.92</v>
      </c>
      <c r="AJ575" s="71">
        <v>0.95343680709534395</v>
      </c>
      <c r="AK575" s="71">
        <v>0.97676331482623902</v>
      </c>
      <c r="AL575" s="71">
        <v>0.92959123802073196</v>
      </c>
      <c r="AM575" s="71">
        <v>0.96856641644908603</v>
      </c>
      <c r="AN575" s="70">
        <v>0.99</v>
      </c>
      <c r="AO575" s="75">
        <v>1</v>
      </c>
      <c r="AP575" s="75">
        <v>1</v>
      </c>
      <c r="AQ575" s="75">
        <v>1</v>
      </c>
      <c r="AR575" s="75">
        <v>1</v>
      </c>
      <c r="AS575" s="95">
        <v>0.05</v>
      </c>
      <c r="AT575" s="79">
        <v>0</v>
      </c>
      <c r="AU575" s="79">
        <v>6.25E-2</v>
      </c>
      <c r="AV575" s="79">
        <v>0</v>
      </c>
      <c r="AW575" s="79">
        <v>4.72972972972973E-2</v>
      </c>
      <c r="AX575" s="56"/>
      <c r="AY575" s="54"/>
    </row>
    <row r="576" spans="1:51">
      <c r="A576" s="53"/>
      <c r="B576" s="56"/>
      <c r="C576" s="90" t="s">
        <v>370</v>
      </c>
      <c r="D576" s="230" t="s">
        <v>1757</v>
      </c>
      <c r="E576" s="68" t="s">
        <v>371</v>
      </c>
      <c r="F576" s="91" t="s">
        <v>597</v>
      </c>
      <c r="G576" s="91" t="s">
        <v>597</v>
      </c>
      <c r="H576" s="91" t="s">
        <v>597</v>
      </c>
      <c r="I576" s="91" t="s">
        <v>597</v>
      </c>
      <c r="J576" s="70">
        <v>0.9</v>
      </c>
      <c r="K576" s="71">
        <v>1</v>
      </c>
      <c r="L576" s="71">
        <v>1</v>
      </c>
      <c r="M576" s="72">
        <v>1</v>
      </c>
      <c r="N576" s="71">
        <v>0.98857142857142899</v>
      </c>
      <c r="O576" s="73">
        <v>0.9</v>
      </c>
      <c r="P576" s="71">
        <v>0.98522167487684698</v>
      </c>
      <c r="Q576" s="71">
        <v>0.98738170347003196</v>
      </c>
      <c r="R576" s="71">
        <v>0.982218458933108</v>
      </c>
      <c r="S576" s="71">
        <v>0.98658450978862799</v>
      </c>
      <c r="T576" s="73">
        <v>0.9</v>
      </c>
      <c r="U576" s="71">
        <v>0.91748768472906395</v>
      </c>
      <c r="V576" s="71">
        <v>0.93454258675078905</v>
      </c>
      <c r="W576" s="71">
        <v>0.95681625740897502</v>
      </c>
      <c r="X576" s="71">
        <v>0.94282817252944395</v>
      </c>
      <c r="Y576" s="73">
        <v>0.92</v>
      </c>
      <c r="Z576" s="73">
        <v>0.85193621867881597</v>
      </c>
      <c r="AA576" s="73">
        <v>0.94294294294294301</v>
      </c>
      <c r="AB576" s="73">
        <v>0.96235294117647097</v>
      </c>
      <c r="AC576" s="73">
        <v>0.94222557146445596</v>
      </c>
      <c r="AD576" s="73">
        <v>0.92</v>
      </c>
      <c r="AE576" s="71">
        <v>0.998113416934857</v>
      </c>
      <c r="AF576" s="71">
        <v>0.99665977413710805</v>
      </c>
      <c r="AG576" s="71">
        <v>0.995294117647059</v>
      </c>
      <c r="AH576" s="71">
        <v>0.92776783819025399</v>
      </c>
      <c r="AI576" s="73">
        <v>0.92</v>
      </c>
      <c r="AJ576" s="71">
        <v>0.91620111731843601</v>
      </c>
      <c r="AK576" s="71">
        <v>0.968164794007491</v>
      </c>
      <c r="AL576" s="71">
        <v>0.97388059701492502</v>
      </c>
      <c r="AM576" s="71">
        <v>0.97257421619370599</v>
      </c>
      <c r="AN576" s="70">
        <v>0.99</v>
      </c>
      <c r="AO576" s="75">
        <v>1</v>
      </c>
      <c r="AP576" s="75">
        <v>1</v>
      </c>
      <c r="AQ576" s="75">
        <v>1</v>
      </c>
      <c r="AR576" s="75">
        <v>1</v>
      </c>
      <c r="AS576" s="95">
        <v>0.05</v>
      </c>
      <c r="AT576" s="79">
        <v>0</v>
      </c>
      <c r="AU576" s="79">
        <v>0.5</v>
      </c>
      <c r="AV576" s="79">
        <v>0.125</v>
      </c>
      <c r="AW576" s="79">
        <v>3.2786885245901599E-2</v>
      </c>
      <c r="AX576" s="56"/>
      <c r="AY576" s="54"/>
    </row>
    <row r="577" spans="1:51">
      <c r="A577" s="53"/>
      <c r="B577" s="56"/>
      <c r="C577" s="90" t="s">
        <v>370</v>
      </c>
      <c r="D577" s="230" t="s">
        <v>1757</v>
      </c>
      <c r="E577" s="68" t="s">
        <v>371</v>
      </c>
      <c r="F577" s="91" t="s">
        <v>598</v>
      </c>
      <c r="G577" s="91" t="s">
        <v>598</v>
      </c>
      <c r="H577" s="91" t="s">
        <v>598</v>
      </c>
      <c r="I577" s="91" t="s">
        <v>598</v>
      </c>
      <c r="J577" s="70">
        <v>0.9</v>
      </c>
      <c r="K577" s="71">
        <v>1</v>
      </c>
      <c r="L577" s="71">
        <v>1</v>
      </c>
      <c r="M577" s="72">
        <v>1</v>
      </c>
      <c r="N577" s="71">
        <v>0.98507462686567204</v>
      </c>
      <c r="O577" s="73">
        <v>0.9</v>
      </c>
      <c r="P577" s="71">
        <v>0.97606961566352402</v>
      </c>
      <c r="Q577" s="71">
        <v>0.99141630901287603</v>
      </c>
      <c r="R577" s="71">
        <v>0.990700218818381</v>
      </c>
      <c r="S577" s="71">
        <v>0.98760932944606405</v>
      </c>
      <c r="T577" s="73">
        <v>0.9</v>
      </c>
      <c r="U577" s="71">
        <v>0.948513415518492</v>
      </c>
      <c r="V577" s="71">
        <v>0.94992846924177399</v>
      </c>
      <c r="W577" s="71">
        <v>0.93763676148796504</v>
      </c>
      <c r="X577" s="71">
        <v>0.949659863945578</v>
      </c>
      <c r="Y577" s="73">
        <v>0.92</v>
      </c>
      <c r="Z577" s="73">
        <v>0.89507772020725396</v>
      </c>
      <c r="AA577" s="73">
        <v>0.96726677577741405</v>
      </c>
      <c r="AB577" s="73">
        <v>0.93947036569987397</v>
      </c>
      <c r="AC577" s="73">
        <v>0.963510848126233</v>
      </c>
      <c r="AD577" s="73">
        <v>0.92</v>
      </c>
      <c r="AE577" s="71">
        <v>0.98496368347279495</v>
      </c>
      <c r="AF577" s="71">
        <v>0.96409130816505695</v>
      </c>
      <c r="AG577" s="71">
        <v>0.99017869322056995</v>
      </c>
      <c r="AH577" s="71">
        <v>0.92522695473920502</v>
      </c>
      <c r="AI577" s="73">
        <v>0.92</v>
      </c>
      <c r="AJ577" s="71">
        <v>0.94932589493258901</v>
      </c>
      <c r="AK577" s="71">
        <v>0.98449039881831601</v>
      </c>
      <c r="AL577" s="71">
        <v>0.97062190003815296</v>
      </c>
      <c r="AM577" s="71">
        <v>0.98139518080994204</v>
      </c>
      <c r="AN577" s="70">
        <v>0.99</v>
      </c>
      <c r="AO577" s="75">
        <v>1</v>
      </c>
      <c r="AP577" s="75">
        <v>1</v>
      </c>
      <c r="AQ577" s="75">
        <v>1</v>
      </c>
      <c r="AR577" s="75">
        <v>1</v>
      </c>
      <c r="AS577" s="95">
        <v>0.05</v>
      </c>
      <c r="AT577" s="79">
        <v>9.0909090909090898E-2</v>
      </c>
      <c r="AU577" s="79">
        <v>0</v>
      </c>
      <c r="AV577" s="79">
        <v>7.1428571428571397E-2</v>
      </c>
      <c r="AW577" s="79">
        <v>5.5555555555555601E-2</v>
      </c>
      <c r="AX577" s="56"/>
      <c r="AY577" s="54"/>
    </row>
    <row r="578" spans="1:51">
      <c r="A578" s="53"/>
      <c r="B578" s="56"/>
      <c r="C578" s="90" t="s">
        <v>370</v>
      </c>
      <c r="D578" s="230" t="s">
        <v>1757</v>
      </c>
      <c r="E578" s="68" t="s">
        <v>371</v>
      </c>
      <c r="F578" s="91" t="s">
        <v>599</v>
      </c>
      <c r="G578" s="91" t="s">
        <v>599</v>
      </c>
      <c r="H578" s="91" t="s">
        <v>599</v>
      </c>
      <c r="I578" s="91" t="s">
        <v>599</v>
      </c>
      <c r="J578" s="70">
        <v>0.9</v>
      </c>
      <c r="K578" s="71">
        <v>1</v>
      </c>
      <c r="L578" s="71">
        <v>0.98181818181818203</v>
      </c>
      <c r="M578" s="72">
        <v>1</v>
      </c>
      <c r="N578" s="71">
        <v>0.98611111111111105</v>
      </c>
      <c r="O578" s="73">
        <v>0.9</v>
      </c>
      <c r="P578" s="71">
        <v>0.98128119800332803</v>
      </c>
      <c r="Q578" s="71">
        <v>0.96467780429594296</v>
      </c>
      <c r="R578" s="71">
        <v>0.96184834123222795</v>
      </c>
      <c r="S578" s="71">
        <v>0.97089892055567095</v>
      </c>
      <c r="T578" s="73">
        <v>0.9</v>
      </c>
      <c r="U578" s="71">
        <v>0.94633943427620604</v>
      </c>
      <c r="V578" s="71">
        <v>0.88066825775656299</v>
      </c>
      <c r="W578" s="71">
        <v>0.84028436018957298</v>
      </c>
      <c r="X578" s="71">
        <v>0.90241083604927996</v>
      </c>
      <c r="Y578" s="73">
        <v>0.92</v>
      </c>
      <c r="Z578" s="73">
        <v>0.82779827798278005</v>
      </c>
      <c r="AA578" s="73">
        <v>0.88704663212435197</v>
      </c>
      <c r="AB578" s="73">
        <v>0.689569536423841</v>
      </c>
      <c r="AC578" s="73">
        <v>0.81694855532064803</v>
      </c>
      <c r="AD578" s="73">
        <v>0.92</v>
      </c>
      <c r="AE578" s="71">
        <v>0.99660793366625799</v>
      </c>
      <c r="AF578" s="71">
        <v>0.950055364531733</v>
      </c>
      <c r="AG578" s="71">
        <v>0.97654894886560695</v>
      </c>
      <c r="AH578" s="71">
        <v>0.98016412888232596</v>
      </c>
      <c r="AI578" s="73">
        <v>0.92</v>
      </c>
      <c r="AJ578" s="71">
        <v>0.91840277777777801</v>
      </c>
      <c r="AK578" s="71">
        <v>0.96316401706087595</v>
      </c>
      <c r="AL578" s="71">
        <v>0.90806927044952102</v>
      </c>
      <c r="AM578" s="71">
        <v>0.94735300578457904</v>
      </c>
      <c r="AN578" s="70">
        <v>0.99</v>
      </c>
      <c r="AO578" s="75">
        <v>1</v>
      </c>
      <c r="AP578" s="75">
        <v>1</v>
      </c>
      <c r="AQ578" s="75">
        <v>1</v>
      </c>
      <c r="AR578" s="75">
        <v>1</v>
      </c>
      <c r="AS578" s="95">
        <v>0.05</v>
      </c>
      <c r="AT578" s="79">
        <v>9.0909090909090898E-2</v>
      </c>
      <c r="AU578" s="79">
        <v>0</v>
      </c>
      <c r="AV578" s="79">
        <v>4.7619047619047603E-2</v>
      </c>
      <c r="AW578" s="79">
        <v>2.1857923497267801E-2</v>
      </c>
      <c r="AX578" s="56"/>
      <c r="AY578" s="54"/>
    </row>
    <row r="579" spans="1:51">
      <c r="A579" s="53"/>
      <c r="B579" s="56"/>
      <c r="C579" s="90" t="s">
        <v>370</v>
      </c>
      <c r="D579" s="230" t="s">
        <v>1757</v>
      </c>
      <c r="E579" s="68" t="s">
        <v>371</v>
      </c>
      <c r="F579" s="91" t="s">
        <v>600</v>
      </c>
      <c r="G579" s="91" t="s">
        <v>600</v>
      </c>
      <c r="H579" s="91" t="s">
        <v>600</v>
      </c>
      <c r="I579" s="91" t="s">
        <v>600</v>
      </c>
      <c r="J579" s="70">
        <v>0.9</v>
      </c>
      <c r="K579" s="71">
        <v>0.95833333333333304</v>
      </c>
      <c r="L579" s="71">
        <v>0.96666666666666701</v>
      </c>
      <c r="M579" s="72">
        <v>0.82142857142857095</v>
      </c>
      <c r="N579" s="71">
        <v>0.89768976897689801</v>
      </c>
      <c r="O579" s="73">
        <v>0.9</v>
      </c>
      <c r="P579" s="71">
        <v>0.984138972809668</v>
      </c>
      <c r="Q579" s="71">
        <v>0.98320813079982305</v>
      </c>
      <c r="R579" s="71">
        <v>0.980724024447579</v>
      </c>
      <c r="S579" s="71">
        <v>0.97815555359816797</v>
      </c>
      <c r="T579" s="73">
        <v>0.9</v>
      </c>
      <c r="U579" s="71">
        <v>0.94788519637462199</v>
      </c>
      <c r="V579" s="71">
        <v>0.90013256738842196</v>
      </c>
      <c r="W579" s="71">
        <v>0.86553831687823202</v>
      </c>
      <c r="X579" s="71">
        <v>0.88403946093543595</v>
      </c>
      <c r="Y579" s="73">
        <v>0.92</v>
      </c>
      <c r="Z579" s="73">
        <v>0.89133247089262602</v>
      </c>
      <c r="AA579" s="73">
        <v>0.89421157684630703</v>
      </c>
      <c r="AB579" s="73">
        <v>0.88985507246376805</v>
      </c>
      <c r="AC579" s="73">
        <v>0.91341780376868098</v>
      </c>
      <c r="AD579" s="73">
        <v>0.92</v>
      </c>
      <c r="AE579" s="71">
        <v>0.99918880551612199</v>
      </c>
      <c r="AF579" s="71">
        <v>0.99655787863334999</v>
      </c>
      <c r="AG579" s="71">
        <v>0.98255813953488402</v>
      </c>
      <c r="AH579" s="71">
        <v>0.98615923767522395</v>
      </c>
      <c r="AI579" s="73">
        <v>0.92</v>
      </c>
      <c r="AJ579" s="71">
        <v>0.94280266920876998</v>
      </c>
      <c r="AK579" s="71">
        <v>0.96164978292329995</v>
      </c>
      <c r="AL579" s="71">
        <v>0.94355697550585704</v>
      </c>
      <c r="AM579" s="71">
        <v>0.96286288366936901</v>
      </c>
      <c r="AN579" s="70">
        <v>0.99</v>
      </c>
      <c r="AO579" s="75">
        <v>1</v>
      </c>
      <c r="AP579" s="75">
        <v>1</v>
      </c>
      <c r="AQ579" s="75">
        <v>1</v>
      </c>
      <c r="AR579" s="75">
        <v>1</v>
      </c>
      <c r="AS579" s="95">
        <v>0.05</v>
      </c>
      <c r="AT579" s="79">
        <v>0</v>
      </c>
      <c r="AU579" s="79">
        <v>0.18181818181818199</v>
      </c>
      <c r="AV579" s="79">
        <v>0.15384615384615399</v>
      </c>
      <c r="AW579" s="79">
        <v>8.3333333333333301E-2</v>
      </c>
      <c r="AX579" s="56"/>
      <c r="AY579" s="54"/>
    </row>
    <row r="580" spans="1:51">
      <c r="A580" s="53"/>
      <c r="B580" s="56"/>
      <c r="C580" s="90" t="s">
        <v>370</v>
      </c>
      <c r="D580" s="230" t="s">
        <v>1757</v>
      </c>
      <c r="E580" s="68" t="s">
        <v>371</v>
      </c>
      <c r="F580" s="91" t="s">
        <v>601</v>
      </c>
      <c r="G580" s="91" t="s">
        <v>601</v>
      </c>
      <c r="H580" s="91" t="s">
        <v>601</v>
      </c>
      <c r="I580" s="91" t="s">
        <v>601</v>
      </c>
      <c r="J580" s="70">
        <v>0.9</v>
      </c>
      <c r="K580" s="71">
        <v>0.97777777777777797</v>
      </c>
      <c r="L580" s="71">
        <v>0.97826086956521696</v>
      </c>
      <c r="M580" s="72">
        <v>0.97826086956521696</v>
      </c>
      <c r="N580" s="71">
        <v>0.98731501057082405</v>
      </c>
      <c r="O580" s="73">
        <v>0.9</v>
      </c>
      <c r="P580" s="71">
        <v>0.75</v>
      </c>
      <c r="Q580" s="71" t="s">
        <v>1710</v>
      </c>
      <c r="R580" s="71">
        <v>0</v>
      </c>
      <c r="S580" s="71">
        <v>0.6</v>
      </c>
      <c r="T580" s="73">
        <v>0.9</v>
      </c>
      <c r="U580" s="71">
        <v>0</v>
      </c>
      <c r="V580" s="71" t="s">
        <v>1710</v>
      </c>
      <c r="W580" s="71">
        <v>1</v>
      </c>
      <c r="X580" s="71">
        <v>0.2</v>
      </c>
      <c r="Y580" s="73">
        <v>0.92</v>
      </c>
      <c r="Z580" s="73">
        <v>1</v>
      </c>
      <c r="AA580" s="73" t="s">
        <v>1710</v>
      </c>
      <c r="AB580" s="73">
        <v>0</v>
      </c>
      <c r="AC580" s="73">
        <v>0.5</v>
      </c>
      <c r="AD580" s="73">
        <v>0.92</v>
      </c>
      <c r="AE580" s="71">
        <v>0.99726775956284197</v>
      </c>
      <c r="AF580" s="71">
        <v>0.99270072992700698</v>
      </c>
      <c r="AG580" s="71">
        <v>0.99247311827956997</v>
      </c>
      <c r="AH580" s="71">
        <v>0.98712406879426096</v>
      </c>
      <c r="AI580" s="73">
        <v>0.92</v>
      </c>
      <c r="AJ580" s="71">
        <v>0.94015126603091104</v>
      </c>
      <c r="AK580" s="71">
        <v>0.95510583856710896</v>
      </c>
      <c r="AL580" s="71">
        <v>0.96258583945062703</v>
      </c>
      <c r="AM580" s="71">
        <v>0.94112199300780297</v>
      </c>
      <c r="AN580" s="70">
        <v>0.99</v>
      </c>
      <c r="AO580" s="75">
        <v>1</v>
      </c>
      <c r="AP580" s="75">
        <v>1</v>
      </c>
      <c r="AQ580" s="75">
        <v>1</v>
      </c>
      <c r="AR580" s="75">
        <v>1</v>
      </c>
      <c r="AS580" s="95">
        <v>0.05</v>
      </c>
      <c r="AT580" s="79">
        <v>0</v>
      </c>
      <c r="AU580" s="79">
        <v>9.0909090909090898E-2</v>
      </c>
      <c r="AV580" s="79">
        <v>5.2631578947368397E-2</v>
      </c>
      <c r="AW580" s="79">
        <v>6.50406504065041E-2</v>
      </c>
      <c r="AX580" s="56"/>
      <c r="AY580" s="54"/>
    </row>
    <row r="581" spans="1:51">
      <c r="A581" s="53"/>
      <c r="B581" s="56"/>
      <c r="C581" s="90" t="s">
        <v>370</v>
      </c>
      <c r="D581" s="230" t="s">
        <v>1757</v>
      </c>
      <c r="E581" s="68" t="s">
        <v>371</v>
      </c>
      <c r="F581" s="91" t="s">
        <v>602</v>
      </c>
      <c r="G581" s="91" t="s">
        <v>602</v>
      </c>
      <c r="H581" s="91" t="s">
        <v>602</v>
      </c>
      <c r="I581" s="91" t="s">
        <v>602</v>
      </c>
      <c r="J581" s="70">
        <v>0.9</v>
      </c>
      <c r="K581" s="71">
        <v>0.97058823529411797</v>
      </c>
      <c r="L581" s="71">
        <v>0.95454545454545503</v>
      </c>
      <c r="M581" s="72">
        <v>0.95384615384615401</v>
      </c>
      <c r="N581" s="71">
        <v>0.97771587743732602</v>
      </c>
      <c r="O581" s="73">
        <v>0.9</v>
      </c>
      <c r="P581" s="71">
        <v>0.99480916030534305</v>
      </c>
      <c r="Q581" s="71">
        <v>0.98290740126120102</v>
      </c>
      <c r="R581" s="71">
        <v>0.98725687458081801</v>
      </c>
      <c r="S581" s="71">
        <v>0.98948878015859598</v>
      </c>
      <c r="T581" s="73">
        <v>0.9</v>
      </c>
      <c r="U581" s="71">
        <v>0.93801526717557204</v>
      </c>
      <c r="V581" s="71">
        <v>0.88533023564553603</v>
      </c>
      <c r="W581" s="71">
        <v>0.87944332662642499</v>
      </c>
      <c r="X581" s="71">
        <v>0.88753163489117604</v>
      </c>
      <c r="Y581" s="73">
        <v>0.92</v>
      </c>
      <c r="Z581" s="73">
        <v>0.92032593933906703</v>
      </c>
      <c r="AA581" s="73">
        <v>0.937151949085123</v>
      </c>
      <c r="AB581" s="73">
        <v>0.87629533678756499</v>
      </c>
      <c r="AC581" s="73">
        <v>0.89118092354277101</v>
      </c>
      <c r="AD581" s="73">
        <v>0.92</v>
      </c>
      <c r="AE581" s="71">
        <v>0.99105962349682097</v>
      </c>
      <c r="AF581" s="71">
        <v>0.99237866024869603</v>
      </c>
      <c r="AG581" s="71">
        <v>0.98599857392882595</v>
      </c>
      <c r="AH581" s="71">
        <v>0.986109637801586</v>
      </c>
      <c r="AI581" s="73">
        <v>0.92</v>
      </c>
      <c r="AJ581" s="71">
        <v>0.95626822157434399</v>
      </c>
      <c r="AK581" s="71">
        <v>0.96746739876458498</v>
      </c>
      <c r="AL581" s="71">
        <v>0.959115727793315</v>
      </c>
      <c r="AM581" s="71">
        <v>0.96088218069530995</v>
      </c>
      <c r="AN581" s="70">
        <v>0.99</v>
      </c>
      <c r="AO581" s="75">
        <v>1</v>
      </c>
      <c r="AP581" s="75">
        <v>1</v>
      </c>
      <c r="AQ581" s="75">
        <v>1</v>
      </c>
      <c r="AR581" s="75">
        <v>1</v>
      </c>
      <c r="AS581" s="95">
        <v>0.05</v>
      </c>
      <c r="AT581" s="79">
        <v>4.3478260869565202E-2</v>
      </c>
      <c r="AU581" s="79">
        <v>0</v>
      </c>
      <c r="AV581" s="79">
        <v>0.14705882352941199</v>
      </c>
      <c r="AW581" s="79">
        <v>3.97553516819572E-2</v>
      </c>
      <c r="AX581" s="56"/>
      <c r="AY581" s="54"/>
    </row>
    <row r="582" spans="1:51">
      <c r="A582" s="53"/>
      <c r="B582" s="56"/>
      <c r="C582" s="90" t="s">
        <v>370</v>
      </c>
      <c r="D582" s="230" t="s">
        <v>1757</v>
      </c>
      <c r="E582" s="68" t="s">
        <v>371</v>
      </c>
      <c r="F582" s="91" t="s">
        <v>603</v>
      </c>
      <c r="G582" s="91" t="s">
        <v>603</v>
      </c>
      <c r="H582" s="91" t="s">
        <v>603</v>
      </c>
      <c r="I582" s="91" t="s">
        <v>603</v>
      </c>
      <c r="J582" s="70">
        <v>0.9</v>
      </c>
      <c r="K582" s="71">
        <v>1</v>
      </c>
      <c r="L582" s="71">
        <v>1</v>
      </c>
      <c r="M582" s="72">
        <v>0.96551724137931005</v>
      </c>
      <c r="N582" s="71">
        <v>0.99369085173501603</v>
      </c>
      <c r="O582" s="73">
        <v>0.9</v>
      </c>
      <c r="P582" s="71">
        <v>0</v>
      </c>
      <c r="Q582" s="71" t="s">
        <v>1710</v>
      </c>
      <c r="R582" s="71" t="s">
        <v>1710</v>
      </c>
      <c r="S582" s="71">
        <v>0.33333333333333298</v>
      </c>
      <c r="T582" s="73">
        <v>0.9</v>
      </c>
      <c r="U582" s="71">
        <v>0</v>
      </c>
      <c r="V582" s="71" t="s">
        <v>1710</v>
      </c>
      <c r="W582" s="71" t="s">
        <v>1710</v>
      </c>
      <c r="X582" s="71">
        <v>0.33333333333333298</v>
      </c>
      <c r="Y582" s="73">
        <v>0.92</v>
      </c>
      <c r="Z582" s="73">
        <v>0</v>
      </c>
      <c r="AA582" s="73" t="s">
        <v>1710</v>
      </c>
      <c r="AB582" s="73" t="s">
        <v>1710</v>
      </c>
      <c r="AC582" s="73">
        <v>0</v>
      </c>
      <c r="AD582" s="73">
        <v>0.92</v>
      </c>
      <c r="AE582" s="71">
        <v>1</v>
      </c>
      <c r="AF582" s="71">
        <v>0.99875311720698301</v>
      </c>
      <c r="AG582" s="71">
        <v>0.99653979238754298</v>
      </c>
      <c r="AH582" s="71">
        <v>0.996654586005018</v>
      </c>
      <c r="AI582" s="73">
        <v>0.92</v>
      </c>
      <c r="AJ582" s="71">
        <v>0.947779111644658</v>
      </c>
      <c r="AK582" s="71">
        <v>0.95586158192090398</v>
      </c>
      <c r="AL582" s="71">
        <v>0.97376705141657904</v>
      </c>
      <c r="AM582" s="71">
        <v>0.96883215718832205</v>
      </c>
      <c r="AN582" s="70">
        <v>0.99</v>
      </c>
      <c r="AO582" s="75">
        <v>1</v>
      </c>
      <c r="AP582" s="75">
        <v>1</v>
      </c>
      <c r="AQ582" s="75">
        <v>1</v>
      </c>
      <c r="AR582" s="75">
        <v>1</v>
      </c>
      <c r="AS582" s="95">
        <v>0.05</v>
      </c>
      <c r="AT582" s="79">
        <v>0</v>
      </c>
      <c r="AU582" s="79">
        <v>0</v>
      </c>
      <c r="AV582" s="79">
        <v>0</v>
      </c>
      <c r="AW582" s="79">
        <v>6.4102564102564097E-2</v>
      </c>
      <c r="AX582" s="56"/>
      <c r="AY582" s="54"/>
    </row>
    <row r="583" spans="1:51">
      <c r="A583" s="53"/>
      <c r="B583" s="56"/>
      <c r="C583" s="90" t="s">
        <v>370</v>
      </c>
      <c r="D583" s="230" t="s">
        <v>1757</v>
      </c>
      <c r="E583" s="68" t="s">
        <v>371</v>
      </c>
      <c r="F583" s="91" t="s">
        <v>604</v>
      </c>
      <c r="G583" s="91" t="s">
        <v>604</v>
      </c>
      <c r="H583" s="91" t="s">
        <v>604</v>
      </c>
      <c r="I583" s="91" t="s">
        <v>604</v>
      </c>
      <c r="J583" s="70">
        <v>0.9</v>
      </c>
      <c r="K583" s="71">
        <v>1</v>
      </c>
      <c r="L583" s="71">
        <v>0.97619047619047605</v>
      </c>
      <c r="M583" s="72">
        <v>0.97499999999999998</v>
      </c>
      <c r="N583" s="71">
        <v>0.96666666666666701</v>
      </c>
      <c r="O583" s="73">
        <v>0.9</v>
      </c>
      <c r="P583" s="71">
        <v>0.980383609415867</v>
      </c>
      <c r="Q583" s="71">
        <v>0.98093959731543601</v>
      </c>
      <c r="R583" s="71">
        <v>0.97162709901563404</v>
      </c>
      <c r="S583" s="71">
        <v>0.97071163684595196</v>
      </c>
      <c r="T583" s="73">
        <v>0.9</v>
      </c>
      <c r="U583" s="71">
        <v>0.95248474280732298</v>
      </c>
      <c r="V583" s="71">
        <v>0.95704697986577203</v>
      </c>
      <c r="W583" s="71">
        <v>0.92848870874348599</v>
      </c>
      <c r="X583" s="71">
        <v>0.93284248707468298</v>
      </c>
      <c r="Y583" s="73">
        <v>0.92</v>
      </c>
      <c r="Z583" s="73">
        <v>0.95899280575539603</v>
      </c>
      <c r="AA583" s="73">
        <v>0.95047418335089595</v>
      </c>
      <c r="AB583" s="73">
        <v>0.95246636771300497</v>
      </c>
      <c r="AC583" s="73">
        <v>0.94549058473736403</v>
      </c>
      <c r="AD583" s="73">
        <v>0.92</v>
      </c>
      <c r="AE583" s="71">
        <v>0.99575344228541995</v>
      </c>
      <c r="AF583" s="71">
        <v>0.95954144178067902</v>
      </c>
      <c r="AG583" s="71">
        <v>0.99536455818445202</v>
      </c>
      <c r="AH583" s="71">
        <v>0.988643309847827</v>
      </c>
      <c r="AI583" s="73">
        <v>0.92</v>
      </c>
      <c r="AJ583" s="71">
        <v>0.97557666214382599</v>
      </c>
      <c r="AK583" s="71">
        <v>0.98118854211201401</v>
      </c>
      <c r="AL583" s="71">
        <v>0.97439264609323695</v>
      </c>
      <c r="AM583" s="71">
        <v>0.969990843253142</v>
      </c>
      <c r="AN583" s="70">
        <v>0.99</v>
      </c>
      <c r="AO583" s="75">
        <v>1</v>
      </c>
      <c r="AP583" s="75">
        <v>1</v>
      </c>
      <c r="AQ583" s="75">
        <v>1</v>
      </c>
      <c r="AR583" s="75">
        <v>1</v>
      </c>
      <c r="AS583" s="95">
        <v>0.05</v>
      </c>
      <c r="AT583" s="79">
        <v>6.6666666666666693E-2</v>
      </c>
      <c r="AU583" s="79">
        <v>0.157894736842105</v>
      </c>
      <c r="AV583" s="79">
        <v>4.7619047619047603E-2</v>
      </c>
      <c r="AW583" s="79">
        <v>5.0387596899224799E-2</v>
      </c>
      <c r="AX583" s="56"/>
      <c r="AY583" s="54"/>
    </row>
    <row r="584" spans="1:51">
      <c r="A584" s="53"/>
      <c r="B584" s="56"/>
      <c r="C584" s="90" t="s">
        <v>370</v>
      </c>
      <c r="D584" s="230" t="s">
        <v>1757</v>
      </c>
      <c r="E584" s="68" t="s">
        <v>371</v>
      </c>
      <c r="F584" s="91" t="s">
        <v>605</v>
      </c>
      <c r="G584" s="91" t="s">
        <v>605</v>
      </c>
      <c r="H584" s="91" t="s">
        <v>605</v>
      </c>
      <c r="I584" s="91" t="s">
        <v>605</v>
      </c>
      <c r="J584" s="70">
        <v>0.9</v>
      </c>
      <c r="K584" s="71">
        <v>0.98</v>
      </c>
      <c r="L584" s="71">
        <v>1</v>
      </c>
      <c r="M584" s="72">
        <v>1</v>
      </c>
      <c r="N584" s="71">
        <v>0.99159663865546199</v>
      </c>
      <c r="O584" s="73">
        <v>0.9</v>
      </c>
      <c r="P584" s="71">
        <v>0.99462365591397806</v>
      </c>
      <c r="Q584" s="71">
        <v>0.99668620953352005</v>
      </c>
      <c r="R584" s="71">
        <v>0.99439102564102599</v>
      </c>
      <c r="S584" s="71">
        <v>0.99199648878217495</v>
      </c>
      <c r="T584" s="73">
        <v>0.9</v>
      </c>
      <c r="U584" s="71">
        <v>0.96818996415770597</v>
      </c>
      <c r="V584" s="71">
        <v>0.95946979352536299</v>
      </c>
      <c r="W584" s="71">
        <v>0.96340811965812001</v>
      </c>
      <c r="X584" s="71">
        <v>0.95951772390468104</v>
      </c>
      <c r="Y584" s="73">
        <v>0.92</v>
      </c>
      <c r="Z584" s="73">
        <v>0.974683544303797</v>
      </c>
      <c r="AA584" s="73">
        <v>0.98714953271028005</v>
      </c>
      <c r="AB584" s="73">
        <v>0.97550306211723503</v>
      </c>
      <c r="AC584" s="73">
        <v>0.97988805616165497</v>
      </c>
      <c r="AD584" s="73">
        <v>0.92</v>
      </c>
      <c r="AE584" s="71">
        <v>0.99915611814345995</v>
      </c>
      <c r="AF584" s="71">
        <v>0.99972897280693795</v>
      </c>
      <c r="AG584" s="71">
        <v>0.99126568207082699</v>
      </c>
      <c r="AH584" s="71">
        <v>0.98927572867593505</v>
      </c>
      <c r="AI584" s="73">
        <v>0.92</v>
      </c>
      <c r="AJ584" s="71">
        <v>0.98238255033556998</v>
      </c>
      <c r="AK584" s="71">
        <v>0.988075313807531</v>
      </c>
      <c r="AL584" s="71">
        <v>0.98548354119811898</v>
      </c>
      <c r="AM584" s="71">
        <v>0.98815199529325803</v>
      </c>
      <c r="AN584" s="70">
        <v>0.99</v>
      </c>
      <c r="AO584" s="75">
        <v>1</v>
      </c>
      <c r="AP584" s="75">
        <v>1</v>
      </c>
      <c r="AQ584" s="75">
        <v>1</v>
      </c>
      <c r="AR584" s="75">
        <v>1</v>
      </c>
      <c r="AS584" s="95">
        <v>0.05</v>
      </c>
      <c r="AT584" s="79">
        <v>0.157894736842105</v>
      </c>
      <c r="AU584" s="79">
        <v>0.10344827586206901</v>
      </c>
      <c r="AV584" s="79">
        <v>0</v>
      </c>
      <c r="AW584" s="79">
        <v>4.13793103448276E-2</v>
      </c>
      <c r="AX584" s="56"/>
      <c r="AY584" s="54"/>
    </row>
    <row r="585" spans="1:51">
      <c r="A585" s="53"/>
      <c r="B585" s="56"/>
      <c r="C585" s="90" t="s">
        <v>370</v>
      </c>
      <c r="D585" s="230" t="s">
        <v>1757</v>
      </c>
      <c r="E585" s="68" t="s">
        <v>371</v>
      </c>
      <c r="F585" s="91" t="s">
        <v>606</v>
      </c>
      <c r="G585" s="91" t="s">
        <v>606</v>
      </c>
      <c r="H585" s="91" t="s">
        <v>606</v>
      </c>
      <c r="I585" s="91" t="s">
        <v>606</v>
      </c>
      <c r="J585" s="70">
        <v>0.9</v>
      </c>
      <c r="K585" s="71">
        <v>0.91044776119403004</v>
      </c>
      <c r="L585" s="71">
        <v>0.93243243243243201</v>
      </c>
      <c r="M585" s="72">
        <v>0.97222222222222199</v>
      </c>
      <c r="N585" s="71">
        <v>0.95618556701030899</v>
      </c>
      <c r="O585" s="73">
        <v>0.9</v>
      </c>
      <c r="P585" s="71">
        <v>0.4</v>
      </c>
      <c r="Q585" s="71">
        <v>0.4</v>
      </c>
      <c r="R585" s="71">
        <v>1</v>
      </c>
      <c r="S585" s="71">
        <v>0.38461538461538503</v>
      </c>
      <c r="T585" s="73">
        <v>0.9</v>
      </c>
      <c r="U585" s="71">
        <v>0</v>
      </c>
      <c r="V585" s="71">
        <v>0</v>
      </c>
      <c r="W585" s="71">
        <v>1</v>
      </c>
      <c r="X585" s="71">
        <v>7.69230769230769E-2</v>
      </c>
      <c r="Y585" s="73">
        <v>0.92</v>
      </c>
      <c r="Z585" s="73">
        <v>1</v>
      </c>
      <c r="AA585" s="73" t="s">
        <v>1710</v>
      </c>
      <c r="AB585" s="73">
        <v>0</v>
      </c>
      <c r="AC585" s="73">
        <v>0.5</v>
      </c>
      <c r="AD585" s="73">
        <v>0.92</v>
      </c>
      <c r="AE585" s="71">
        <v>0.99752475247524797</v>
      </c>
      <c r="AF585" s="71">
        <v>0.99258037922506204</v>
      </c>
      <c r="AG585" s="71">
        <v>0.98403483309143702</v>
      </c>
      <c r="AH585" s="71">
        <v>0.98556876061120502</v>
      </c>
      <c r="AI585" s="73">
        <v>0.92</v>
      </c>
      <c r="AJ585" s="71">
        <v>0.91390728476821204</v>
      </c>
      <c r="AK585" s="71">
        <v>0.941617647058824</v>
      </c>
      <c r="AL585" s="71">
        <v>0.93611396680863601</v>
      </c>
      <c r="AM585" s="71">
        <v>0.934556021765238</v>
      </c>
      <c r="AN585" s="70">
        <v>0.99</v>
      </c>
      <c r="AO585" s="75">
        <v>1</v>
      </c>
      <c r="AP585" s="75">
        <v>1</v>
      </c>
      <c r="AQ585" s="75">
        <v>1</v>
      </c>
      <c r="AR585" s="75">
        <v>1</v>
      </c>
      <c r="AS585" s="95">
        <v>0.05</v>
      </c>
      <c r="AT585" s="79">
        <v>0</v>
      </c>
      <c r="AU585" s="79">
        <v>0</v>
      </c>
      <c r="AV585" s="79">
        <v>0</v>
      </c>
      <c r="AW585" s="79">
        <v>1.9607843137254902E-2</v>
      </c>
      <c r="AX585" s="56"/>
      <c r="AY585" s="54"/>
    </row>
    <row r="586" spans="1:51">
      <c r="A586" s="53"/>
      <c r="B586" s="56"/>
      <c r="C586" s="90" t="s">
        <v>370</v>
      </c>
      <c r="D586" s="230" t="s">
        <v>1757</v>
      </c>
      <c r="E586" s="68" t="s">
        <v>371</v>
      </c>
      <c r="F586" s="91" t="s">
        <v>607</v>
      </c>
      <c r="G586" s="91" t="s">
        <v>607</v>
      </c>
      <c r="H586" s="91" t="s">
        <v>607</v>
      </c>
      <c r="I586" s="91" t="s">
        <v>607</v>
      </c>
      <c r="J586" s="70">
        <v>0.9</v>
      </c>
      <c r="K586" s="71">
        <v>1</v>
      </c>
      <c r="L586" s="71">
        <v>1</v>
      </c>
      <c r="M586" s="72">
        <v>0.92307692307692302</v>
      </c>
      <c r="N586" s="71">
        <v>0.98951048951048903</v>
      </c>
      <c r="O586" s="73">
        <v>0.9</v>
      </c>
      <c r="P586" s="71">
        <v>0.99668874172185395</v>
      </c>
      <c r="Q586" s="71">
        <v>0.99834162520729697</v>
      </c>
      <c r="R586" s="71">
        <v>0.99693922168780102</v>
      </c>
      <c r="S586" s="71">
        <v>0.995747834906764</v>
      </c>
      <c r="T586" s="73">
        <v>0.9</v>
      </c>
      <c r="U586" s="71">
        <v>0.97086092715231798</v>
      </c>
      <c r="V586" s="71">
        <v>0.96641791044776104</v>
      </c>
      <c r="W586" s="71">
        <v>0.95933537385220802</v>
      </c>
      <c r="X586" s="71">
        <v>0.97241944292736204</v>
      </c>
      <c r="Y586" s="73">
        <v>0.92</v>
      </c>
      <c r="Z586" s="73">
        <v>0.97619047619047605</v>
      </c>
      <c r="AA586" s="73">
        <v>0.97203947368421095</v>
      </c>
      <c r="AB586" s="73">
        <v>0.97424892703862698</v>
      </c>
      <c r="AC586" s="73">
        <v>0.98316708229426397</v>
      </c>
      <c r="AD586" s="73">
        <v>0.92</v>
      </c>
      <c r="AE586" s="71">
        <v>0.99429657794676796</v>
      </c>
      <c r="AF586" s="71">
        <v>0.98088799323928999</v>
      </c>
      <c r="AG586" s="71">
        <v>0.99649443682365502</v>
      </c>
      <c r="AH586" s="71">
        <v>0.99424755303407997</v>
      </c>
      <c r="AI586" s="73">
        <v>0.92</v>
      </c>
      <c r="AJ586" s="71">
        <v>0.98499558693733402</v>
      </c>
      <c r="AK586" s="71">
        <v>0.98178807947019897</v>
      </c>
      <c r="AL586" s="71">
        <v>0.98258539852645699</v>
      </c>
      <c r="AM586" s="71">
        <v>0.98961030857071497</v>
      </c>
      <c r="AN586" s="70">
        <v>0.99</v>
      </c>
      <c r="AO586" s="75">
        <v>1</v>
      </c>
      <c r="AP586" s="75">
        <v>1</v>
      </c>
      <c r="AQ586" s="75">
        <v>1</v>
      </c>
      <c r="AR586" s="75">
        <v>1</v>
      </c>
      <c r="AS586" s="95">
        <v>0.05</v>
      </c>
      <c r="AT586" s="79">
        <v>0.6</v>
      </c>
      <c r="AU586" s="79">
        <v>0.16666666666666699</v>
      </c>
      <c r="AV586" s="79">
        <v>0</v>
      </c>
      <c r="AW586" s="79">
        <v>0.11046511627907001</v>
      </c>
      <c r="AX586" s="56"/>
      <c r="AY586" s="54"/>
    </row>
    <row r="587" spans="1:51">
      <c r="A587" s="53"/>
      <c r="B587" s="56"/>
      <c r="C587" s="90" t="s">
        <v>370</v>
      </c>
      <c r="D587" s="230" t="s">
        <v>1757</v>
      </c>
      <c r="E587" s="68" t="s">
        <v>371</v>
      </c>
      <c r="F587" s="91" t="s">
        <v>608</v>
      </c>
      <c r="G587" s="91" t="s">
        <v>608</v>
      </c>
      <c r="H587" s="91" t="s">
        <v>608</v>
      </c>
      <c r="I587" s="91" t="s">
        <v>608</v>
      </c>
      <c r="J587" s="70">
        <v>0.9</v>
      </c>
      <c r="K587" s="71">
        <v>0.96551724137931005</v>
      </c>
      <c r="L587" s="71">
        <v>1</v>
      </c>
      <c r="M587" s="72">
        <v>0.96969696969696995</v>
      </c>
      <c r="N587" s="71">
        <v>0.94350282485875703</v>
      </c>
      <c r="O587" s="73">
        <v>0.9</v>
      </c>
      <c r="P587" s="71">
        <v>1</v>
      </c>
      <c r="Q587" s="71">
        <v>1</v>
      </c>
      <c r="R587" s="71" t="s">
        <v>1710</v>
      </c>
      <c r="S587" s="71">
        <v>0.83333333333333304</v>
      </c>
      <c r="T587" s="73">
        <v>0.9</v>
      </c>
      <c r="U587" s="71">
        <v>0</v>
      </c>
      <c r="V587" s="71">
        <v>0</v>
      </c>
      <c r="W587" s="71" t="s">
        <v>1710</v>
      </c>
      <c r="X587" s="71">
        <v>0.33333333333333298</v>
      </c>
      <c r="Y587" s="73">
        <v>0.92</v>
      </c>
      <c r="Z587" s="73">
        <v>1</v>
      </c>
      <c r="AA587" s="73" t="s">
        <v>1710</v>
      </c>
      <c r="AB587" s="73" t="s">
        <v>1710</v>
      </c>
      <c r="AC587" s="73">
        <v>0.5</v>
      </c>
      <c r="AD587" s="73">
        <v>0.92</v>
      </c>
      <c r="AE587" s="71">
        <v>0.95454545454545503</v>
      </c>
      <c r="AF587" s="71">
        <v>0.96875</v>
      </c>
      <c r="AG587" s="71">
        <v>1</v>
      </c>
      <c r="AH587" s="71">
        <v>0.96889580093312599</v>
      </c>
      <c r="AI587" s="73">
        <v>0.92</v>
      </c>
      <c r="AJ587" s="71">
        <v>0.8876953125</v>
      </c>
      <c r="AK587" s="71">
        <v>0.91847062131009305</v>
      </c>
      <c r="AL587" s="71">
        <v>0.97082441113490403</v>
      </c>
      <c r="AM587" s="71">
        <v>0.93234551819588096</v>
      </c>
      <c r="AN587" s="70">
        <v>0.99</v>
      </c>
      <c r="AO587" s="75">
        <v>1</v>
      </c>
      <c r="AP587" s="75">
        <v>1</v>
      </c>
      <c r="AQ587" s="75">
        <v>1</v>
      </c>
      <c r="AR587" s="75">
        <v>1</v>
      </c>
      <c r="AS587" s="95">
        <v>0.05</v>
      </c>
      <c r="AT587" s="79">
        <v>0.66666666666666696</v>
      </c>
      <c r="AU587" s="79">
        <v>0.3</v>
      </c>
      <c r="AV587" s="79">
        <v>0</v>
      </c>
      <c r="AW587" s="79">
        <v>0.12</v>
      </c>
      <c r="AX587" s="56"/>
      <c r="AY587" s="54"/>
    </row>
    <row r="588" spans="1:51">
      <c r="A588" s="53"/>
      <c r="B588" s="56"/>
      <c r="C588" s="90" t="s">
        <v>370</v>
      </c>
      <c r="D588" s="230" t="s">
        <v>1757</v>
      </c>
      <c r="E588" s="68" t="s">
        <v>371</v>
      </c>
      <c r="F588" s="91" t="s">
        <v>609</v>
      </c>
      <c r="G588" s="91" t="s">
        <v>609</v>
      </c>
      <c r="H588" s="91" t="s">
        <v>609</v>
      </c>
      <c r="I588" s="91" t="s">
        <v>609</v>
      </c>
      <c r="J588" s="70">
        <v>0.9</v>
      </c>
      <c r="K588" s="71">
        <v>0.86956521739130399</v>
      </c>
      <c r="L588" s="71">
        <v>0.96</v>
      </c>
      <c r="M588" s="72">
        <v>1</v>
      </c>
      <c r="N588" s="71">
        <v>0.961832061068702</v>
      </c>
      <c r="O588" s="73">
        <v>0.9</v>
      </c>
      <c r="P588" s="71">
        <v>0.96206373292867997</v>
      </c>
      <c r="Q588" s="71">
        <v>0.99355946758265301</v>
      </c>
      <c r="R588" s="71">
        <v>0.99326032013479404</v>
      </c>
      <c r="S588" s="71">
        <v>0.98110788168917795</v>
      </c>
      <c r="T588" s="73">
        <v>0.9</v>
      </c>
      <c r="U588" s="71">
        <v>0.89908952959028798</v>
      </c>
      <c r="V588" s="71">
        <v>0.89136968656075599</v>
      </c>
      <c r="W588" s="71">
        <v>0.87784330244313402</v>
      </c>
      <c r="X588" s="71">
        <v>0.88523679261412203</v>
      </c>
      <c r="Y588" s="73">
        <v>0.92</v>
      </c>
      <c r="Z588" s="73">
        <v>0.74444444444444402</v>
      </c>
      <c r="AA588" s="73">
        <v>0.65172413793103401</v>
      </c>
      <c r="AB588" s="73">
        <v>0.6</v>
      </c>
      <c r="AC588" s="73">
        <v>0.70083589969203697</v>
      </c>
      <c r="AD588" s="73">
        <v>0.92</v>
      </c>
      <c r="AE588" s="71">
        <v>1</v>
      </c>
      <c r="AF588" s="71">
        <v>0.99903053805138198</v>
      </c>
      <c r="AG588" s="71">
        <v>0.99745870393900904</v>
      </c>
      <c r="AH588" s="71">
        <v>0.998529501868758</v>
      </c>
      <c r="AI588" s="73">
        <v>0.92</v>
      </c>
      <c r="AJ588" s="71">
        <v>0.89887036040882196</v>
      </c>
      <c r="AK588" s="71">
        <v>0.94539900725467696</v>
      </c>
      <c r="AL588" s="71">
        <v>0.894335511982571</v>
      </c>
      <c r="AM588" s="71">
        <v>0.929394503292299</v>
      </c>
      <c r="AN588" s="70">
        <v>0.99</v>
      </c>
      <c r="AO588" s="75">
        <v>1</v>
      </c>
      <c r="AP588" s="75">
        <v>1</v>
      </c>
      <c r="AQ588" s="75">
        <v>1</v>
      </c>
      <c r="AR588" s="75">
        <v>1</v>
      </c>
      <c r="AS588" s="95">
        <v>0.05</v>
      </c>
      <c r="AT588" s="79">
        <v>0.15384615384615399</v>
      </c>
      <c r="AU588" s="79">
        <v>0</v>
      </c>
      <c r="AV588" s="79">
        <v>0.05</v>
      </c>
      <c r="AW588" s="79">
        <v>5.8823529411764698E-2</v>
      </c>
      <c r="AX588" s="56"/>
      <c r="AY588" s="54"/>
    </row>
    <row r="589" spans="1:51">
      <c r="A589" s="53"/>
      <c r="B589" s="56"/>
      <c r="C589" s="90" t="s">
        <v>370</v>
      </c>
      <c r="D589" s="230" t="s">
        <v>1757</v>
      </c>
      <c r="E589" s="68" t="s">
        <v>371</v>
      </c>
      <c r="F589" s="91" t="s">
        <v>610</v>
      </c>
      <c r="G589" s="91" t="s">
        <v>610</v>
      </c>
      <c r="H589" s="91" t="s">
        <v>610</v>
      </c>
      <c r="I589" s="91" t="s">
        <v>610</v>
      </c>
      <c r="J589" s="70">
        <v>0.9</v>
      </c>
      <c r="K589" s="71">
        <v>0.96551724137931005</v>
      </c>
      <c r="L589" s="71">
        <v>1</v>
      </c>
      <c r="M589" s="72">
        <v>0.96666666666666701</v>
      </c>
      <c r="N589" s="71">
        <v>0.98005698005698005</v>
      </c>
      <c r="O589" s="73">
        <v>0.9</v>
      </c>
      <c r="P589" s="71">
        <v>0.5</v>
      </c>
      <c r="Q589" s="71">
        <v>0</v>
      </c>
      <c r="R589" s="71">
        <v>0</v>
      </c>
      <c r="S589" s="71">
        <v>0.42857142857142899</v>
      </c>
      <c r="T589" s="73">
        <v>0.9</v>
      </c>
      <c r="U589" s="71">
        <v>0.66666666666666696</v>
      </c>
      <c r="V589" s="71">
        <v>0</v>
      </c>
      <c r="W589" s="71">
        <v>1</v>
      </c>
      <c r="X589" s="71">
        <v>0.71428571428571397</v>
      </c>
      <c r="Y589" s="73">
        <v>0.92</v>
      </c>
      <c r="Z589" s="73" t="s">
        <v>1710</v>
      </c>
      <c r="AA589" s="73" t="s">
        <v>1710</v>
      </c>
      <c r="AB589" s="73" t="s">
        <v>1710</v>
      </c>
      <c r="AC589" s="73">
        <v>0</v>
      </c>
      <c r="AD589" s="73">
        <v>0.92</v>
      </c>
      <c r="AE589" s="71">
        <v>0.99193548387096797</v>
      </c>
      <c r="AF589" s="71">
        <v>0.977653631284916</v>
      </c>
      <c r="AG589" s="71">
        <v>0.97872340425531901</v>
      </c>
      <c r="AH589" s="71">
        <v>0.97700394218134001</v>
      </c>
      <c r="AI589" s="73">
        <v>0.92</v>
      </c>
      <c r="AJ589" s="71">
        <v>0.94750771945302203</v>
      </c>
      <c r="AK589" s="71">
        <v>0.92221158449018703</v>
      </c>
      <c r="AL589" s="71">
        <v>0.91830919021610102</v>
      </c>
      <c r="AM589" s="71">
        <v>0.94777525011619101</v>
      </c>
      <c r="AN589" s="70">
        <v>0.99</v>
      </c>
      <c r="AO589" s="75">
        <v>1</v>
      </c>
      <c r="AP589" s="75">
        <v>1</v>
      </c>
      <c r="AQ589" s="75">
        <v>1</v>
      </c>
      <c r="AR589" s="75">
        <v>1</v>
      </c>
      <c r="AS589" s="95">
        <v>0.05</v>
      </c>
      <c r="AT589" s="79">
        <v>0.1</v>
      </c>
      <c r="AU589" s="79">
        <v>0</v>
      </c>
      <c r="AV589" s="79">
        <v>0</v>
      </c>
      <c r="AW589" s="79">
        <v>3.3057851239669402E-2</v>
      </c>
      <c r="AX589" s="56"/>
      <c r="AY589" s="54"/>
    </row>
    <row r="590" spans="1:51">
      <c r="A590" s="53"/>
      <c r="B590" s="56"/>
      <c r="C590" s="90" t="s">
        <v>370</v>
      </c>
      <c r="D590" s="230" t="s">
        <v>1757</v>
      </c>
      <c r="E590" s="68" t="s">
        <v>371</v>
      </c>
      <c r="F590" s="91" t="s">
        <v>611</v>
      </c>
      <c r="G590" s="91" t="s">
        <v>611</v>
      </c>
      <c r="H590" s="91" t="s">
        <v>611</v>
      </c>
      <c r="I590" s="91" t="s">
        <v>611</v>
      </c>
      <c r="J590" s="70">
        <v>0.9</v>
      </c>
      <c r="K590" s="71">
        <v>0.96666666666666701</v>
      </c>
      <c r="L590" s="71">
        <v>0.9375</v>
      </c>
      <c r="M590" s="72">
        <v>0.92857142857142905</v>
      </c>
      <c r="N590" s="71">
        <v>0.94594594594594605</v>
      </c>
      <c r="O590" s="73">
        <v>0.9</v>
      </c>
      <c r="P590" s="71">
        <v>0.97444298820445596</v>
      </c>
      <c r="Q590" s="71">
        <v>0.954795597484277</v>
      </c>
      <c r="R590" s="71">
        <v>0.97252507631923202</v>
      </c>
      <c r="S590" s="71">
        <v>0.97305266606601704</v>
      </c>
      <c r="T590" s="73">
        <v>0.9</v>
      </c>
      <c r="U590" s="71">
        <v>0.93709043250327695</v>
      </c>
      <c r="V590" s="71">
        <v>0.919418238993711</v>
      </c>
      <c r="W590" s="71">
        <v>0.88573920627998304</v>
      </c>
      <c r="X590" s="71">
        <v>0.92177901548038299</v>
      </c>
      <c r="Y590" s="73">
        <v>0.92</v>
      </c>
      <c r="Z590" s="73">
        <v>0.86028602860285996</v>
      </c>
      <c r="AA590" s="73">
        <v>0.94290123456790098</v>
      </c>
      <c r="AB590" s="73">
        <v>0.89016602809706302</v>
      </c>
      <c r="AC590" s="73">
        <v>0.914751083672665</v>
      </c>
      <c r="AD590" s="73">
        <v>0.92</v>
      </c>
      <c r="AE590" s="71">
        <v>0.99076502109223596</v>
      </c>
      <c r="AF590" s="71">
        <v>0.98751739379553105</v>
      </c>
      <c r="AG590" s="71">
        <v>0.99102516654330097</v>
      </c>
      <c r="AH590" s="71">
        <v>0.98138339063903601</v>
      </c>
      <c r="AI590" s="73">
        <v>0.92</v>
      </c>
      <c r="AJ590" s="71">
        <v>0.926989335520919</v>
      </c>
      <c r="AK590" s="71">
        <v>0.95989974937343403</v>
      </c>
      <c r="AL590" s="71">
        <v>0.94509421702404195</v>
      </c>
      <c r="AM590" s="71">
        <v>0.95740099241644006</v>
      </c>
      <c r="AN590" s="70">
        <v>0.99</v>
      </c>
      <c r="AO590" s="75">
        <v>1</v>
      </c>
      <c r="AP590" s="75">
        <v>1</v>
      </c>
      <c r="AQ590" s="75">
        <v>1</v>
      </c>
      <c r="AR590" s="75">
        <v>1</v>
      </c>
      <c r="AS590" s="95">
        <v>0.05</v>
      </c>
      <c r="AT590" s="79">
        <v>0</v>
      </c>
      <c r="AU590" s="79">
        <v>0</v>
      </c>
      <c r="AV590" s="79">
        <v>0.16666666666666699</v>
      </c>
      <c r="AW590" s="79">
        <v>3.4482758620689703E-2</v>
      </c>
      <c r="AX590" s="56"/>
      <c r="AY590" s="54"/>
    </row>
    <row r="591" spans="1:51">
      <c r="A591" s="53"/>
      <c r="B591" s="56"/>
      <c r="C591" s="90" t="s">
        <v>370</v>
      </c>
      <c r="D591" s="230" t="s">
        <v>1757</v>
      </c>
      <c r="E591" s="68" t="s">
        <v>371</v>
      </c>
      <c r="F591" s="91" t="s">
        <v>612</v>
      </c>
      <c r="G591" s="91" t="s">
        <v>612</v>
      </c>
      <c r="H591" s="91" t="s">
        <v>612</v>
      </c>
      <c r="I591" s="91" t="s">
        <v>612</v>
      </c>
      <c r="J591" s="70">
        <v>0.9</v>
      </c>
      <c r="K591" s="71">
        <v>1</v>
      </c>
      <c r="L591" s="71">
        <v>1</v>
      </c>
      <c r="M591" s="72">
        <v>1</v>
      </c>
      <c r="N591" s="71">
        <v>0.99819819819819799</v>
      </c>
      <c r="O591" s="73">
        <v>0.9</v>
      </c>
      <c r="P591" s="71">
        <v>0.97546012269938698</v>
      </c>
      <c r="Q591" s="71">
        <v>0.97270911914799196</v>
      </c>
      <c r="R591" s="71">
        <v>0.97881559942224405</v>
      </c>
      <c r="S591" s="71">
        <v>0.97592861589541402</v>
      </c>
      <c r="T591" s="73">
        <v>0.9</v>
      </c>
      <c r="U591" s="71">
        <v>0.91901840490797504</v>
      </c>
      <c r="V591" s="71">
        <v>0.89438650987352997</v>
      </c>
      <c r="W591" s="71">
        <v>0.91261434761675497</v>
      </c>
      <c r="X591" s="71">
        <v>0.900232874501395</v>
      </c>
      <c r="Y591" s="73">
        <v>0.92</v>
      </c>
      <c r="Z591" s="73">
        <v>0.82620087336244497</v>
      </c>
      <c r="AA591" s="73">
        <v>0.83281733746130004</v>
      </c>
      <c r="AB591" s="73">
        <v>0.88202247191011196</v>
      </c>
      <c r="AC591" s="73">
        <v>0.84092056121934</v>
      </c>
      <c r="AD591" s="73">
        <v>0.92</v>
      </c>
      <c r="AE591" s="71">
        <v>0.99879430913913703</v>
      </c>
      <c r="AF591" s="71">
        <v>0.99087353324641503</v>
      </c>
      <c r="AG591" s="71">
        <v>0.99894994749737498</v>
      </c>
      <c r="AH591" s="71">
        <v>0.99668995954395001</v>
      </c>
      <c r="AI591" s="73">
        <v>0.92</v>
      </c>
      <c r="AJ591" s="71">
        <v>0.91701475912002195</v>
      </c>
      <c r="AK591" s="71">
        <v>0.96099359596351597</v>
      </c>
      <c r="AL591" s="71">
        <v>0.96412289395440998</v>
      </c>
      <c r="AM591" s="71">
        <v>0.95349186389144303</v>
      </c>
      <c r="AN591" s="70">
        <v>0.99</v>
      </c>
      <c r="AO591" s="75">
        <v>1</v>
      </c>
      <c r="AP591" s="75">
        <v>1</v>
      </c>
      <c r="AQ591" s="75">
        <v>1</v>
      </c>
      <c r="AR591" s="75">
        <v>1</v>
      </c>
      <c r="AS591" s="95">
        <v>0.05</v>
      </c>
      <c r="AT591" s="79">
        <v>0</v>
      </c>
      <c r="AU591" s="79">
        <v>0</v>
      </c>
      <c r="AV591" s="79">
        <v>0</v>
      </c>
      <c r="AW591" s="79">
        <v>3.2467532467532499E-2</v>
      </c>
      <c r="AX591" s="56"/>
      <c r="AY591" s="54"/>
    </row>
    <row r="592" spans="1:51">
      <c r="A592" s="53"/>
      <c r="B592" s="56"/>
      <c r="C592" s="90" t="s">
        <v>370</v>
      </c>
      <c r="D592" s="230" t="s">
        <v>1757</v>
      </c>
      <c r="E592" s="68" t="s">
        <v>371</v>
      </c>
      <c r="F592" s="91" t="s">
        <v>613</v>
      </c>
      <c r="G592" s="91" t="s">
        <v>613</v>
      </c>
      <c r="H592" s="91" t="s">
        <v>613</v>
      </c>
      <c r="I592" s="91" t="s">
        <v>613</v>
      </c>
      <c r="J592" s="70">
        <v>0.9</v>
      </c>
      <c r="K592" s="71">
        <v>1</v>
      </c>
      <c r="L592" s="71">
        <v>1</v>
      </c>
      <c r="M592" s="72">
        <v>1</v>
      </c>
      <c r="N592" s="71">
        <v>0.99180327868852503</v>
      </c>
      <c r="O592" s="73">
        <v>0.9</v>
      </c>
      <c r="P592" s="71">
        <v>0.97825370675453005</v>
      </c>
      <c r="Q592" s="71">
        <v>0.990427927927928</v>
      </c>
      <c r="R592" s="71">
        <v>0.98148512901319696</v>
      </c>
      <c r="S592" s="71">
        <v>0.98470459233928698</v>
      </c>
      <c r="T592" s="73">
        <v>0.9</v>
      </c>
      <c r="U592" s="71">
        <v>0.93245469522240498</v>
      </c>
      <c r="V592" s="71">
        <v>0.92942942942942897</v>
      </c>
      <c r="W592" s="71">
        <v>0.89738034272208</v>
      </c>
      <c r="X592" s="71">
        <v>0.93866968981731003</v>
      </c>
      <c r="Y592" s="73">
        <v>0.92</v>
      </c>
      <c r="Z592" s="73">
        <v>0.93804824561403499</v>
      </c>
      <c r="AA592" s="73">
        <v>0.96121883656509699</v>
      </c>
      <c r="AB592" s="73">
        <v>0.90877677954388403</v>
      </c>
      <c r="AC592" s="73">
        <v>0.94435087246513505</v>
      </c>
      <c r="AD592" s="73">
        <v>0.92</v>
      </c>
      <c r="AE592" s="71">
        <v>0.99085159943513201</v>
      </c>
      <c r="AF592" s="71">
        <v>0.98484263371307201</v>
      </c>
      <c r="AG592" s="71">
        <v>0.98036790848662902</v>
      </c>
      <c r="AH592" s="71">
        <v>0.98661429469911799</v>
      </c>
      <c r="AI592" s="73">
        <v>0.92</v>
      </c>
      <c r="AJ592" s="71">
        <v>0.95884773662551404</v>
      </c>
      <c r="AK592" s="71">
        <v>0.97738615096693704</v>
      </c>
      <c r="AL592" s="71">
        <v>0.94297976701410202</v>
      </c>
      <c r="AM592" s="71">
        <v>0.97232620126134295</v>
      </c>
      <c r="AN592" s="70">
        <v>0.99</v>
      </c>
      <c r="AO592" s="75">
        <v>1</v>
      </c>
      <c r="AP592" s="75">
        <v>1</v>
      </c>
      <c r="AQ592" s="75">
        <v>1</v>
      </c>
      <c r="AR592" s="75">
        <v>1</v>
      </c>
      <c r="AS592" s="95">
        <v>0.05</v>
      </c>
      <c r="AT592" s="79">
        <v>4.5454545454545497E-2</v>
      </c>
      <c r="AU592" s="79">
        <v>0.13157894736842099</v>
      </c>
      <c r="AV592" s="79">
        <v>0</v>
      </c>
      <c r="AW592" s="79">
        <v>4.7091412742382301E-2</v>
      </c>
      <c r="AX592" s="56"/>
      <c r="AY592" s="54"/>
    </row>
    <row r="593" spans="1:51">
      <c r="A593" s="53"/>
      <c r="B593" s="56"/>
      <c r="C593" s="90" t="s">
        <v>370</v>
      </c>
      <c r="D593" s="230" t="s">
        <v>1757</v>
      </c>
      <c r="E593" s="68" t="s">
        <v>371</v>
      </c>
      <c r="F593" s="91" t="s">
        <v>614</v>
      </c>
      <c r="G593" s="91" t="s">
        <v>614</v>
      </c>
      <c r="H593" s="91" t="s">
        <v>614</v>
      </c>
      <c r="I593" s="91" t="s">
        <v>614</v>
      </c>
      <c r="J593" s="70">
        <v>0.9</v>
      </c>
      <c r="K593" s="71">
        <v>0.97142857142857097</v>
      </c>
      <c r="L593" s="71">
        <v>0.97560975609756095</v>
      </c>
      <c r="M593" s="72">
        <v>0.97222222222222199</v>
      </c>
      <c r="N593" s="71">
        <v>0.97423887587822</v>
      </c>
      <c r="O593" s="73">
        <v>0.9</v>
      </c>
      <c r="P593" s="71">
        <v>0</v>
      </c>
      <c r="Q593" s="71" t="s">
        <v>1710</v>
      </c>
      <c r="R593" s="71" t="s">
        <v>1710</v>
      </c>
      <c r="S593" s="71">
        <v>0</v>
      </c>
      <c r="T593" s="73">
        <v>0.9</v>
      </c>
      <c r="U593" s="71">
        <v>0</v>
      </c>
      <c r="V593" s="71" t="s">
        <v>1710</v>
      </c>
      <c r="W593" s="71" t="s">
        <v>1710</v>
      </c>
      <c r="X593" s="71">
        <v>0</v>
      </c>
      <c r="Y593" s="73">
        <v>0.92</v>
      </c>
      <c r="Z593" s="73" t="s">
        <v>1710</v>
      </c>
      <c r="AA593" s="73" t="s">
        <v>1710</v>
      </c>
      <c r="AB593" s="73" t="s">
        <v>1710</v>
      </c>
      <c r="AC593" s="73" t="s">
        <v>1710</v>
      </c>
      <c r="AD593" s="73">
        <v>0.92</v>
      </c>
      <c r="AE593" s="71">
        <v>1</v>
      </c>
      <c r="AF593" s="71">
        <v>0.998914812805209</v>
      </c>
      <c r="AG593" s="71">
        <v>0.99788434414668503</v>
      </c>
      <c r="AH593" s="71">
        <v>0.99691323999559001</v>
      </c>
      <c r="AI593" s="73">
        <v>0.92</v>
      </c>
      <c r="AJ593" s="71">
        <v>0.87781785392245304</v>
      </c>
      <c r="AK593" s="71">
        <v>0.957376212353241</v>
      </c>
      <c r="AL593" s="71">
        <v>0.96867202661491503</v>
      </c>
      <c r="AM593" s="71">
        <v>0.95294335235679595</v>
      </c>
      <c r="AN593" s="70">
        <v>0.99</v>
      </c>
      <c r="AO593" s="75">
        <v>1</v>
      </c>
      <c r="AP593" s="75">
        <v>1</v>
      </c>
      <c r="AQ593" s="75">
        <v>1</v>
      </c>
      <c r="AR593" s="75">
        <v>1</v>
      </c>
      <c r="AS593" s="95">
        <v>0.05</v>
      </c>
      <c r="AT593" s="79">
        <v>0</v>
      </c>
      <c r="AU593" s="79">
        <v>0</v>
      </c>
      <c r="AV593" s="79">
        <v>0</v>
      </c>
      <c r="AW593" s="79">
        <v>0.13580246913580199</v>
      </c>
      <c r="AX593" s="56"/>
      <c r="AY593" s="54"/>
    </row>
    <row r="594" spans="1:51">
      <c r="A594" s="53"/>
      <c r="B594" s="56"/>
      <c r="C594" s="90" t="s">
        <v>370</v>
      </c>
      <c r="D594" s="230" t="s">
        <v>1757</v>
      </c>
      <c r="E594" s="68" t="s">
        <v>371</v>
      </c>
      <c r="F594" s="91" t="s">
        <v>615</v>
      </c>
      <c r="G594" s="91" t="s">
        <v>615</v>
      </c>
      <c r="H594" s="91" t="s">
        <v>615</v>
      </c>
      <c r="I594" s="91" t="s">
        <v>615</v>
      </c>
      <c r="J594" s="70">
        <v>0.9</v>
      </c>
      <c r="K594" s="71">
        <v>0.77083333333333304</v>
      </c>
      <c r="L594" s="71">
        <v>0.78048780487804903</v>
      </c>
      <c r="M594" s="72">
        <v>0.77500000000000002</v>
      </c>
      <c r="N594" s="71">
        <v>0.80345572354211703</v>
      </c>
      <c r="O594" s="73">
        <v>0.9</v>
      </c>
      <c r="P594" s="71">
        <v>0.98955861414333202</v>
      </c>
      <c r="Q594" s="71">
        <v>0.98804780876494003</v>
      </c>
      <c r="R594" s="71">
        <v>0.99474322684997996</v>
      </c>
      <c r="S594" s="71">
        <v>0.98932130991931699</v>
      </c>
      <c r="T594" s="73">
        <v>0.9</v>
      </c>
      <c r="U594" s="71">
        <v>0.89558614143331705</v>
      </c>
      <c r="V594" s="71">
        <v>0.86613545816733095</v>
      </c>
      <c r="W594" s="71">
        <v>0.85968459361099903</v>
      </c>
      <c r="X594" s="71">
        <v>0.89317354848916297</v>
      </c>
      <c r="Y594" s="73">
        <v>0.92</v>
      </c>
      <c r="Z594" s="73">
        <v>0.91786699356420498</v>
      </c>
      <c r="AA594" s="73">
        <v>0.92587508579272504</v>
      </c>
      <c r="AB594" s="73">
        <v>0.87595712098009204</v>
      </c>
      <c r="AC594" s="73">
        <v>0.92079055638866503</v>
      </c>
      <c r="AD594" s="73">
        <v>0.92</v>
      </c>
      <c r="AE594" s="71">
        <v>0.99554611204184196</v>
      </c>
      <c r="AF594" s="71">
        <v>0.96370269891014504</v>
      </c>
      <c r="AG594" s="71">
        <v>0.99880188878708898</v>
      </c>
      <c r="AH594" s="71">
        <v>0.97730622005134704</v>
      </c>
      <c r="AI594" s="73">
        <v>0.92</v>
      </c>
      <c r="AJ594" s="71">
        <v>0.93633655994043197</v>
      </c>
      <c r="AK594" s="71">
        <v>0.94329637096774199</v>
      </c>
      <c r="AL594" s="71">
        <v>0.90901945372371795</v>
      </c>
      <c r="AM594" s="71">
        <v>0.94308372790865302</v>
      </c>
      <c r="AN594" s="70">
        <v>0.99</v>
      </c>
      <c r="AO594" s="75">
        <v>1</v>
      </c>
      <c r="AP594" s="75">
        <v>1</v>
      </c>
      <c r="AQ594" s="75">
        <v>1</v>
      </c>
      <c r="AR594" s="75">
        <v>1</v>
      </c>
      <c r="AS594" s="95">
        <v>0.05</v>
      </c>
      <c r="AT594" s="79">
        <v>3.8461538461538498E-2</v>
      </c>
      <c r="AU594" s="79">
        <v>0</v>
      </c>
      <c r="AV594" s="79">
        <v>6.0606060606060601E-2</v>
      </c>
      <c r="AW594" s="79">
        <v>5.0335570469798703E-2</v>
      </c>
      <c r="AX594" s="56"/>
      <c r="AY594" s="54"/>
    </row>
    <row r="595" spans="1:51">
      <c r="A595" s="53"/>
      <c r="B595" s="56"/>
      <c r="C595" s="90" t="s">
        <v>370</v>
      </c>
      <c r="D595" s="230" t="s">
        <v>1757</v>
      </c>
      <c r="E595" s="68" t="s">
        <v>371</v>
      </c>
      <c r="F595" s="91" t="s">
        <v>616</v>
      </c>
      <c r="G595" s="91" t="s">
        <v>616</v>
      </c>
      <c r="H595" s="91" t="s">
        <v>616</v>
      </c>
      <c r="I595" s="91" t="s">
        <v>616</v>
      </c>
      <c r="J595" s="70">
        <v>0.9</v>
      </c>
      <c r="K595" s="71">
        <v>0.96296296296296302</v>
      </c>
      <c r="L595" s="71">
        <v>0.89130434782608703</v>
      </c>
      <c r="M595" s="72">
        <v>0.97872340425531901</v>
      </c>
      <c r="N595" s="71">
        <v>0.95870736086175901</v>
      </c>
      <c r="O595" s="73">
        <v>0.9</v>
      </c>
      <c r="P595" s="71">
        <v>0.98867786705624505</v>
      </c>
      <c r="Q595" s="71">
        <v>0.98052726183343297</v>
      </c>
      <c r="R595" s="71">
        <v>0.98661686896981005</v>
      </c>
      <c r="S595" s="71">
        <v>0.98734434414095396</v>
      </c>
      <c r="T595" s="73">
        <v>0.9</v>
      </c>
      <c r="U595" s="71">
        <v>0.91124908692476303</v>
      </c>
      <c r="V595" s="71">
        <v>0.88675853804673499</v>
      </c>
      <c r="W595" s="71">
        <v>0.89169000933706799</v>
      </c>
      <c r="X595" s="71">
        <v>0.90865286929261802</v>
      </c>
      <c r="Y595" s="73">
        <v>0.92</v>
      </c>
      <c r="Z595" s="73">
        <v>0.95975485188968301</v>
      </c>
      <c r="AA595" s="73">
        <v>0.97038499506416598</v>
      </c>
      <c r="AB595" s="73">
        <v>0.94463927855711405</v>
      </c>
      <c r="AC595" s="73">
        <v>0.96504904980806605</v>
      </c>
      <c r="AD595" s="73">
        <v>0.92</v>
      </c>
      <c r="AE595" s="71">
        <v>0.97320500655189601</v>
      </c>
      <c r="AF595" s="71">
        <v>0.92675159235668803</v>
      </c>
      <c r="AG595" s="71">
        <v>0.99194169995094905</v>
      </c>
      <c r="AH595" s="71">
        <v>0.96897173713888995</v>
      </c>
      <c r="AI595" s="73">
        <v>0.92</v>
      </c>
      <c r="AJ595" s="71">
        <v>0.96687180830168895</v>
      </c>
      <c r="AK595" s="71">
        <v>0.97893363161819502</v>
      </c>
      <c r="AL595" s="71">
        <v>0.96169858451290602</v>
      </c>
      <c r="AM595" s="71">
        <v>0.97518031119168402</v>
      </c>
      <c r="AN595" s="70">
        <v>0.99</v>
      </c>
      <c r="AO595" s="75">
        <v>1</v>
      </c>
      <c r="AP595" s="75">
        <v>1</v>
      </c>
      <c r="AQ595" s="75">
        <v>1</v>
      </c>
      <c r="AR595" s="75">
        <v>1</v>
      </c>
      <c r="AS595" s="95">
        <v>0.05</v>
      </c>
      <c r="AT595" s="79">
        <v>3.8461538461538498E-2</v>
      </c>
      <c r="AU595" s="79">
        <v>0.1</v>
      </c>
      <c r="AV595" s="79">
        <v>3.5714285714285698E-2</v>
      </c>
      <c r="AW595" s="79">
        <v>5.2044609665427503E-2</v>
      </c>
      <c r="AX595" s="56"/>
      <c r="AY595" s="54"/>
    </row>
    <row r="596" spans="1:51">
      <c r="A596" s="53"/>
      <c r="B596" s="56"/>
      <c r="C596" s="90" t="s">
        <v>370</v>
      </c>
      <c r="D596" s="230" t="s">
        <v>1757</v>
      </c>
      <c r="E596" s="68" t="s">
        <v>371</v>
      </c>
      <c r="F596" s="91" t="s">
        <v>617</v>
      </c>
      <c r="G596" s="91" t="s">
        <v>617</v>
      </c>
      <c r="H596" s="91" t="s">
        <v>617</v>
      </c>
      <c r="I596" s="91" t="s">
        <v>617</v>
      </c>
      <c r="J596" s="70">
        <v>0.9</v>
      </c>
      <c r="K596" s="71">
        <v>0.77659574468085102</v>
      </c>
      <c r="L596" s="71">
        <v>0.83950617283950602</v>
      </c>
      <c r="M596" s="72">
        <v>0.77333333333333298</v>
      </c>
      <c r="N596" s="71">
        <v>0.82604166666666701</v>
      </c>
      <c r="O596" s="73">
        <v>0.9</v>
      </c>
      <c r="P596" s="71">
        <v>0.90500863557858402</v>
      </c>
      <c r="Q596" s="71">
        <v>0.85947712418300704</v>
      </c>
      <c r="R596" s="71">
        <v>0.86396828708533302</v>
      </c>
      <c r="S596" s="71">
        <v>0.91105791884200005</v>
      </c>
      <c r="T596" s="73">
        <v>0.9</v>
      </c>
      <c r="U596" s="71">
        <v>0.87169997532691801</v>
      </c>
      <c r="V596" s="71">
        <v>0.809640522875817</v>
      </c>
      <c r="W596" s="71">
        <v>0.79741289380346303</v>
      </c>
      <c r="X596" s="71">
        <v>0.85434532672408903</v>
      </c>
      <c r="Y596" s="73">
        <v>0.92</v>
      </c>
      <c r="Z596" s="73">
        <v>0.86403568049736401</v>
      </c>
      <c r="AA596" s="73">
        <v>0.80998389694041895</v>
      </c>
      <c r="AB596" s="73">
        <v>0.73419264936422202</v>
      </c>
      <c r="AC596" s="73">
        <v>0.84425443373376496</v>
      </c>
      <c r="AD596" s="73">
        <v>0.92</v>
      </c>
      <c r="AE596" s="71">
        <v>0.99833365073319402</v>
      </c>
      <c r="AF596" s="71">
        <v>0.34197642792384397</v>
      </c>
      <c r="AG596" s="71">
        <v>0.99862626879340599</v>
      </c>
      <c r="AH596" s="71">
        <v>0.85689597179210597</v>
      </c>
      <c r="AI596" s="73">
        <v>0.92</v>
      </c>
      <c r="AJ596" s="71">
        <v>0.89059500959692905</v>
      </c>
      <c r="AK596" s="71">
        <v>0.87703074231442102</v>
      </c>
      <c r="AL596" s="71">
        <v>0.80565572214841497</v>
      </c>
      <c r="AM596" s="71">
        <v>0.891880573053903</v>
      </c>
      <c r="AN596" s="70">
        <v>0.99</v>
      </c>
      <c r="AO596" s="75">
        <v>1</v>
      </c>
      <c r="AP596" s="75">
        <v>1</v>
      </c>
      <c r="AQ596" s="75">
        <v>1</v>
      </c>
      <c r="AR596" s="75">
        <v>1</v>
      </c>
      <c r="AS596" s="95">
        <v>0.05</v>
      </c>
      <c r="AT596" s="79">
        <v>3.3980582524271802E-2</v>
      </c>
      <c r="AU596" s="79">
        <v>0.10849056603773601</v>
      </c>
      <c r="AV596" s="79">
        <v>5.31914893617021E-3</v>
      </c>
      <c r="AW596" s="79">
        <v>2.16091954022989E-2</v>
      </c>
      <c r="AX596" s="56"/>
      <c r="AY596" s="54"/>
    </row>
    <row r="597" spans="1:51">
      <c r="A597" s="53"/>
      <c r="B597" s="56"/>
      <c r="C597" s="90" t="s">
        <v>370</v>
      </c>
      <c r="D597" s="230" t="s">
        <v>1759</v>
      </c>
      <c r="E597" s="68" t="s">
        <v>371</v>
      </c>
      <c r="F597" s="91" t="s">
        <v>618</v>
      </c>
      <c r="G597" s="91" t="s">
        <v>618</v>
      </c>
      <c r="H597" s="91" t="s">
        <v>618</v>
      </c>
      <c r="I597" s="91" t="s">
        <v>618</v>
      </c>
      <c r="J597" s="70">
        <v>0.9</v>
      </c>
      <c r="K597" s="71" t="s">
        <v>1710</v>
      </c>
      <c r="L597" s="71" t="s">
        <v>1710</v>
      </c>
      <c r="M597" s="72" t="s">
        <v>1710</v>
      </c>
      <c r="N597" s="71" t="s">
        <v>1710</v>
      </c>
      <c r="O597" s="73">
        <v>0.9</v>
      </c>
      <c r="P597" s="71" t="s">
        <v>1710</v>
      </c>
      <c r="Q597" s="71" t="s">
        <v>1710</v>
      </c>
      <c r="R597" s="71" t="s">
        <v>1710</v>
      </c>
      <c r="S597" s="71" t="s">
        <v>1710</v>
      </c>
      <c r="T597" s="73">
        <v>0.9</v>
      </c>
      <c r="U597" s="71" t="s">
        <v>1710</v>
      </c>
      <c r="V597" s="71" t="s">
        <v>1710</v>
      </c>
      <c r="W597" s="71" t="s">
        <v>1710</v>
      </c>
      <c r="X597" s="71" t="s">
        <v>1710</v>
      </c>
      <c r="Y597" s="73">
        <v>0.92</v>
      </c>
      <c r="Z597" s="73" t="s">
        <v>1710</v>
      </c>
      <c r="AA597" s="73" t="s">
        <v>1710</v>
      </c>
      <c r="AB597" s="73" t="s">
        <v>1710</v>
      </c>
      <c r="AC597" s="73" t="s">
        <v>1710</v>
      </c>
      <c r="AD597" s="73">
        <v>0.92</v>
      </c>
      <c r="AE597" s="71">
        <v>1</v>
      </c>
      <c r="AF597" s="71">
        <v>0.638211382113821</v>
      </c>
      <c r="AG597" s="71">
        <v>1</v>
      </c>
      <c r="AH597" s="71">
        <v>0.78090332805071305</v>
      </c>
      <c r="AI597" s="73">
        <v>0.92</v>
      </c>
      <c r="AJ597" s="71" t="s">
        <v>1710</v>
      </c>
      <c r="AK597" s="71" t="s">
        <v>1710</v>
      </c>
      <c r="AL597" s="71" t="s">
        <v>1710</v>
      </c>
      <c r="AM597" s="71" t="s">
        <v>1710</v>
      </c>
      <c r="AN597" s="70">
        <v>0.99</v>
      </c>
      <c r="AO597" s="75" t="s">
        <v>1710</v>
      </c>
      <c r="AP597" s="75">
        <v>1</v>
      </c>
      <c r="AQ597" s="75" t="s">
        <v>1710</v>
      </c>
      <c r="AR597" s="75">
        <v>1</v>
      </c>
      <c r="AS597" s="95">
        <v>0.05</v>
      </c>
      <c r="AT597" s="79" t="s">
        <v>1710</v>
      </c>
      <c r="AU597" s="79" t="s">
        <v>1710</v>
      </c>
      <c r="AV597" s="79" t="s">
        <v>1710</v>
      </c>
      <c r="AW597" s="79" t="s">
        <v>1710</v>
      </c>
      <c r="AX597" s="56"/>
      <c r="AY597" s="54"/>
    </row>
    <row r="598" spans="1:51">
      <c r="A598" s="53"/>
      <c r="B598" s="56"/>
      <c r="C598" s="90" t="s">
        <v>370</v>
      </c>
      <c r="D598" s="230" t="s">
        <v>1757</v>
      </c>
      <c r="E598" s="68" t="s">
        <v>371</v>
      </c>
      <c r="F598" s="91" t="s">
        <v>619</v>
      </c>
      <c r="G598" s="91" t="s">
        <v>619</v>
      </c>
      <c r="H598" s="91" t="s">
        <v>619</v>
      </c>
      <c r="I598" s="91" t="s">
        <v>619</v>
      </c>
      <c r="J598" s="70">
        <v>0.9</v>
      </c>
      <c r="K598" s="71">
        <v>0.68539325842696597</v>
      </c>
      <c r="L598" s="71">
        <v>0.65333333333333299</v>
      </c>
      <c r="M598" s="72">
        <v>0.676056338028169</v>
      </c>
      <c r="N598" s="71">
        <v>0.685492801771872</v>
      </c>
      <c r="O598" s="73">
        <v>0.9</v>
      </c>
      <c r="P598" s="71">
        <v>0.92189468379944595</v>
      </c>
      <c r="Q598" s="71">
        <v>0.89229843561973499</v>
      </c>
      <c r="R598" s="71">
        <v>0.90679531923629597</v>
      </c>
      <c r="S598" s="71">
        <v>0.90908047296521599</v>
      </c>
      <c r="T598" s="73">
        <v>0.9</v>
      </c>
      <c r="U598" s="71">
        <v>0.78281683043587802</v>
      </c>
      <c r="V598" s="71">
        <v>0.66245487364620903</v>
      </c>
      <c r="W598" s="71">
        <v>0.690412646273866</v>
      </c>
      <c r="X598" s="71">
        <v>0.729135575708874</v>
      </c>
      <c r="Y598" s="73">
        <v>0.92</v>
      </c>
      <c r="Z598" s="73">
        <v>0.85610445551218195</v>
      </c>
      <c r="AA598" s="73">
        <v>0.697125256673511</v>
      </c>
      <c r="AB598" s="73">
        <v>0.71956009426551404</v>
      </c>
      <c r="AC598" s="73">
        <v>0.81029924287946198</v>
      </c>
      <c r="AD598" s="73">
        <v>0.92</v>
      </c>
      <c r="AE598" s="71">
        <v>0.99913702176622898</v>
      </c>
      <c r="AF598" s="71">
        <v>0.96225986131635799</v>
      </c>
      <c r="AG598" s="71">
        <v>0.99564405724953298</v>
      </c>
      <c r="AH598" s="71">
        <v>0.98450293898714003</v>
      </c>
      <c r="AI598" s="73">
        <v>0.92</v>
      </c>
      <c r="AJ598" s="71">
        <v>0.889882517972997</v>
      </c>
      <c r="AK598" s="71">
        <v>0.83866481223922096</v>
      </c>
      <c r="AL598" s="71">
        <v>0.80496485452442401</v>
      </c>
      <c r="AM598" s="71">
        <v>0.87097126992806995</v>
      </c>
      <c r="AN598" s="70">
        <v>0.99</v>
      </c>
      <c r="AO598" s="75">
        <v>1</v>
      </c>
      <c r="AP598" s="75">
        <v>1</v>
      </c>
      <c r="AQ598" s="75">
        <v>1</v>
      </c>
      <c r="AR598" s="75">
        <v>1</v>
      </c>
      <c r="AS598" s="95">
        <v>0.05</v>
      </c>
      <c r="AT598" s="79">
        <v>4.2553191489361701E-2</v>
      </c>
      <c r="AU598" s="79">
        <v>0.05</v>
      </c>
      <c r="AV598" s="79">
        <v>0</v>
      </c>
      <c r="AW598" s="79">
        <v>2.6132404181184701E-2</v>
      </c>
      <c r="AX598" s="56"/>
      <c r="AY598" s="54"/>
    </row>
    <row r="599" spans="1:51">
      <c r="A599" s="53"/>
      <c r="B599" s="56"/>
      <c r="C599" s="90" t="s">
        <v>370</v>
      </c>
      <c r="D599" s="230" t="s">
        <v>1757</v>
      </c>
      <c r="E599" s="68" t="s">
        <v>371</v>
      </c>
      <c r="F599" s="91" t="s">
        <v>620</v>
      </c>
      <c r="G599" s="91" t="s">
        <v>620</v>
      </c>
      <c r="H599" s="91" t="s">
        <v>620</v>
      </c>
      <c r="I599" s="91" t="s">
        <v>620</v>
      </c>
      <c r="J599" s="70">
        <v>0.9</v>
      </c>
      <c r="K599" s="71">
        <v>0.77777777777777801</v>
      </c>
      <c r="L599" s="71">
        <v>0.8</v>
      </c>
      <c r="M599" s="72">
        <v>0.84615384615384603</v>
      </c>
      <c r="N599" s="71">
        <v>0.84507042253521103</v>
      </c>
      <c r="O599" s="73">
        <v>0.9</v>
      </c>
      <c r="P599" s="71">
        <v>0.96971098265895905</v>
      </c>
      <c r="Q599" s="71">
        <v>0.96180371352785099</v>
      </c>
      <c r="R599" s="71">
        <v>0.96900463332800801</v>
      </c>
      <c r="S599" s="71">
        <v>0.96056281204296701</v>
      </c>
      <c r="T599" s="73">
        <v>0.9</v>
      </c>
      <c r="U599" s="71">
        <v>0.91791907514450899</v>
      </c>
      <c r="V599" s="71">
        <v>0.85605658709107002</v>
      </c>
      <c r="W599" s="71">
        <v>0.81482664962454099</v>
      </c>
      <c r="X599" s="71">
        <v>0.88399146031906095</v>
      </c>
      <c r="Y599" s="73">
        <v>0.92</v>
      </c>
      <c r="Z599" s="73">
        <v>0.90188846267335498</v>
      </c>
      <c r="AA599" s="73">
        <v>0.85988483685220696</v>
      </c>
      <c r="AB599" s="73">
        <v>0.83622790981109096</v>
      </c>
      <c r="AC599" s="73">
        <v>0.88205898632086699</v>
      </c>
      <c r="AD599" s="73">
        <v>0.92</v>
      </c>
      <c r="AE599" s="71">
        <v>0.86735420568142896</v>
      </c>
      <c r="AF599" s="71">
        <v>0.98680199644926803</v>
      </c>
      <c r="AG599" s="71">
        <v>0.98251028806584395</v>
      </c>
      <c r="AH599" s="71">
        <v>0.96738546872459397</v>
      </c>
      <c r="AI599" s="73">
        <v>0.92</v>
      </c>
      <c r="AJ599" s="71">
        <v>0.92529925299253002</v>
      </c>
      <c r="AK599" s="71">
        <v>0.92166685642718904</v>
      </c>
      <c r="AL599" s="71">
        <v>0.89317738791422996</v>
      </c>
      <c r="AM599" s="71">
        <v>0.92608971853010202</v>
      </c>
      <c r="AN599" s="70">
        <v>0.99</v>
      </c>
      <c r="AO599" s="75">
        <v>1</v>
      </c>
      <c r="AP599" s="75">
        <v>1</v>
      </c>
      <c r="AQ599" s="75">
        <v>1</v>
      </c>
      <c r="AR599" s="75">
        <v>1</v>
      </c>
      <c r="AS599" s="95">
        <v>0.05</v>
      </c>
      <c r="AT599" s="79">
        <v>3.8461538461538498E-2</v>
      </c>
      <c r="AU599" s="79">
        <v>0.17647058823529399</v>
      </c>
      <c r="AV599" s="79">
        <v>7.1428571428571397E-2</v>
      </c>
      <c r="AW599" s="79">
        <v>0.05</v>
      </c>
      <c r="AX599" s="56"/>
      <c r="AY599" s="54"/>
    </row>
    <row r="600" spans="1:51">
      <c r="A600" s="53"/>
      <c r="B600" s="56"/>
      <c r="C600" s="90" t="s">
        <v>370</v>
      </c>
      <c r="D600" s="230" t="s">
        <v>1757</v>
      </c>
      <c r="E600" s="68" t="s">
        <v>371</v>
      </c>
      <c r="F600" s="91" t="s">
        <v>621</v>
      </c>
      <c r="G600" s="91" t="s">
        <v>621</v>
      </c>
      <c r="H600" s="91" t="s">
        <v>621</v>
      </c>
      <c r="I600" s="91" t="s">
        <v>621</v>
      </c>
      <c r="J600" s="70">
        <v>0.9</v>
      </c>
      <c r="K600" s="71">
        <v>0.87209302325581395</v>
      </c>
      <c r="L600" s="71">
        <v>0.92647058823529405</v>
      </c>
      <c r="M600" s="72">
        <v>0.88732394366197198</v>
      </c>
      <c r="N600" s="71">
        <v>0.90419161676646698</v>
      </c>
      <c r="O600" s="73">
        <v>0.9</v>
      </c>
      <c r="P600" s="71">
        <v>0.98434832100170699</v>
      </c>
      <c r="Q600" s="71">
        <v>0.98385236447520197</v>
      </c>
      <c r="R600" s="71">
        <v>0.98583504683573198</v>
      </c>
      <c r="S600" s="71">
        <v>0.98338673060193904</v>
      </c>
      <c r="T600" s="73">
        <v>0.9</v>
      </c>
      <c r="U600" s="71">
        <v>0.89100739897552605</v>
      </c>
      <c r="V600" s="71">
        <v>0.87935409457900804</v>
      </c>
      <c r="W600" s="71">
        <v>0.896504455106237</v>
      </c>
      <c r="X600" s="71">
        <v>0.89703167766438197</v>
      </c>
      <c r="Y600" s="73">
        <v>0.92</v>
      </c>
      <c r="Z600" s="73">
        <v>0.96740893673499495</v>
      </c>
      <c r="AA600" s="73">
        <v>0.94307800421644405</v>
      </c>
      <c r="AB600" s="73">
        <v>0.96050301098122604</v>
      </c>
      <c r="AC600" s="73">
        <v>0.96566422769685201</v>
      </c>
      <c r="AD600" s="73">
        <v>0.92</v>
      </c>
      <c r="AE600" s="71">
        <v>0.99498237859148198</v>
      </c>
      <c r="AF600" s="71">
        <v>0.98776038601859495</v>
      </c>
      <c r="AG600" s="71">
        <v>0.99453297661975104</v>
      </c>
      <c r="AH600" s="71">
        <v>0.99174484338027702</v>
      </c>
      <c r="AI600" s="73">
        <v>0.92</v>
      </c>
      <c r="AJ600" s="71">
        <v>0.97194447141054297</v>
      </c>
      <c r="AK600" s="71">
        <v>0.96741854636591496</v>
      </c>
      <c r="AL600" s="71">
        <v>0.97017753840015997</v>
      </c>
      <c r="AM600" s="71">
        <v>0.975190124751808</v>
      </c>
      <c r="AN600" s="70">
        <v>0.99</v>
      </c>
      <c r="AO600" s="75">
        <v>1</v>
      </c>
      <c r="AP600" s="75">
        <v>1</v>
      </c>
      <c r="AQ600" s="75">
        <v>1</v>
      </c>
      <c r="AR600" s="75">
        <v>1</v>
      </c>
      <c r="AS600" s="95">
        <v>0.05</v>
      </c>
      <c r="AT600" s="79">
        <v>7.1428571428571397E-2</v>
      </c>
      <c r="AU600" s="79">
        <v>6.4516129032258104E-2</v>
      </c>
      <c r="AV600" s="79">
        <v>2.9411764705882401E-2</v>
      </c>
      <c r="AW600" s="79">
        <v>4.3010752688171998E-2</v>
      </c>
      <c r="AX600" s="56"/>
      <c r="AY600" s="54"/>
    </row>
    <row r="601" spans="1:51">
      <c r="A601" s="53"/>
      <c r="B601" s="56"/>
      <c r="C601" s="90" t="s">
        <v>370</v>
      </c>
      <c r="D601" s="230" t="s">
        <v>1757</v>
      </c>
      <c r="E601" s="68" t="s">
        <v>371</v>
      </c>
      <c r="F601" s="91" t="s">
        <v>622</v>
      </c>
      <c r="G601" s="91" t="s">
        <v>622</v>
      </c>
      <c r="H601" s="91" t="s">
        <v>622</v>
      </c>
      <c r="I601" s="91" t="s">
        <v>622</v>
      </c>
      <c r="J601" s="70">
        <v>0.9</v>
      </c>
      <c r="K601" s="71">
        <v>0.84873949579831898</v>
      </c>
      <c r="L601" s="71">
        <v>0.86516853932584303</v>
      </c>
      <c r="M601" s="72">
        <v>0.88297872340425498</v>
      </c>
      <c r="N601" s="71">
        <v>0.8828125</v>
      </c>
      <c r="O601" s="73">
        <v>0.9</v>
      </c>
      <c r="P601" s="71">
        <v>0.98917228103946098</v>
      </c>
      <c r="Q601" s="71">
        <v>0.96177807711735996</v>
      </c>
      <c r="R601" s="71">
        <v>0.96301775147929003</v>
      </c>
      <c r="S601" s="71">
        <v>0.97993949492825105</v>
      </c>
      <c r="T601" s="73">
        <v>0.9</v>
      </c>
      <c r="U601" s="71">
        <v>0.93166506256015402</v>
      </c>
      <c r="V601" s="71">
        <v>0.87337935679407297</v>
      </c>
      <c r="W601" s="71">
        <v>0.90499671268902004</v>
      </c>
      <c r="X601" s="71">
        <v>0.92768511478168003</v>
      </c>
      <c r="Y601" s="73">
        <v>0.92</v>
      </c>
      <c r="Z601" s="73">
        <v>0.93181818181818199</v>
      </c>
      <c r="AA601" s="73">
        <v>0.90211081794195203</v>
      </c>
      <c r="AB601" s="73">
        <v>0.91011235955056202</v>
      </c>
      <c r="AC601" s="73">
        <v>0.93273085813537404</v>
      </c>
      <c r="AD601" s="73">
        <v>0.92</v>
      </c>
      <c r="AE601" s="71">
        <v>0.999363341185459</v>
      </c>
      <c r="AF601" s="71">
        <v>0.998083131557708</v>
      </c>
      <c r="AG601" s="71">
        <v>0.999343647444913</v>
      </c>
      <c r="AH601" s="71">
        <v>0.99903100427434799</v>
      </c>
      <c r="AI601" s="73">
        <v>0.92</v>
      </c>
      <c r="AJ601" s="71">
        <v>0.94297765974066505</v>
      </c>
      <c r="AK601" s="71">
        <v>0.93877760657421705</v>
      </c>
      <c r="AL601" s="71">
        <v>0.93542060657000803</v>
      </c>
      <c r="AM601" s="71">
        <v>0.95358393817932297</v>
      </c>
      <c r="AN601" s="70">
        <v>0.99</v>
      </c>
      <c r="AO601" s="75">
        <v>1</v>
      </c>
      <c r="AP601" s="75">
        <v>1</v>
      </c>
      <c r="AQ601" s="75">
        <v>1</v>
      </c>
      <c r="AR601" s="75">
        <v>1</v>
      </c>
      <c r="AS601" s="95">
        <v>0.05</v>
      </c>
      <c r="AT601" s="79">
        <v>4.8780487804878099E-2</v>
      </c>
      <c r="AU601" s="79">
        <v>0.133333333333333</v>
      </c>
      <c r="AV601" s="79">
        <v>3.125E-2</v>
      </c>
      <c r="AW601" s="79">
        <v>5.5155875299760203E-2</v>
      </c>
      <c r="AX601" s="56"/>
      <c r="AY601" s="54"/>
    </row>
    <row r="602" spans="1:51">
      <c r="A602" s="53"/>
      <c r="B602" s="56"/>
      <c r="C602" s="90" t="s">
        <v>370</v>
      </c>
      <c r="D602" s="230" t="s">
        <v>1757</v>
      </c>
      <c r="E602" s="68" t="s">
        <v>371</v>
      </c>
      <c r="F602" s="91" t="s">
        <v>623</v>
      </c>
      <c r="G602" s="91" t="s">
        <v>623</v>
      </c>
      <c r="H602" s="91" t="s">
        <v>623</v>
      </c>
      <c r="I602" s="91" t="s">
        <v>623</v>
      </c>
      <c r="J602" s="70">
        <v>0.9</v>
      </c>
      <c r="K602" s="71">
        <v>0.91666666666666696</v>
      </c>
      <c r="L602" s="71">
        <v>1</v>
      </c>
      <c r="M602" s="72">
        <v>0.92857142857142905</v>
      </c>
      <c r="N602" s="71">
        <v>0.94871794871794901</v>
      </c>
      <c r="O602" s="73">
        <v>0.9</v>
      </c>
      <c r="P602" s="71">
        <v>0.98424242424242403</v>
      </c>
      <c r="Q602" s="71">
        <v>0.98198198198198205</v>
      </c>
      <c r="R602" s="71">
        <v>0.98253275109170302</v>
      </c>
      <c r="S602" s="71">
        <v>0.92003503941934694</v>
      </c>
      <c r="T602" s="73">
        <v>0.9</v>
      </c>
      <c r="U602" s="71">
        <v>0.94666666666666699</v>
      </c>
      <c r="V602" s="71">
        <v>0.90852390852390896</v>
      </c>
      <c r="W602" s="71">
        <v>0.85080058224163002</v>
      </c>
      <c r="X602" s="71">
        <v>0.89187836315855296</v>
      </c>
      <c r="Y602" s="73">
        <v>0.92</v>
      </c>
      <c r="Z602" s="73">
        <v>0.90600667408231395</v>
      </c>
      <c r="AA602" s="73">
        <v>0.85385385385385404</v>
      </c>
      <c r="AB602" s="73">
        <v>0.84931506849315097</v>
      </c>
      <c r="AC602" s="73">
        <v>0.90085118872908698</v>
      </c>
      <c r="AD602" s="73">
        <v>0.92</v>
      </c>
      <c r="AE602" s="71">
        <v>1</v>
      </c>
      <c r="AF602" s="71">
        <v>0.99382716049382702</v>
      </c>
      <c r="AG602" s="71">
        <v>0.98611111111111105</v>
      </c>
      <c r="AH602" s="71">
        <v>0.99035886448848398</v>
      </c>
      <c r="AI602" s="73">
        <v>0.92</v>
      </c>
      <c r="AJ602" s="71">
        <v>0.92759146341463405</v>
      </c>
      <c r="AK602" s="71">
        <v>0.92506142506142497</v>
      </c>
      <c r="AL602" s="71">
        <v>0.899175068744271</v>
      </c>
      <c r="AM602" s="71">
        <v>0.93594791035735903</v>
      </c>
      <c r="AN602" s="70">
        <v>0.99</v>
      </c>
      <c r="AO602" s="75">
        <v>1</v>
      </c>
      <c r="AP602" s="75">
        <v>1</v>
      </c>
      <c r="AQ602" s="75">
        <v>1</v>
      </c>
      <c r="AR602" s="75">
        <v>1</v>
      </c>
      <c r="AS602" s="95">
        <v>0.05</v>
      </c>
      <c r="AT602" s="79">
        <v>0.14285714285714299</v>
      </c>
      <c r="AU602" s="79">
        <v>0.1</v>
      </c>
      <c r="AV602" s="79">
        <v>0</v>
      </c>
      <c r="AW602" s="79">
        <v>9.0909090909090898E-2</v>
      </c>
      <c r="AX602" s="56"/>
      <c r="AY602" s="54"/>
    </row>
    <row r="603" spans="1:51">
      <c r="A603" s="53"/>
      <c r="B603" s="56"/>
      <c r="C603" s="90" t="s">
        <v>370</v>
      </c>
      <c r="D603" s="230" t="s">
        <v>1757</v>
      </c>
      <c r="E603" s="68" t="s">
        <v>371</v>
      </c>
      <c r="F603" s="91" t="s">
        <v>624</v>
      </c>
      <c r="G603" s="91" t="s">
        <v>624</v>
      </c>
      <c r="H603" s="91" t="s">
        <v>624</v>
      </c>
      <c r="I603" s="91" t="s">
        <v>624</v>
      </c>
      <c r="J603" s="70">
        <v>0.9</v>
      </c>
      <c r="K603" s="71">
        <v>0.94736842105263197</v>
      </c>
      <c r="L603" s="71">
        <v>0.97777777777777797</v>
      </c>
      <c r="M603" s="72">
        <v>0.9375</v>
      </c>
      <c r="N603" s="71">
        <v>0.93439716312056698</v>
      </c>
      <c r="O603" s="73">
        <v>0.9</v>
      </c>
      <c r="P603" s="71">
        <v>0.95383001049317895</v>
      </c>
      <c r="Q603" s="71">
        <v>0.95831647106434603</v>
      </c>
      <c r="R603" s="71">
        <v>0.91879593979699004</v>
      </c>
      <c r="S603" s="71">
        <v>0.94793755652550005</v>
      </c>
      <c r="T603" s="73">
        <v>0.9</v>
      </c>
      <c r="U603" s="71">
        <v>0.91238195173137504</v>
      </c>
      <c r="V603" s="71">
        <v>0.88749494131930395</v>
      </c>
      <c r="W603" s="71">
        <v>0.87364368218410904</v>
      </c>
      <c r="X603" s="71">
        <v>0.90244190161613802</v>
      </c>
      <c r="Y603" s="73">
        <v>0.92</v>
      </c>
      <c r="Z603" s="73">
        <v>0.93390890145876704</v>
      </c>
      <c r="AA603" s="73">
        <v>0.901591895803184</v>
      </c>
      <c r="AB603" s="73">
        <v>0.88019060585432296</v>
      </c>
      <c r="AC603" s="73">
        <v>0.90330962800875303</v>
      </c>
      <c r="AD603" s="73">
        <v>0.92</v>
      </c>
      <c r="AE603" s="71">
        <v>0.99325744308231201</v>
      </c>
      <c r="AF603" s="71">
        <v>0.99319591755053005</v>
      </c>
      <c r="AG603" s="71">
        <v>0.99624248496993995</v>
      </c>
      <c r="AH603" s="71">
        <v>0.99419902310686503</v>
      </c>
      <c r="AI603" s="73">
        <v>0.92</v>
      </c>
      <c r="AJ603" s="71">
        <v>0.94763801935116698</v>
      </c>
      <c r="AK603" s="71">
        <v>0.94370946822308699</v>
      </c>
      <c r="AL603" s="71">
        <v>0.91879310344827603</v>
      </c>
      <c r="AM603" s="71">
        <v>0.934863659624242</v>
      </c>
      <c r="AN603" s="70">
        <v>0.99</v>
      </c>
      <c r="AO603" s="75">
        <v>1</v>
      </c>
      <c r="AP603" s="75">
        <v>1</v>
      </c>
      <c r="AQ603" s="75">
        <v>1</v>
      </c>
      <c r="AR603" s="75">
        <v>1</v>
      </c>
      <c r="AS603" s="95">
        <v>0.05</v>
      </c>
      <c r="AT603" s="79">
        <v>0.125</v>
      </c>
      <c r="AU603" s="79">
        <v>0.2</v>
      </c>
      <c r="AV603" s="79">
        <v>0</v>
      </c>
      <c r="AW603" s="79">
        <v>6.01503759398496E-2</v>
      </c>
      <c r="AX603" s="56"/>
      <c r="AY603" s="54"/>
    </row>
    <row r="604" spans="1:51">
      <c r="A604" s="53"/>
      <c r="B604" s="56"/>
      <c r="C604" s="90" t="s">
        <v>370</v>
      </c>
      <c r="D604" s="230" t="s">
        <v>1757</v>
      </c>
      <c r="E604" s="68" t="s">
        <v>371</v>
      </c>
      <c r="F604" s="91" t="s">
        <v>625</v>
      </c>
      <c r="G604" s="91" t="s">
        <v>625</v>
      </c>
      <c r="H604" s="91" t="s">
        <v>625</v>
      </c>
      <c r="I604" s="91" t="s">
        <v>625</v>
      </c>
      <c r="J604" s="70">
        <v>0.9</v>
      </c>
      <c r="K604" s="71">
        <v>0.859649122807018</v>
      </c>
      <c r="L604" s="71">
        <v>0.8125</v>
      </c>
      <c r="M604" s="72">
        <v>0.82222222222222197</v>
      </c>
      <c r="N604" s="71">
        <v>0.84816753926701605</v>
      </c>
      <c r="O604" s="73">
        <v>0.9</v>
      </c>
      <c r="P604" s="71">
        <v>0.95523370638577998</v>
      </c>
      <c r="Q604" s="71">
        <v>0.95815645845967301</v>
      </c>
      <c r="R604" s="71">
        <v>0.95644444444444399</v>
      </c>
      <c r="S604" s="71">
        <v>0.96312453699892997</v>
      </c>
      <c r="T604" s="73">
        <v>0.9</v>
      </c>
      <c r="U604" s="71">
        <v>0.901909150757077</v>
      </c>
      <c r="V604" s="71">
        <v>0.88568829593693099</v>
      </c>
      <c r="W604" s="71">
        <v>0.82962962962963005</v>
      </c>
      <c r="X604" s="71">
        <v>0.88627321864625297</v>
      </c>
      <c r="Y604" s="73">
        <v>0.92</v>
      </c>
      <c r="Z604" s="73">
        <v>0.921324245374878</v>
      </c>
      <c r="AA604" s="73">
        <v>0.911589555657352</v>
      </c>
      <c r="AB604" s="73">
        <v>0.84426017102876405</v>
      </c>
      <c r="AC604" s="73">
        <v>0.91211854110584401</v>
      </c>
      <c r="AD604" s="73">
        <v>0.92</v>
      </c>
      <c r="AE604" s="71">
        <v>0.98675733715103797</v>
      </c>
      <c r="AF604" s="71">
        <v>0.92087684636372202</v>
      </c>
      <c r="AG604" s="71">
        <v>0.97005765296633795</v>
      </c>
      <c r="AH604" s="71">
        <v>0.97473267214401205</v>
      </c>
      <c r="AI604" s="73">
        <v>0.92</v>
      </c>
      <c r="AJ604" s="71">
        <v>0.93956043956044</v>
      </c>
      <c r="AK604" s="71">
        <v>0.94766593727206405</v>
      </c>
      <c r="AL604" s="71">
        <v>0.88139341996129394</v>
      </c>
      <c r="AM604" s="71">
        <v>0.93896582034982201</v>
      </c>
      <c r="AN604" s="70">
        <v>0.99</v>
      </c>
      <c r="AO604" s="75">
        <v>1</v>
      </c>
      <c r="AP604" s="75">
        <v>1</v>
      </c>
      <c r="AQ604" s="75">
        <v>1</v>
      </c>
      <c r="AR604" s="75">
        <v>1</v>
      </c>
      <c r="AS604" s="95">
        <v>0.05</v>
      </c>
      <c r="AT604" s="79">
        <v>0.13157894736842099</v>
      </c>
      <c r="AU604" s="79">
        <v>0.204545454545455</v>
      </c>
      <c r="AV604" s="79">
        <v>6.6666666666666693E-2</v>
      </c>
      <c r="AW604" s="79">
        <v>7.2016460905349799E-2</v>
      </c>
      <c r="AX604" s="56"/>
      <c r="AY604" s="54"/>
    </row>
    <row r="605" spans="1:51">
      <c r="A605" s="53"/>
      <c r="B605" s="56"/>
      <c r="C605" s="90" t="s">
        <v>370</v>
      </c>
      <c r="D605" s="230" t="s">
        <v>1757</v>
      </c>
      <c r="E605" s="68" t="s">
        <v>371</v>
      </c>
      <c r="F605" s="91" t="s">
        <v>626</v>
      </c>
      <c r="G605" s="91" t="s">
        <v>626</v>
      </c>
      <c r="H605" s="91" t="s">
        <v>626</v>
      </c>
      <c r="I605" s="91" t="s">
        <v>626</v>
      </c>
      <c r="J605" s="70">
        <v>0.9</v>
      </c>
      <c r="K605" s="71">
        <v>0.83928571428571397</v>
      </c>
      <c r="L605" s="71">
        <v>0.89130434782608703</v>
      </c>
      <c r="M605" s="72">
        <v>0.84782608695652195</v>
      </c>
      <c r="N605" s="71">
        <v>0.83333333333333304</v>
      </c>
      <c r="O605" s="73">
        <v>0.9</v>
      </c>
      <c r="P605" s="71">
        <v>0.98477751756440302</v>
      </c>
      <c r="Q605" s="71">
        <v>0.97622871827818802</v>
      </c>
      <c r="R605" s="71">
        <v>0.983273204329288</v>
      </c>
      <c r="S605" s="71">
        <v>0.98115055079559399</v>
      </c>
      <c r="T605" s="73">
        <v>0.9</v>
      </c>
      <c r="U605" s="71">
        <v>0.87900078064012499</v>
      </c>
      <c r="V605" s="71">
        <v>0.85351750722775499</v>
      </c>
      <c r="W605" s="71">
        <v>0.87832076090521505</v>
      </c>
      <c r="X605" s="71">
        <v>0.88298653610771105</v>
      </c>
      <c r="Y605" s="73">
        <v>0.92</v>
      </c>
      <c r="Z605" s="73">
        <v>0.93289689034369905</v>
      </c>
      <c r="AA605" s="73">
        <v>0.90177287973167197</v>
      </c>
      <c r="AB605" s="73">
        <v>0.900188831939574</v>
      </c>
      <c r="AC605" s="73">
        <v>0.93252693742229598</v>
      </c>
      <c r="AD605" s="73">
        <v>0.92</v>
      </c>
      <c r="AE605" s="71">
        <v>0.99353169469599001</v>
      </c>
      <c r="AF605" s="71">
        <v>0.97780661907851996</v>
      </c>
      <c r="AG605" s="71">
        <v>0.96820330969267099</v>
      </c>
      <c r="AH605" s="71">
        <v>0.98292897719024896</v>
      </c>
      <c r="AI605" s="73">
        <v>0.92</v>
      </c>
      <c r="AJ605" s="71">
        <v>0.94653031409788202</v>
      </c>
      <c r="AK605" s="71">
        <v>0.93662377568657595</v>
      </c>
      <c r="AL605" s="71">
        <v>0.92809587217043898</v>
      </c>
      <c r="AM605" s="71">
        <v>0.95111179653983102</v>
      </c>
      <c r="AN605" s="70">
        <v>0.99</v>
      </c>
      <c r="AO605" s="75">
        <v>1</v>
      </c>
      <c r="AP605" s="75">
        <v>1</v>
      </c>
      <c r="AQ605" s="75">
        <v>1</v>
      </c>
      <c r="AR605" s="75">
        <v>1</v>
      </c>
      <c r="AS605" s="95">
        <v>0.05</v>
      </c>
      <c r="AT605" s="79">
        <v>7.1428571428571397E-2</v>
      </c>
      <c r="AU605" s="79">
        <v>3.8461538461538498E-2</v>
      </c>
      <c r="AV605" s="79">
        <v>3.4482758620689703E-2</v>
      </c>
      <c r="AW605" s="79">
        <v>4.8843187660668398E-2</v>
      </c>
      <c r="AX605" s="56"/>
      <c r="AY605" s="54"/>
    </row>
    <row r="606" spans="1:51">
      <c r="A606" s="53"/>
      <c r="B606" s="56"/>
      <c r="C606" s="90" t="s">
        <v>370</v>
      </c>
      <c r="D606" s="230" t="s">
        <v>1757</v>
      </c>
      <c r="E606" s="68" t="s">
        <v>371</v>
      </c>
      <c r="F606" s="91" t="s">
        <v>627</v>
      </c>
      <c r="G606" s="91" t="s">
        <v>627</v>
      </c>
      <c r="H606" s="91" t="s">
        <v>627</v>
      </c>
      <c r="I606" s="91" t="s">
        <v>627</v>
      </c>
      <c r="J606" s="70">
        <v>0.9</v>
      </c>
      <c r="K606" s="71">
        <v>0.72972972972973005</v>
      </c>
      <c r="L606" s="71">
        <v>0.62162162162162204</v>
      </c>
      <c r="M606" s="72">
        <v>0.68571428571428605</v>
      </c>
      <c r="N606" s="71">
        <v>0.71018276762402099</v>
      </c>
      <c r="O606" s="73">
        <v>0.9</v>
      </c>
      <c r="P606" s="71">
        <v>0.79541643376187798</v>
      </c>
      <c r="Q606" s="71">
        <v>0.94982784062961101</v>
      </c>
      <c r="R606" s="71">
        <v>0.87493746873436695</v>
      </c>
      <c r="S606" s="71">
        <v>0.81200463499420605</v>
      </c>
      <c r="T606" s="73">
        <v>0.9</v>
      </c>
      <c r="U606" s="71">
        <v>0.899385131358301</v>
      </c>
      <c r="V606" s="71">
        <v>0.87899655681259203</v>
      </c>
      <c r="W606" s="71">
        <v>0.82641320660330198</v>
      </c>
      <c r="X606" s="71">
        <v>0.774739281575898</v>
      </c>
      <c r="Y606" s="73">
        <v>0.92</v>
      </c>
      <c r="Z606" s="73">
        <v>0.88532275513883896</v>
      </c>
      <c r="AA606" s="73">
        <v>0.88578274760383402</v>
      </c>
      <c r="AB606" s="73">
        <v>0.76433121019108297</v>
      </c>
      <c r="AC606" s="73">
        <v>0.72009156085341597</v>
      </c>
      <c r="AD606" s="73">
        <v>0.92</v>
      </c>
      <c r="AE606" s="71">
        <v>0.98031075045606098</v>
      </c>
      <c r="AF606" s="71">
        <v>0.74476146736322402</v>
      </c>
      <c r="AG606" s="71">
        <v>0.989179290827368</v>
      </c>
      <c r="AH606" s="71">
        <v>0.76654766700468102</v>
      </c>
      <c r="AI606" s="73">
        <v>0.92</v>
      </c>
      <c r="AJ606" s="71">
        <v>0.91128148959474298</v>
      </c>
      <c r="AK606" s="71">
        <v>0.92668086400973504</v>
      </c>
      <c r="AL606" s="71">
        <v>0.83603046168491202</v>
      </c>
      <c r="AM606" s="71">
        <v>0.81080597948740896</v>
      </c>
      <c r="AN606" s="70">
        <v>0.99</v>
      </c>
      <c r="AO606" s="75">
        <v>1</v>
      </c>
      <c r="AP606" s="75">
        <v>1</v>
      </c>
      <c r="AQ606" s="75">
        <v>1</v>
      </c>
      <c r="AR606" s="75">
        <v>1</v>
      </c>
      <c r="AS606" s="95">
        <v>0.05</v>
      </c>
      <c r="AT606" s="79">
        <v>0</v>
      </c>
      <c r="AU606" s="79">
        <v>0</v>
      </c>
      <c r="AV606" s="79">
        <v>0</v>
      </c>
      <c r="AW606" s="79">
        <v>1.7897091722595099E-2</v>
      </c>
      <c r="AX606" s="56"/>
      <c r="AY606" s="54"/>
    </row>
    <row r="607" spans="1:51">
      <c r="A607" s="53"/>
      <c r="B607" s="56"/>
      <c r="C607" s="90" t="s">
        <v>370</v>
      </c>
      <c r="D607" s="230" t="s">
        <v>1757</v>
      </c>
      <c r="E607" s="68" t="s">
        <v>371</v>
      </c>
      <c r="F607" s="91" t="s">
        <v>628</v>
      </c>
      <c r="G607" s="91" t="s">
        <v>628</v>
      </c>
      <c r="H607" s="91" t="s">
        <v>628</v>
      </c>
      <c r="I607" s="91" t="s">
        <v>628</v>
      </c>
      <c r="J607" s="70">
        <v>0.9</v>
      </c>
      <c r="K607" s="71">
        <v>0.92957746478873204</v>
      </c>
      <c r="L607" s="71">
        <v>0.91666666666666696</v>
      </c>
      <c r="M607" s="72">
        <v>0.87272727272727302</v>
      </c>
      <c r="N607" s="71">
        <v>0.90056818181818199</v>
      </c>
      <c r="O607" s="73">
        <v>0.9</v>
      </c>
      <c r="P607" s="71">
        <v>0.98570611778158901</v>
      </c>
      <c r="Q607" s="71">
        <v>0.98463941681853695</v>
      </c>
      <c r="R607" s="71">
        <v>0.93481759656652397</v>
      </c>
      <c r="S607" s="71">
        <v>0.96684686408649501</v>
      </c>
      <c r="T607" s="73">
        <v>0.9</v>
      </c>
      <c r="U607" s="71">
        <v>0.92538593481989695</v>
      </c>
      <c r="V607" s="71">
        <v>0.93204894558708695</v>
      </c>
      <c r="W607" s="71">
        <v>0.87553648068669498</v>
      </c>
      <c r="X607" s="71">
        <v>0.89996651198392597</v>
      </c>
      <c r="Y607" s="73">
        <v>0.92</v>
      </c>
      <c r="Z607" s="73">
        <v>0.940119760479042</v>
      </c>
      <c r="AA607" s="73">
        <v>0.88673139158576098</v>
      </c>
      <c r="AB607" s="73">
        <v>0.85451943715716705</v>
      </c>
      <c r="AC607" s="73">
        <v>0.89793066137685396</v>
      </c>
      <c r="AD607" s="73">
        <v>0.92</v>
      </c>
      <c r="AE607" s="71">
        <v>0.99939811610340401</v>
      </c>
      <c r="AF607" s="71">
        <v>0.99276713567271302</v>
      </c>
      <c r="AG607" s="71">
        <v>0.99609710405120599</v>
      </c>
      <c r="AH607" s="71">
        <v>0.99188525465352195</v>
      </c>
      <c r="AI607" s="73">
        <v>0.92</v>
      </c>
      <c r="AJ607" s="71">
        <v>0.95208518189884594</v>
      </c>
      <c r="AK607" s="71">
        <v>0.93919239904988105</v>
      </c>
      <c r="AL607" s="71">
        <v>0.89579916740254795</v>
      </c>
      <c r="AM607" s="71">
        <v>0.93302323423308497</v>
      </c>
      <c r="AN607" s="70">
        <v>0.99</v>
      </c>
      <c r="AO607" s="75">
        <v>1</v>
      </c>
      <c r="AP607" s="75">
        <v>1</v>
      </c>
      <c r="AQ607" s="75">
        <v>1</v>
      </c>
      <c r="AR607" s="75">
        <v>1</v>
      </c>
      <c r="AS607" s="95">
        <v>0.05</v>
      </c>
      <c r="AT607" s="79">
        <v>8.1632653061224497E-2</v>
      </c>
      <c r="AU607" s="79">
        <v>0.125</v>
      </c>
      <c r="AV607" s="79">
        <v>1.5625E-2</v>
      </c>
      <c r="AW607" s="79">
        <v>6.4171122994652399E-2</v>
      </c>
      <c r="AX607" s="56"/>
      <c r="AY607" s="54"/>
    </row>
    <row r="608" spans="1:51">
      <c r="A608" s="53"/>
      <c r="B608" s="56"/>
      <c r="C608" s="90" t="s">
        <v>370</v>
      </c>
      <c r="D608" s="230" t="s">
        <v>1757</v>
      </c>
      <c r="E608" s="68" t="s">
        <v>371</v>
      </c>
      <c r="F608" s="91" t="s">
        <v>629</v>
      </c>
      <c r="G608" s="91" t="s">
        <v>629</v>
      </c>
      <c r="H608" s="91" t="s">
        <v>629</v>
      </c>
      <c r="I608" s="91" t="s">
        <v>629</v>
      </c>
      <c r="J608" s="70">
        <v>0.9</v>
      </c>
      <c r="K608" s="71">
        <v>0.94117647058823495</v>
      </c>
      <c r="L608" s="71">
        <v>0.95833333333333304</v>
      </c>
      <c r="M608" s="72">
        <v>0.93421052631578905</v>
      </c>
      <c r="N608" s="71">
        <v>0.92725173210161704</v>
      </c>
      <c r="O608" s="73">
        <v>0.9</v>
      </c>
      <c r="P608" s="71">
        <v>0.92050321199143503</v>
      </c>
      <c r="Q608" s="71">
        <v>0.93950563746747595</v>
      </c>
      <c r="R608" s="71">
        <v>0.93755595344673204</v>
      </c>
      <c r="S608" s="71">
        <v>0.93997235569012005</v>
      </c>
      <c r="T608" s="73">
        <v>0.9</v>
      </c>
      <c r="U608" s="71">
        <v>0.87339400428265501</v>
      </c>
      <c r="V608" s="71">
        <v>0.87012142237640899</v>
      </c>
      <c r="W608" s="71">
        <v>0.89413607878245305</v>
      </c>
      <c r="X608" s="71">
        <v>0.88900590184076</v>
      </c>
      <c r="Y608" s="73">
        <v>0.92</v>
      </c>
      <c r="Z608" s="73">
        <v>0.92224052718286698</v>
      </c>
      <c r="AA608" s="73">
        <v>0.94007191370355603</v>
      </c>
      <c r="AB608" s="73">
        <v>0.92789205927892104</v>
      </c>
      <c r="AC608" s="73">
        <v>0.94011218342178304</v>
      </c>
      <c r="AD608" s="73">
        <v>0.92</v>
      </c>
      <c r="AE608" s="71">
        <v>0.99121727269702897</v>
      </c>
      <c r="AF608" s="71">
        <v>0.99777888581659901</v>
      </c>
      <c r="AG608" s="71">
        <v>0.99977852832069103</v>
      </c>
      <c r="AH608" s="71">
        <v>0.99873572675643696</v>
      </c>
      <c r="AI608" s="73">
        <v>0.92</v>
      </c>
      <c r="AJ608" s="71">
        <v>0.934793683138054</v>
      </c>
      <c r="AK608" s="71">
        <v>0.955966905062404</v>
      </c>
      <c r="AL608" s="71">
        <v>0.94940509284999397</v>
      </c>
      <c r="AM608" s="71">
        <v>0.95496993601898095</v>
      </c>
      <c r="AN608" s="70">
        <v>0.99</v>
      </c>
      <c r="AO608" s="75">
        <v>1</v>
      </c>
      <c r="AP608" s="75">
        <v>1</v>
      </c>
      <c r="AQ608" s="75">
        <v>1</v>
      </c>
      <c r="AR608" s="75">
        <v>1</v>
      </c>
      <c r="AS608" s="95">
        <v>0.05</v>
      </c>
      <c r="AT608" s="79">
        <v>0</v>
      </c>
      <c r="AU608" s="79">
        <v>3.8461538461538498E-2</v>
      </c>
      <c r="AV608" s="79">
        <v>3.03030303030303E-2</v>
      </c>
      <c r="AW608" s="79">
        <v>2.1226415094339601E-2</v>
      </c>
      <c r="AX608" s="56"/>
      <c r="AY608" s="54"/>
    </row>
    <row r="609" spans="1:51">
      <c r="A609" s="53"/>
      <c r="B609" s="56"/>
      <c r="C609" s="90" t="s">
        <v>370</v>
      </c>
      <c r="D609" s="230" t="s">
        <v>1757</v>
      </c>
      <c r="E609" s="68" t="s">
        <v>371</v>
      </c>
      <c r="F609" s="91" t="s">
        <v>630</v>
      </c>
      <c r="G609" s="91" t="s">
        <v>630</v>
      </c>
      <c r="H609" s="91" t="s">
        <v>630</v>
      </c>
      <c r="I609" s="91" t="s">
        <v>630</v>
      </c>
      <c r="J609" s="70">
        <v>0.9</v>
      </c>
      <c r="K609" s="71">
        <v>0.90909090909090895</v>
      </c>
      <c r="L609" s="71">
        <v>0.94594594594594605</v>
      </c>
      <c r="M609" s="72">
        <v>0.90410958904109595</v>
      </c>
      <c r="N609" s="71">
        <v>0.93902439024390205</v>
      </c>
      <c r="O609" s="73">
        <v>0.9</v>
      </c>
      <c r="P609" s="71">
        <v>0.95805892547660298</v>
      </c>
      <c r="Q609" s="71">
        <v>0.959008926944799</v>
      </c>
      <c r="R609" s="71">
        <v>0.95494505494505499</v>
      </c>
      <c r="S609" s="71">
        <v>0.962412277592684</v>
      </c>
      <c r="T609" s="73">
        <v>0.9</v>
      </c>
      <c r="U609" s="71">
        <v>0.91646447140381304</v>
      </c>
      <c r="V609" s="71">
        <v>0.87429404263071597</v>
      </c>
      <c r="W609" s="71">
        <v>0.86666666666666703</v>
      </c>
      <c r="X609" s="71">
        <v>0.90084709718579403</v>
      </c>
      <c r="Y609" s="73">
        <v>0.92</v>
      </c>
      <c r="Z609" s="73">
        <v>0.93961352657004804</v>
      </c>
      <c r="AA609" s="73">
        <v>0.937827715355805</v>
      </c>
      <c r="AB609" s="73">
        <v>0.90553074544830003</v>
      </c>
      <c r="AC609" s="73">
        <v>0.93350563909774398</v>
      </c>
      <c r="AD609" s="73">
        <v>0.92</v>
      </c>
      <c r="AE609" s="71">
        <v>0.99753815854258998</v>
      </c>
      <c r="AF609" s="71">
        <v>0.91186440677966096</v>
      </c>
      <c r="AG609" s="71">
        <v>0.99182839632277797</v>
      </c>
      <c r="AH609" s="71">
        <v>0.97846069419673498</v>
      </c>
      <c r="AI609" s="73">
        <v>0.92</v>
      </c>
      <c r="AJ609" s="71">
        <v>0.95588235294117696</v>
      </c>
      <c r="AK609" s="71">
        <v>0.96880035154533495</v>
      </c>
      <c r="AL609" s="71">
        <v>0.94039655996177696</v>
      </c>
      <c r="AM609" s="71">
        <v>0.96374434458116398</v>
      </c>
      <c r="AN609" s="70">
        <v>0.99</v>
      </c>
      <c r="AO609" s="75">
        <v>1</v>
      </c>
      <c r="AP609" s="75">
        <v>1</v>
      </c>
      <c r="AQ609" s="75">
        <v>1</v>
      </c>
      <c r="AR609" s="75">
        <v>1</v>
      </c>
      <c r="AS609" s="95">
        <v>0.05</v>
      </c>
      <c r="AT609" s="79">
        <v>3.0030030030029999E-3</v>
      </c>
      <c r="AU609" s="79">
        <v>4.20168067226891E-3</v>
      </c>
      <c r="AV609" s="79">
        <v>0</v>
      </c>
      <c r="AW609" s="79">
        <v>3.7067545304777598E-3</v>
      </c>
      <c r="AX609" s="56"/>
      <c r="AY609" s="54"/>
    </row>
    <row r="610" spans="1:51">
      <c r="A610" s="53"/>
      <c r="B610" s="56"/>
      <c r="C610" s="90" t="s">
        <v>370</v>
      </c>
      <c r="D610" s="230" t="s">
        <v>1757</v>
      </c>
      <c r="E610" s="68" t="s">
        <v>371</v>
      </c>
      <c r="F610" s="91" t="s">
        <v>631</v>
      </c>
      <c r="G610" s="91" t="s">
        <v>631</v>
      </c>
      <c r="H610" s="91" t="s">
        <v>631</v>
      </c>
      <c r="I610" s="91" t="s">
        <v>631</v>
      </c>
      <c r="J610" s="70">
        <v>0.9</v>
      </c>
      <c r="K610" s="71">
        <v>1</v>
      </c>
      <c r="L610" s="71">
        <v>0.98181818181818203</v>
      </c>
      <c r="M610" s="72">
        <v>0.98387096774193505</v>
      </c>
      <c r="N610" s="71">
        <v>0.99386503067484699</v>
      </c>
      <c r="O610" s="73">
        <v>0.9</v>
      </c>
      <c r="P610" s="71">
        <v>0.98797595190380805</v>
      </c>
      <c r="Q610" s="71">
        <v>0.98497809305236805</v>
      </c>
      <c r="R610" s="71">
        <v>0.98940082197707102</v>
      </c>
      <c r="S610" s="71">
        <v>0.98634952126283104</v>
      </c>
      <c r="T610" s="73">
        <v>0.9</v>
      </c>
      <c r="U610" s="71">
        <v>0.955511022044088</v>
      </c>
      <c r="V610" s="71">
        <v>0.93407051950761499</v>
      </c>
      <c r="W610" s="71">
        <v>0.95846852693056495</v>
      </c>
      <c r="X610" s="71">
        <v>0.94964633830759904</v>
      </c>
      <c r="Y610" s="73">
        <v>0.92</v>
      </c>
      <c r="Z610" s="73">
        <v>0.94711824123588795</v>
      </c>
      <c r="AA610" s="73">
        <v>0.93844492440604799</v>
      </c>
      <c r="AB610" s="73">
        <v>0.95654478007419197</v>
      </c>
      <c r="AC610" s="73">
        <v>0.94843953957517502</v>
      </c>
      <c r="AD610" s="73">
        <v>0.92</v>
      </c>
      <c r="AE610" s="71">
        <v>0.99847715736040599</v>
      </c>
      <c r="AF610" s="71">
        <v>0.995391705069124</v>
      </c>
      <c r="AG610" s="71">
        <v>0.98750000000000004</v>
      </c>
      <c r="AH610" s="71">
        <v>0.99560038630754399</v>
      </c>
      <c r="AI610" s="73">
        <v>0.92</v>
      </c>
      <c r="AJ610" s="71">
        <v>0.97086219250059702</v>
      </c>
      <c r="AK610" s="71">
        <v>0.97728067109402295</v>
      </c>
      <c r="AL610" s="71">
        <v>0.98064813392719996</v>
      </c>
      <c r="AM610" s="71">
        <v>0.97908564924594499</v>
      </c>
      <c r="AN610" s="70">
        <v>0.99</v>
      </c>
      <c r="AO610" s="75">
        <v>1</v>
      </c>
      <c r="AP610" s="75">
        <v>1</v>
      </c>
      <c r="AQ610" s="75">
        <v>1</v>
      </c>
      <c r="AR610" s="75">
        <v>1</v>
      </c>
      <c r="AS610" s="95">
        <v>0.05</v>
      </c>
      <c r="AT610" s="79">
        <v>4.0322580645161303E-2</v>
      </c>
      <c r="AU610" s="79">
        <v>0</v>
      </c>
      <c r="AV610" s="79">
        <v>0</v>
      </c>
      <c r="AW610" s="79">
        <v>1.1020881670533601E-2</v>
      </c>
      <c r="AX610" s="56"/>
      <c r="AY610" s="54"/>
    </row>
    <row r="611" spans="1:51">
      <c r="A611" s="53"/>
      <c r="B611" s="56"/>
      <c r="C611" s="90" t="s">
        <v>370</v>
      </c>
      <c r="D611" s="230" t="s">
        <v>1757</v>
      </c>
      <c r="E611" s="68" t="s">
        <v>371</v>
      </c>
      <c r="F611" s="91" t="s">
        <v>632</v>
      </c>
      <c r="G611" s="91" t="s">
        <v>632</v>
      </c>
      <c r="H611" s="91" t="s">
        <v>632</v>
      </c>
      <c r="I611" s="91" t="s">
        <v>632</v>
      </c>
      <c r="J611" s="70">
        <v>0.9</v>
      </c>
      <c r="K611" s="71">
        <v>0.89130434782608703</v>
      </c>
      <c r="L611" s="71">
        <v>0.84313725490196101</v>
      </c>
      <c r="M611" s="72">
        <v>0.95454545454545503</v>
      </c>
      <c r="N611" s="71">
        <v>0.91666666666666696</v>
      </c>
      <c r="O611" s="73">
        <v>0.9</v>
      </c>
      <c r="P611" s="71">
        <v>0.913573970513472</v>
      </c>
      <c r="Q611" s="71">
        <v>0.92169520067359001</v>
      </c>
      <c r="R611" s="71">
        <v>0.94117647058823495</v>
      </c>
      <c r="S611" s="71">
        <v>0.93541304285836502</v>
      </c>
      <c r="T611" s="73">
        <v>0.9</v>
      </c>
      <c r="U611" s="71">
        <v>0.87086934417895301</v>
      </c>
      <c r="V611" s="71">
        <v>0.83609317990457499</v>
      </c>
      <c r="W611" s="71">
        <v>0.81657490582439896</v>
      </c>
      <c r="X611" s="71">
        <v>0.85653996407083199</v>
      </c>
      <c r="Y611" s="73">
        <v>0.92</v>
      </c>
      <c r="Z611" s="73">
        <v>0.94144437215354604</v>
      </c>
      <c r="AA611" s="73">
        <v>0.95552884615384603</v>
      </c>
      <c r="AB611" s="73">
        <v>0.91271236086701801</v>
      </c>
      <c r="AC611" s="73">
        <v>0.93227472737708095</v>
      </c>
      <c r="AD611" s="73">
        <v>0.92</v>
      </c>
      <c r="AE611" s="71">
        <v>1</v>
      </c>
      <c r="AF611" s="71">
        <v>0.99249530956847998</v>
      </c>
      <c r="AG611" s="71">
        <v>0.98481561822125796</v>
      </c>
      <c r="AH611" s="71">
        <v>0.96277192195559502</v>
      </c>
      <c r="AI611" s="73">
        <v>0.92</v>
      </c>
      <c r="AJ611" s="71">
        <v>0.95126816756910804</v>
      </c>
      <c r="AK611" s="71">
        <v>0.97931818181818198</v>
      </c>
      <c r="AL611" s="71">
        <v>0.95388490602596399</v>
      </c>
      <c r="AM611" s="71">
        <v>0.96486944192824198</v>
      </c>
      <c r="AN611" s="70">
        <v>0.99</v>
      </c>
      <c r="AO611" s="75">
        <v>1</v>
      </c>
      <c r="AP611" s="75">
        <v>1</v>
      </c>
      <c r="AQ611" s="75">
        <v>1</v>
      </c>
      <c r="AR611" s="75">
        <v>1</v>
      </c>
      <c r="AS611" s="95">
        <v>0.05</v>
      </c>
      <c r="AT611" s="79">
        <v>0</v>
      </c>
      <c r="AU611" s="79">
        <v>0.2</v>
      </c>
      <c r="AV611" s="79">
        <v>9.0909090909090898E-2</v>
      </c>
      <c r="AW611" s="79">
        <v>9.1743119266055106E-2</v>
      </c>
      <c r="AX611" s="56"/>
      <c r="AY611" s="54"/>
    </row>
    <row r="612" spans="1:51">
      <c r="A612" s="53"/>
      <c r="B612" s="56"/>
      <c r="C612" s="90" t="s">
        <v>370</v>
      </c>
      <c r="D612" s="230" t="s">
        <v>1757</v>
      </c>
      <c r="E612" s="68" t="s">
        <v>371</v>
      </c>
      <c r="F612" s="91" t="s">
        <v>633</v>
      </c>
      <c r="G612" s="91" t="s">
        <v>633</v>
      </c>
      <c r="H612" s="91" t="s">
        <v>633</v>
      </c>
      <c r="I612" s="91" t="s">
        <v>633</v>
      </c>
      <c r="J612" s="70">
        <v>0.9</v>
      </c>
      <c r="K612" s="71">
        <v>0.88888888888888895</v>
      </c>
      <c r="L612" s="71">
        <v>0.97560975609756095</v>
      </c>
      <c r="M612" s="72">
        <v>0.97560975609756095</v>
      </c>
      <c r="N612" s="71">
        <v>0.97321428571428603</v>
      </c>
      <c r="O612" s="73">
        <v>0.9</v>
      </c>
      <c r="P612" s="71">
        <v>0.98215384615384604</v>
      </c>
      <c r="Q612" s="71">
        <v>0.98228609625668495</v>
      </c>
      <c r="R612" s="71">
        <v>0.986810135369663</v>
      </c>
      <c r="S612" s="71">
        <v>0.984936348351234</v>
      </c>
      <c r="T612" s="73">
        <v>0.9</v>
      </c>
      <c r="U612" s="71">
        <v>0.91630769230769205</v>
      </c>
      <c r="V612" s="71">
        <v>0.86463903743315496</v>
      </c>
      <c r="W612" s="71">
        <v>0.92120791391877799</v>
      </c>
      <c r="X612" s="71">
        <v>0.90711320042548804</v>
      </c>
      <c r="Y612" s="73">
        <v>0.92</v>
      </c>
      <c r="Z612" s="73">
        <v>0.93879239040529405</v>
      </c>
      <c r="AA612" s="73">
        <v>0.91850828729281797</v>
      </c>
      <c r="AB612" s="73">
        <v>0.90902140672782905</v>
      </c>
      <c r="AC612" s="73">
        <v>0.92333763718528095</v>
      </c>
      <c r="AD612" s="73">
        <v>0.92</v>
      </c>
      <c r="AE612" s="71">
        <v>0.99771949828962403</v>
      </c>
      <c r="AF612" s="71">
        <v>0.99249061326658305</v>
      </c>
      <c r="AG612" s="71">
        <v>0.98542805100182196</v>
      </c>
      <c r="AH612" s="71">
        <v>0.99346832135858898</v>
      </c>
      <c r="AI612" s="73">
        <v>0.92</v>
      </c>
      <c r="AJ612" s="71">
        <v>0.95842142353770299</v>
      </c>
      <c r="AK612" s="71">
        <v>0.96797631862217404</v>
      </c>
      <c r="AL612" s="71">
        <v>0.96013368345667205</v>
      </c>
      <c r="AM612" s="71">
        <v>0.96517700286381203</v>
      </c>
      <c r="AN612" s="70">
        <v>0.99</v>
      </c>
      <c r="AO612" s="75">
        <v>1</v>
      </c>
      <c r="AP612" s="75">
        <v>1</v>
      </c>
      <c r="AQ612" s="75">
        <v>1</v>
      </c>
      <c r="AR612" s="75">
        <v>1</v>
      </c>
      <c r="AS612" s="95">
        <v>0.05</v>
      </c>
      <c r="AT612" s="79">
        <v>0</v>
      </c>
      <c r="AU612" s="79">
        <v>0</v>
      </c>
      <c r="AV612" s="79">
        <v>0</v>
      </c>
      <c r="AW612" s="79">
        <v>3.125E-2</v>
      </c>
      <c r="AX612" s="56"/>
      <c r="AY612" s="54"/>
    </row>
    <row r="613" spans="1:51">
      <c r="A613" s="53"/>
      <c r="B613" s="56"/>
      <c r="C613" s="90" t="s">
        <v>370</v>
      </c>
      <c r="D613" s="230" t="s">
        <v>1757</v>
      </c>
      <c r="E613" s="68" t="s">
        <v>371</v>
      </c>
      <c r="F613" s="91" t="s">
        <v>634</v>
      </c>
      <c r="G613" s="91" t="s">
        <v>634</v>
      </c>
      <c r="H613" s="91" t="s">
        <v>634</v>
      </c>
      <c r="I613" s="91" t="s">
        <v>634</v>
      </c>
      <c r="J613" s="70">
        <v>0.9</v>
      </c>
      <c r="K613" s="71">
        <v>0.86363636363636398</v>
      </c>
      <c r="L613" s="71">
        <v>0.77272727272727304</v>
      </c>
      <c r="M613" s="72">
        <v>0.83333333333333304</v>
      </c>
      <c r="N613" s="71">
        <v>0.79649122807017503</v>
      </c>
      <c r="O613" s="73">
        <v>0.9</v>
      </c>
      <c r="P613" s="71" t="s">
        <v>1710</v>
      </c>
      <c r="Q613" s="71" t="s">
        <v>1710</v>
      </c>
      <c r="R613" s="71" t="s">
        <v>1710</v>
      </c>
      <c r="S613" s="71" t="s">
        <v>1710</v>
      </c>
      <c r="T613" s="73">
        <v>0.9</v>
      </c>
      <c r="U613" s="71" t="s">
        <v>1710</v>
      </c>
      <c r="V613" s="71" t="s">
        <v>1710</v>
      </c>
      <c r="W613" s="71" t="s">
        <v>1710</v>
      </c>
      <c r="X613" s="71" t="s">
        <v>1710</v>
      </c>
      <c r="Y613" s="73">
        <v>0.92</v>
      </c>
      <c r="Z613" s="73">
        <v>0</v>
      </c>
      <c r="AA613" s="73" t="s">
        <v>1710</v>
      </c>
      <c r="AB613" s="73" t="s">
        <v>1710</v>
      </c>
      <c r="AC613" s="73">
        <v>0.4</v>
      </c>
      <c r="AD613" s="73">
        <v>0.92</v>
      </c>
      <c r="AE613" s="71">
        <v>0.97777777777777797</v>
      </c>
      <c r="AF613" s="71">
        <v>1</v>
      </c>
      <c r="AG613" s="71">
        <v>0.8</v>
      </c>
      <c r="AH613" s="71">
        <v>0.94277108433734902</v>
      </c>
      <c r="AI613" s="73">
        <v>0.92</v>
      </c>
      <c r="AJ613" s="71">
        <v>0.87112010796221295</v>
      </c>
      <c r="AK613" s="71">
        <v>0.81434599156118104</v>
      </c>
      <c r="AL613" s="71">
        <v>0.83908045977011503</v>
      </c>
      <c r="AM613" s="71">
        <v>0.89664671473268898</v>
      </c>
      <c r="AN613" s="70">
        <v>0.99</v>
      </c>
      <c r="AO613" s="75">
        <v>1</v>
      </c>
      <c r="AP613" s="75">
        <v>1</v>
      </c>
      <c r="AQ613" s="75">
        <v>1</v>
      </c>
      <c r="AR613" s="75">
        <v>1</v>
      </c>
      <c r="AS613" s="95">
        <v>0.05</v>
      </c>
      <c r="AT613" s="79">
        <v>0.16666666666666699</v>
      </c>
      <c r="AU613" s="79">
        <v>0.1</v>
      </c>
      <c r="AV613" s="79">
        <v>0</v>
      </c>
      <c r="AW613" s="79">
        <v>4.0404040404040401E-2</v>
      </c>
      <c r="AX613" s="56"/>
      <c r="AY613" s="54"/>
    </row>
    <row r="614" spans="1:51">
      <c r="A614" s="53"/>
      <c r="B614" s="56"/>
      <c r="C614" s="90" t="s">
        <v>370</v>
      </c>
      <c r="D614" s="230" t="s">
        <v>1757</v>
      </c>
      <c r="E614" s="68" t="s">
        <v>371</v>
      </c>
      <c r="F614" s="91" t="s">
        <v>635</v>
      </c>
      <c r="G614" s="91" t="s">
        <v>635</v>
      </c>
      <c r="H614" s="91" t="s">
        <v>635</v>
      </c>
      <c r="I614" s="91" t="s">
        <v>635</v>
      </c>
      <c r="J614" s="70">
        <v>0.9</v>
      </c>
      <c r="K614" s="71">
        <v>0.94666666666666699</v>
      </c>
      <c r="L614" s="71">
        <v>0.92134831460674205</v>
      </c>
      <c r="M614" s="72">
        <v>0.91666666666666696</v>
      </c>
      <c r="N614" s="71">
        <v>0.94279661016949201</v>
      </c>
      <c r="O614" s="73">
        <v>0.9</v>
      </c>
      <c r="P614" s="71">
        <v>0.80952380952380998</v>
      </c>
      <c r="Q614" s="71">
        <v>0.95</v>
      </c>
      <c r="R614" s="71">
        <v>0.95652173913043503</v>
      </c>
      <c r="S614" s="71">
        <v>0.96</v>
      </c>
      <c r="T614" s="73">
        <v>0.9</v>
      </c>
      <c r="U614" s="71">
        <v>0.80952380952380998</v>
      </c>
      <c r="V614" s="71">
        <v>0.95</v>
      </c>
      <c r="W614" s="71">
        <v>0.95652173913043503</v>
      </c>
      <c r="X614" s="71">
        <v>0.96</v>
      </c>
      <c r="Y614" s="73">
        <v>0.92</v>
      </c>
      <c r="Z614" s="73">
        <v>0.25</v>
      </c>
      <c r="AA614" s="73">
        <v>1</v>
      </c>
      <c r="AB614" s="73">
        <v>1</v>
      </c>
      <c r="AC614" s="73">
        <v>0.5</v>
      </c>
      <c r="AD614" s="73">
        <v>0.92</v>
      </c>
      <c r="AE614" s="71">
        <v>0.99852637783672304</v>
      </c>
      <c r="AF614" s="71">
        <v>0.97039638735574496</v>
      </c>
      <c r="AG614" s="71">
        <v>0.98221878623888703</v>
      </c>
      <c r="AH614" s="71">
        <v>0.98926252403235704</v>
      </c>
      <c r="AI614" s="73">
        <v>0.92</v>
      </c>
      <c r="AJ614" s="71">
        <v>0.94983849515485497</v>
      </c>
      <c r="AK614" s="71">
        <v>0.95345252774352696</v>
      </c>
      <c r="AL614" s="71">
        <v>0.95040768457500302</v>
      </c>
      <c r="AM614" s="71">
        <v>0.95726447665853198</v>
      </c>
      <c r="AN614" s="70">
        <v>0.99</v>
      </c>
      <c r="AO614" s="75">
        <v>1</v>
      </c>
      <c r="AP614" s="75">
        <v>1</v>
      </c>
      <c r="AQ614" s="75">
        <v>1</v>
      </c>
      <c r="AR614" s="75">
        <v>1</v>
      </c>
      <c r="AS614" s="95">
        <v>0.05</v>
      </c>
      <c r="AT614" s="79">
        <v>3.4687809712586698E-2</v>
      </c>
      <c r="AU614" s="79">
        <v>7.9875518672199206E-2</v>
      </c>
      <c r="AV614" s="79">
        <v>3.96902226524685E-2</v>
      </c>
      <c r="AW614" s="79">
        <v>2.17232714598363E-2</v>
      </c>
      <c r="AX614" s="56"/>
      <c r="AY614" s="54"/>
    </row>
    <row r="615" spans="1:51">
      <c r="A615" s="53"/>
      <c r="B615" s="56"/>
      <c r="C615" s="90" t="s">
        <v>370</v>
      </c>
      <c r="D615" s="230" t="s">
        <v>1757</v>
      </c>
      <c r="E615" s="68" t="s">
        <v>371</v>
      </c>
      <c r="F615" s="91" t="s">
        <v>636</v>
      </c>
      <c r="G615" s="91" t="s">
        <v>636</v>
      </c>
      <c r="H615" s="91" t="s">
        <v>636</v>
      </c>
      <c r="I615" s="91" t="s">
        <v>636</v>
      </c>
      <c r="J615" s="70">
        <v>0.9</v>
      </c>
      <c r="K615" s="71">
        <v>1</v>
      </c>
      <c r="L615" s="71">
        <v>0.94736842105263197</v>
      </c>
      <c r="M615" s="72">
        <v>0.94117647058823495</v>
      </c>
      <c r="N615" s="71">
        <v>0.97101449275362295</v>
      </c>
      <c r="O615" s="73">
        <v>0.9</v>
      </c>
      <c r="P615" s="71">
        <v>0.94877267876200599</v>
      </c>
      <c r="Q615" s="71">
        <v>0.96563573883161502</v>
      </c>
      <c r="R615" s="71">
        <v>0.94305239179954403</v>
      </c>
      <c r="S615" s="71">
        <v>0.96218882104274295</v>
      </c>
      <c r="T615" s="73">
        <v>0.9</v>
      </c>
      <c r="U615" s="71">
        <v>0.92529348986125903</v>
      </c>
      <c r="V615" s="71">
        <v>0.92038946162657498</v>
      </c>
      <c r="W615" s="71">
        <v>0.86389521640091105</v>
      </c>
      <c r="X615" s="71">
        <v>0.91645138562705497</v>
      </c>
      <c r="Y615" s="73">
        <v>0.92</v>
      </c>
      <c r="Z615" s="73">
        <v>0.94095940959409596</v>
      </c>
      <c r="AA615" s="73">
        <v>0.92248062015503896</v>
      </c>
      <c r="AB615" s="73">
        <v>0.96695652173913005</v>
      </c>
      <c r="AC615" s="73">
        <v>0.95509854327334998</v>
      </c>
      <c r="AD615" s="73">
        <v>0.92</v>
      </c>
      <c r="AE615" s="71">
        <v>0.98611111111111105</v>
      </c>
      <c r="AF615" s="71">
        <v>0.95081967213114704</v>
      </c>
      <c r="AG615" s="71">
        <v>0.95121951219512202</v>
      </c>
      <c r="AH615" s="71">
        <v>0.96758703481392605</v>
      </c>
      <c r="AI615" s="73">
        <v>0.92</v>
      </c>
      <c r="AJ615" s="71">
        <v>0.94733288318703601</v>
      </c>
      <c r="AK615" s="71">
        <v>0.97506234413965098</v>
      </c>
      <c r="AL615" s="71">
        <v>0.98241098241098201</v>
      </c>
      <c r="AM615" s="71">
        <v>0.97443181818181801</v>
      </c>
      <c r="AN615" s="70">
        <v>0.99</v>
      </c>
      <c r="AO615" s="75">
        <v>1</v>
      </c>
      <c r="AP615" s="75">
        <v>1</v>
      </c>
      <c r="AQ615" s="75">
        <v>1</v>
      </c>
      <c r="AR615" s="75">
        <v>1</v>
      </c>
      <c r="AS615" s="95">
        <v>0.05</v>
      </c>
      <c r="AT615" s="79">
        <v>0</v>
      </c>
      <c r="AU615" s="79">
        <v>0</v>
      </c>
      <c r="AV615" s="79">
        <v>0</v>
      </c>
      <c r="AW615" s="79">
        <v>0.1875</v>
      </c>
      <c r="AX615" s="56"/>
      <c r="AY615" s="54"/>
    </row>
    <row r="616" spans="1:51">
      <c r="A616" s="53"/>
      <c r="B616" s="56"/>
      <c r="C616" s="90" t="s">
        <v>370</v>
      </c>
      <c r="D616" s="230" t="s">
        <v>1757</v>
      </c>
      <c r="E616" s="68" t="s">
        <v>371</v>
      </c>
      <c r="F616" s="91" t="s">
        <v>637</v>
      </c>
      <c r="G616" s="91" t="s">
        <v>637</v>
      </c>
      <c r="H616" s="91" t="s">
        <v>637</v>
      </c>
      <c r="I616" s="91" t="s">
        <v>637</v>
      </c>
      <c r="J616" s="70">
        <v>0.9</v>
      </c>
      <c r="K616" s="71">
        <v>0.875</v>
      </c>
      <c r="L616" s="71">
        <v>0.84693877551020402</v>
      </c>
      <c r="M616" s="72">
        <v>0.87640449438202295</v>
      </c>
      <c r="N616" s="71">
        <v>0.89785992217898802</v>
      </c>
      <c r="O616" s="73">
        <v>0.9</v>
      </c>
      <c r="P616" s="71">
        <v>9.0909090909090898E-2</v>
      </c>
      <c r="Q616" s="71" t="s">
        <v>1710</v>
      </c>
      <c r="R616" s="71">
        <v>0</v>
      </c>
      <c r="S616" s="71">
        <v>0.53521126760563398</v>
      </c>
      <c r="T616" s="73">
        <v>0.9</v>
      </c>
      <c r="U616" s="71">
        <v>0.22727272727272699</v>
      </c>
      <c r="V616" s="71" t="s">
        <v>1710</v>
      </c>
      <c r="W616" s="71">
        <v>0</v>
      </c>
      <c r="X616" s="71">
        <v>0.61971830985915499</v>
      </c>
      <c r="Y616" s="73">
        <v>0.92</v>
      </c>
      <c r="Z616" s="73">
        <v>0.4</v>
      </c>
      <c r="AA616" s="73">
        <v>0.88888888888888895</v>
      </c>
      <c r="AB616" s="73">
        <v>1</v>
      </c>
      <c r="AC616" s="73">
        <v>0.78571428571428603</v>
      </c>
      <c r="AD616" s="73">
        <v>0.92</v>
      </c>
      <c r="AE616" s="71">
        <v>0.99639801891040103</v>
      </c>
      <c r="AF616" s="71">
        <v>0.99783174327840396</v>
      </c>
      <c r="AG616" s="71">
        <v>0.99440402909904901</v>
      </c>
      <c r="AH616" s="71">
        <v>0.996368948247078</v>
      </c>
      <c r="AI616" s="73">
        <v>0.92</v>
      </c>
      <c r="AJ616" s="71">
        <v>0.96409305461901595</v>
      </c>
      <c r="AK616" s="71">
        <v>0.97032188648794004</v>
      </c>
      <c r="AL616" s="71">
        <v>0.96522251694665495</v>
      </c>
      <c r="AM616" s="71">
        <v>0.97695227510337102</v>
      </c>
      <c r="AN616" s="70">
        <v>0.99</v>
      </c>
      <c r="AO616" s="75">
        <v>1</v>
      </c>
      <c r="AP616" s="75">
        <v>1</v>
      </c>
      <c r="AQ616" s="75">
        <v>1</v>
      </c>
      <c r="AR616" s="75">
        <v>1</v>
      </c>
      <c r="AS616" s="95">
        <v>0.05</v>
      </c>
      <c r="AT616" s="79">
        <v>1.0020040080160299E-2</v>
      </c>
      <c r="AU616" s="79">
        <v>1.9047619047619E-3</v>
      </c>
      <c r="AV616" s="79">
        <v>9.63391136801541E-3</v>
      </c>
      <c r="AW616" s="79">
        <v>5.8383233532934096E-3</v>
      </c>
      <c r="AX616" s="56"/>
      <c r="AY616" s="54"/>
    </row>
    <row r="617" spans="1:51">
      <c r="A617" s="53"/>
      <c r="B617" s="56"/>
      <c r="C617" s="90" t="s">
        <v>370</v>
      </c>
      <c r="D617" s="230" t="s">
        <v>1757</v>
      </c>
      <c r="E617" s="68" t="s">
        <v>371</v>
      </c>
      <c r="F617" s="91" t="s">
        <v>638</v>
      </c>
      <c r="G617" s="91" t="s">
        <v>638</v>
      </c>
      <c r="H617" s="91" t="s">
        <v>638</v>
      </c>
      <c r="I617" s="91" t="s">
        <v>638</v>
      </c>
      <c r="J617" s="70">
        <v>0.9</v>
      </c>
      <c r="K617" s="71">
        <v>1</v>
      </c>
      <c r="L617" s="71">
        <v>1</v>
      </c>
      <c r="M617" s="72">
        <v>0.98795180722891596</v>
      </c>
      <c r="N617" s="71">
        <v>0.998971193415638</v>
      </c>
      <c r="O617" s="73">
        <v>0.9</v>
      </c>
      <c r="P617" s="71">
        <v>0.990412272291467</v>
      </c>
      <c r="Q617" s="71">
        <v>0.99475320637388298</v>
      </c>
      <c r="R617" s="71">
        <v>0.98416886543535598</v>
      </c>
      <c r="S617" s="71">
        <v>0.99237681938630495</v>
      </c>
      <c r="T617" s="73">
        <v>0.9</v>
      </c>
      <c r="U617" s="71">
        <v>0.95805369127516804</v>
      </c>
      <c r="V617" s="71">
        <v>0.94636610959968903</v>
      </c>
      <c r="W617" s="71">
        <v>0.92159819072747795</v>
      </c>
      <c r="X617" s="71">
        <v>0.94947962671377595</v>
      </c>
      <c r="Y617" s="73">
        <v>0.92</v>
      </c>
      <c r="Z617" s="73">
        <v>0.95748518423086804</v>
      </c>
      <c r="AA617" s="73">
        <v>0.96931524547803605</v>
      </c>
      <c r="AB617" s="73">
        <v>0.95194785508564495</v>
      </c>
      <c r="AC617" s="73">
        <v>0.964515133251995</v>
      </c>
      <c r="AD617" s="73">
        <v>0.92</v>
      </c>
      <c r="AE617" s="71">
        <v>0.99939155478035102</v>
      </c>
      <c r="AF617" s="71">
        <v>0.991281019450034</v>
      </c>
      <c r="AG617" s="71">
        <v>0.99813606710158398</v>
      </c>
      <c r="AH617" s="71">
        <v>0.99712044837884195</v>
      </c>
      <c r="AI617" s="73">
        <v>0.92</v>
      </c>
      <c r="AJ617" s="71">
        <v>0.96541617819460701</v>
      </c>
      <c r="AK617" s="71">
        <v>0.98180053385100696</v>
      </c>
      <c r="AL617" s="71">
        <v>0.96782864342713104</v>
      </c>
      <c r="AM617" s="71">
        <v>0.97446482671372003</v>
      </c>
      <c r="AN617" s="70">
        <v>0.99</v>
      </c>
      <c r="AO617" s="75">
        <v>1</v>
      </c>
      <c r="AP617" s="75">
        <v>1</v>
      </c>
      <c r="AQ617" s="75">
        <v>1</v>
      </c>
      <c r="AR617" s="75">
        <v>1</v>
      </c>
      <c r="AS617" s="95">
        <v>0.05</v>
      </c>
      <c r="AT617" s="79">
        <v>6.4516129032258104E-2</v>
      </c>
      <c r="AU617" s="79">
        <v>0.17647058823529399</v>
      </c>
      <c r="AV617" s="79">
        <v>0</v>
      </c>
      <c r="AW617" s="79">
        <v>4.6242774566474E-2</v>
      </c>
      <c r="AX617" s="56"/>
      <c r="AY617" s="54"/>
    </row>
    <row r="618" spans="1:51">
      <c r="A618" s="53"/>
      <c r="B618" s="56"/>
      <c r="C618" s="90" t="s">
        <v>370</v>
      </c>
      <c r="D618" s="230" t="s">
        <v>1757</v>
      </c>
      <c r="E618" s="68" t="s">
        <v>371</v>
      </c>
      <c r="F618" s="91" t="s">
        <v>639</v>
      </c>
      <c r="G618" s="91" t="s">
        <v>639</v>
      </c>
      <c r="H618" s="91" t="s">
        <v>639</v>
      </c>
      <c r="I618" s="91" t="s">
        <v>639</v>
      </c>
      <c r="J618" s="70">
        <v>0.9</v>
      </c>
      <c r="K618" s="71">
        <v>0.97872340425531901</v>
      </c>
      <c r="L618" s="71">
        <v>1</v>
      </c>
      <c r="M618" s="72">
        <v>1</v>
      </c>
      <c r="N618" s="71">
        <v>0.96969696969696995</v>
      </c>
      <c r="O618" s="73">
        <v>0.9</v>
      </c>
      <c r="P618" s="71">
        <v>0.992691839220463</v>
      </c>
      <c r="Q618" s="71">
        <v>0.99394371214820099</v>
      </c>
      <c r="R618" s="71">
        <v>0.98935805012015099</v>
      </c>
      <c r="S618" s="71">
        <v>0.98164623903440595</v>
      </c>
      <c r="T618" s="73">
        <v>0.9</v>
      </c>
      <c r="U618" s="71">
        <v>0.92976045473000402</v>
      </c>
      <c r="V618" s="71">
        <v>0.89169932312076905</v>
      </c>
      <c r="W618" s="71">
        <v>0.87126673532440801</v>
      </c>
      <c r="X618" s="71">
        <v>0.89619237230137505</v>
      </c>
      <c r="Y618" s="73">
        <v>0.92</v>
      </c>
      <c r="Z618" s="73">
        <v>0.93840931134820604</v>
      </c>
      <c r="AA618" s="73">
        <v>0.94124230554001098</v>
      </c>
      <c r="AB618" s="73">
        <v>0.88783269961977196</v>
      </c>
      <c r="AC618" s="73">
        <v>0.93141561163264697</v>
      </c>
      <c r="AD618" s="73">
        <v>0.92</v>
      </c>
      <c r="AE618" s="71">
        <v>0.99785922563023699</v>
      </c>
      <c r="AF618" s="71">
        <v>0.99542717435595596</v>
      </c>
      <c r="AG618" s="71">
        <v>0.99766319915573598</v>
      </c>
      <c r="AH618" s="71">
        <v>0.957775954041855</v>
      </c>
      <c r="AI618" s="73">
        <v>0.92</v>
      </c>
      <c r="AJ618" s="71">
        <v>0.95373179611650505</v>
      </c>
      <c r="AK618" s="71">
        <v>0.96018276762402099</v>
      </c>
      <c r="AL618" s="71">
        <v>0.92440711462450598</v>
      </c>
      <c r="AM618" s="71">
        <v>0.95267296301269699</v>
      </c>
      <c r="AN618" s="70">
        <v>0.99</v>
      </c>
      <c r="AO618" s="75">
        <v>1</v>
      </c>
      <c r="AP618" s="75">
        <v>1</v>
      </c>
      <c r="AQ618" s="75">
        <v>1</v>
      </c>
      <c r="AR618" s="75">
        <v>1</v>
      </c>
      <c r="AS618" s="95">
        <v>0.05</v>
      </c>
      <c r="AT618" s="79">
        <v>0.16666666666666699</v>
      </c>
      <c r="AU618" s="79">
        <v>0.12765957446808501</v>
      </c>
      <c r="AV618" s="79">
        <v>6.1224489795918401E-2</v>
      </c>
      <c r="AW618" s="79">
        <v>5.5749128919860599E-2</v>
      </c>
      <c r="AX618" s="56"/>
      <c r="AY618" s="54"/>
    </row>
    <row r="619" spans="1:51">
      <c r="A619" s="53"/>
      <c r="B619" s="56"/>
      <c r="C619" s="90" t="s">
        <v>370</v>
      </c>
      <c r="D619" s="230" t="s">
        <v>1757</v>
      </c>
      <c r="E619" s="68" t="s">
        <v>371</v>
      </c>
      <c r="F619" s="91" t="s">
        <v>640</v>
      </c>
      <c r="G619" s="91" t="s">
        <v>640</v>
      </c>
      <c r="H619" s="91" t="s">
        <v>640</v>
      </c>
      <c r="I619" s="91" t="s">
        <v>640</v>
      </c>
      <c r="J619" s="70">
        <v>0.9</v>
      </c>
      <c r="K619" s="71">
        <v>0.90217391304347805</v>
      </c>
      <c r="L619" s="71">
        <v>0.89610389610389596</v>
      </c>
      <c r="M619" s="72">
        <v>0.82666666666666699</v>
      </c>
      <c r="N619" s="71">
        <v>0.87057522123893805</v>
      </c>
      <c r="O619" s="73">
        <v>0.9</v>
      </c>
      <c r="P619" s="71">
        <v>0.98819893228434996</v>
      </c>
      <c r="Q619" s="71">
        <v>0.95915143308508199</v>
      </c>
      <c r="R619" s="71">
        <v>0.97688123300090701</v>
      </c>
      <c r="S619" s="71">
        <v>0.97661213720316598</v>
      </c>
      <c r="T619" s="73">
        <v>0.9</v>
      </c>
      <c r="U619" s="71">
        <v>0.916268614779432</v>
      </c>
      <c r="V619" s="71">
        <v>0.86210787632588604</v>
      </c>
      <c r="W619" s="71">
        <v>0.88349954669084296</v>
      </c>
      <c r="X619" s="71">
        <v>0.89268601583113505</v>
      </c>
      <c r="Y619" s="73">
        <v>0.92</v>
      </c>
      <c r="Z619" s="73">
        <v>0.93881568983795205</v>
      </c>
      <c r="AA619" s="73">
        <v>0.914901256732496</v>
      </c>
      <c r="AB619" s="73">
        <v>0.91571795813441104</v>
      </c>
      <c r="AC619" s="73">
        <v>0.93256782022788998</v>
      </c>
      <c r="AD619" s="73">
        <v>0.92</v>
      </c>
      <c r="AE619" s="71">
        <v>0.90942462818250602</v>
      </c>
      <c r="AF619" s="71">
        <v>0.98619284744228197</v>
      </c>
      <c r="AG619" s="71">
        <v>0.98617039439986298</v>
      </c>
      <c r="AH619" s="71">
        <v>0.95231895057129501</v>
      </c>
      <c r="AI619" s="73">
        <v>0.92</v>
      </c>
      <c r="AJ619" s="71">
        <v>0.951800118040527</v>
      </c>
      <c r="AK619" s="71">
        <v>0.94429818484134698</v>
      </c>
      <c r="AL619" s="71">
        <v>0.93854578643139597</v>
      </c>
      <c r="AM619" s="71">
        <v>0.95268790347371701</v>
      </c>
      <c r="AN619" s="70">
        <v>0.99</v>
      </c>
      <c r="AO619" s="75">
        <v>1</v>
      </c>
      <c r="AP619" s="75">
        <v>0.99342105263157898</v>
      </c>
      <c r="AQ619" s="75">
        <v>1</v>
      </c>
      <c r="AR619" s="75">
        <v>0.999303621169916</v>
      </c>
      <c r="AS619" s="95">
        <v>0.05</v>
      </c>
      <c r="AT619" s="79">
        <v>0.11363636363636399</v>
      </c>
      <c r="AU619" s="79">
        <v>0.173913043478261</v>
      </c>
      <c r="AV619" s="79">
        <v>8.3333333333333301E-2</v>
      </c>
      <c r="AW619" s="79">
        <v>6.5420560747663503E-2</v>
      </c>
      <c r="AX619" s="56"/>
      <c r="AY619" s="54"/>
    </row>
    <row r="620" spans="1:51">
      <c r="A620" s="53"/>
      <c r="B620" s="56"/>
      <c r="C620" s="90" t="s">
        <v>370</v>
      </c>
      <c r="D620" s="230" t="s">
        <v>1757</v>
      </c>
      <c r="E620" s="68" t="s">
        <v>371</v>
      </c>
      <c r="F620" s="91" t="s">
        <v>641</v>
      </c>
      <c r="G620" s="91" t="s">
        <v>641</v>
      </c>
      <c r="H620" s="91" t="s">
        <v>641</v>
      </c>
      <c r="I620" s="91" t="s">
        <v>641</v>
      </c>
      <c r="J620" s="70">
        <v>0.9</v>
      </c>
      <c r="K620" s="71">
        <v>0.94871794871794901</v>
      </c>
      <c r="L620" s="71">
        <v>0.94594594594594605</v>
      </c>
      <c r="M620" s="72">
        <v>0.94594594594594605</v>
      </c>
      <c r="N620" s="71">
        <v>0.95555555555555605</v>
      </c>
      <c r="O620" s="73">
        <v>0.9</v>
      </c>
      <c r="P620" s="71">
        <v>0.99364406779660996</v>
      </c>
      <c r="Q620" s="71">
        <v>0.98221092757306205</v>
      </c>
      <c r="R620" s="71">
        <v>0.99119999999999997</v>
      </c>
      <c r="S620" s="71">
        <v>0.98968851617319897</v>
      </c>
      <c r="T620" s="73">
        <v>0.9</v>
      </c>
      <c r="U620" s="71">
        <v>0.95497881355932202</v>
      </c>
      <c r="V620" s="71">
        <v>0.95891571368064399</v>
      </c>
      <c r="W620" s="71">
        <v>0.96399999999999997</v>
      </c>
      <c r="X620" s="71">
        <v>0.96029436933082302</v>
      </c>
      <c r="Y620" s="73">
        <v>0.92</v>
      </c>
      <c r="Z620" s="73">
        <v>0.92410423452768697</v>
      </c>
      <c r="AA620" s="73">
        <v>0.94378463974663496</v>
      </c>
      <c r="AB620" s="73">
        <v>0.92218912881608295</v>
      </c>
      <c r="AC620" s="73">
        <v>0.93848425196850405</v>
      </c>
      <c r="AD620" s="73">
        <v>0.92</v>
      </c>
      <c r="AE620" s="71">
        <v>0.99356120826709104</v>
      </c>
      <c r="AF620" s="71">
        <v>0.98691504447595702</v>
      </c>
      <c r="AG620" s="71">
        <v>0.98934063619127899</v>
      </c>
      <c r="AH620" s="71">
        <v>0.97464109127532805</v>
      </c>
      <c r="AI620" s="73">
        <v>0.92</v>
      </c>
      <c r="AJ620" s="71">
        <v>0.94434361766485198</v>
      </c>
      <c r="AK620" s="71">
        <v>0.97102649006622499</v>
      </c>
      <c r="AL620" s="71">
        <v>0.95334490071332201</v>
      </c>
      <c r="AM620" s="71">
        <v>0.96106216004656497</v>
      </c>
      <c r="AN620" s="70">
        <v>0.99</v>
      </c>
      <c r="AO620" s="75">
        <v>1</v>
      </c>
      <c r="AP620" s="75">
        <v>1</v>
      </c>
      <c r="AQ620" s="75">
        <v>1</v>
      </c>
      <c r="AR620" s="75">
        <v>1</v>
      </c>
      <c r="AS620" s="95">
        <v>0.05</v>
      </c>
      <c r="AT620" s="79">
        <v>0</v>
      </c>
      <c r="AU620" s="79">
        <v>0.14285714285714299</v>
      </c>
      <c r="AV620" s="79">
        <v>0.11764705882352899</v>
      </c>
      <c r="AW620" s="79">
        <v>7.03125E-2</v>
      </c>
      <c r="AX620" s="56"/>
      <c r="AY620" s="54"/>
    </row>
    <row r="621" spans="1:51">
      <c r="A621" s="53"/>
      <c r="B621" s="56"/>
      <c r="C621" s="90" t="s">
        <v>370</v>
      </c>
      <c r="D621" s="230" t="s">
        <v>1757</v>
      </c>
      <c r="E621" s="68" t="s">
        <v>371</v>
      </c>
      <c r="F621" s="91" t="s">
        <v>642</v>
      </c>
      <c r="G621" s="91" t="s">
        <v>642</v>
      </c>
      <c r="H621" s="91" t="s">
        <v>642</v>
      </c>
      <c r="I621" s="91" t="s">
        <v>642</v>
      </c>
      <c r="J621" s="70">
        <v>0.9</v>
      </c>
      <c r="K621" s="71">
        <v>0.96078431372549</v>
      </c>
      <c r="L621" s="71">
        <v>0.95</v>
      </c>
      <c r="M621" s="72">
        <v>0.95348837209302295</v>
      </c>
      <c r="N621" s="71">
        <v>0.95696721311475397</v>
      </c>
      <c r="O621" s="73">
        <v>0.9</v>
      </c>
      <c r="P621" s="71">
        <v>0.97282850779509999</v>
      </c>
      <c r="Q621" s="71">
        <v>0.96394230769230804</v>
      </c>
      <c r="R621" s="71">
        <v>0.96306068601583095</v>
      </c>
      <c r="S621" s="71">
        <v>0.96837958443731698</v>
      </c>
      <c r="T621" s="73">
        <v>0.9</v>
      </c>
      <c r="U621" s="71">
        <v>0.91492204899777296</v>
      </c>
      <c r="V621" s="71">
        <v>0.90728021978022</v>
      </c>
      <c r="W621" s="71">
        <v>0.92249340369393096</v>
      </c>
      <c r="X621" s="71">
        <v>0.92870589875888998</v>
      </c>
      <c r="Y621" s="73">
        <v>0.92</v>
      </c>
      <c r="Z621" s="73">
        <v>0.93817416469350201</v>
      </c>
      <c r="AA621" s="73">
        <v>0.91282995702885195</v>
      </c>
      <c r="AB621" s="73">
        <v>0.93051094890510899</v>
      </c>
      <c r="AC621" s="73">
        <v>0.93588202527192199</v>
      </c>
      <c r="AD621" s="73">
        <v>0.92</v>
      </c>
      <c r="AE621" s="71">
        <v>0.98012122604923702</v>
      </c>
      <c r="AF621" s="71">
        <v>0.98668592601896599</v>
      </c>
      <c r="AG621" s="71">
        <v>0.99667902806221298</v>
      </c>
      <c r="AH621" s="71">
        <v>0.98689945883000396</v>
      </c>
      <c r="AI621" s="73">
        <v>0.92</v>
      </c>
      <c r="AJ621" s="71">
        <v>0.95274289491077302</v>
      </c>
      <c r="AK621" s="71">
        <v>0.95067165822506094</v>
      </c>
      <c r="AL621" s="71">
        <v>0.94889267461669502</v>
      </c>
      <c r="AM621" s="71">
        <v>0.95640752121511297</v>
      </c>
      <c r="AN621" s="70">
        <v>0.99</v>
      </c>
      <c r="AO621" s="75">
        <v>1</v>
      </c>
      <c r="AP621" s="75">
        <v>1</v>
      </c>
      <c r="AQ621" s="75">
        <v>1</v>
      </c>
      <c r="AR621" s="75">
        <v>1</v>
      </c>
      <c r="AS621" s="95">
        <v>0.05</v>
      </c>
      <c r="AT621" s="79">
        <v>0</v>
      </c>
      <c r="AU621" s="79">
        <v>0.33333333333333298</v>
      </c>
      <c r="AV621" s="79">
        <v>0</v>
      </c>
      <c r="AW621" s="79">
        <v>6.0606060606060601E-2</v>
      </c>
      <c r="AX621" s="56"/>
      <c r="AY621" s="54"/>
    </row>
    <row r="622" spans="1:51">
      <c r="A622" s="53"/>
      <c r="B622" s="56"/>
      <c r="C622" s="90" t="s">
        <v>370</v>
      </c>
      <c r="D622" s="230" t="s">
        <v>1757</v>
      </c>
      <c r="E622" s="68" t="s">
        <v>371</v>
      </c>
      <c r="F622" s="91" t="s">
        <v>643</v>
      </c>
      <c r="G622" s="91" t="s">
        <v>643</v>
      </c>
      <c r="H622" s="91" t="s">
        <v>643</v>
      </c>
      <c r="I622" s="91" t="s">
        <v>643</v>
      </c>
      <c r="J622" s="70">
        <v>0.9</v>
      </c>
      <c r="K622" s="71">
        <v>0.98039215686274495</v>
      </c>
      <c r="L622" s="71">
        <v>0.9375</v>
      </c>
      <c r="M622" s="72">
        <v>0.95744680851063801</v>
      </c>
      <c r="N622" s="71">
        <v>0.96828358208955201</v>
      </c>
      <c r="O622" s="73">
        <v>0.9</v>
      </c>
      <c r="P622" s="71">
        <v>0.97907949790795001</v>
      </c>
      <c r="Q622" s="71">
        <v>0.98642266824085001</v>
      </c>
      <c r="R622" s="71">
        <v>0.98295281582952798</v>
      </c>
      <c r="S622" s="71">
        <v>0.97964695932120105</v>
      </c>
      <c r="T622" s="73">
        <v>0.9</v>
      </c>
      <c r="U622" s="71">
        <v>0.93026499302649901</v>
      </c>
      <c r="V622" s="71">
        <v>0.93211334120425005</v>
      </c>
      <c r="W622" s="71">
        <v>0.93089802130898003</v>
      </c>
      <c r="X622" s="71">
        <v>0.903445829809293</v>
      </c>
      <c r="Y622" s="73">
        <v>0.92</v>
      </c>
      <c r="Z622" s="73">
        <v>0.93866613735609405</v>
      </c>
      <c r="AA622" s="73">
        <v>0.94513600737667103</v>
      </c>
      <c r="AB622" s="73">
        <v>0.942817294281729</v>
      </c>
      <c r="AC622" s="73">
        <v>0.93500967117988398</v>
      </c>
      <c r="AD622" s="73">
        <v>0.92</v>
      </c>
      <c r="AE622" s="71">
        <v>0.86081668114682897</v>
      </c>
      <c r="AF622" s="71">
        <v>0.99569760295021503</v>
      </c>
      <c r="AG622" s="71">
        <v>0.99615074747113097</v>
      </c>
      <c r="AH622" s="71">
        <v>0.96728637498164705</v>
      </c>
      <c r="AI622" s="73">
        <v>0.92</v>
      </c>
      <c r="AJ622" s="71">
        <v>0.94931749241658203</v>
      </c>
      <c r="AK622" s="71">
        <v>0.96922800071981297</v>
      </c>
      <c r="AL622" s="71">
        <v>0.95677485082229696</v>
      </c>
      <c r="AM622" s="71">
        <v>0.95327737553661795</v>
      </c>
      <c r="AN622" s="70">
        <v>0.99</v>
      </c>
      <c r="AO622" s="75">
        <v>1</v>
      </c>
      <c r="AP622" s="75">
        <v>1</v>
      </c>
      <c r="AQ622" s="75">
        <v>1</v>
      </c>
      <c r="AR622" s="75">
        <v>1</v>
      </c>
      <c r="AS622" s="95">
        <v>0.05</v>
      </c>
      <c r="AT622" s="79">
        <v>0.219512195121951</v>
      </c>
      <c r="AU622" s="79">
        <v>0.24444444444444399</v>
      </c>
      <c r="AV622" s="79">
        <v>6.5217391304347797E-2</v>
      </c>
      <c r="AW622" s="79">
        <v>8.6303939962476595E-2</v>
      </c>
      <c r="AX622" s="56"/>
      <c r="AY622" s="54"/>
    </row>
    <row r="623" spans="1:51">
      <c r="A623" s="53"/>
      <c r="B623" s="56"/>
      <c r="C623" s="90" t="s">
        <v>370</v>
      </c>
      <c r="D623" s="230" t="s">
        <v>1757</v>
      </c>
      <c r="E623" s="68" t="s">
        <v>371</v>
      </c>
      <c r="F623" s="91" t="s">
        <v>644</v>
      </c>
      <c r="G623" s="91" t="s">
        <v>644</v>
      </c>
      <c r="H623" s="91" t="s">
        <v>644</v>
      </c>
      <c r="I623" s="91" t="s">
        <v>644</v>
      </c>
      <c r="J623" s="70">
        <v>0.9</v>
      </c>
      <c r="K623" s="71">
        <v>1</v>
      </c>
      <c r="L623" s="71">
        <v>1</v>
      </c>
      <c r="M623" s="72">
        <v>1</v>
      </c>
      <c r="N623" s="71">
        <v>0.998043052837573</v>
      </c>
      <c r="O623" s="73">
        <v>0.9</v>
      </c>
      <c r="P623" s="71">
        <v>0.98549019607843102</v>
      </c>
      <c r="Q623" s="71">
        <v>0.97777777777777797</v>
      </c>
      <c r="R623" s="71">
        <v>0.98168249660786999</v>
      </c>
      <c r="S623" s="71">
        <v>0.98039905352689105</v>
      </c>
      <c r="T623" s="73">
        <v>0.9</v>
      </c>
      <c r="U623" s="71">
        <v>0.96039215686274504</v>
      </c>
      <c r="V623" s="71">
        <v>0.97530864197530898</v>
      </c>
      <c r="W623" s="71">
        <v>0.95861601085481696</v>
      </c>
      <c r="X623" s="71">
        <v>0.96837628701157497</v>
      </c>
      <c r="Y623" s="73">
        <v>0.92</v>
      </c>
      <c r="Z623" s="73">
        <v>0.96872635561160103</v>
      </c>
      <c r="AA623" s="73">
        <v>0.98018018018018005</v>
      </c>
      <c r="AB623" s="73">
        <v>0.97792622712750499</v>
      </c>
      <c r="AC623" s="73">
        <v>0.98152496817088697</v>
      </c>
      <c r="AD623" s="73">
        <v>0.92</v>
      </c>
      <c r="AE623" s="71">
        <v>0.99333207046789196</v>
      </c>
      <c r="AF623" s="71">
        <v>0.99270866355690401</v>
      </c>
      <c r="AG623" s="71">
        <v>0.97824371547739797</v>
      </c>
      <c r="AH623" s="71">
        <v>0.99049848661462103</v>
      </c>
      <c r="AI623" s="73">
        <v>0.92</v>
      </c>
      <c r="AJ623" s="71">
        <v>0.97700091996320104</v>
      </c>
      <c r="AK623" s="71">
        <v>0.98800266607420595</v>
      </c>
      <c r="AL623" s="71">
        <v>0.98623709727869902</v>
      </c>
      <c r="AM623" s="71">
        <v>0.98791151106111696</v>
      </c>
      <c r="AN623" s="70">
        <v>0.99</v>
      </c>
      <c r="AO623" s="75">
        <v>1</v>
      </c>
      <c r="AP623" s="75">
        <v>1</v>
      </c>
      <c r="AQ623" s="75">
        <v>1</v>
      </c>
      <c r="AR623" s="75">
        <v>1</v>
      </c>
      <c r="AS623" s="95">
        <v>0.05</v>
      </c>
      <c r="AT623" s="79">
        <v>5.9880239520958096E-3</v>
      </c>
      <c r="AU623" s="79">
        <v>3.6496350364963498E-3</v>
      </c>
      <c r="AV623" s="79">
        <v>0</v>
      </c>
      <c r="AW623" s="79">
        <v>3.5917390002993101E-3</v>
      </c>
      <c r="AX623" s="56"/>
      <c r="AY623" s="54"/>
    </row>
    <row r="624" spans="1:51">
      <c r="A624" s="53"/>
      <c r="B624" s="56"/>
      <c r="C624" s="90" t="s">
        <v>370</v>
      </c>
      <c r="D624" s="230" t="s">
        <v>1757</v>
      </c>
      <c r="E624" s="68" t="s">
        <v>371</v>
      </c>
      <c r="F624" s="91" t="s">
        <v>645</v>
      </c>
      <c r="G624" s="91" t="s">
        <v>645</v>
      </c>
      <c r="H624" s="91" t="s">
        <v>645</v>
      </c>
      <c r="I624" s="91" t="s">
        <v>645</v>
      </c>
      <c r="J624" s="70">
        <v>0.9</v>
      </c>
      <c r="K624" s="71">
        <v>1</v>
      </c>
      <c r="L624" s="71">
        <v>1</v>
      </c>
      <c r="M624" s="72">
        <v>1</v>
      </c>
      <c r="N624" s="71">
        <v>1</v>
      </c>
      <c r="O624" s="73">
        <v>0.9</v>
      </c>
      <c r="P624" s="71">
        <v>0.97373478539397795</v>
      </c>
      <c r="Q624" s="71">
        <v>0.98504486540378899</v>
      </c>
      <c r="R624" s="71">
        <v>0.98792853693867699</v>
      </c>
      <c r="S624" s="71">
        <v>0.98651398287039205</v>
      </c>
      <c r="T624" s="73">
        <v>0.9</v>
      </c>
      <c r="U624" s="71">
        <v>0.95579756566303697</v>
      </c>
      <c r="V624" s="71">
        <v>0.962113659022931</v>
      </c>
      <c r="W624" s="71">
        <v>0.96378561081603098</v>
      </c>
      <c r="X624" s="71">
        <v>0.96427388444612705</v>
      </c>
      <c r="Y624" s="73">
        <v>0.92</v>
      </c>
      <c r="Z624" s="73">
        <v>0.97714658831211199</v>
      </c>
      <c r="AA624" s="73">
        <v>0.97967823878069404</v>
      </c>
      <c r="AB624" s="73">
        <v>0.97306525037936298</v>
      </c>
      <c r="AC624" s="73">
        <v>0.98149578922969904</v>
      </c>
      <c r="AD624" s="73">
        <v>0.92</v>
      </c>
      <c r="AE624" s="71">
        <v>0.97320341047503001</v>
      </c>
      <c r="AF624" s="71">
        <v>0.98285714285714298</v>
      </c>
      <c r="AG624" s="71">
        <v>0.98893805309734495</v>
      </c>
      <c r="AH624" s="71">
        <v>0.98805048335123502</v>
      </c>
      <c r="AI624" s="73">
        <v>0.92</v>
      </c>
      <c r="AJ624" s="71">
        <v>0.98053633217993097</v>
      </c>
      <c r="AK624" s="71">
        <v>0.98431126451207995</v>
      </c>
      <c r="AL624" s="71">
        <v>0.98364138517102195</v>
      </c>
      <c r="AM624" s="71">
        <v>0.98683818839038895</v>
      </c>
      <c r="AN624" s="70">
        <v>0.99</v>
      </c>
      <c r="AO624" s="75">
        <v>1</v>
      </c>
      <c r="AP624" s="75">
        <v>1</v>
      </c>
      <c r="AQ624" s="75">
        <v>1</v>
      </c>
      <c r="AR624" s="75">
        <v>1</v>
      </c>
      <c r="AS624" s="95">
        <v>0.05</v>
      </c>
      <c r="AT624" s="79">
        <v>0.22222222222222199</v>
      </c>
      <c r="AU624" s="79">
        <v>0.14285714285714299</v>
      </c>
      <c r="AV624" s="79">
        <v>4.1666666666666699E-2</v>
      </c>
      <c r="AW624" s="79">
        <v>6.5326633165829207E-2</v>
      </c>
      <c r="AX624" s="56"/>
      <c r="AY624" s="54"/>
    </row>
    <row r="625" spans="1:51">
      <c r="A625" s="53"/>
      <c r="B625" s="56"/>
      <c r="C625" s="90" t="s">
        <v>370</v>
      </c>
      <c r="D625" s="230" t="s">
        <v>1757</v>
      </c>
      <c r="E625" s="68" t="s">
        <v>371</v>
      </c>
      <c r="F625" s="91" t="s">
        <v>646</v>
      </c>
      <c r="G625" s="91" t="s">
        <v>646</v>
      </c>
      <c r="H625" s="91" t="s">
        <v>646</v>
      </c>
      <c r="I625" s="91" t="s">
        <v>646</v>
      </c>
      <c r="J625" s="70">
        <v>0.9</v>
      </c>
      <c r="K625" s="71">
        <v>0.84615384615384603</v>
      </c>
      <c r="L625" s="71">
        <v>0.90909090909090895</v>
      </c>
      <c r="M625" s="72">
        <v>0.81481481481481499</v>
      </c>
      <c r="N625" s="71">
        <v>0.81901840490797595</v>
      </c>
      <c r="O625" s="73">
        <v>0.9</v>
      </c>
      <c r="P625" s="71">
        <v>0.97505733944954098</v>
      </c>
      <c r="Q625" s="71">
        <v>0.97736916548797703</v>
      </c>
      <c r="R625" s="71">
        <v>0.97101113172541698</v>
      </c>
      <c r="S625" s="71">
        <v>0.97576461112032398</v>
      </c>
      <c r="T625" s="73">
        <v>0.9</v>
      </c>
      <c r="U625" s="71">
        <v>0.96043577981651396</v>
      </c>
      <c r="V625" s="71">
        <v>0.92880716643092898</v>
      </c>
      <c r="W625" s="71">
        <v>0.927643784786642</v>
      </c>
      <c r="X625" s="71">
        <v>0.94032361232854</v>
      </c>
      <c r="Y625" s="73">
        <v>0.92</v>
      </c>
      <c r="Z625" s="73">
        <v>0.89800947867298597</v>
      </c>
      <c r="AA625" s="73">
        <v>0.82985963419821396</v>
      </c>
      <c r="AB625" s="73">
        <v>0.88211197086936699</v>
      </c>
      <c r="AC625" s="73">
        <v>0.87299189309956005</v>
      </c>
      <c r="AD625" s="73">
        <v>0.92</v>
      </c>
      <c r="AE625" s="71">
        <v>0.91811700314472999</v>
      </c>
      <c r="AF625" s="71">
        <v>0.98772852491860796</v>
      </c>
      <c r="AG625" s="71">
        <v>0.96153009821331503</v>
      </c>
      <c r="AH625" s="71">
        <v>0.96404530744336603</v>
      </c>
      <c r="AI625" s="73">
        <v>0.92</v>
      </c>
      <c r="AJ625" s="71">
        <v>0.93053496064788399</v>
      </c>
      <c r="AK625" s="71">
        <v>0.91618672324946904</v>
      </c>
      <c r="AL625" s="71">
        <v>0.930064308681672</v>
      </c>
      <c r="AM625" s="71">
        <v>0.92344846134881298</v>
      </c>
      <c r="AN625" s="70">
        <v>0.99</v>
      </c>
      <c r="AO625" s="75">
        <v>1</v>
      </c>
      <c r="AP625" s="75">
        <v>1</v>
      </c>
      <c r="AQ625" s="75">
        <v>1</v>
      </c>
      <c r="AR625" s="75">
        <v>1</v>
      </c>
      <c r="AS625" s="95">
        <v>0.05</v>
      </c>
      <c r="AT625" s="79">
        <v>0</v>
      </c>
      <c r="AU625" s="79">
        <v>0.16666666666666699</v>
      </c>
      <c r="AV625" s="79">
        <v>5.8823529411764698E-2</v>
      </c>
      <c r="AW625" s="79">
        <v>5.7471264367816098E-2</v>
      </c>
      <c r="AX625" s="56"/>
      <c r="AY625" s="54"/>
    </row>
    <row r="626" spans="1:51">
      <c r="A626" s="53"/>
      <c r="B626" s="56"/>
      <c r="C626" s="90" t="s">
        <v>370</v>
      </c>
      <c r="D626" s="230" t="s">
        <v>1757</v>
      </c>
      <c r="E626" s="68" t="s">
        <v>371</v>
      </c>
      <c r="F626" s="91" t="s">
        <v>647</v>
      </c>
      <c r="G626" s="91" t="s">
        <v>647</v>
      </c>
      <c r="H626" s="91" t="s">
        <v>647</v>
      </c>
      <c r="I626" s="91" t="s">
        <v>647</v>
      </c>
      <c r="J626" s="70">
        <v>0.9</v>
      </c>
      <c r="K626" s="71">
        <v>0.90163934426229497</v>
      </c>
      <c r="L626" s="71">
        <v>0.82222222222222197</v>
      </c>
      <c r="M626" s="72">
        <v>0.84090909090909105</v>
      </c>
      <c r="N626" s="71">
        <v>0.90893470790377995</v>
      </c>
      <c r="O626" s="73">
        <v>0.9</v>
      </c>
      <c r="P626" s="71">
        <v>0.98389570552147199</v>
      </c>
      <c r="Q626" s="71">
        <v>0.98391959798994999</v>
      </c>
      <c r="R626" s="71">
        <v>0.95889760038013805</v>
      </c>
      <c r="S626" s="71">
        <v>0.96186999736124501</v>
      </c>
      <c r="T626" s="73">
        <v>0.9</v>
      </c>
      <c r="U626" s="71">
        <v>0.92126789366053197</v>
      </c>
      <c r="V626" s="71">
        <v>0.82954773869346699</v>
      </c>
      <c r="W626" s="71">
        <v>0.82870040389641197</v>
      </c>
      <c r="X626" s="71">
        <v>0.898188055237928</v>
      </c>
      <c r="Y626" s="73">
        <v>0.92</v>
      </c>
      <c r="Z626" s="73">
        <v>0.90268141758859899</v>
      </c>
      <c r="AA626" s="73">
        <v>0.91022044088176401</v>
      </c>
      <c r="AB626" s="73">
        <v>0.93605138229544804</v>
      </c>
      <c r="AC626" s="73">
        <v>0.93865258947466301</v>
      </c>
      <c r="AD626" s="73">
        <v>0.92</v>
      </c>
      <c r="AE626" s="71">
        <v>0.89146250927988102</v>
      </c>
      <c r="AF626" s="71">
        <v>0.41024518388791598</v>
      </c>
      <c r="AG626" s="71">
        <v>0.99598497603937297</v>
      </c>
      <c r="AH626" s="71">
        <v>0.96369979709256404</v>
      </c>
      <c r="AI626" s="73">
        <v>0.92</v>
      </c>
      <c r="AJ626" s="71">
        <v>0.92942066580198901</v>
      </c>
      <c r="AK626" s="71">
        <v>0.94190871369294604</v>
      </c>
      <c r="AL626" s="71">
        <v>0.92432016418676199</v>
      </c>
      <c r="AM626" s="71">
        <v>0.95377368082150005</v>
      </c>
      <c r="AN626" s="70">
        <v>0.99</v>
      </c>
      <c r="AO626" s="75">
        <v>1</v>
      </c>
      <c r="AP626" s="75">
        <v>1</v>
      </c>
      <c r="AQ626" s="75">
        <v>1</v>
      </c>
      <c r="AR626" s="75">
        <v>1</v>
      </c>
      <c r="AS626" s="95">
        <v>0.05</v>
      </c>
      <c r="AT626" s="79">
        <v>0.11111111111111099</v>
      </c>
      <c r="AU626" s="79">
        <v>3.5087719298245598E-2</v>
      </c>
      <c r="AV626" s="79">
        <v>8.1632653061224497E-2</v>
      </c>
      <c r="AW626" s="79">
        <v>4.2944785276073601E-2</v>
      </c>
      <c r="AX626" s="56"/>
      <c r="AY626" s="54"/>
    </row>
    <row r="627" spans="1:51">
      <c r="A627" s="53"/>
      <c r="B627" s="56"/>
      <c r="C627" s="90" t="s">
        <v>370</v>
      </c>
      <c r="D627" s="230" t="s">
        <v>1757</v>
      </c>
      <c r="E627" s="68" t="s">
        <v>371</v>
      </c>
      <c r="F627" s="91" t="s">
        <v>648</v>
      </c>
      <c r="G627" s="91" t="s">
        <v>648</v>
      </c>
      <c r="H627" s="91" t="s">
        <v>648</v>
      </c>
      <c r="I627" s="91" t="s">
        <v>648</v>
      </c>
      <c r="J627" s="70">
        <v>0.9</v>
      </c>
      <c r="K627" s="71">
        <v>0.97297297297297303</v>
      </c>
      <c r="L627" s="71">
        <v>0.97368421052631604</v>
      </c>
      <c r="M627" s="72">
        <v>1</v>
      </c>
      <c r="N627" s="71">
        <v>0.97123893805309702</v>
      </c>
      <c r="O627" s="73">
        <v>0.9</v>
      </c>
      <c r="P627" s="71">
        <v>0.94774961200206898</v>
      </c>
      <c r="Q627" s="71">
        <v>0.97196549599507098</v>
      </c>
      <c r="R627" s="71">
        <v>0.95671267252195702</v>
      </c>
      <c r="S627" s="71">
        <v>0.97393973563866398</v>
      </c>
      <c r="T627" s="73">
        <v>0.9</v>
      </c>
      <c r="U627" s="71">
        <v>0.93947232281427795</v>
      </c>
      <c r="V627" s="71">
        <v>0.91096734442390603</v>
      </c>
      <c r="W627" s="71">
        <v>0.93977415307402801</v>
      </c>
      <c r="X627" s="71">
        <v>0.94906972373613996</v>
      </c>
      <c r="Y627" s="73">
        <v>0.92</v>
      </c>
      <c r="Z627" s="73">
        <v>0.96032238065716102</v>
      </c>
      <c r="AA627" s="73">
        <v>0.96308016877637104</v>
      </c>
      <c r="AB627" s="73">
        <v>0.97017650639074904</v>
      </c>
      <c r="AC627" s="73">
        <v>0.97339955098986297</v>
      </c>
      <c r="AD627" s="73">
        <v>0.92</v>
      </c>
      <c r="AE627" s="71">
        <v>0.99879663056558399</v>
      </c>
      <c r="AF627" s="71">
        <v>1</v>
      </c>
      <c r="AG627" s="71">
        <v>0.99602385685884698</v>
      </c>
      <c r="AH627" s="71">
        <v>0.99012972363226204</v>
      </c>
      <c r="AI627" s="73">
        <v>0.92</v>
      </c>
      <c r="AJ627" s="71">
        <v>0.97208121827411198</v>
      </c>
      <c r="AK627" s="71">
        <v>0.98211731044349104</v>
      </c>
      <c r="AL627" s="71">
        <v>0.98385761589403997</v>
      </c>
      <c r="AM627" s="71">
        <v>0.98565332075228895</v>
      </c>
      <c r="AN627" s="70">
        <v>0.99</v>
      </c>
      <c r="AO627" s="75">
        <v>1</v>
      </c>
      <c r="AP627" s="75">
        <v>1</v>
      </c>
      <c r="AQ627" s="75">
        <v>1</v>
      </c>
      <c r="AR627" s="75">
        <v>1</v>
      </c>
      <c r="AS627" s="95">
        <v>0.05</v>
      </c>
      <c r="AT627" s="79">
        <v>0</v>
      </c>
      <c r="AU627" s="79">
        <v>0</v>
      </c>
      <c r="AV627" s="79">
        <v>0.15384615384615399</v>
      </c>
      <c r="AW627" s="79">
        <v>4.2944785276073601E-2</v>
      </c>
      <c r="AX627" s="56"/>
      <c r="AY627" s="54"/>
    </row>
    <row r="628" spans="1:51">
      <c r="A628" s="53"/>
      <c r="B628" s="56"/>
      <c r="C628" s="90" t="s">
        <v>370</v>
      </c>
      <c r="D628" s="230" t="s">
        <v>1757</v>
      </c>
      <c r="E628" s="68" t="s">
        <v>371</v>
      </c>
      <c r="F628" s="91" t="s">
        <v>649</v>
      </c>
      <c r="G628" s="91" t="s">
        <v>649</v>
      </c>
      <c r="H628" s="91" t="s">
        <v>649</v>
      </c>
      <c r="I628" s="91" t="s">
        <v>649</v>
      </c>
      <c r="J628" s="70">
        <v>0.9</v>
      </c>
      <c r="K628" s="71">
        <v>0.90909090909090895</v>
      </c>
      <c r="L628" s="71">
        <v>0.93877551020408201</v>
      </c>
      <c r="M628" s="72">
        <v>0.91666666666666696</v>
      </c>
      <c r="N628" s="71">
        <v>0.90708371665133403</v>
      </c>
      <c r="O628" s="73">
        <v>0.9</v>
      </c>
      <c r="P628" s="71">
        <v>0.90792291220556698</v>
      </c>
      <c r="Q628" s="71">
        <v>0.90810730695123798</v>
      </c>
      <c r="R628" s="71">
        <v>0.85971479500891301</v>
      </c>
      <c r="S628" s="71">
        <v>0.94862306510498395</v>
      </c>
      <c r="T628" s="73">
        <v>0.9</v>
      </c>
      <c r="U628" s="71">
        <v>0.73185819652629103</v>
      </c>
      <c r="V628" s="71">
        <v>0.69453090262338801</v>
      </c>
      <c r="W628" s="71">
        <v>0.760071301247772</v>
      </c>
      <c r="X628" s="71">
        <v>0.76611104686699805</v>
      </c>
      <c r="Y628" s="73">
        <v>0.92</v>
      </c>
      <c r="Z628" s="73">
        <v>0.91485943775100398</v>
      </c>
      <c r="AA628" s="73">
        <v>0.94133192389006304</v>
      </c>
      <c r="AB628" s="73">
        <v>0.934281200631912</v>
      </c>
      <c r="AC628" s="73">
        <v>0.93709971734230202</v>
      </c>
      <c r="AD628" s="73">
        <v>0.92</v>
      </c>
      <c r="AE628" s="71">
        <v>0.99810156620787804</v>
      </c>
      <c r="AF628" s="71">
        <v>0.99903907751441401</v>
      </c>
      <c r="AG628" s="71">
        <v>0.99666666666666703</v>
      </c>
      <c r="AH628" s="71">
        <v>0.99833297713186597</v>
      </c>
      <c r="AI628" s="73">
        <v>0.92</v>
      </c>
      <c r="AJ628" s="71">
        <v>0.94268077601410905</v>
      </c>
      <c r="AK628" s="71">
        <v>0.96261141335802802</v>
      </c>
      <c r="AL628" s="71">
        <v>0.96022792022792003</v>
      </c>
      <c r="AM628" s="71">
        <v>0.96496739707760304</v>
      </c>
      <c r="AN628" s="70">
        <v>0.99</v>
      </c>
      <c r="AO628" s="75">
        <v>1</v>
      </c>
      <c r="AP628" s="75">
        <v>1</v>
      </c>
      <c r="AQ628" s="75">
        <v>1</v>
      </c>
      <c r="AR628" s="75">
        <v>1</v>
      </c>
      <c r="AS628" s="95">
        <v>0.05</v>
      </c>
      <c r="AT628" s="79">
        <v>0.2</v>
      </c>
      <c r="AU628" s="79">
        <v>0.1</v>
      </c>
      <c r="AV628" s="79">
        <v>0.04</v>
      </c>
      <c r="AW628" s="79">
        <v>9.5785440613026795E-2</v>
      </c>
      <c r="AX628" s="56"/>
      <c r="AY628" s="54"/>
    </row>
    <row r="629" spans="1:51">
      <c r="A629" s="53"/>
      <c r="B629" s="56"/>
      <c r="C629" s="90" t="s">
        <v>370</v>
      </c>
      <c r="D629" s="230" t="s">
        <v>1757</v>
      </c>
      <c r="E629" s="68" t="s">
        <v>371</v>
      </c>
      <c r="F629" s="91" t="s">
        <v>650</v>
      </c>
      <c r="G629" s="91" t="s">
        <v>650</v>
      </c>
      <c r="H629" s="91" t="s">
        <v>650</v>
      </c>
      <c r="I629" s="91" t="s">
        <v>650</v>
      </c>
      <c r="J629" s="70">
        <v>0.9</v>
      </c>
      <c r="K629" s="71">
        <v>0.72727272727272696</v>
      </c>
      <c r="L629" s="71">
        <v>0.74074074074074103</v>
      </c>
      <c r="M629" s="72">
        <v>0.84057971014492705</v>
      </c>
      <c r="N629" s="71">
        <v>0.780167264038232</v>
      </c>
      <c r="O629" s="73">
        <v>0.9</v>
      </c>
      <c r="P629" s="71">
        <v>0.89438277833837898</v>
      </c>
      <c r="Q629" s="71">
        <v>0.93820224719101097</v>
      </c>
      <c r="R629" s="71">
        <v>0.94891671635857699</v>
      </c>
      <c r="S629" s="71">
        <v>0.91182015187018794</v>
      </c>
      <c r="T629" s="73">
        <v>0.9</v>
      </c>
      <c r="U629" s="71">
        <v>0.74571140262361202</v>
      </c>
      <c r="V629" s="71">
        <v>0.53779366700715003</v>
      </c>
      <c r="W629" s="71">
        <v>0.57384217849334096</v>
      </c>
      <c r="X629" s="71">
        <v>0.57721242446131904</v>
      </c>
      <c r="Y629" s="73">
        <v>0.92</v>
      </c>
      <c r="Z629" s="73">
        <v>0.88789237668161403</v>
      </c>
      <c r="AA629" s="73">
        <v>0.89752176825184204</v>
      </c>
      <c r="AB629" s="73">
        <v>0.78632198952879595</v>
      </c>
      <c r="AC629" s="73">
        <v>0.84910222222222198</v>
      </c>
      <c r="AD629" s="73">
        <v>0.92</v>
      </c>
      <c r="AE629" s="71">
        <v>0.99905437352245896</v>
      </c>
      <c r="AF629" s="71">
        <v>0.89596337910944701</v>
      </c>
      <c r="AG629" s="71">
        <v>0.99879081015719495</v>
      </c>
      <c r="AH629" s="71">
        <v>0.97292771777337494</v>
      </c>
      <c r="AI629" s="73">
        <v>0.92</v>
      </c>
      <c r="AJ629" s="71">
        <v>0.91672343324250705</v>
      </c>
      <c r="AK629" s="71">
        <v>0.94787566173476301</v>
      </c>
      <c r="AL629" s="71">
        <v>0.84295783356003495</v>
      </c>
      <c r="AM629" s="71">
        <v>0.90311218960561701</v>
      </c>
      <c r="AN629" s="70">
        <v>0.99</v>
      </c>
      <c r="AO629" s="75">
        <v>1</v>
      </c>
      <c r="AP629" s="75">
        <v>1</v>
      </c>
      <c r="AQ629" s="75">
        <v>1</v>
      </c>
      <c r="AR629" s="75">
        <v>1</v>
      </c>
      <c r="AS629" s="95">
        <v>0.05</v>
      </c>
      <c r="AT629" s="79">
        <v>2.4390243902439001E-2</v>
      </c>
      <c r="AU629" s="79">
        <v>6.5217391304347797E-2</v>
      </c>
      <c r="AV629" s="79">
        <v>4.2253521126760597E-2</v>
      </c>
      <c r="AW629" s="79">
        <v>2.7992277992277999E-2</v>
      </c>
      <c r="AX629" s="56"/>
      <c r="AY629" s="54"/>
    </row>
    <row r="630" spans="1:51">
      <c r="A630" s="53"/>
      <c r="B630" s="56"/>
      <c r="C630" s="90" t="s">
        <v>370</v>
      </c>
      <c r="D630" s="230" t="s">
        <v>1757</v>
      </c>
      <c r="E630" s="68" t="s">
        <v>371</v>
      </c>
      <c r="F630" s="91" t="s">
        <v>651</v>
      </c>
      <c r="G630" s="91" t="s">
        <v>651</v>
      </c>
      <c r="H630" s="91" t="s">
        <v>651</v>
      </c>
      <c r="I630" s="91" t="s">
        <v>651</v>
      </c>
      <c r="J630" s="70">
        <v>0.9</v>
      </c>
      <c r="K630" s="71">
        <v>0.83870967741935498</v>
      </c>
      <c r="L630" s="71">
        <v>0.85074626865671599</v>
      </c>
      <c r="M630" s="72">
        <v>0.77777777777777801</v>
      </c>
      <c r="N630" s="71">
        <v>0.82079343365253099</v>
      </c>
      <c r="O630" s="73">
        <v>0.9</v>
      </c>
      <c r="P630" s="71">
        <v>0.97267080745341605</v>
      </c>
      <c r="Q630" s="71">
        <v>0.95192516858820997</v>
      </c>
      <c r="R630" s="71">
        <v>0.95546558704453399</v>
      </c>
      <c r="S630" s="71">
        <v>0.931201720505618</v>
      </c>
      <c r="T630" s="73">
        <v>0.9</v>
      </c>
      <c r="U630" s="71">
        <v>0.75776397515527905</v>
      </c>
      <c r="V630" s="71">
        <v>0.71742440722210099</v>
      </c>
      <c r="W630" s="71">
        <v>0.725887115979995</v>
      </c>
      <c r="X630" s="71">
        <v>0.74756408005618002</v>
      </c>
      <c r="Y630" s="73">
        <v>0.92</v>
      </c>
      <c r="Z630" s="73">
        <v>0.89297385620915004</v>
      </c>
      <c r="AA630" s="73">
        <v>0.92539562923888496</v>
      </c>
      <c r="AB630" s="73">
        <v>0.87582854617764005</v>
      </c>
      <c r="AC630" s="73">
        <v>0.92051772855710501</v>
      </c>
      <c r="AD630" s="73">
        <v>0.92</v>
      </c>
      <c r="AE630" s="71">
        <v>0.99778586114186296</v>
      </c>
      <c r="AF630" s="71">
        <v>0.96915762525905202</v>
      </c>
      <c r="AG630" s="71">
        <v>0.99347802844007305</v>
      </c>
      <c r="AH630" s="71">
        <v>0.97847881299291495</v>
      </c>
      <c r="AI630" s="73">
        <v>0.92</v>
      </c>
      <c r="AJ630" s="71">
        <v>0.91572456320657802</v>
      </c>
      <c r="AK630" s="71">
        <v>0.95510548523206795</v>
      </c>
      <c r="AL630" s="71">
        <v>0.91508120649652003</v>
      </c>
      <c r="AM630" s="71">
        <v>0.951094198821404</v>
      </c>
      <c r="AN630" s="70">
        <v>0.99</v>
      </c>
      <c r="AO630" s="75">
        <v>1</v>
      </c>
      <c r="AP630" s="75">
        <v>1</v>
      </c>
      <c r="AQ630" s="75">
        <v>1</v>
      </c>
      <c r="AR630" s="75">
        <v>1</v>
      </c>
      <c r="AS630" s="95">
        <v>0.05</v>
      </c>
      <c r="AT630" s="79">
        <v>9.0909090909090898E-2</v>
      </c>
      <c r="AU630" s="79">
        <v>9.0909090909090898E-2</v>
      </c>
      <c r="AV630" s="79">
        <v>3.125E-2</v>
      </c>
      <c r="AW630" s="79">
        <v>7.4468085106383003E-2</v>
      </c>
      <c r="AX630" s="56"/>
      <c r="AY630" s="54"/>
    </row>
    <row r="631" spans="1:51">
      <c r="A631" s="53"/>
      <c r="B631" s="56"/>
      <c r="C631" s="90" t="s">
        <v>370</v>
      </c>
      <c r="D631" s="230" t="s">
        <v>1757</v>
      </c>
      <c r="E631" s="68" t="s">
        <v>371</v>
      </c>
      <c r="F631" s="91" t="s">
        <v>652</v>
      </c>
      <c r="G631" s="91" t="s">
        <v>652</v>
      </c>
      <c r="H631" s="91" t="s">
        <v>652</v>
      </c>
      <c r="I631" s="91" t="s">
        <v>652</v>
      </c>
      <c r="J631" s="70">
        <v>0.9</v>
      </c>
      <c r="K631" s="71">
        <v>0.93421052631578905</v>
      </c>
      <c r="L631" s="71">
        <v>0.91891891891891897</v>
      </c>
      <c r="M631" s="72">
        <v>0.875</v>
      </c>
      <c r="N631" s="71">
        <v>0.92307692307692302</v>
      </c>
      <c r="O631" s="73">
        <v>0.9</v>
      </c>
      <c r="P631" s="71">
        <v>0.95586680761099396</v>
      </c>
      <c r="Q631" s="71">
        <v>0.92778381736294502</v>
      </c>
      <c r="R631" s="71">
        <v>0.953476902843991</v>
      </c>
      <c r="S631" s="71">
        <v>0.91331366518109303</v>
      </c>
      <c r="T631" s="73">
        <v>0.9</v>
      </c>
      <c r="U631" s="71">
        <v>0.90116279069767402</v>
      </c>
      <c r="V631" s="71">
        <v>0.80602578040068296</v>
      </c>
      <c r="W631" s="71">
        <v>0.82130527700147904</v>
      </c>
      <c r="X631" s="71">
        <v>0.84679241729960497</v>
      </c>
      <c r="Y631" s="73">
        <v>0.92</v>
      </c>
      <c r="Z631" s="73">
        <v>0.93942133815551498</v>
      </c>
      <c r="AA631" s="73">
        <v>0.93213684800897401</v>
      </c>
      <c r="AB631" s="73">
        <v>0.91637958033197597</v>
      </c>
      <c r="AC631" s="73">
        <v>0.93750431838596004</v>
      </c>
      <c r="AD631" s="73">
        <v>0.92</v>
      </c>
      <c r="AE631" s="71">
        <v>0.99809305873379095</v>
      </c>
      <c r="AF631" s="71">
        <v>0.98926868044515104</v>
      </c>
      <c r="AG631" s="71">
        <v>0.97986577181208101</v>
      </c>
      <c r="AH631" s="71">
        <v>0.99288221997787696</v>
      </c>
      <c r="AI631" s="73">
        <v>0.92</v>
      </c>
      <c r="AJ631" s="71">
        <v>0.96030405405405395</v>
      </c>
      <c r="AK631" s="71">
        <v>0.96266115300413502</v>
      </c>
      <c r="AL631" s="71">
        <v>0.95741699008193204</v>
      </c>
      <c r="AM631" s="71">
        <v>0.96789055166535398</v>
      </c>
      <c r="AN631" s="70">
        <v>0.99</v>
      </c>
      <c r="AO631" s="75">
        <v>1</v>
      </c>
      <c r="AP631" s="75">
        <v>1</v>
      </c>
      <c r="AQ631" s="75">
        <v>1</v>
      </c>
      <c r="AR631" s="75">
        <v>1</v>
      </c>
      <c r="AS631" s="95">
        <v>0.05</v>
      </c>
      <c r="AT631" s="79">
        <v>0</v>
      </c>
      <c r="AU631" s="79">
        <v>7.4074074074074098E-2</v>
      </c>
      <c r="AV631" s="79">
        <v>3.03030303030303E-2</v>
      </c>
      <c r="AW631" s="79">
        <v>5.13698630136986E-2</v>
      </c>
      <c r="AX631" s="56"/>
      <c r="AY631" s="54"/>
    </row>
    <row r="632" spans="1:51">
      <c r="A632" s="53"/>
      <c r="B632" s="56"/>
      <c r="C632" s="90" t="s">
        <v>370</v>
      </c>
      <c r="D632" s="230" t="s">
        <v>1757</v>
      </c>
      <c r="E632" s="68" t="s">
        <v>371</v>
      </c>
      <c r="F632" s="91" t="s">
        <v>653</v>
      </c>
      <c r="G632" s="91" t="s">
        <v>653</v>
      </c>
      <c r="H632" s="91" t="s">
        <v>653</v>
      </c>
      <c r="I632" s="91" t="s">
        <v>653</v>
      </c>
      <c r="J632" s="70">
        <v>0.9</v>
      </c>
      <c r="K632" s="71">
        <v>1</v>
      </c>
      <c r="L632" s="71">
        <v>1</v>
      </c>
      <c r="M632" s="72">
        <v>0.97297297297297303</v>
      </c>
      <c r="N632" s="71">
        <v>0.99049881235154402</v>
      </c>
      <c r="O632" s="73">
        <v>0.9</v>
      </c>
      <c r="P632" s="71">
        <v>0.98849840255591104</v>
      </c>
      <c r="Q632" s="71">
        <v>0.98780912574016</v>
      </c>
      <c r="R632" s="71">
        <v>0.993670886075949</v>
      </c>
      <c r="S632" s="71">
        <v>0.98962706841195403</v>
      </c>
      <c r="T632" s="73">
        <v>0.9</v>
      </c>
      <c r="U632" s="71">
        <v>0.94760383386581504</v>
      </c>
      <c r="V632" s="71">
        <v>0.94427028909787503</v>
      </c>
      <c r="W632" s="71">
        <v>0.95745428973277102</v>
      </c>
      <c r="X632" s="71">
        <v>0.95882581236989695</v>
      </c>
      <c r="Y632" s="73">
        <v>0.92</v>
      </c>
      <c r="Z632" s="73">
        <v>0.96234676007005204</v>
      </c>
      <c r="AA632" s="73">
        <v>0.96657381615598903</v>
      </c>
      <c r="AB632" s="73">
        <v>0.97398373983739805</v>
      </c>
      <c r="AC632" s="73">
        <v>0.97215757978723405</v>
      </c>
      <c r="AD632" s="73">
        <v>0.92</v>
      </c>
      <c r="AE632" s="71">
        <v>1</v>
      </c>
      <c r="AF632" s="71">
        <v>0.98351648351648302</v>
      </c>
      <c r="AG632" s="71">
        <v>0.98113207547169801</v>
      </c>
      <c r="AH632" s="71">
        <v>0.98523076923076902</v>
      </c>
      <c r="AI632" s="73">
        <v>0.92</v>
      </c>
      <c r="AJ632" s="71">
        <v>0.97304283604135899</v>
      </c>
      <c r="AK632" s="71">
        <v>0.98328225132348801</v>
      </c>
      <c r="AL632" s="71">
        <v>0.98527245949926401</v>
      </c>
      <c r="AM632" s="71">
        <v>0.98531378473426101</v>
      </c>
      <c r="AN632" s="70">
        <v>0.99</v>
      </c>
      <c r="AO632" s="75">
        <v>1</v>
      </c>
      <c r="AP632" s="75">
        <v>1</v>
      </c>
      <c r="AQ632" s="75">
        <v>1</v>
      </c>
      <c r="AR632" s="75">
        <v>1</v>
      </c>
      <c r="AS632" s="95">
        <v>0.05</v>
      </c>
      <c r="AT632" s="79">
        <v>0.33333333333333298</v>
      </c>
      <c r="AU632" s="79">
        <v>0</v>
      </c>
      <c r="AV632" s="79">
        <v>0.16666666666666699</v>
      </c>
      <c r="AW632" s="79">
        <v>5.7142857142857099E-2</v>
      </c>
      <c r="AX632" s="56"/>
      <c r="AY632" s="54"/>
    </row>
    <row r="633" spans="1:51">
      <c r="A633" s="53"/>
      <c r="B633" s="56"/>
      <c r="C633" s="90" t="s">
        <v>370</v>
      </c>
      <c r="D633" s="230" t="s">
        <v>1757</v>
      </c>
      <c r="E633" s="68" t="s">
        <v>371</v>
      </c>
      <c r="F633" s="91" t="s">
        <v>654</v>
      </c>
      <c r="G633" s="91" t="s">
        <v>654</v>
      </c>
      <c r="H633" s="91" t="s">
        <v>654</v>
      </c>
      <c r="I633" s="91" t="s">
        <v>654</v>
      </c>
      <c r="J633" s="70">
        <v>0.9</v>
      </c>
      <c r="K633" s="71">
        <v>0.69047619047619002</v>
      </c>
      <c r="L633" s="71">
        <v>0.64367816091954</v>
      </c>
      <c r="M633" s="72">
        <v>0.69047619047619002</v>
      </c>
      <c r="N633" s="71">
        <v>0.75100401606425704</v>
      </c>
      <c r="O633" s="73">
        <v>0.9</v>
      </c>
      <c r="P633" s="71">
        <v>0.90863522442469802</v>
      </c>
      <c r="Q633" s="71">
        <v>0.87876634451392799</v>
      </c>
      <c r="R633" s="71">
        <v>0.96627318718381106</v>
      </c>
      <c r="S633" s="71">
        <v>0.96092231287690699</v>
      </c>
      <c r="T633" s="73">
        <v>0.9</v>
      </c>
      <c r="U633" s="71">
        <v>0.71200729095465898</v>
      </c>
      <c r="V633" s="71">
        <v>0.60204661739624798</v>
      </c>
      <c r="W633" s="71">
        <v>0.67821554499463399</v>
      </c>
      <c r="X633" s="71">
        <v>0.69260021284143303</v>
      </c>
      <c r="Y633" s="73">
        <v>0.92</v>
      </c>
      <c r="Z633" s="73">
        <v>0.876195536663124</v>
      </c>
      <c r="AA633" s="73">
        <v>0.86706456863809001</v>
      </c>
      <c r="AB633" s="73">
        <v>0.845726970033296</v>
      </c>
      <c r="AC633" s="73">
        <v>0.88232345385049205</v>
      </c>
      <c r="AD633" s="73">
        <v>0.92</v>
      </c>
      <c r="AE633" s="71">
        <v>0.990450204638472</v>
      </c>
      <c r="AF633" s="71">
        <v>0.99778024417314104</v>
      </c>
      <c r="AG633" s="71">
        <v>0.99047619047619095</v>
      </c>
      <c r="AH633" s="71">
        <v>0.99507109004739303</v>
      </c>
      <c r="AI633" s="73">
        <v>0.92</v>
      </c>
      <c r="AJ633" s="71">
        <v>0.92408633799362305</v>
      </c>
      <c r="AK633" s="71">
        <v>0.95494988174343998</v>
      </c>
      <c r="AL633" s="71">
        <v>0.92417061611374396</v>
      </c>
      <c r="AM633" s="71">
        <v>0.94844001757726704</v>
      </c>
      <c r="AN633" s="70">
        <v>0.99</v>
      </c>
      <c r="AO633" s="75">
        <v>1</v>
      </c>
      <c r="AP633" s="75">
        <v>1</v>
      </c>
      <c r="AQ633" s="75">
        <v>1</v>
      </c>
      <c r="AR633" s="75">
        <v>1</v>
      </c>
      <c r="AS633" s="95">
        <v>0.05</v>
      </c>
      <c r="AT633" s="79">
        <v>0.14285714285714299</v>
      </c>
      <c r="AU633" s="79">
        <v>9.0909090909090898E-2</v>
      </c>
      <c r="AV633" s="79">
        <v>0.08</v>
      </c>
      <c r="AW633" s="79">
        <v>0.10033444816053499</v>
      </c>
      <c r="AX633" s="56"/>
      <c r="AY633" s="54"/>
    </row>
    <row r="634" spans="1:51">
      <c r="A634" s="53"/>
      <c r="B634" s="56"/>
      <c r="C634" s="90" t="s">
        <v>370</v>
      </c>
      <c r="D634" s="230" t="s">
        <v>1757</v>
      </c>
      <c r="E634" s="68" t="s">
        <v>371</v>
      </c>
      <c r="F634" s="91" t="s">
        <v>655</v>
      </c>
      <c r="G634" s="91" t="s">
        <v>655</v>
      </c>
      <c r="H634" s="91" t="s">
        <v>655</v>
      </c>
      <c r="I634" s="91" t="s">
        <v>655</v>
      </c>
      <c r="J634" s="70">
        <v>0.9</v>
      </c>
      <c r="K634" s="71">
        <v>0.79069767441860495</v>
      </c>
      <c r="L634" s="71">
        <v>0.69565217391304301</v>
      </c>
      <c r="M634" s="72">
        <v>0.72972972972973005</v>
      </c>
      <c r="N634" s="71">
        <v>0.72801635991820002</v>
      </c>
      <c r="O634" s="73">
        <v>0.9</v>
      </c>
      <c r="P634" s="71">
        <v>0.97441860465116303</v>
      </c>
      <c r="Q634" s="71">
        <v>0.91303155006858705</v>
      </c>
      <c r="R634" s="71">
        <v>0.95928226363008995</v>
      </c>
      <c r="S634" s="71">
        <v>0.90928469198209405</v>
      </c>
      <c r="T634" s="73">
        <v>0.9</v>
      </c>
      <c r="U634" s="71">
        <v>0.56104651162790697</v>
      </c>
      <c r="V634" s="71">
        <v>0.48120713305898499</v>
      </c>
      <c r="W634" s="71">
        <v>0.48757763975155299</v>
      </c>
      <c r="X634" s="71">
        <v>0.52532050306038502</v>
      </c>
      <c r="Y634" s="73">
        <v>0.92</v>
      </c>
      <c r="Z634" s="73">
        <v>0.78171281390856395</v>
      </c>
      <c r="AA634" s="73">
        <v>0.93169877408056001</v>
      </c>
      <c r="AB634" s="73">
        <v>0.876811594202899</v>
      </c>
      <c r="AC634" s="73">
        <v>0.86084811838650599</v>
      </c>
      <c r="AD634" s="73">
        <v>0.92</v>
      </c>
      <c r="AE634" s="71">
        <v>0.995391705069124</v>
      </c>
      <c r="AF634" s="71">
        <v>0.993670886075949</v>
      </c>
      <c r="AG634" s="71">
        <v>0.99145299145299104</v>
      </c>
      <c r="AH634" s="71">
        <v>0.99537343027098502</v>
      </c>
      <c r="AI634" s="73">
        <v>0.92</v>
      </c>
      <c r="AJ634" s="71">
        <v>0.84880879657910802</v>
      </c>
      <c r="AK634" s="71">
        <v>0.91463125444628901</v>
      </c>
      <c r="AL634" s="71">
        <v>0.87956021989005495</v>
      </c>
      <c r="AM634" s="71">
        <v>0.90686717012703899</v>
      </c>
      <c r="AN634" s="70">
        <v>0.99</v>
      </c>
      <c r="AO634" s="75">
        <v>1</v>
      </c>
      <c r="AP634" s="75">
        <v>1</v>
      </c>
      <c r="AQ634" s="75">
        <v>1</v>
      </c>
      <c r="AR634" s="75">
        <v>1</v>
      </c>
      <c r="AS634" s="95">
        <v>0.05</v>
      </c>
      <c r="AT634" s="79">
        <v>0.125</v>
      </c>
      <c r="AU634" s="79">
        <v>8.6956521739130405E-2</v>
      </c>
      <c r="AV634" s="79">
        <v>0.230769230769231</v>
      </c>
      <c r="AW634" s="79">
        <v>7.6086956521739094E-2</v>
      </c>
      <c r="AX634" s="56"/>
      <c r="AY634" s="54"/>
    </row>
    <row r="635" spans="1:51">
      <c r="A635" s="53"/>
      <c r="B635" s="56"/>
      <c r="C635" s="90" t="s">
        <v>370</v>
      </c>
      <c r="D635" s="230" t="s">
        <v>1757</v>
      </c>
      <c r="E635" s="68" t="s">
        <v>371</v>
      </c>
      <c r="F635" s="91" t="s">
        <v>656</v>
      </c>
      <c r="G635" s="91" t="s">
        <v>656</v>
      </c>
      <c r="H635" s="91" t="s">
        <v>656</v>
      </c>
      <c r="I635" s="91" t="s">
        <v>656</v>
      </c>
      <c r="J635" s="70">
        <v>0.9</v>
      </c>
      <c r="K635" s="71">
        <v>0.91044776119403004</v>
      </c>
      <c r="L635" s="71">
        <v>0.88059701492537301</v>
      </c>
      <c r="M635" s="72">
        <v>0.88059701492537301</v>
      </c>
      <c r="N635" s="71">
        <v>0.91556728232189999</v>
      </c>
      <c r="O635" s="73">
        <v>0.9</v>
      </c>
      <c r="P635" s="71">
        <v>0.98597896845267896</v>
      </c>
      <c r="Q635" s="71">
        <v>0.85094815011271696</v>
      </c>
      <c r="R635" s="71">
        <v>0.922620857403466</v>
      </c>
      <c r="S635" s="71">
        <v>0.94310228366939297</v>
      </c>
      <c r="T635" s="73">
        <v>0.9</v>
      </c>
      <c r="U635" s="71">
        <v>0.895343014521783</v>
      </c>
      <c r="V635" s="71">
        <v>0.84988728285373305</v>
      </c>
      <c r="W635" s="71">
        <v>0.87397385223472202</v>
      </c>
      <c r="X635" s="71">
        <v>0.88626205429643101</v>
      </c>
      <c r="Y635" s="73">
        <v>0.92</v>
      </c>
      <c r="Z635" s="73">
        <v>0.79327052489905803</v>
      </c>
      <c r="AA635" s="73">
        <v>0.700190657769304</v>
      </c>
      <c r="AB635" s="73">
        <v>0.79939792008757504</v>
      </c>
      <c r="AC635" s="73">
        <v>0.77861864736322595</v>
      </c>
      <c r="AD635" s="73">
        <v>0.92</v>
      </c>
      <c r="AE635" s="71">
        <v>0.99780750816591302</v>
      </c>
      <c r="AF635" s="71">
        <v>0.99336924989639497</v>
      </c>
      <c r="AG635" s="71">
        <v>0.99522920555901295</v>
      </c>
      <c r="AH635" s="71">
        <v>0.98439151342210995</v>
      </c>
      <c r="AI635" s="73">
        <v>0.92</v>
      </c>
      <c r="AJ635" s="71">
        <v>0.85892116182572598</v>
      </c>
      <c r="AK635" s="71">
        <v>0.84249274160099497</v>
      </c>
      <c r="AL635" s="71">
        <v>0.87661195779601397</v>
      </c>
      <c r="AM635" s="71">
        <v>0.88200698757763996</v>
      </c>
      <c r="AN635" s="70">
        <v>0.99</v>
      </c>
      <c r="AO635" s="75">
        <v>1</v>
      </c>
      <c r="AP635" s="75">
        <v>1</v>
      </c>
      <c r="AQ635" s="75">
        <v>1</v>
      </c>
      <c r="AR635" s="75">
        <v>1</v>
      </c>
      <c r="AS635" s="95">
        <v>0.05</v>
      </c>
      <c r="AT635" s="79">
        <v>1.2820512820512799E-2</v>
      </c>
      <c r="AU635" s="79">
        <v>4.11522633744856E-3</v>
      </c>
      <c r="AV635" s="79">
        <v>3.1948881789137401E-3</v>
      </c>
      <c r="AW635" s="79">
        <v>5.2269601100412696E-3</v>
      </c>
      <c r="AX635" s="56"/>
      <c r="AY635" s="54"/>
    </row>
    <row r="636" spans="1:51">
      <c r="A636" s="53"/>
      <c r="B636" s="56"/>
      <c r="C636" s="90" t="s">
        <v>370</v>
      </c>
      <c r="D636" s="230" t="s">
        <v>1757</v>
      </c>
      <c r="E636" s="68" t="s">
        <v>371</v>
      </c>
      <c r="F636" s="91" t="s">
        <v>657</v>
      </c>
      <c r="G636" s="91" t="s">
        <v>657</v>
      </c>
      <c r="H636" s="91" t="s">
        <v>657</v>
      </c>
      <c r="I636" s="91" t="s">
        <v>657</v>
      </c>
      <c r="J636" s="70">
        <v>0.9</v>
      </c>
      <c r="K636" s="71">
        <v>0.95402298850574696</v>
      </c>
      <c r="L636" s="71">
        <v>0.93406593406593397</v>
      </c>
      <c r="M636" s="72">
        <v>0.95505617977528101</v>
      </c>
      <c r="N636" s="71">
        <v>0.92611336032388702</v>
      </c>
      <c r="O636" s="73">
        <v>0.9</v>
      </c>
      <c r="P636" s="71">
        <v>0.97601238070673202</v>
      </c>
      <c r="Q636" s="71">
        <v>0.990367892976589</v>
      </c>
      <c r="R636" s="71">
        <v>0.98690950483779205</v>
      </c>
      <c r="S636" s="71">
        <v>0.96936150414625499</v>
      </c>
      <c r="T636" s="73">
        <v>0.9</v>
      </c>
      <c r="U636" s="71">
        <v>0.92004126902243999</v>
      </c>
      <c r="V636" s="71">
        <v>0.88762541806020101</v>
      </c>
      <c r="W636" s="71">
        <v>0.88631189527603904</v>
      </c>
      <c r="X636" s="71">
        <v>0.89260789840991805</v>
      </c>
      <c r="Y636" s="73">
        <v>0.92</v>
      </c>
      <c r="Z636" s="73">
        <v>0.85345744680851099</v>
      </c>
      <c r="AA636" s="73">
        <v>0.85186960690316404</v>
      </c>
      <c r="AB636" s="73">
        <v>0.80786026200873395</v>
      </c>
      <c r="AC636" s="73">
        <v>0.83278538551702497</v>
      </c>
      <c r="AD636" s="73">
        <v>0.92</v>
      </c>
      <c r="AE636" s="71">
        <v>0.99971173248774903</v>
      </c>
      <c r="AF636" s="71">
        <v>0.99906166219839099</v>
      </c>
      <c r="AG636" s="71">
        <v>0.99512627381479801</v>
      </c>
      <c r="AH636" s="71">
        <v>0.99881471040492098</v>
      </c>
      <c r="AI636" s="73">
        <v>0.92</v>
      </c>
      <c r="AJ636" s="71">
        <v>0.90478681663615002</v>
      </c>
      <c r="AK636" s="71">
        <v>0.93934323363313099</v>
      </c>
      <c r="AL636" s="71">
        <v>0.90037542349601696</v>
      </c>
      <c r="AM636" s="71">
        <v>0.91646466702440699</v>
      </c>
      <c r="AN636" s="70">
        <v>0.99</v>
      </c>
      <c r="AO636" s="75">
        <v>1</v>
      </c>
      <c r="AP636" s="75">
        <v>1</v>
      </c>
      <c r="AQ636" s="75">
        <v>1</v>
      </c>
      <c r="AR636" s="75">
        <v>1</v>
      </c>
      <c r="AS636" s="95">
        <v>0.05</v>
      </c>
      <c r="AT636" s="79">
        <v>2.9702970297029702E-2</v>
      </c>
      <c r="AU636" s="79">
        <v>0</v>
      </c>
      <c r="AV636" s="79">
        <v>5.8823529411764698E-2</v>
      </c>
      <c r="AW636" s="79">
        <v>2.9473684210526301E-2</v>
      </c>
      <c r="AX636" s="56"/>
      <c r="AY636" s="54"/>
    </row>
    <row r="637" spans="1:51">
      <c r="A637" s="53"/>
      <c r="B637" s="56"/>
      <c r="C637" s="90" t="s">
        <v>370</v>
      </c>
      <c r="D637" s="230" t="s">
        <v>1757</v>
      </c>
      <c r="E637" s="68" t="s">
        <v>371</v>
      </c>
      <c r="F637" s="91" t="s">
        <v>658</v>
      </c>
      <c r="G637" s="91" t="s">
        <v>658</v>
      </c>
      <c r="H637" s="91" t="s">
        <v>658</v>
      </c>
      <c r="I637" s="91" t="s">
        <v>658</v>
      </c>
      <c r="J637" s="70">
        <v>0.9</v>
      </c>
      <c r="K637" s="71">
        <v>0.74025974025973995</v>
      </c>
      <c r="L637" s="71">
        <v>0.79487179487179505</v>
      </c>
      <c r="M637" s="72">
        <v>0.8</v>
      </c>
      <c r="N637" s="71">
        <v>0.80868544600938996</v>
      </c>
      <c r="O637" s="73">
        <v>0.9</v>
      </c>
      <c r="P637" s="71">
        <v>0.85039619651347098</v>
      </c>
      <c r="Q637" s="71">
        <v>0.92753114581505502</v>
      </c>
      <c r="R637" s="71">
        <v>0.86646884272997005</v>
      </c>
      <c r="S637" s="71">
        <v>0.90566171769553205</v>
      </c>
      <c r="T637" s="73">
        <v>0.9</v>
      </c>
      <c r="U637" s="71">
        <v>0.70554675118859</v>
      </c>
      <c r="V637" s="71">
        <v>0.50710650991401995</v>
      </c>
      <c r="W637" s="71">
        <v>0.52707715133531197</v>
      </c>
      <c r="X637" s="71">
        <v>0.58590253605171605</v>
      </c>
      <c r="Y637" s="73">
        <v>0.92</v>
      </c>
      <c r="Z637" s="73">
        <v>0.86716224951519105</v>
      </c>
      <c r="AA637" s="73">
        <v>0.86853317102860605</v>
      </c>
      <c r="AB637" s="73">
        <v>0.75194060074249103</v>
      </c>
      <c r="AC637" s="73">
        <v>0.85438949106309703</v>
      </c>
      <c r="AD637" s="73">
        <v>0.92</v>
      </c>
      <c r="AE637" s="71">
        <v>0.99774075120022598</v>
      </c>
      <c r="AF637" s="71">
        <v>0.99526066350710896</v>
      </c>
      <c r="AG637" s="71">
        <v>0.98834951456310705</v>
      </c>
      <c r="AH637" s="71">
        <v>0.96099963516964604</v>
      </c>
      <c r="AI637" s="73">
        <v>0.92</v>
      </c>
      <c r="AJ637" s="71">
        <v>0.88448000000000004</v>
      </c>
      <c r="AK637" s="71">
        <v>0.931363203050524</v>
      </c>
      <c r="AL637" s="71">
        <v>0.843024647044748</v>
      </c>
      <c r="AM637" s="71">
        <v>0.91686757003907204</v>
      </c>
      <c r="AN637" s="70">
        <v>0.99</v>
      </c>
      <c r="AO637" s="75">
        <v>1</v>
      </c>
      <c r="AP637" s="75">
        <v>1</v>
      </c>
      <c r="AQ637" s="75">
        <v>1</v>
      </c>
      <c r="AR637" s="75">
        <v>1</v>
      </c>
      <c r="AS637" s="95">
        <v>0.05</v>
      </c>
      <c r="AT637" s="79">
        <v>1.06951871657754E-2</v>
      </c>
      <c r="AU637" s="79">
        <v>8.2644628099173608E-3</v>
      </c>
      <c r="AV637" s="79">
        <v>2.5974025974026E-2</v>
      </c>
      <c r="AW637" s="79">
        <v>5.36768652710682E-3</v>
      </c>
      <c r="AX637" s="56"/>
      <c r="AY637" s="54"/>
    </row>
    <row r="638" spans="1:51">
      <c r="A638" s="53"/>
      <c r="B638" s="56"/>
      <c r="C638" s="90" t="s">
        <v>370</v>
      </c>
      <c r="D638" s="230" t="s">
        <v>1757</v>
      </c>
      <c r="E638" s="68" t="s">
        <v>371</v>
      </c>
      <c r="F638" s="91" t="s">
        <v>659</v>
      </c>
      <c r="G638" s="91" t="s">
        <v>659</v>
      </c>
      <c r="H638" s="91" t="s">
        <v>659</v>
      </c>
      <c r="I638" s="91" t="s">
        <v>659</v>
      </c>
      <c r="J638" s="70">
        <v>0.9</v>
      </c>
      <c r="K638" s="71">
        <v>0.35820895522388102</v>
      </c>
      <c r="L638" s="71">
        <v>0.32307692307692298</v>
      </c>
      <c r="M638" s="72">
        <v>0.42105263157894701</v>
      </c>
      <c r="N638" s="71">
        <v>0.39335180055401697</v>
      </c>
      <c r="O638" s="73">
        <v>0.9</v>
      </c>
      <c r="P638" s="71">
        <v>0.43359467807080099</v>
      </c>
      <c r="Q638" s="71">
        <v>0.37247983870967699</v>
      </c>
      <c r="R638" s="71">
        <v>0.44602272727272702</v>
      </c>
      <c r="S638" s="71">
        <v>0.44730043748620701</v>
      </c>
      <c r="T638" s="73">
        <v>0.9</v>
      </c>
      <c r="U638" s="71">
        <v>0.41625089094796902</v>
      </c>
      <c r="V638" s="71">
        <v>0.36441532258064502</v>
      </c>
      <c r="W638" s="71">
        <v>0.444534632034632</v>
      </c>
      <c r="X638" s="71">
        <v>0.44631382170814299</v>
      </c>
      <c r="Y638" s="73">
        <v>0.92</v>
      </c>
      <c r="Z638" s="73">
        <v>0</v>
      </c>
      <c r="AA638" s="73">
        <v>0</v>
      </c>
      <c r="AB638" s="73" t="s">
        <v>1710</v>
      </c>
      <c r="AC638" s="73">
        <v>0</v>
      </c>
      <c r="AD638" s="73">
        <v>0.92</v>
      </c>
      <c r="AE638" s="71">
        <v>0.99734042553191504</v>
      </c>
      <c r="AF638" s="71">
        <v>0.99387442572741203</v>
      </c>
      <c r="AG638" s="71">
        <v>0.99704142011834296</v>
      </c>
      <c r="AH638" s="71">
        <v>0.994713966874192</v>
      </c>
      <c r="AI638" s="73">
        <v>0.92</v>
      </c>
      <c r="AJ638" s="71">
        <v>0.86927639383155397</v>
      </c>
      <c r="AK638" s="71">
        <v>0.86522232019145995</v>
      </c>
      <c r="AL638" s="71">
        <v>0.80871212121212099</v>
      </c>
      <c r="AM638" s="71">
        <v>0.88134141435116098</v>
      </c>
      <c r="AN638" s="70">
        <v>0.99</v>
      </c>
      <c r="AO638" s="75">
        <v>1</v>
      </c>
      <c r="AP638" s="75">
        <v>1</v>
      </c>
      <c r="AQ638" s="75">
        <v>1</v>
      </c>
      <c r="AR638" s="75">
        <v>1</v>
      </c>
      <c r="AS638" s="95">
        <v>0.05</v>
      </c>
      <c r="AT638" s="79">
        <v>0</v>
      </c>
      <c r="AU638" s="79">
        <v>3.2258064516128997E-2</v>
      </c>
      <c r="AV638" s="79">
        <v>0.125</v>
      </c>
      <c r="AW638" s="79">
        <v>6.6666666666666693E-2</v>
      </c>
      <c r="AX638" s="56"/>
      <c r="AY638" s="54"/>
    </row>
    <row r="639" spans="1:51">
      <c r="A639" s="53"/>
      <c r="B639" s="56"/>
      <c r="C639" s="90" t="s">
        <v>370</v>
      </c>
      <c r="D639" s="230" t="s">
        <v>1757</v>
      </c>
      <c r="E639" s="68" t="s">
        <v>371</v>
      </c>
      <c r="F639" s="91" t="s">
        <v>660</v>
      </c>
      <c r="G639" s="91" t="s">
        <v>660</v>
      </c>
      <c r="H639" s="91" t="s">
        <v>660</v>
      </c>
      <c r="I639" s="91" t="s">
        <v>660</v>
      </c>
      <c r="J639" s="70">
        <v>0.9</v>
      </c>
      <c r="K639" s="71">
        <v>0.33823529411764702</v>
      </c>
      <c r="L639" s="71">
        <v>0.338028169014085</v>
      </c>
      <c r="M639" s="72">
        <v>0.30769230769230799</v>
      </c>
      <c r="N639" s="71">
        <v>0.209580838323353</v>
      </c>
      <c r="O639" s="73">
        <v>0.9</v>
      </c>
      <c r="P639" s="71">
        <v>0.66565961732124901</v>
      </c>
      <c r="Q639" s="71">
        <v>0.57675462023288104</v>
      </c>
      <c r="R639" s="71">
        <v>0.59812764014156905</v>
      </c>
      <c r="S639" s="71">
        <v>0.50026891149304298</v>
      </c>
      <c r="T639" s="73">
        <v>0.9</v>
      </c>
      <c r="U639" s="71">
        <v>0.66767371601208503</v>
      </c>
      <c r="V639" s="71">
        <v>0.55442794573229404</v>
      </c>
      <c r="W639" s="71">
        <v>0.65338508962210295</v>
      </c>
      <c r="X639" s="71">
        <v>0.65185315094119001</v>
      </c>
      <c r="Y639" s="73">
        <v>0.92</v>
      </c>
      <c r="Z639" s="73">
        <v>0.14285714285714299</v>
      </c>
      <c r="AA639" s="73">
        <v>0.5</v>
      </c>
      <c r="AB639" s="73">
        <v>0.97794117647058798</v>
      </c>
      <c r="AC639" s="73">
        <v>0.78756476683937804</v>
      </c>
      <c r="AD639" s="73">
        <v>0.92</v>
      </c>
      <c r="AE639" s="71">
        <v>0.78892568732419899</v>
      </c>
      <c r="AF639" s="71">
        <v>0.99171811921158903</v>
      </c>
      <c r="AG639" s="71">
        <v>0.99020263261024899</v>
      </c>
      <c r="AH639" s="71">
        <v>0.91534805453154999</v>
      </c>
      <c r="AI639" s="73">
        <v>0.92</v>
      </c>
      <c r="AJ639" s="71">
        <v>0.91564571199035905</v>
      </c>
      <c r="AK639" s="71">
        <v>0.92775584249279697</v>
      </c>
      <c r="AL639" s="71">
        <v>0.90958629893238396</v>
      </c>
      <c r="AM639" s="71">
        <v>0.939217056973086</v>
      </c>
      <c r="AN639" s="70">
        <v>0.99</v>
      </c>
      <c r="AO639" s="75">
        <v>1</v>
      </c>
      <c r="AP639" s="75">
        <v>0.68181818181818199</v>
      </c>
      <c r="AQ639" s="75">
        <v>1</v>
      </c>
      <c r="AR639" s="75">
        <v>0.97839506172839497</v>
      </c>
      <c r="AS639" s="95">
        <v>0.05</v>
      </c>
      <c r="AT639" s="79">
        <v>0.17241379310344801</v>
      </c>
      <c r="AU639" s="79">
        <v>2.8571428571428598E-2</v>
      </c>
      <c r="AV639" s="79">
        <v>5.8823529411764698E-2</v>
      </c>
      <c r="AW639" s="79">
        <v>7.5801749271137003E-2</v>
      </c>
      <c r="AX639" s="56"/>
      <c r="AY639" s="54"/>
    </row>
    <row r="640" spans="1:51">
      <c r="A640" s="53"/>
      <c r="B640" s="56"/>
      <c r="C640" s="90" t="s">
        <v>370</v>
      </c>
      <c r="D640" s="230" t="s">
        <v>1757</v>
      </c>
      <c r="E640" s="68" t="s">
        <v>371</v>
      </c>
      <c r="F640" s="91" t="s">
        <v>661</v>
      </c>
      <c r="G640" s="91" t="s">
        <v>661</v>
      </c>
      <c r="H640" s="91" t="s">
        <v>661</v>
      </c>
      <c r="I640" s="91" t="s">
        <v>661</v>
      </c>
      <c r="J640" s="70">
        <v>0.9</v>
      </c>
      <c r="K640" s="71">
        <v>0.97499999999999998</v>
      </c>
      <c r="L640" s="71">
        <v>0.97560975609756095</v>
      </c>
      <c r="M640" s="72">
        <v>0.95652173913043503</v>
      </c>
      <c r="N640" s="71">
        <v>0.97352342158859495</v>
      </c>
      <c r="O640" s="73">
        <v>0.9</v>
      </c>
      <c r="P640" s="71">
        <v>0.97836863452005396</v>
      </c>
      <c r="Q640" s="71">
        <v>0.97748960117445605</v>
      </c>
      <c r="R640" s="71">
        <v>0.97081869764928397</v>
      </c>
      <c r="S640" s="71">
        <v>0.97008449993694001</v>
      </c>
      <c r="T640" s="73">
        <v>0.9</v>
      </c>
      <c r="U640" s="71">
        <v>0.87426768814781397</v>
      </c>
      <c r="V640" s="71">
        <v>0.69048201614876403</v>
      </c>
      <c r="W640" s="71">
        <v>0.83977303431505002</v>
      </c>
      <c r="X640" s="71">
        <v>0.78973388825829205</v>
      </c>
      <c r="Y640" s="73">
        <v>0.92</v>
      </c>
      <c r="Z640" s="73">
        <v>0.92920792079207903</v>
      </c>
      <c r="AA640" s="73">
        <v>0.92141623488773705</v>
      </c>
      <c r="AB640" s="73">
        <v>0.91546679052484903</v>
      </c>
      <c r="AC640" s="73">
        <v>0.9244534824606</v>
      </c>
      <c r="AD640" s="73">
        <v>0.92</v>
      </c>
      <c r="AE640" s="71">
        <v>1</v>
      </c>
      <c r="AF640" s="71">
        <v>1</v>
      </c>
      <c r="AG640" s="71">
        <v>0.99756690997566899</v>
      </c>
      <c r="AH640" s="71">
        <v>0.99879259458009095</v>
      </c>
      <c r="AI640" s="73">
        <v>0.92</v>
      </c>
      <c r="AJ640" s="71">
        <v>0.95001178967224698</v>
      </c>
      <c r="AK640" s="71">
        <v>0.95271687321258303</v>
      </c>
      <c r="AL640" s="71">
        <v>0.94962431693989102</v>
      </c>
      <c r="AM640" s="71">
        <v>0.95550311815270506</v>
      </c>
      <c r="AN640" s="70">
        <v>0.99</v>
      </c>
      <c r="AO640" s="75">
        <v>1</v>
      </c>
      <c r="AP640" s="75">
        <v>1</v>
      </c>
      <c r="AQ640" s="75">
        <v>1</v>
      </c>
      <c r="AR640" s="75">
        <v>1</v>
      </c>
      <c r="AS640" s="95">
        <v>0.05</v>
      </c>
      <c r="AT640" s="79">
        <v>0</v>
      </c>
      <c r="AU640" s="79">
        <v>0</v>
      </c>
      <c r="AV640" s="79">
        <v>0</v>
      </c>
      <c r="AW640" s="79">
        <v>5.4852320675105502E-2</v>
      </c>
      <c r="AX640" s="56"/>
      <c r="AY640" s="54"/>
    </row>
    <row r="641" spans="1:51">
      <c r="A641" s="53"/>
      <c r="B641" s="56"/>
      <c r="C641" s="90" t="s">
        <v>370</v>
      </c>
      <c r="D641" s="230" t="s">
        <v>1757</v>
      </c>
      <c r="E641" s="68" t="s">
        <v>371</v>
      </c>
      <c r="F641" s="91" t="s">
        <v>662</v>
      </c>
      <c r="G641" s="91" t="s">
        <v>662</v>
      </c>
      <c r="H641" s="91" t="s">
        <v>662</v>
      </c>
      <c r="I641" s="91" t="s">
        <v>662</v>
      </c>
      <c r="J641" s="70">
        <v>0.9</v>
      </c>
      <c r="K641" s="71">
        <v>0.76086956521739102</v>
      </c>
      <c r="L641" s="71">
        <v>0.79245283018867896</v>
      </c>
      <c r="M641" s="72">
        <v>0.74</v>
      </c>
      <c r="N641" s="71">
        <v>0.77702702702702697</v>
      </c>
      <c r="O641" s="73">
        <v>0.9</v>
      </c>
      <c r="P641" s="71">
        <v>0.99162626707800805</v>
      </c>
      <c r="Q641" s="71">
        <v>0.97589823700066902</v>
      </c>
      <c r="R641" s="71">
        <v>0.98413080067323899</v>
      </c>
      <c r="S641" s="71">
        <v>0.97535269125137902</v>
      </c>
      <c r="T641" s="73">
        <v>0.9</v>
      </c>
      <c r="U641" s="71">
        <v>0.70956368444248596</v>
      </c>
      <c r="V641" s="71">
        <v>0.56259763445659405</v>
      </c>
      <c r="W641" s="71">
        <v>0.62010098581389805</v>
      </c>
      <c r="X641" s="71">
        <v>0.65219126311588904</v>
      </c>
      <c r="Y641" s="73">
        <v>0.92</v>
      </c>
      <c r="Z641" s="73">
        <v>0.83561643835616395</v>
      </c>
      <c r="AA641" s="73">
        <v>0.80092236740968503</v>
      </c>
      <c r="AB641" s="73">
        <v>0.82028066998641902</v>
      </c>
      <c r="AC641" s="73">
        <v>0.84283618581907105</v>
      </c>
      <c r="AD641" s="73">
        <v>0.92</v>
      </c>
      <c r="AE641" s="71">
        <v>0.98688130455234402</v>
      </c>
      <c r="AF641" s="71">
        <v>0.960481354924974</v>
      </c>
      <c r="AG641" s="71">
        <v>0.990133382057373</v>
      </c>
      <c r="AH641" s="71">
        <v>0.98217999222276697</v>
      </c>
      <c r="AI641" s="73">
        <v>0.92</v>
      </c>
      <c r="AJ641" s="71">
        <v>0.88817820908689904</v>
      </c>
      <c r="AK641" s="71">
        <v>0.91560013836042897</v>
      </c>
      <c r="AL641" s="71">
        <v>0.90734924623115598</v>
      </c>
      <c r="AM641" s="71">
        <v>0.92100965578475003</v>
      </c>
      <c r="AN641" s="70">
        <v>0.99</v>
      </c>
      <c r="AO641" s="75">
        <v>1</v>
      </c>
      <c r="AP641" s="75">
        <v>1</v>
      </c>
      <c r="AQ641" s="75">
        <v>1</v>
      </c>
      <c r="AR641" s="75">
        <v>1</v>
      </c>
      <c r="AS641" s="95">
        <v>0.05</v>
      </c>
      <c r="AT641" s="79">
        <v>5.5555555555555601E-2</v>
      </c>
      <c r="AU641" s="79">
        <v>7.4074074074074098E-2</v>
      </c>
      <c r="AV641" s="79">
        <v>0.12903225806451599</v>
      </c>
      <c r="AW641" s="79">
        <v>8.40336134453782E-2</v>
      </c>
      <c r="AX641" s="56"/>
      <c r="AY641" s="54"/>
    </row>
    <row r="642" spans="1:51">
      <c r="A642" s="53"/>
      <c r="B642" s="56"/>
      <c r="C642" s="109"/>
      <c r="D642" s="228"/>
      <c r="E642" s="110"/>
      <c r="F642" s="110"/>
      <c r="G642" s="83"/>
      <c r="H642" s="83"/>
      <c r="I642" s="110"/>
      <c r="J642" s="111"/>
      <c r="K642" s="112"/>
      <c r="L642" s="112"/>
      <c r="M642" s="72"/>
      <c r="N642" s="112"/>
      <c r="O642" s="88"/>
      <c r="P642" s="112"/>
      <c r="Q642" s="112"/>
      <c r="R642" s="71"/>
      <c r="S642" s="112"/>
      <c r="T642" s="88"/>
      <c r="U642" s="112"/>
      <c r="V642" s="112"/>
      <c r="W642" s="71"/>
      <c r="X642" s="112"/>
      <c r="Y642" s="88"/>
      <c r="Z642" s="88"/>
      <c r="AA642" s="88"/>
      <c r="AB642" s="73"/>
      <c r="AC642" s="88"/>
      <c r="AD642" s="112"/>
      <c r="AE642" s="112"/>
      <c r="AF642" s="112"/>
      <c r="AG642" s="71"/>
      <c r="AH642" s="112"/>
      <c r="AI642" s="112"/>
      <c r="AJ642" s="112"/>
      <c r="AK642" s="112"/>
      <c r="AL642" s="71"/>
      <c r="AM642" s="112"/>
      <c r="AN642" s="111"/>
      <c r="AO642" s="111"/>
      <c r="AP642" s="111"/>
      <c r="AQ642" s="75"/>
      <c r="AR642" s="111"/>
      <c r="AS642" s="112"/>
      <c r="AT642" s="111"/>
      <c r="AU642" s="111"/>
      <c r="AV642" s="79"/>
      <c r="AW642" s="111"/>
      <c r="AX642" s="56"/>
      <c r="AY642" s="54"/>
    </row>
    <row r="643" spans="1:51">
      <c r="A643" s="53"/>
      <c r="B643" s="56"/>
      <c r="C643" s="90" t="s">
        <v>663</v>
      </c>
      <c r="D643" s="230" t="s">
        <v>1757</v>
      </c>
      <c r="E643" s="68" t="s">
        <v>664</v>
      </c>
      <c r="F643" s="113" t="s">
        <v>665</v>
      </c>
      <c r="G643" s="113" t="s">
        <v>665</v>
      </c>
      <c r="H643" s="113" t="s">
        <v>665</v>
      </c>
      <c r="I643" s="113" t="s">
        <v>665</v>
      </c>
      <c r="J643" s="70">
        <v>0.9</v>
      </c>
      <c r="K643" s="71">
        <v>0.92</v>
      </c>
      <c r="L643" s="71">
        <v>1</v>
      </c>
      <c r="M643" s="72">
        <v>0.86206896551724099</v>
      </c>
      <c r="N643" s="71">
        <v>0.97878787878787898</v>
      </c>
      <c r="O643" s="73">
        <v>0.9</v>
      </c>
      <c r="P643" s="71">
        <v>0.96736842105263199</v>
      </c>
      <c r="Q643" s="71">
        <v>0.97636363636363599</v>
      </c>
      <c r="R643" s="71">
        <v>0.968351648351648</v>
      </c>
      <c r="S643" s="71">
        <v>0.97764318161574804</v>
      </c>
      <c r="T643" s="73">
        <v>0.9</v>
      </c>
      <c r="U643" s="71">
        <v>0.91368421052631599</v>
      </c>
      <c r="V643" s="71">
        <v>0.96181818181818202</v>
      </c>
      <c r="W643" s="71">
        <v>0.92967032967033003</v>
      </c>
      <c r="X643" s="71">
        <v>0.95755767346575205</v>
      </c>
      <c r="Y643" s="73">
        <v>0.92</v>
      </c>
      <c r="Z643" s="73">
        <v>0.93624161073825496</v>
      </c>
      <c r="AA643" s="73">
        <v>0.951485148514851</v>
      </c>
      <c r="AB643" s="73">
        <v>0.89873417721519</v>
      </c>
      <c r="AC643" s="73">
        <v>0.92444997924450001</v>
      </c>
      <c r="AD643" s="73">
        <v>0.92</v>
      </c>
      <c r="AE643" s="71">
        <v>0.99751243781094501</v>
      </c>
      <c r="AF643" s="71">
        <v>0.98940677966101698</v>
      </c>
      <c r="AG643" s="71">
        <v>0.987341772151899</v>
      </c>
      <c r="AH643" s="71">
        <v>0.99296369265409501</v>
      </c>
      <c r="AI643" s="73">
        <v>0.92</v>
      </c>
      <c r="AJ643" s="71">
        <v>0.934023285899094</v>
      </c>
      <c r="AK643" s="71">
        <v>0.97383177570093504</v>
      </c>
      <c r="AL643" s="71">
        <v>0.953178294573643</v>
      </c>
      <c r="AM643" s="71">
        <v>0.96332647846949604</v>
      </c>
      <c r="AN643" s="70">
        <v>0.99</v>
      </c>
      <c r="AO643" s="75">
        <v>1</v>
      </c>
      <c r="AP643" s="75">
        <v>1</v>
      </c>
      <c r="AQ643" s="75">
        <v>1</v>
      </c>
      <c r="AR643" s="75">
        <v>1</v>
      </c>
      <c r="AS643" s="95">
        <v>8.1059522893420499E-2</v>
      </c>
      <c r="AT643" s="79">
        <v>8.3333333333333301E-2</v>
      </c>
      <c r="AU643" s="79">
        <v>0</v>
      </c>
      <c r="AV643" s="79">
        <v>9.0909090909090898E-2</v>
      </c>
      <c r="AW643" s="79">
        <v>3.7267080745341602E-2</v>
      </c>
      <c r="AX643" s="56"/>
      <c r="AY643" s="54"/>
    </row>
    <row r="644" spans="1:51">
      <c r="A644" s="53"/>
      <c r="B644" s="56"/>
      <c r="C644" s="90" t="s">
        <v>663</v>
      </c>
      <c r="D644" s="230" t="s">
        <v>1757</v>
      </c>
      <c r="E644" s="68" t="s">
        <v>664</v>
      </c>
      <c r="F644" s="113" t="s">
        <v>666</v>
      </c>
      <c r="G644" s="113" t="s">
        <v>666</v>
      </c>
      <c r="H644" s="113" t="s">
        <v>666</v>
      </c>
      <c r="I644" s="113" t="s">
        <v>666</v>
      </c>
      <c r="J644" s="70">
        <v>0.9</v>
      </c>
      <c r="K644" s="71">
        <v>1</v>
      </c>
      <c r="L644" s="71">
        <v>0.96296296296296302</v>
      </c>
      <c r="M644" s="72">
        <v>1</v>
      </c>
      <c r="N644" s="71">
        <v>0.99635036496350404</v>
      </c>
      <c r="O644" s="73">
        <v>0.9</v>
      </c>
      <c r="P644" s="71">
        <v>0.97459584295612001</v>
      </c>
      <c r="Q644" s="71">
        <v>0.98147220831246895</v>
      </c>
      <c r="R644" s="71">
        <v>0.95966135458167301</v>
      </c>
      <c r="S644" s="71">
        <v>0.97954521856504995</v>
      </c>
      <c r="T644" s="73">
        <v>0.9</v>
      </c>
      <c r="U644" s="71">
        <v>0.95496535796766702</v>
      </c>
      <c r="V644" s="71">
        <v>0.95092638958437703</v>
      </c>
      <c r="W644" s="71">
        <v>0.95517928286852605</v>
      </c>
      <c r="X644" s="71">
        <v>0.95618315855051395</v>
      </c>
      <c r="Y644" s="73">
        <v>0.92</v>
      </c>
      <c r="Z644" s="73">
        <v>0.96021699819168205</v>
      </c>
      <c r="AA644" s="73">
        <v>0.96424581005586596</v>
      </c>
      <c r="AB644" s="73">
        <v>0.97160493827160499</v>
      </c>
      <c r="AC644" s="73">
        <v>0.96798059429957595</v>
      </c>
      <c r="AD644" s="73">
        <v>0.92</v>
      </c>
      <c r="AE644" s="71">
        <v>0.99848484848484897</v>
      </c>
      <c r="AF644" s="71">
        <v>0.99361430395913197</v>
      </c>
      <c r="AG644" s="71">
        <v>0.99168975069252097</v>
      </c>
      <c r="AH644" s="71">
        <v>0.99195650346122599</v>
      </c>
      <c r="AI644" s="73">
        <v>0.92</v>
      </c>
      <c r="AJ644" s="71">
        <v>0.97890295358649804</v>
      </c>
      <c r="AK644" s="71">
        <v>0.97649498790183198</v>
      </c>
      <c r="AL644" s="71">
        <v>0.98261178140525196</v>
      </c>
      <c r="AM644" s="71">
        <v>0.98168604651162805</v>
      </c>
      <c r="AN644" s="70">
        <v>0.99</v>
      </c>
      <c r="AO644" s="75">
        <v>1</v>
      </c>
      <c r="AP644" s="75">
        <v>1</v>
      </c>
      <c r="AQ644" s="75">
        <v>1</v>
      </c>
      <c r="AR644" s="75">
        <v>1</v>
      </c>
      <c r="AS644" s="95">
        <v>8.1059522893420499E-2</v>
      </c>
      <c r="AT644" s="79">
        <v>0</v>
      </c>
      <c r="AU644" s="79">
        <v>0.125</v>
      </c>
      <c r="AV644" s="79">
        <v>0.25</v>
      </c>
      <c r="AW644" s="79">
        <v>5.63380281690141E-2</v>
      </c>
      <c r="AX644" s="56"/>
      <c r="AY644" s="54"/>
    </row>
    <row r="645" spans="1:51">
      <c r="A645" s="53"/>
      <c r="B645" s="56"/>
      <c r="C645" s="90" t="s">
        <v>663</v>
      </c>
      <c r="D645" s="230" t="s">
        <v>1757</v>
      </c>
      <c r="E645" s="68" t="s">
        <v>664</v>
      </c>
      <c r="F645" s="113" t="s">
        <v>667</v>
      </c>
      <c r="G645" s="113" t="s">
        <v>667</v>
      </c>
      <c r="H645" s="113" t="s">
        <v>667</v>
      </c>
      <c r="I645" s="113" t="s">
        <v>667</v>
      </c>
      <c r="J645" s="70">
        <v>0.9</v>
      </c>
      <c r="K645" s="71">
        <v>0.94594594594594605</v>
      </c>
      <c r="L645" s="71">
        <v>0.97619047619047605</v>
      </c>
      <c r="M645" s="72">
        <v>1</v>
      </c>
      <c r="N645" s="71">
        <v>0.98917748917748904</v>
      </c>
      <c r="O645" s="73">
        <v>0.9</v>
      </c>
      <c r="P645" s="71">
        <v>0.92365145228215795</v>
      </c>
      <c r="Q645" s="71">
        <v>0.973831123517097</v>
      </c>
      <c r="R645" s="71">
        <v>0.95784094538486098</v>
      </c>
      <c r="S645" s="71">
        <v>0.96654905685981796</v>
      </c>
      <c r="T645" s="73">
        <v>0.9</v>
      </c>
      <c r="U645" s="71">
        <v>0.90539419087136896</v>
      </c>
      <c r="V645" s="71">
        <v>0.92951849267271502</v>
      </c>
      <c r="W645" s="71">
        <v>0.91983391887575805</v>
      </c>
      <c r="X645" s="71">
        <v>0.92773782059981003</v>
      </c>
      <c r="Y645" s="73">
        <v>0.92</v>
      </c>
      <c r="Z645" s="73">
        <v>0.822033898305085</v>
      </c>
      <c r="AA645" s="73">
        <v>0.78736517719568599</v>
      </c>
      <c r="AB645" s="73">
        <v>0.76217079010375099</v>
      </c>
      <c r="AC645" s="73">
        <v>0.73010269576380005</v>
      </c>
      <c r="AD645" s="73">
        <v>0.92</v>
      </c>
      <c r="AE645" s="71">
        <v>1</v>
      </c>
      <c r="AF645" s="71">
        <v>0.98165137614678899</v>
      </c>
      <c r="AG645" s="71">
        <v>1</v>
      </c>
      <c r="AH645" s="71">
        <v>0.98267564966313803</v>
      </c>
      <c r="AI645" s="73">
        <v>0.92</v>
      </c>
      <c r="AJ645" s="71">
        <v>0.89473684210526305</v>
      </c>
      <c r="AK645" s="71">
        <v>0.91284513805522205</v>
      </c>
      <c r="AL645" s="71">
        <v>0.90693430656934304</v>
      </c>
      <c r="AM645" s="71">
        <v>0.89629029181766195</v>
      </c>
      <c r="AN645" s="70">
        <v>0.99</v>
      </c>
      <c r="AO645" s="75">
        <v>1</v>
      </c>
      <c r="AP645" s="75">
        <v>1</v>
      </c>
      <c r="AQ645" s="75">
        <v>1</v>
      </c>
      <c r="AR645" s="75">
        <v>1</v>
      </c>
      <c r="AS645" s="95">
        <v>8.1059522893420499E-2</v>
      </c>
      <c r="AT645" s="79">
        <v>0</v>
      </c>
      <c r="AU645" s="79">
        <v>0</v>
      </c>
      <c r="AV645" s="79">
        <v>0</v>
      </c>
      <c r="AW645" s="79">
        <v>2.96296296296296E-2</v>
      </c>
      <c r="AX645" s="56"/>
      <c r="AY645" s="54"/>
    </row>
    <row r="646" spans="1:51">
      <c r="A646" s="53"/>
      <c r="B646" s="56"/>
      <c r="C646" s="90" t="s">
        <v>663</v>
      </c>
      <c r="D646" s="230" t="s">
        <v>1757</v>
      </c>
      <c r="E646" s="68" t="s">
        <v>664</v>
      </c>
      <c r="F646" s="113" t="s">
        <v>668</v>
      </c>
      <c r="G646" s="113" t="s">
        <v>668</v>
      </c>
      <c r="H646" s="113" t="s">
        <v>668</v>
      </c>
      <c r="I646" s="113" t="s">
        <v>668</v>
      </c>
      <c r="J646" s="70">
        <v>0.9</v>
      </c>
      <c r="K646" s="71">
        <v>0.9</v>
      </c>
      <c r="L646" s="71">
        <v>0.90909090909090895</v>
      </c>
      <c r="M646" s="72">
        <v>0.92307692307692302</v>
      </c>
      <c r="N646" s="71">
        <v>0.89848812095032404</v>
      </c>
      <c r="O646" s="73">
        <v>0.9</v>
      </c>
      <c r="P646" s="71">
        <v>0.98239178283198803</v>
      </c>
      <c r="Q646" s="71">
        <v>0.98696682464454999</v>
      </c>
      <c r="R646" s="71">
        <v>0.97078986587183302</v>
      </c>
      <c r="S646" s="71">
        <v>0.98056229396031602</v>
      </c>
      <c r="T646" s="73">
        <v>0.9</v>
      </c>
      <c r="U646" s="71">
        <v>0.96038151137197403</v>
      </c>
      <c r="V646" s="71">
        <v>0.95468009478672999</v>
      </c>
      <c r="W646" s="71">
        <v>0.94605067064083503</v>
      </c>
      <c r="X646" s="71">
        <v>0.95369160913105699</v>
      </c>
      <c r="Y646" s="73">
        <v>0.92</v>
      </c>
      <c r="Z646" s="73">
        <v>0.91438356164383605</v>
      </c>
      <c r="AA646" s="73">
        <v>0.93397524071526805</v>
      </c>
      <c r="AB646" s="73">
        <v>0.91056910569105698</v>
      </c>
      <c r="AC646" s="73">
        <v>0.92094688390443502</v>
      </c>
      <c r="AD646" s="73">
        <v>0.92</v>
      </c>
      <c r="AE646" s="71">
        <v>1</v>
      </c>
      <c r="AF646" s="71">
        <v>0.99663299663299698</v>
      </c>
      <c r="AG646" s="71">
        <v>0.99675324675324695</v>
      </c>
      <c r="AH646" s="71">
        <v>0.99225580814389203</v>
      </c>
      <c r="AI646" s="73">
        <v>0.92</v>
      </c>
      <c r="AJ646" s="71">
        <v>0.95580357142857097</v>
      </c>
      <c r="AK646" s="71">
        <v>0.96336920529801295</v>
      </c>
      <c r="AL646" s="71">
        <v>0.96347419834359704</v>
      </c>
      <c r="AM646" s="71">
        <v>0.96287814347095901</v>
      </c>
      <c r="AN646" s="70">
        <v>0.99</v>
      </c>
      <c r="AO646" s="75">
        <v>1</v>
      </c>
      <c r="AP646" s="75">
        <v>1</v>
      </c>
      <c r="AQ646" s="75">
        <v>1</v>
      </c>
      <c r="AR646" s="75">
        <v>1</v>
      </c>
      <c r="AS646" s="95">
        <v>8.1059522893420499E-2</v>
      </c>
      <c r="AT646" s="79">
        <v>0</v>
      </c>
      <c r="AU646" s="79">
        <v>0</v>
      </c>
      <c r="AV646" s="79">
        <v>0</v>
      </c>
      <c r="AW646" s="79">
        <v>5.3030303030302997E-2</v>
      </c>
      <c r="AX646" s="56"/>
      <c r="AY646" s="54"/>
    </row>
    <row r="647" spans="1:51">
      <c r="A647" s="53"/>
      <c r="B647" s="56"/>
      <c r="C647" s="90" t="s">
        <v>663</v>
      </c>
      <c r="D647" s="230" t="s">
        <v>1757</v>
      </c>
      <c r="E647" s="68" t="s">
        <v>664</v>
      </c>
      <c r="F647" s="113" t="s">
        <v>669</v>
      </c>
      <c r="G647" s="113" t="s">
        <v>669</v>
      </c>
      <c r="H647" s="113" t="s">
        <v>669</v>
      </c>
      <c r="I647" s="113" t="s">
        <v>669</v>
      </c>
      <c r="J647" s="70">
        <v>0.9</v>
      </c>
      <c r="K647" s="71">
        <v>1</v>
      </c>
      <c r="L647" s="71">
        <v>1</v>
      </c>
      <c r="M647" s="72">
        <v>1</v>
      </c>
      <c r="N647" s="71">
        <v>1</v>
      </c>
      <c r="O647" s="73">
        <v>0.9</v>
      </c>
      <c r="P647" s="71">
        <v>0.99823321554770295</v>
      </c>
      <c r="Q647" s="71">
        <v>0.99581005586592197</v>
      </c>
      <c r="R647" s="71">
        <v>0.98663853727144901</v>
      </c>
      <c r="S647" s="71">
        <v>0.99141328828828801</v>
      </c>
      <c r="T647" s="73">
        <v>0.9</v>
      </c>
      <c r="U647" s="71">
        <v>0.97526501766784501</v>
      </c>
      <c r="V647" s="71">
        <v>0.97416201117318402</v>
      </c>
      <c r="W647" s="71">
        <v>0.96624472573839704</v>
      </c>
      <c r="X647" s="71">
        <v>0.97219876126126104</v>
      </c>
      <c r="Y647" s="73">
        <v>0.92</v>
      </c>
      <c r="Z647" s="73">
        <v>0.94579945799457998</v>
      </c>
      <c r="AA647" s="73">
        <v>0.97499999999999998</v>
      </c>
      <c r="AB647" s="73">
        <v>0.96539162112932597</v>
      </c>
      <c r="AC647" s="73">
        <v>0.95843071786310496</v>
      </c>
      <c r="AD647" s="73">
        <v>0.92</v>
      </c>
      <c r="AE647" s="71">
        <v>1</v>
      </c>
      <c r="AF647" s="71">
        <v>0.99496221662468498</v>
      </c>
      <c r="AG647" s="71">
        <v>0.99567099567099604</v>
      </c>
      <c r="AH647" s="71">
        <v>0.99272523782876299</v>
      </c>
      <c r="AI647" s="73">
        <v>0.92</v>
      </c>
      <c r="AJ647" s="71">
        <v>0.97005347593582902</v>
      </c>
      <c r="AK647" s="71">
        <v>0.98696911196911197</v>
      </c>
      <c r="AL647" s="71">
        <v>0.984779299847793</v>
      </c>
      <c r="AM647" s="71">
        <v>0.98212782811030297</v>
      </c>
      <c r="AN647" s="70">
        <v>0.99</v>
      </c>
      <c r="AO647" s="75">
        <v>1</v>
      </c>
      <c r="AP647" s="75">
        <v>1</v>
      </c>
      <c r="AQ647" s="75">
        <v>1</v>
      </c>
      <c r="AR647" s="75">
        <v>1</v>
      </c>
      <c r="AS647" s="95">
        <v>8.1059522893420499E-2</v>
      </c>
      <c r="AT647" s="79">
        <v>0</v>
      </c>
      <c r="AU647" s="79">
        <v>0.11111111111111099</v>
      </c>
      <c r="AV647" s="79">
        <v>0</v>
      </c>
      <c r="AW647" s="79">
        <v>4.7058823529411799E-2</v>
      </c>
      <c r="AX647" s="56"/>
      <c r="AY647" s="54"/>
    </row>
    <row r="648" spans="1:51">
      <c r="A648" s="53"/>
      <c r="B648" s="56"/>
      <c r="C648" s="90" t="s">
        <v>663</v>
      </c>
      <c r="D648" s="230" t="s">
        <v>1757</v>
      </c>
      <c r="E648" s="68" t="s">
        <v>664</v>
      </c>
      <c r="F648" s="113" t="s">
        <v>670</v>
      </c>
      <c r="G648" s="113" t="s">
        <v>670</v>
      </c>
      <c r="H648" s="113" t="s">
        <v>670</v>
      </c>
      <c r="I648" s="113" t="s">
        <v>670</v>
      </c>
      <c r="J648" s="70">
        <v>0.9</v>
      </c>
      <c r="K648" s="71">
        <v>1</v>
      </c>
      <c r="L648" s="71">
        <v>1</v>
      </c>
      <c r="M648" s="72">
        <v>1</v>
      </c>
      <c r="N648" s="71">
        <v>0.99630996309963105</v>
      </c>
      <c r="O648" s="73">
        <v>0.9</v>
      </c>
      <c r="P648" s="71">
        <v>0.972796517954298</v>
      </c>
      <c r="Q648" s="71">
        <v>0.98397150489759599</v>
      </c>
      <c r="R648" s="71">
        <v>0.97857455181460395</v>
      </c>
      <c r="S648" s="71">
        <v>0.97876057374034597</v>
      </c>
      <c r="T648" s="73">
        <v>0.9</v>
      </c>
      <c r="U648" s="71">
        <v>0.97388465723612605</v>
      </c>
      <c r="V648" s="71">
        <v>0.95903829029385601</v>
      </c>
      <c r="W648" s="71">
        <v>0.96152164407520802</v>
      </c>
      <c r="X648" s="71">
        <v>0.96680764987127599</v>
      </c>
      <c r="Y648" s="73">
        <v>0.92</v>
      </c>
      <c r="Z648" s="73">
        <v>0.94991364421416202</v>
      </c>
      <c r="AA648" s="73">
        <v>0.9384765625</v>
      </c>
      <c r="AB648" s="73">
        <v>0.92342342342342298</v>
      </c>
      <c r="AC648" s="73">
        <v>0.94653148345784399</v>
      </c>
      <c r="AD648" s="73">
        <v>0.92</v>
      </c>
      <c r="AE648" s="71">
        <v>0.99470899470899499</v>
      </c>
      <c r="AF648" s="71">
        <v>0.98319327731092399</v>
      </c>
      <c r="AG648" s="71">
        <v>0.98688524590163895</v>
      </c>
      <c r="AH648" s="71">
        <v>0.98686868686868701</v>
      </c>
      <c r="AI648" s="73">
        <v>0.92</v>
      </c>
      <c r="AJ648" s="71">
        <v>0.96929238985313704</v>
      </c>
      <c r="AK648" s="71">
        <v>0.96636085626911306</v>
      </c>
      <c r="AL648" s="71">
        <v>0.96693954659949599</v>
      </c>
      <c r="AM648" s="71">
        <v>0.973399299643396</v>
      </c>
      <c r="AN648" s="70">
        <v>0.99</v>
      </c>
      <c r="AO648" s="75">
        <v>1</v>
      </c>
      <c r="AP648" s="75">
        <v>1</v>
      </c>
      <c r="AQ648" s="75">
        <v>1</v>
      </c>
      <c r="AR648" s="75">
        <v>1</v>
      </c>
      <c r="AS648" s="95">
        <v>8.1059522893420499E-2</v>
      </c>
      <c r="AT648" s="79">
        <v>0</v>
      </c>
      <c r="AU648" s="79">
        <v>0</v>
      </c>
      <c r="AV648" s="79">
        <v>9.0909090909090898E-2</v>
      </c>
      <c r="AW648" s="79">
        <v>4.6511627906976702E-2</v>
      </c>
      <c r="AX648" s="56"/>
      <c r="AY648" s="54"/>
    </row>
    <row r="649" spans="1:51">
      <c r="A649" s="53"/>
      <c r="B649" s="56"/>
      <c r="C649" s="90" t="s">
        <v>663</v>
      </c>
      <c r="D649" s="230" t="s">
        <v>1757</v>
      </c>
      <c r="E649" s="68" t="s">
        <v>664</v>
      </c>
      <c r="F649" s="113" t="s">
        <v>671</v>
      </c>
      <c r="G649" s="113" t="s">
        <v>671</v>
      </c>
      <c r="H649" s="113" t="s">
        <v>671</v>
      </c>
      <c r="I649" s="113" t="s">
        <v>671</v>
      </c>
      <c r="J649" s="70">
        <v>0.9</v>
      </c>
      <c r="K649" s="71">
        <v>1</v>
      </c>
      <c r="L649" s="71">
        <v>1</v>
      </c>
      <c r="M649" s="72">
        <v>1</v>
      </c>
      <c r="N649" s="71">
        <v>1</v>
      </c>
      <c r="O649" s="73">
        <v>0.9</v>
      </c>
      <c r="P649" s="71">
        <v>0.99370078740157497</v>
      </c>
      <c r="Q649" s="71">
        <v>0.99006211180124204</v>
      </c>
      <c r="R649" s="71">
        <v>0.99021406727828698</v>
      </c>
      <c r="S649" s="71">
        <v>0.99120290686555701</v>
      </c>
      <c r="T649" s="73">
        <v>0.9</v>
      </c>
      <c r="U649" s="71">
        <v>0.96062992125984203</v>
      </c>
      <c r="V649" s="71">
        <v>0.94472049689440996</v>
      </c>
      <c r="W649" s="71">
        <v>0.92599388379204906</v>
      </c>
      <c r="X649" s="71">
        <v>0.94957608210620303</v>
      </c>
      <c r="Y649" s="73">
        <v>0.92</v>
      </c>
      <c r="Z649" s="73">
        <v>0.84295612009237897</v>
      </c>
      <c r="AA649" s="73">
        <v>0.92989985693848398</v>
      </c>
      <c r="AB649" s="73">
        <v>0.80924855491329495</v>
      </c>
      <c r="AC649" s="73">
        <v>0.88959907030796004</v>
      </c>
      <c r="AD649" s="73">
        <v>0.92</v>
      </c>
      <c r="AE649" s="71">
        <v>1</v>
      </c>
      <c r="AF649" s="71">
        <v>1</v>
      </c>
      <c r="AG649" s="71">
        <v>0.98958333333333304</v>
      </c>
      <c r="AH649" s="71">
        <v>0.99323867478025696</v>
      </c>
      <c r="AI649" s="73">
        <v>0.92</v>
      </c>
      <c r="AJ649" s="71">
        <v>0.92790262172284599</v>
      </c>
      <c r="AK649" s="71">
        <v>0.97314854915547899</v>
      </c>
      <c r="AL649" s="71">
        <v>0.93854748603352001</v>
      </c>
      <c r="AM649" s="71">
        <v>0.96061492114123703</v>
      </c>
      <c r="AN649" s="70">
        <v>0.99</v>
      </c>
      <c r="AO649" s="75">
        <v>1</v>
      </c>
      <c r="AP649" s="75">
        <v>1</v>
      </c>
      <c r="AQ649" s="75">
        <v>1</v>
      </c>
      <c r="AR649" s="75">
        <v>1</v>
      </c>
      <c r="AS649" s="95">
        <v>8.1059522893420499E-2</v>
      </c>
      <c r="AT649" s="79">
        <v>0</v>
      </c>
      <c r="AU649" s="79">
        <v>0</v>
      </c>
      <c r="AV649" s="79">
        <v>0</v>
      </c>
      <c r="AW649" s="79">
        <v>5.0847457627118599E-2</v>
      </c>
      <c r="AX649" s="56"/>
      <c r="AY649" s="54"/>
    </row>
    <row r="650" spans="1:51">
      <c r="A650" s="53"/>
      <c r="B650" s="56"/>
      <c r="C650" s="90" t="s">
        <v>663</v>
      </c>
      <c r="D650" s="230" t="s">
        <v>1757</v>
      </c>
      <c r="E650" s="68" t="s">
        <v>664</v>
      </c>
      <c r="F650" s="113" t="s">
        <v>672</v>
      </c>
      <c r="G650" s="113" t="s">
        <v>672</v>
      </c>
      <c r="H650" s="113" t="s">
        <v>672</v>
      </c>
      <c r="I650" s="113" t="s">
        <v>672</v>
      </c>
      <c r="J650" s="70">
        <v>0.9</v>
      </c>
      <c r="K650" s="71">
        <v>0.86363636363636398</v>
      </c>
      <c r="L650" s="71">
        <v>0.88</v>
      </c>
      <c r="M650" s="72">
        <v>0.83333333333333304</v>
      </c>
      <c r="N650" s="71">
        <v>0.84722222222222199</v>
      </c>
      <c r="O650" s="73">
        <v>0.9</v>
      </c>
      <c r="P650" s="71">
        <v>0.97242841993637297</v>
      </c>
      <c r="Q650" s="71">
        <v>0.96920289855072495</v>
      </c>
      <c r="R650" s="71">
        <v>0.97389653535832899</v>
      </c>
      <c r="S650" s="71">
        <v>0.97695982017420602</v>
      </c>
      <c r="T650" s="73">
        <v>0.9</v>
      </c>
      <c r="U650" s="71">
        <v>0.95864262990455995</v>
      </c>
      <c r="V650" s="71">
        <v>0.94972826086956497</v>
      </c>
      <c r="W650" s="71">
        <v>0.96487897484575202</v>
      </c>
      <c r="X650" s="71">
        <v>0.96248946333239704</v>
      </c>
      <c r="Y650" s="73">
        <v>0.92</v>
      </c>
      <c r="Z650" s="73">
        <v>0.96785109983079498</v>
      </c>
      <c r="AA650" s="73">
        <v>0.95987654320987703</v>
      </c>
      <c r="AB650" s="73">
        <v>0.95955882352941202</v>
      </c>
      <c r="AC650" s="73">
        <v>0.96889716350892596</v>
      </c>
      <c r="AD650" s="73">
        <v>0.92</v>
      </c>
      <c r="AE650" s="71">
        <v>1</v>
      </c>
      <c r="AF650" s="71">
        <v>0.99163879598662197</v>
      </c>
      <c r="AG650" s="71">
        <v>0.99618320610686995</v>
      </c>
      <c r="AH650" s="71">
        <v>0.99487389788804603</v>
      </c>
      <c r="AI650" s="73">
        <v>0.92</v>
      </c>
      <c r="AJ650" s="71">
        <v>0.97979139504563195</v>
      </c>
      <c r="AK650" s="71">
        <v>0.97641509433962304</v>
      </c>
      <c r="AL650" s="71">
        <v>0.98289428669175505</v>
      </c>
      <c r="AM650" s="71">
        <v>0.98314090789818898</v>
      </c>
      <c r="AN650" s="70">
        <v>0.99</v>
      </c>
      <c r="AO650" s="75">
        <v>1</v>
      </c>
      <c r="AP650" s="75">
        <v>1</v>
      </c>
      <c r="AQ650" s="75">
        <v>1</v>
      </c>
      <c r="AR650" s="75">
        <v>1</v>
      </c>
      <c r="AS650" s="95">
        <v>8.1059522893420499E-2</v>
      </c>
      <c r="AT650" s="79">
        <v>0</v>
      </c>
      <c r="AU650" s="79">
        <v>0</v>
      </c>
      <c r="AV650" s="79">
        <v>0</v>
      </c>
      <c r="AW650" s="79">
        <v>4.4117647058823498E-2</v>
      </c>
      <c r="AX650" s="56"/>
      <c r="AY650" s="54"/>
    </row>
    <row r="651" spans="1:51">
      <c r="A651" s="53"/>
      <c r="B651" s="56"/>
      <c r="C651" s="90" t="s">
        <v>663</v>
      </c>
      <c r="D651" s="230" t="s">
        <v>1757</v>
      </c>
      <c r="E651" s="68" t="s">
        <v>664</v>
      </c>
      <c r="F651" s="113" t="s">
        <v>673</v>
      </c>
      <c r="G651" s="113" t="s">
        <v>673</v>
      </c>
      <c r="H651" s="113" t="s">
        <v>673</v>
      </c>
      <c r="I651" s="113" t="s">
        <v>673</v>
      </c>
      <c r="J651" s="70">
        <v>0.9</v>
      </c>
      <c r="K651" s="71">
        <v>1</v>
      </c>
      <c r="L651" s="71">
        <v>0.90697674418604601</v>
      </c>
      <c r="M651" s="72">
        <v>0.91891891891891897</v>
      </c>
      <c r="N651" s="71">
        <v>0.96825396825396803</v>
      </c>
      <c r="O651" s="73">
        <v>0.9</v>
      </c>
      <c r="P651" s="71">
        <v>0.95656565656565695</v>
      </c>
      <c r="Q651" s="71">
        <v>0.95996765062676903</v>
      </c>
      <c r="R651" s="71">
        <v>0.90673154906731501</v>
      </c>
      <c r="S651" s="71">
        <v>0.94136834379841805</v>
      </c>
      <c r="T651" s="73">
        <v>0.9</v>
      </c>
      <c r="U651" s="71">
        <v>0.92525252525252499</v>
      </c>
      <c r="V651" s="71">
        <v>0.94015365952284702</v>
      </c>
      <c r="W651" s="71">
        <v>0.92903487429034903</v>
      </c>
      <c r="X651" s="71">
        <v>0.93635325776726697</v>
      </c>
      <c r="Y651" s="73">
        <v>0.92</v>
      </c>
      <c r="Z651" s="73">
        <v>0.8</v>
      </c>
      <c r="AA651" s="73">
        <v>0.82112436115843301</v>
      </c>
      <c r="AB651" s="73">
        <v>0.71400587659157699</v>
      </c>
      <c r="AC651" s="73">
        <v>0.80505175197037304</v>
      </c>
      <c r="AD651" s="73">
        <v>0.92</v>
      </c>
      <c r="AE651" s="71">
        <v>0.98564593301435399</v>
      </c>
      <c r="AF651" s="71">
        <v>0.98263888888888895</v>
      </c>
      <c r="AG651" s="71">
        <v>0.99401197604790403</v>
      </c>
      <c r="AH651" s="71">
        <v>0.98581001182498995</v>
      </c>
      <c r="AI651" s="73">
        <v>0.92</v>
      </c>
      <c r="AJ651" s="71">
        <v>0.89470404984423701</v>
      </c>
      <c r="AK651" s="71">
        <v>0.92157938031258602</v>
      </c>
      <c r="AL651" s="71">
        <v>0.89194611636572096</v>
      </c>
      <c r="AM651" s="71">
        <v>0.92362537075062701</v>
      </c>
      <c r="AN651" s="70">
        <v>0.99</v>
      </c>
      <c r="AO651" s="75">
        <v>1</v>
      </c>
      <c r="AP651" s="75">
        <v>1</v>
      </c>
      <c r="AQ651" s="75">
        <v>1</v>
      </c>
      <c r="AR651" s="75">
        <v>1</v>
      </c>
      <c r="AS651" s="95">
        <v>8.1059522893420499E-2</v>
      </c>
      <c r="AT651" s="79">
        <v>0.25</v>
      </c>
      <c r="AU651" s="79">
        <v>0</v>
      </c>
      <c r="AV651" s="79">
        <v>0.27272727272727298</v>
      </c>
      <c r="AW651" s="79">
        <v>7.1856287425149698E-2</v>
      </c>
      <c r="AX651" s="56"/>
      <c r="AY651" s="54"/>
    </row>
    <row r="652" spans="1:51">
      <c r="A652" s="53"/>
      <c r="B652" s="56"/>
      <c r="C652" s="90" t="s">
        <v>663</v>
      </c>
      <c r="D652" s="230" t="s">
        <v>1757</v>
      </c>
      <c r="E652" s="68" t="s">
        <v>664</v>
      </c>
      <c r="F652" s="113" t="s">
        <v>674</v>
      </c>
      <c r="G652" s="113" t="s">
        <v>674</v>
      </c>
      <c r="H652" s="113" t="s">
        <v>674</v>
      </c>
      <c r="I652" s="113" t="s">
        <v>674</v>
      </c>
      <c r="J652" s="70">
        <v>0.9</v>
      </c>
      <c r="K652" s="71">
        <v>1</v>
      </c>
      <c r="L652" s="71">
        <v>0.96296296296296302</v>
      </c>
      <c r="M652" s="72">
        <v>1</v>
      </c>
      <c r="N652" s="71">
        <v>0.99303135888501703</v>
      </c>
      <c r="O652" s="73">
        <v>0.9</v>
      </c>
      <c r="P652" s="71">
        <v>0.93079847908745295</v>
      </c>
      <c r="Q652" s="71">
        <v>0.89493155752867204</v>
      </c>
      <c r="R652" s="71">
        <v>0.93314538864277097</v>
      </c>
      <c r="S652" s="71">
        <v>0.93313751886754004</v>
      </c>
      <c r="T652" s="73">
        <v>0.9</v>
      </c>
      <c r="U652" s="71">
        <v>0.90646387832699604</v>
      </c>
      <c r="V652" s="71">
        <v>0.876803551609323</v>
      </c>
      <c r="W652" s="71">
        <v>0.90132903745469195</v>
      </c>
      <c r="X652" s="71">
        <v>0.91567739566760498</v>
      </c>
      <c r="Y652" s="73">
        <v>0.92</v>
      </c>
      <c r="Z652" s="73">
        <v>0.89508196721311495</v>
      </c>
      <c r="AA652" s="73">
        <v>0.89198606271777003</v>
      </c>
      <c r="AB652" s="73">
        <v>0.82452830188679205</v>
      </c>
      <c r="AC652" s="73">
        <v>0.87374675083549902</v>
      </c>
      <c r="AD652" s="73">
        <v>0.92</v>
      </c>
      <c r="AE652" s="71">
        <v>0.99854982390718905</v>
      </c>
      <c r="AF652" s="71">
        <v>0.998383185125303</v>
      </c>
      <c r="AG652" s="71">
        <v>0.99119718309859195</v>
      </c>
      <c r="AH652" s="71">
        <v>0.99549749212644301</v>
      </c>
      <c r="AI652" s="73">
        <v>0.92</v>
      </c>
      <c r="AJ652" s="71">
        <v>0.92987012987012996</v>
      </c>
      <c r="AK652" s="71">
        <v>0.96020066889632105</v>
      </c>
      <c r="AL652" s="71">
        <v>0.92366412213740501</v>
      </c>
      <c r="AM652" s="71">
        <v>0.94829950172223498</v>
      </c>
      <c r="AN652" s="70">
        <v>0.99</v>
      </c>
      <c r="AO652" s="75">
        <v>1</v>
      </c>
      <c r="AP652" s="75">
        <v>1</v>
      </c>
      <c r="AQ652" s="75">
        <v>1</v>
      </c>
      <c r="AR652" s="75">
        <v>1</v>
      </c>
      <c r="AS652" s="95">
        <v>8.1059522893420499E-2</v>
      </c>
      <c r="AT652" s="79">
        <v>0</v>
      </c>
      <c r="AU652" s="79">
        <v>0</v>
      </c>
      <c r="AV652" s="79">
        <v>0</v>
      </c>
      <c r="AW652" s="79">
        <v>2.6785714285714302E-2</v>
      </c>
      <c r="AX652" s="56"/>
      <c r="AY652" s="54"/>
    </row>
    <row r="653" spans="1:51">
      <c r="A653" s="53"/>
      <c r="B653" s="56"/>
      <c r="C653" s="90" t="s">
        <v>663</v>
      </c>
      <c r="D653" s="230" t="s">
        <v>1757</v>
      </c>
      <c r="E653" s="68" t="s">
        <v>664</v>
      </c>
      <c r="F653" s="113" t="s">
        <v>675</v>
      </c>
      <c r="G653" s="113" t="s">
        <v>675</v>
      </c>
      <c r="H653" s="113" t="s">
        <v>675</v>
      </c>
      <c r="I653" s="113" t="s">
        <v>675</v>
      </c>
      <c r="J653" s="70">
        <v>0.9</v>
      </c>
      <c r="K653" s="71">
        <v>0.98214285714285698</v>
      </c>
      <c r="L653" s="71">
        <v>0.95454545454545503</v>
      </c>
      <c r="M653" s="72">
        <v>0.95</v>
      </c>
      <c r="N653" s="71">
        <v>0.95375722543352603</v>
      </c>
      <c r="O653" s="73">
        <v>0.9</v>
      </c>
      <c r="P653" s="71">
        <v>0.96936230851442795</v>
      </c>
      <c r="Q653" s="71">
        <v>0.96515937731653101</v>
      </c>
      <c r="R653" s="71">
        <v>0.95834218916046798</v>
      </c>
      <c r="S653" s="71">
        <v>0.96902924665166801</v>
      </c>
      <c r="T653" s="73">
        <v>0.9</v>
      </c>
      <c r="U653" s="71">
        <v>0.95760598503740602</v>
      </c>
      <c r="V653" s="71">
        <v>0.93587842846553004</v>
      </c>
      <c r="W653" s="71">
        <v>0.94367693942614195</v>
      </c>
      <c r="X653" s="71">
        <v>0.94827694960156395</v>
      </c>
      <c r="Y653" s="73">
        <v>0.92</v>
      </c>
      <c r="Z653" s="73">
        <v>0.96360879454131898</v>
      </c>
      <c r="AA653" s="73">
        <v>0.97333333333333305</v>
      </c>
      <c r="AB653" s="73">
        <v>0.97474348855564297</v>
      </c>
      <c r="AC653" s="73">
        <v>0.97316621060993902</v>
      </c>
      <c r="AD653" s="73">
        <v>0.92</v>
      </c>
      <c r="AE653" s="71">
        <v>0.99433397477015195</v>
      </c>
      <c r="AF653" s="71">
        <v>0.93068418522672602</v>
      </c>
      <c r="AG653" s="71">
        <v>0.97574123989218298</v>
      </c>
      <c r="AH653" s="71">
        <v>0.96404807664308001</v>
      </c>
      <c r="AI653" s="73">
        <v>0.92</v>
      </c>
      <c r="AJ653" s="71">
        <v>0.97892441860465096</v>
      </c>
      <c r="AK653" s="71">
        <v>0.98715415019762798</v>
      </c>
      <c r="AL653" s="71">
        <v>0.98761298962169397</v>
      </c>
      <c r="AM653" s="71">
        <v>0.98733468022614201</v>
      </c>
      <c r="AN653" s="70">
        <v>0.99</v>
      </c>
      <c r="AO653" s="75">
        <v>1</v>
      </c>
      <c r="AP653" s="75">
        <v>1</v>
      </c>
      <c r="AQ653" s="75">
        <v>1</v>
      </c>
      <c r="AR653" s="75">
        <v>1</v>
      </c>
      <c r="AS653" s="95">
        <v>8.1059522893420499E-2</v>
      </c>
      <c r="AT653" s="79">
        <v>0</v>
      </c>
      <c r="AU653" s="79">
        <v>0</v>
      </c>
      <c r="AV653" s="79">
        <v>0</v>
      </c>
      <c r="AW653" s="79">
        <v>2.0270270270270299E-2</v>
      </c>
      <c r="AX653" s="56"/>
      <c r="AY653" s="54"/>
    </row>
    <row r="654" spans="1:51">
      <c r="A654" s="53"/>
      <c r="B654" s="56"/>
      <c r="C654" s="90" t="s">
        <v>663</v>
      </c>
      <c r="D654" s="230" t="s">
        <v>1757</v>
      </c>
      <c r="E654" s="68" t="s">
        <v>664</v>
      </c>
      <c r="F654" s="113" t="s">
        <v>676</v>
      </c>
      <c r="G654" s="113" t="s">
        <v>676</v>
      </c>
      <c r="H654" s="113" t="s">
        <v>676</v>
      </c>
      <c r="I654" s="113" t="s">
        <v>676</v>
      </c>
      <c r="J654" s="70">
        <v>0.9</v>
      </c>
      <c r="K654" s="71">
        <v>0.92857142857142905</v>
      </c>
      <c r="L654" s="71">
        <v>1</v>
      </c>
      <c r="M654" s="72">
        <v>0.94444444444444398</v>
      </c>
      <c r="N654" s="71">
        <v>0.96907216494845405</v>
      </c>
      <c r="O654" s="73">
        <v>0.9</v>
      </c>
      <c r="P654" s="71">
        <v>0.90946930280957305</v>
      </c>
      <c r="Q654" s="71">
        <v>0.94680306905370804</v>
      </c>
      <c r="R654" s="71">
        <v>0.94898518924849196</v>
      </c>
      <c r="S654" s="71">
        <v>0.94650067294750995</v>
      </c>
      <c r="T654" s="73">
        <v>0.9</v>
      </c>
      <c r="U654" s="71">
        <v>0.90114464099895897</v>
      </c>
      <c r="V654" s="71">
        <v>0.87416879795396396</v>
      </c>
      <c r="W654" s="71">
        <v>0.90290729566648398</v>
      </c>
      <c r="X654" s="71">
        <v>0.90354419021983001</v>
      </c>
      <c r="Y654" s="73">
        <v>0.92</v>
      </c>
      <c r="Z654" s="73">
        <v>0.83027522935779796</v>
      </c>
      <c r="AA654" s="73">
        <v>0.78787878787878796</v>
      </c>
      <c r="AB654" s="73">
        <v>0.82790697674418601</v>
      </c>
      <c r="AC654" s="73">
        <v>0.82155130093274398</v>
      </c>
      <c r="AD654" s="73">
        <v>0.92</v>
      </c>
      <c r="AE654" s="71">
        <v>0.99647756766777895</v>
      </c>
      <c r="AF654" s="71">
        <v>0.98879168944778595</v>
      </c>
      <c r="AG654" s="71">
        <v>0.97753049432912498</v>
      </c>
      <c r="AH654" s="71">
        <v>0.99226233578152501</v>
      </c>
      <c r="AI654" s="73">
        <v>0.92</v>
      </c>
      <c r="AJ654" s="71">
        <v>0.89835361488904797</v>
      </c>
      <c r="AK654" s="71">
        <v>0.94456962595763905</v>
      </c>
      <c r="AL654" s="71">
        <v>0.94895694629382998</v>
      </c>
      <c r="AM654" s="71">
        <v>0.94011320065729398</v>
      </c>
      <c r="AN654" s="70">
        <v>0.99</v>
      </c>
      <c r="AO654" s="75">
        <v>1</v>
      </c>
      <c r="AP654" s="75">
        <v>1</v>
      </c>
      <c r="AQ654" s="75">
        <v>1</v>
      </c>
      <c r="AR654" s="75">
        <v>1</v>
      </c>
      <c r="AS654" s="95">
        <v>8.1059522893420499E-2</v>
      </c>
      <c r="AT654" s="79">
        <v>0</v>
      </c>
      <c r="AU654" s="79">
        <v>0</v>
      </c>
      <c r="AV654" s="79">
        <v>0</v>
      </c>
      <c r="AW654" s="79">
        <v>9.5238095238095205E-2</v>
      </c>
      <c r="AX654" s="56"/>
      <c r="AY654" s="54"/>
    </row>
    <row r="655" spans="1:51">
      <c r="A655" s="53"/>
      <c r="B655" s="56"/>
      <c r="C655" s="90" t="s">
        <v>663</v>
      </c>
      <c r="D655" s="230" t="s">
        <v>1757</v>
      </c>
      <c r="E655" s="68" t="s">
        <v>664</v>
      </c>
      <c r="F655" s="113" t="s">
        <v>677</v>
      </c>
      <c r="G655" s="113" t="s">
        <v>677</v>
      </c>
      <c r="H655" s="113" t="s">
        <v>677</v>
      </c>
      <c r="I655" s="113" t="s">
        <v>677</v>
      </c>
      <c r="J655" s="70">
        <v>0.9</v>
      </c>
      <c r="K655" s="71">
        <v>0.97727272727272696</v>
      </c>
      <c r="L655" s="71">
        <v>0.96226415094339601</v>
      </c>
      <c r="M655" s="72">
        <v>1</v>
      </c>
      <c r="N655" s="71">
        <v>0.975836431226766</v>
      </c>
      <c r="O655" s="73">
        <v>0.9</v>
      </c>
      <c r="P655" s="71">
        <v>0.99033482913358695</v>
      </c>
      <c r="Q655" s="71">
        <v>0.98766722408026797</v>
      </c>
      <c r="R655" s="71">
        <v>0.98490738623370699</v>
      </c>
      <c r="S655" s="71">
        <v>0.98350881929445599</v>
      </c>
      <c r="T655" s="73">
        <v>0.9</v>
      </c>
      <c r="U655" s="71">
        <v>0.90645495340006899</v>
      </c>
      <c r="V655" s="71">
        <v>0.90928093645484998</v>
      </c>
      <c r="W655" s="71">
        <v>0.87605762634347095</v>
      </c>
      <c r="X655" s="71">
        <v>0.90307775377969801</v>
      </c>
      <c r="Y655" s="73">
        <v>0.92</v>
      </c>
      <c r="Z655" s="73">
        <v>0.84710144927536202</v>
      </c>
      <c r="AA655" s="73">
        <v>0.85636856368563696</v>
      </c>
      <c r="AB655" s="73">
        <v>0.87822878228782297</v>
      </c>
      <c r="AC655" s="73">
        <v>0.87539936102236404</v>
      </c>
      <c r="AD655" s="73">
        <v>0.92</v>
      </c>
      <c r="AE655" s="71">
        <v>0.99500126550240398</v>
      </c>
      <c r="AF655" s="71">
        <v>0.98634720920894103</v>
      </c>
      <c r="AG655" s="71">
        <v>0.98064862188479995</v>
      </c>
      <c r="AH655" s="71">
        <v>0.98311013872526598</v>
      </c>
      <c r="AI655" s="73">
        <v>0.92</v>
      </c>
      <c r="AJ655" s="71">
        <v>0.91489361702127703</v>
      </c>
      <c r="AK655" s="71">
        <v>0.94713018287162798</v>
      </c>
      <c r="AL655" s="71">
        <v>0.93505586592178802</v>
      </c>
      <c r="AM655" s="71">
        <v>0.94257320319432103</v>
      </c>
      <c r="AN655" s="70">
        <v>0.99</v>
      </c>
      <c r="AO655" s="75">
        <v>1</v>
      </c>
      <c r="AP655" s="75">
        <v>1</v>
      </c>
      <c r="AQ655" s="75">
        <v>1</v>
      </c>
      <c r="AR655" s="75">
        <v>1</v>
      </c>
      <c r="AS655" s="95">
        <v>8.1059522893420499E-2</v>
      </c>
      <c r="AT655" s="79">
        <v>0</v>
      </c>
      <c r="AU655" s="79">
        <v>7.1428571428571397E-2</v>
      </c>
      <c r="AV655" s="79">
        <v>0</v>
      </c>
      <c r="AW655" s="79">
        <v>5.10204081632653E-2</v>
      </c>
      <c r="AX655" s="56"/>
      <c r="AY655" s="54"/>
    </row>
    <row r="656" spans="1:51">
      <c r="A656" s="53"/>
      <c r="B656" s="56"/>
      <c r="C656" s="90" t="s">
        <v>663</v>
      </c>
      <c r="D656" s="230" t="s">
        <v>1757</v>
      </c>
      <c r="E656" s="68" t="s">
        <v>664</v>
      </c>
      <c r="F656" s="113" t="s">
        <v>678</v>
      </c>
      <c r="G656" s="113" t="s">
        <v>678</v>
      </c>
      <c r="H656" s="113" t="s">
        <v>678</v>
      </c>
      <c r="I656" s="113" t="s">
        <v>678</v>
      </c>
      <c r="J656" s="70">
        <v>0.9</v>
      </c>
      <c r="K656" s="71">
        <v>0.9</v>
      </c>
      <c r="L656" s="71">
        <v>1</v>
      </c>
      <c r="M656" s="72">
        <v>0.83333333333333304</v>
      </c>
      <c r="N656" s="71">
        <v>0.90647482014388503</v>
      </c>
      <c r="O656" s="73">
        <v>0.9</v>
      </c>
      <c r="P656" s="71">
        <v>0.89604989604989604</v>
      </c>
      <c r="Q656" s="71">
        <v>0.92783505154639201</v>
      </c>
      <c r="R656" s="71">
        <v>0.87181903864278998</v>
      </c>
      <c r="S656" s="71">
        <v>0.94163424124513595</v>
      </c>
      <c r="T656" s="73">
        <v>0.9</v>
      </c>
      <c r="U656" s="71">
        <v>0.83575883575883603</v>
      </c>
      <c r="V656" s="71">
        <v>0.90463917525773196</v>
      </c>
      <c r="W656" s="71">
        <v>0.85108388312912298</v>
      </c>
      <c r="X656" s="71">
        <v>0.90405238682736999</v>
      </c>
      <c r="Y656" s="73">
        <v>0.92</v>
      </c>
      <c r="Z656" s="73">
        <v>0.73076923076923095</v>
      </c>
      <c r="AA656" s="73">
        <v>0.82300884955752196</v>
      </c>
      <c r="AB656" s="73">
        <v>0.77777777777777801</v>
      </c>
      <c r="AC656" s="73">
        <v>0.826048171275647</v>
      </c>
      <c r="AD656" s="73">
        <v>0.92</v>
      </c>
      <c r="AE656" s="71">
        <v>0.99808795411089901</v>
      </c>
      <c r="AF656" s="71">
        <v>0.995215311004785</v>
      </c>
      <c r="AG656" s="71">
        <v>0.99738903394255896</v>
      </c>
      <c r="AH656" s="71">
        <v>0.99596774193548399</v>
      </c>
      <c r="AI656" s="73">
        <v>0.92</v>
      </c>
      <c r="AJ656" s="71">
        <v>0.859649122807018</v>
      </c>
      <c r="AK656" s="71">
        <v>0.96945967110414999</v>
      </c>
      <c r="AL656" s="71">
        <v>0.90746500777604999</v>
      </c>
      <c r="AM656" s="71">
        <v>0.94373581657406702</v>
      </c>
      <c r="AN656" s="70">
        <v>0.99</v>
      </c>
      <c r="AO656" s="75">
        <v>1</v>
      </c>
      <c r="AP656" s="75">
        <v>1</v>
      </c>
      <c r="AQ656" s="75">
        <v>1</v>
      </c>
      <c r="AR656" s="75">
        <v>1</v>
      </c>
      <c r="AS656" s="95">
        <v>8.1059522893420499E-2</v>
      </c>
      <c r="AT656" s="79">
        <v>0</v>
      </c>
      <c r="AU656" s="79">
        <v>0</v>
      </c>
      <c r="AV656" s="79">
        <v>0</v>
      </c>
      <c r="AW656" s="79">
        <v>4.2553191489361701E-2</v>
      </c>
      <c r="AX656" s="56"/>
      <c r="AY656" s="54"/>
    </row>
    <row r="657" spans="1:51">
      <c r="A657" s="53"/>
      <c r="B657" s="56"/>
      <c r="C657" s="90" t="s">
        <v>663</v>
      </c>
      <c r="D657" s="230" t="s">
        <v>1757</v>
      </c>
      <c r="E657" s="68" t="s">
        <v>664</v>
      </c>
      <c r="F657" s="113" t="s">
        <v>679</v>
      </c>
      <c r="G657" s="113" t="s">
        <v>679</v>
      </c>
      <c r="H657" s="113" t="s">
        <v>679</v>
      </c>
      <c r="I657" s="113" t="s">
        <v>679</v>
      </c>
      <c r="J657" s="70">
        <v>0.9</v>
      </c>
      <c r="K657" s="71">
        <v>1</v>
      </c>
      <c r="L657" s="71">
        <v>0.96666666666666701</v>
      </c>
      <c r="M657" s="72">
        <v>1</v>
      </c>
      <c r="N657" s="71">
        <v>0.97337278106508895</v>
      </c>
      <c r="O657" s="73">
        <v>0.9</v>
      </c>
      <c r="P657" s="71">
        <v>0.97677793904208998</v>
      </c>
      <c r="Q657" s="71">
        <v>0.88684210526315799</v>
      </c>
      <c r="R657" s="71">
        <v>0.80747126436781602</v>
      </c>
      <c r="S657" s="71">
        <v>0.87486787543702704</v>
      </c>
      <c r="T657" s="73">
        <v>0.9</v>
      </c>
      <c r="U657" s="71">
        <v>0.97605224963715498</v>
      </c>
      <c r="V657" s="71">
        <v>0.93796992481203001</v>
      </c>
      <c r="W657" s="71">
        <v>0.92980295566502502</v>
      </c>
      <c r="X657" s="71">
        <v>0.954223920643955</v>
      </c>
      <c r="Y657" s="73">
        <v>0.92</v>
      </c>
      <c r="Z657" s="73">
        <v>0.970031545741325</v>
      </c>
      <c r="AA657" s="73">
        <v>0.99071207430340602</v>
      </c>
      <c r="AB657" s="73">
        <v>0.96052631578947401</v>
      </c>
      <c r="AC657" s="73">
        <v>0.96764756496300097</v>
      </c>
      <c r="AD657" s="73">
        <v>0.92</v>
      </c>
      <c r="AE657" s="71">
        <v>0.99923816779354302</v>
      </c>
      <c r="AF657" s="71">
        <v>0.96702743518751599</v>
      </c>
      <c r="AG657" s="71">
        <v>0.97731755424063105</v>
      </c>
      <c r="AH657" s="71">
        <v>0.99140842390658102</v>
      </c>
      <c r="AI657" s="73">
        <v>0.92</v>
      </c>
      <c r="AJ657" s="71">
        <v>0.98558648111332003</v>
      </c>
      <c r="AK657" s="71">
        <v>0.98558981233244003</v>
      </c>
      <c r="AL657" s="71">
        <v>0.978975032851511</v>
      </c>
      <c r="AM657" s="71">
        <v>0.98490975441365003</v>
      </c>
      <c r="AN657" s="70">
        <v>0.99</v>
      </c>
      <c r="AO657" s="75">
        <v>1</v>
      </c>
      <c r="AP657" s="75">
        <v>1</v>
      </c>
      <c r="AQ657" s="75">
        <v>1</v>
      </c>
      <c r="AR657" s="75">
        <v>1</v>
      </c>
      <c r="AS657" s="95">
        <v>8.1059522893420499E-2</v>
      </c>
      <c r="AT657" s="79">
        <v>0</v>
      </c>
      <c r="AU657" s="79">
        <v>0</v>
      </c>
      <c r="AV657" s="79">
        <v>0</v>
      </c>
      <c r="AW657" s="79">
        <v>3.2967032967033003E-2</v>
      </c>
      <c r="AX657" s="56"/>
      <c r="AY657" s="54"/>
    </row>
    <row r="658" spans="1:51">
      <c r="A658" s="53"/>
      <c r="B658" s="56"/>
      <c r="C658" s="90" t="s">
        <v>663</v>
      </c>
      <c r="D658" s="230" t="s">
        <v>1757</v>
      </c>
      <c r="E658" s="68" t="s">
        <v>664</v>
      </c>
      <c r="F658" s="113" t="s">
        <v>680</v>
      </c>
      <c r="G658" s="113" t="s">
        <v>680</v>
      </c>
      <c r="H658" s="113" t="s">
        <v>680</v>
      </c>
      <c r="I658" s="113" t="s">
        <v>680</v>
      </c>
      <c r="J658" s="70">
        <v>0.9</v>
      </c>
      <c r="K658" s="71">
        <v>0.952380952380952</v>
      </c>
      <c r="L658" s="71">
        <v>0.88461538461538503</v>
      </c>
      <c r="M658" s="72">
        <v>0.80769230769230804</v>
      </c>
      <c r="N658" s="71">
        <v>0.90974729241877295</v>
      </c>
      <c r="O658" s="73">
        <v>0.9</v>
      </c>
      <c r="P658" s="71">
        <v>0.85153846153846202</v>
      </c>
      <c r="Q658" s="71">
        <v>0.834103019538188</v>
      </c>
      <c r="R658" s="71">
        <v>0.71281070745697905</v>
      </c>
      <c r="S658" s="71">
        <v>0.86540750124764898</v>
      </c>
      <c r="T658" s="73">
        <v>0.9</v>
      </c>
      <c r="U658" s="71">
        <v>0.57230769230769196</v>
      </c>
      <c r="V658" s="71">
        <v>0.441207815275311</v>
      </c>
      <c r="W658" s="71">
        <v>0.47609942638623298</v>
      </c>
      <c r="X658" s="71">
        <v>0.51499097854044296</v>
      </c>
      <c r="Y658" s="73">
        <v>0.92</v>
      </c>
      <c r="Z658" s="73">
        <v>0.51070336391437299</v>
      </c>
      <c r="AA658" s="73">
        <v>0.58125000000000004</v>
      </c>
      <c r="AB658" s="73">
        <v>0.40693430656934299</v>
      </c>
      <c r="AC658" s="73">
        <v>0.48380318683242901</v>
      </c>
      <c r="AD658" s="73">
        <v>0.92</v>
      </c>
      <c r="AE658" s="71">
        <v>0.99654832347139999</v>
      </c>
      <c r="AF658" s="71">
        <v>0.99779897285399899</v>
      </c>
      <c r="AG658" s="71">
        <v>0.997251668629761</v>
      </c>
      <c r="AH658" s="71">
        <v>0.99292890957393698</v>
      </c>
      <c r="AI658" s="73">
        <v>0.92</v>
      </c>
      <c r="AJ658" s="71">
        <v>0.75435005117707299</v>
      </c>
      <c r="AK658" s="71">
        <v>0.803827751196172</v>
      </c>
      <c r="AL658" s="71">
        <v>0.76130256085994297</v>
      </c>
      <c r="AM658" s="71">
        <v>0.79350837426016896</v>
      </c>
      <c r="AN658" s="70">
        <v>0.99</v>
      </c>
      <c r="AO658" s="75">
        <v>1</v>
      </c>
      <c r="AP658" s="75">
        <v>1</v>
      </c>
      <c r="AQ658" s="75">
        <v>1</v>
      </c>
      <c r="AR658" s="75">
        <v>1</v>
      </c>
      <c r="AS658" s="95">
        <v>8.1059522893420499E-2</v>
      </c>
      <c r="AT658" s="79">
        <v>0</v>
      </c>
      <c r="AU658" s="79">
        <v>-0.16666666666666699</v>
      </c>
      <c r="AV658" s="79">
        <v>0</v>
      </c>
      <c r="AW658" s="79">
        <v>0</v>
      </c>
      <c r="AX658" s="56"/>
      <c r="AY658" s="54"/>
    </row>
    <row r="659" spans="1:51">
      <c r="A659" s="53"/>
      <c r="B659" s="56"/>
      <c r="C659" s="90" t="s">
        <v>663</v>
      </c>
      <c r="D659" s="230" t="s">
        <v>1757</v>
      </c>
      <c r="E659" s="68" t="s">
        <v>664</v>
      </c>
      <c r="F659" s="113" t="s">
        <v>681</v>
      </c>
      <c r="G659" s="113" t="s">
        <v>681</v>
      </c>
      <c r="H659" s="113" t="s">
        <v>681</v>
      </c>
      <c r="I659" s="113" t="s">
        <v>681</v>
      </c>
      <c r="J659" s="70">
        <v>0.9</v>
      </c>
      <c r="K659" s="71">
        <v>1</v>
      </c>
      <c r="L659" s="71">
        <v>1</v>
      </c>
      <c r="M659" s="72">
        <v>0.94117647058823495</v>
      </c>
      <c r="N659" s="71">
        <v>0.97127937336814596</v>
      </c>
      <c r="O659" s="73">
        <v>0.9</v>
      </c>
      <c r="P659" s="71">
        <v>0.98677998111425902</v>
      </c>
      <c r="Q659" s="71">
        <v>0.97817460317460303</v>
      </c>
      <c r="R659" s="71">
        <v>0.98780022874571105</v>
      </c>
      <c r="S659" s="71">
        <v>0.97630692316052603</v>
      </c>
      <c r="T659" s="73">
        <v>0.9</v>
      </c>
      <c r="U659" s="71">
        <v>0.96600566572238</v>
      </c>
      <c r="V659" s="71">
        <v>0.96858465608465605</v>
      </c>
      <c r="W659" s="71">
        <v>0.97026305756767095</v>
      </c>
      <c r="X659" s="71">
        <v>0.96297503894504199</v>
      </c>
      <c r="Y659" s="73">
        <v>0.92</v>
      </c>
      <c r="Z659" s="73">
        <v>0.96392333709131905</v>
      </c>
      <c r="AA659" s="73">
        <v>0.98828125</v>
      </c>
      <c r="AB659" s="73">
        <v>0.98331346841477996</v>
      </c>
      <c r="AC659" s="73">
        <v>0.97688164980953596</v>
      </c>
      <c r="AD659" s="73">
        <v>0.92</v>
      </c>
      <c r="AE659" s="71">
        <v>0.99453802125919899</v>
      </c>
      <c r="AF659" s="71">
        <v>0.97807915387239897</v>
      </c>
      <c r="AG659" s="71">
        <v>0.98806013614357002</v>
      </c>
      <c r="AH659" s="71">
        <v>0.97369934331791297</v>
      </c>
      <c r="AI659" s="73">
        <v>0.92</v>
      </c>
      <c r="AJ659" s="71">
        <v>0.98069883527454205</v>
      </c>
      <c r="AK659" s="71">
        <v>0.98897993783554705</v>
      </c>
      <c r="AL659" s="71">
        <v>0.987290583477759</v>
      </c>
      <c r="AM659" s="71">
        <v>0.98728212116050595</v>
      </c>
      <c r="AN659" s="70">
        <v>0.99</v>
      </c>
      <c r="AO659" s="75">
        <v>1</v>
      </c>
      <c r="AP659" s="75">
        <v>1</v>
      </c>
      <c r="AQ659" s="75">
        <v>1</v>
      </c>
      <c r="AR659" s="75">
        <v>1</v>
      </c>
      <c r="AS659" s="95">
        <v>8.1059522893420499E-2</v>
      </c>
      <c r="AT659" s="79">
        <v>0.25</v>
      </c>
      <c r="AU659" s="79">
        <v>0.375</v>
      </c>
      <c r="AV659" s="79">
        <v>0</v>
      </c>
      <c r="AW659" s="79">
        <v>5.5555555555555601E-2</v>
      </c>
      <c r="AX659" s="56"/>
      <c r="AY659" s="54"/>
    </row>
    <row r="660" spans="1:51">
      <c r="A660" s="53"/>
      <c r="B660" s="56"/>
      <c r="C660" s="90" t="s">
        <v>663</v>
      </c>
      <c r="D660" s="230" t="s">
        <v>1757</v>
      </c>
      <c r="E660" s="68" t="s">
        <v>664</v>
      </c>
      <c r="F660" s="113" t="s">
        <v>682</v>
      </c>
      <c r="G660" s="113" t="s">
        <v>682</v>
      </c>
      <c r="H660" s="113" t="s">
        <v>682</v>
      </c>
      <c r="I660" s="113" t="s">
        <v>682</v>
      </c>
      <c r="J660" s="70">
        <v>0.9</v>
      </c>
      <c r="K660" s="71">
        <v>0.96610169491525399</v>
      </c>
      <c r="L660" s="71">
        <v>0.97260273972602695</v>
      </c>
      <c r="M660" s="72">
        <v>0.94915254237288105</v>
      </c>
      <c r="N660" s="71">
        <v>0.96159122085047999</v>
      </c>
      <c r="O660" s="73">
        <v>0.9</v>
      </c>
      <c r="P660" s="71">
        <v>0.97814584771106505</v>
      </c>
      <c r="Q660" s="71">
        <v>0.89506172839506204</v>
      </c>
      <c r="R660" s="71">
        <v>0.67560089918727295</v>
      </c>
      <c r="S660" s="71">
        <v>0.92061969874836702</v>
      </c>
      <c r="T660" s="73">
        <v>0.9</v>
      </c>
      <c r="U660" s="71">
        <v>0.9648033126294</v>
      </c>
      <c r="V660" s="71">
        <v>0.94715447154471499</v>
      </c>
      <c r="W660" s="71">
        <v>0.94207158914058398</v>
      </c>
      <c r="X660" s="71">
        <v>0.95289429738264897</v>
      </c>
      <c r="Y660" s="73">
        <v>0.92</v>
      </c>
      <c r="Z660" s="73">
        <v>0.89407446250655498</v>
      </c>
      <c r="AA660" s="73">
        <v>0.88540734109221098</v>
      </c>
      <c r="AB660" s="73">
        <v>0.91078486730660602</v>
      </c>
      <c r="AC660" s="73">
        <v>0.89850841002856197</v>
      </c>
      <c r="AD660" s="73">
        <v>0.92</v>
      </c>
      <c r="AE660" s="71">
        <v>0.99635723392629505</v>
      </c>
      <c r="AF660" s="71">
        <v>0.94932891313856804</v>
      </c>
      <c r="AG660" s="71">
        <v>0.97542838100917295</v>
      </c>
      <c r="AH660" s="71">
        <v>0.97279475453808795</v>
      </c>
      <c r="AI660" s="73">
        <v>0.92</v>
      </c>
      <c r="AJ660" s="71">
        <v>0.95413870246084997</v>
      </c>
      <c r="AK660" s="71">
        <v>0.968564802885854</v>
      </c>
      <c r="AL660" s="71">
        <v>0.96029119788219697</v>
      </c>
      <c r="AM660" s="71">
        <v>0.96487064161235803</v>
      </c>
      <c r="AN660" s="70">
        <v>0.99</v>
      </c>
      <c r="AO660" s="75">
        <v>1</v>
      </c>
      <c r="AP660" s="75">
        <v>1</v>
      </c>
      <c r="AQ660" s="75">
        <v>1</v>
      </c>
      <c r="AR660" s="75">
        <v>1</v>
      </c>
      <c r="AS660" s="95">
        <v>8.1059522893420499E-2</v>
      </c>
      <c r="AT660" s="79">
        <v>0</v>
      </c>
      <c r="AU660" s="79">
        <v>4.3478260869565202E-2</v>
      </c>
      <c r="AV660" s="79">
        <v>0</v>
      </c>
      <c r="AW660" s="79">
        <v>2.1052631578947399E-2</v>
      </c>
      <c r="AX660" s="56"/>
      <c r="AY660" s="54"/>
    </row>
    <row r="661" spans="1:51">
      <c r="A661" s="53"/>
      <c r="B661" s="56"/>
      <c r="C661" s="90" t="s">
        <v>663</v>
      </c>
      <c r="D661" s="230" t="s">
        <v>1757</v>
      </c>
      <c r="E661" s="68" t="s">
        <v>664</v>
      </c>
      <c r="F661" s="113" t="s">
        <v>683</v>
      </c>
      <c r="G661" s="113" t="s">
        <v>683</v>
      </c>
      <c r="H661" s="113" t="s">
        <v>683</v>
      </c>
      <c r="I661" s="113" t="s">
        <v>683</v>
      </c>
      <c r="J661" s="70">
        <v>0.9</v>
      </c>
      <c r="K661" s="71">
        <v>1</v>
      </c>
      <c r="L661" s="71">
        <v>0.92857142857142905</v>
      </c>
      <c r="M661" s="72">
        <v>0.91666666666666696</v>
      </c>
      <c r="N661" s="71">
        <v>0.95744680851063801</v>
      </c>
      <c r="O661" s="73">
        <v>0.9</v>
      </c>
      <c r="P661" s="71">
        <v>0.97077474496829297</v>
      </c>
      <c r="Q661" s="71">
        <v>0.89298969072164902</v>
      </c>
      <c r="R661" s="71">
        <v>0.916906130268199</v>
      </c>
      <c r="S661" s="71">
        <v>0.86680964189174103</v>
      </c>
      <c r="T661" s="73">
        <v>0.9</v>
      </c>
      <c r="U661" s="71">
        <v>0.96415770609318996</v>
      </c>
      <c r="V661" s="71">
        <v>0.95030927835051504</v>
      </c>
      <c r="W661" s="71">
        <v>0.96264367816092</v>
      </c>
      <c r="X661" s="71">
        <v>0.94821616066840897</v>
      </c>
      <c r="Y661" s="73">
        <v>0.92</v>
      </c>
      <c r="Z661" s="73">
        <v>0.95603715170278603</v>
      </c>
      <c r="AA661" s="73">
        <v>0.95334040296924705</v>
      </c>
      <c r="AB661" s="73">
        <v>0.96</v>
      </c>
      <c r="AC661" s="73">
        <v>0.95592183770883099</v>
      </c>
      <c r="AD661" s="73">
        <v>0.92</v>
      </c>
      <c r="AE661" s="71">
        <v>0.996343763229804</v>
      </c>
      <c r="AF661" s="71">
        <v>0.98713838785678398</v>
      </c>
      <c r="AG661" s="71">
        <v>0.87587302960192004</v>
      </c>
      <c r="AH661" s="71">
        <v>0.96310725416750098</v>
      </c>
      <c r="AI661" s="73">
        <v>0.92</v>
      </c>
      <c r="AJ661" s="71">
        <v>0.97673531655224999</v>
      </c>
      <c r="AK661" s="71">
        <v>0.97981018119068197</v>
      </c>
      <c r="AL661" s="71">
        <v>0.97722135280820699</v>
      </c>
      <c r="AM661" s="71">
        <v>0.97690602608381905</v>
      </c>
      <c r="AN661" s="70">
        <v>0.99</v>
      </c>
      <c r="AO661" s="75">
        <v>1</v>
      </c>
      <c r="AP661" s="75">
        <v>1</v>
      </c>
      <c r="AQ661" s="75">
        <v>1</v>
      </c>
      <c r="AR661" s="75">
        <v>1</v>
      </c>
      <c r="AS661" s="95">
        <v>8.1059522893420499E-2</v>
      </c>
      <c r="AT661" s="79">
        <v>0</v>
      </c>
      <c r="AU661" s="79">
        <v>0</v>
      </c>
      <c r="AV661" s="79">
        <v>0</v>
      </c>
      <c r="AW661" s="79">
        <v>1.6666666666666701E-2</v>
      </c>
      <c r="AX661" s="56"/>
      <c r="AY661" s="54"/>
    </row>
    <row r="662" spans="1:51">
      <c r="A662" s="53"/>
      <c r="B662" s="56"/>
      <c r="C662" s="90" t="s">
        <v>663</v>
      </c>
      <c r="D662" s="230" t="s">
        <v>1757</v>
      </c>
      <c r="E662" s="68" t="s">
        <v>664</v>
      </c>
      <c r="F662" s="113" t="s">
        <v>684</v>
      </c>
      <c r="G662" s="113" t="s">
        <v>684</v>
      </c>
      <c r="H662" s="113" t="s">
        <v>684</v>
      </c>
      <c r="I662" s="113" t="s">
        <v>684</v>
      </c>
      <c r="J662" s="70">
        <v>0.9</v>
      </c>
      <c r="K662" s="71">
        <v>1</v>
      </c>
      <c r="L662" s="71">
        <v>0.97435897435897401</v>
      </c>
      <c r="M662" s="72">
        <v>1</v>
      </c>
      <c r="N662" s="71">
        <v>0.98481012658227896</v>
      </c>
      <c r="O662" s="73">
        <v>0.9</v>
      </c>
      <c r="P662" s="71">
        <v>0.95614035087719296</v>
      </c>
      <c r="Q662" s="71">
        <v>0.96433470507544605</v>
      </c>
      <c r="R662" s="71">
        <v>0.90950744558992003</v>
      </c>
      <c r="S662" s="71">
        <v>0.95379693918354003</v>
      </c>
      <c r="T662" s="73">
        <v>0.9</v>
      </c>
      <c r="U662" s="71">
        <v>0.88596491228070196</v>
      </c>
      <c r="V662" s="71">
        <v>0.93792866941015096</v>
      </c>
      <c r="W662" s="71">
        <v>0.89079801450935503</v>
      </c>
      <c r="X662" s="71">
        <v>0.92467919589952396</v>
      </c>
      <c r="Y662" s="73">
        <v>0.92</v>
      </c>
      <c r="Z662" s="73">
        <v>0.88049450549450503</v>
      </c>
      <c r="AA662" s="73">
        <v>0.944606413994169</v>
      </c>
      <c r="AB662" s="73">
        <v>0.87852112676056304</v>
      </c>
      <c r="AC662" s="73">
        <v>0.91946632374216397</v>
      </c>
      <c r="AD662" s="73">
        <v>0.92</v>
      </c>
      <c r="AE662" s="71">
        <v>0.99794097460535303</v>
      </c>
      <c r="AF662" s="71">
        <v>0.99469111969112001</v>
      </c>
      <c r="AG662" s="71">
        <v>0.98160173160173203</v>
      </c>
      <c r="AH662" s="71">
        <v>0.99172136479214701</v>
      </c>
      <c r="AI662" s="73">
        <v>0.92</v>
      </c>
      <c r="AJ662" s="71">
        <v>0.91893180734382496</v>
      </c>
      <c r="AK662" s="71">
        <v>0.96409941699907897</v>
      </c>
      <c r="AL662" s="71">
        <v>0.92657671791653595</v>
      </c>
      <c r="AM662" s="71">
        <v>0.95372209540185604</v>
      </c>
      <c r="AN662" s="70">
        <v>0.99</v>
      </c>
      <c r="AO662" s="75">
        <v>1</v>
      </c>
      <c r="AP662" s="75">
        <v>1</v>
      </c>
      <c r="AQ662" s="75">
        <v>1</v>
      </c>
      <c r="AR662" s="75">
        <v>1</v>
      </c>
      <c r="AS662" s="95">
        <v>8.1059522893420499E-2</v>
      </c>
      <c r="AT662" s="79">
        <v>0</v>
      </c>
      <c r="AU662" s="79">
        <v>4.5454545454545497E-2</v>
      </c>
      <c r="AV662" s="79">
        <v>0</v>
      </c>
      <c r="AW662" s="79">
        <v>2.4038461538461502E-2</v>
      </c>
      <c r="AX662" s="56"/>
      <c r="AY662" s="54"/>
    </row>
    <row r="663" spans="1:51">
      <c r="A663" s="53"/>
      <c r="B663" s="56"/>
      <c r="C663" s="90" t="s">
        <v>663</v>
      </c>
      <c r="D663" s="230" t="s">
        <v>1757</v>
      </c>
      <c r="E663" s="68" t="s">
        <v>664</v>
      </c>
      <c r="F663" s="113" t="s">
        <v>685</v>
      </c>
      <c r="G663" s="113" t="s">
        <v>685</v>
      </c>
      <c r="H663" s="113" t="s">
        <v>685</v>
      </c>
      <c r="I663" s="113" t="s">
        <v>685</v>
      </c>
      <c r="J663" s="70">
        <v>0.9</v>
      </c>
      <c r="K663" s="71">
        <v>0.86363636363636398</v>
      </c>
      <c r="L663" s="71">
        <v>0.86956521739130399</v>
      </c>
      <c r="M663" s="72">
        <v>0.88</v>
      </c>
      <c r="N663" s="71">
        <v>0.89147286821705396</v>
      </c>
      <c r="O663" s="73">
        <v>0.9</v>
      </c>
      <c r="P663" s="71">
        <v>0.59176470588235297</v>
      </c>
      <c r="Q663" s="71">
        <v>0.72043010752688197</v>
      </c>
      <c r="R663" s="71">
        <v>0.70088161209068001</v>
      </c>
      <c r="S663" s="71">
        <v>0.75556227327690495</v>
      </c>
      <c r="T663" s="73">
        <v>0.9</v>
      </c>
      <c r="U663" s="71">
        <v>0.92</v>
      </c>
      <c r="V663" s="71">
        <v>0.90561529271206698</v>
      </c>
      <c r="W663" s="71">
        <v>0.90491183879093195</v>
      </c>
      <c r="X663" s="71">
        <v>0.91880290205562298</v>
      </c>
      <c r="Y663" s="73">
        <v>0.92</v>
      </c>
      <c r="Z663" s="73">
        <v>0.94988610478359903</v>
      </c>
      <c r="AA663" s="73">
        <v>0.94285714285714295</v>
      </c>
      <c r="AB663" s="73">
        <v>0.91354466858789596</v>
      </c>
      <c r="AC663" s="73">
        <v>0.93360676749551397</v>
      </c>
      <c r="AD663" s="73">
        <v>0.92</v>
      </c>
      <c r="AE663" s="71">
        <v>0.99637023593466401</v>
      </c>
      <c r="AF663" s="71">
        <v>0.98532289628180003</v>
      </c>
      <c r="AG663" s="71">
        <v>0.99530516431924898</v>
      </c>
      <c r="AH663" s="71">
        <v>0.98994145023269797</v>
      </c>
      <c r="AI663" s="73">
        <v>0.92</v>
      </c>
      <c r="AJ663" s="71">
        <v>0.95267649340574101</v>
      </c>
      <c r="AK663" s="71">
        <v>0.95726941115164099</v>
      </c>
      <c r="AL663" s="71">
        <v>0.94935400516795898</v>
      </c>
      <c r="AM663" s="71">
        <v>0.96321119319015702</v>
      </c>
      <c r="AN663" s="70">
        <v>0.99</v>
      </c>
      <c r="AO663" s="75">
        <v>1</v>
      </c>
      <c r="AP663" s="75">
        <v>1</v>
      </c>
      <c r="AQ663" s="75">
        <v>1</v>
      </c>
      <c r="AR663" s="75">
        <v>1</v>
      </c>
      <c r="AS663" s="95">
        <v>8.1059522893420499E-2</v>
      </c>
      <c r="AT663" s="79">
        <v>0</v>
      </c>
      <c r="AU663" s="79">
        <v>0.125</v>
      </c>
      <c r="AV663" s="79">
        <v>0</v>
      </c>
      <c r="AW663" s="79">
        <v>0.04</v>
      </c>
      <c r="AX663" s="56"/>
      <c r="AY663" s="54"/>
    </row>
    <row r="664" spans="1:51">
      <c r="A664" s="53"/>
      <c r="B664" s="56"/>
      <c r="C664" s="90" t="s">
        <v>663</v>
      </c>
      <c r="D664" s="230" t="s">
        <v>1757</v>
      </c>
      <c r="E664" s="68" t="s">
        <v>664</v>
      </c>
      <c r="F664" s="113" t="s">
        <v>686</v>
      </c>
      <c r="G664" s="113" t="s">
        <v>686</v>
      </c>
      <c r="H664" s="113" t="s">
        <v>686</v>
      </c>
      <c r="I664" s="113" t="s">
        <v>686</v>
      </c>
      <c r="J664" s="70">
        <v>0.9</v>
      </c>
      <c r="K664" s="71">
        <v>0.96551724137931005</v>
      </c>
      <c r="L664" s="71">
        <v>0.93333333333333302</v>
      </c>
      <c r="M664" s="72">
        <v>0.96428571428571397</v>
      </c>
      <c r="N664" s="71">
        <v>0.94374999999999998</v>
      </c>
      <c r="O664" s="73">
        <v>0.9</v>
      </c>
      <c r="P664" s="71">
        <v>0.97463768115941996</v>
      </c>
      <c r="Q664" s="71">
        <v>0.96029645314981504</v>
      </c>
      <c r="R664" s="71">
        <v>0.98852553069420501</v>
      </c>
      <c r="S664" s="71">
        <v>0.90168477056085095</v>
      </c>
      <c r="T664" s="73">
        <v>0.9</v>
      </c>
      <c r="U664" s="71">
        <v>0.92632850241545905</v>
      </c>
      <c r="V664" s="71">
        <v>0.91635786130227603</v>
      </c>
      <c r="W664" s="71">
        <v>0.86230636833046503</v>
      </c>
      <c r="X664" s="71">
        <v>0.90949900243848403</v>
      </c>
      <c r="Y664" s="73">
        <v>0.92</v>
      </c>
      <c r="Z664" s="73">
        <v>0.89264413518886698</v>
      </c>
      <c r="AA664" s="73">
        <v>0.77777777777777801</v>
      </c>
      <c r="AB664" s="73">
        <v>0.78861788617886197</v>
      </c>
      <c r="AC664" s="73">
        <v>0.85281690140845101</v>
      </c>
      <c r="AD664" s="73">
        <v>0.92</v>
      </c>
      <c r="AE664" s="71">
        <v>0.99887556221889096</v>
      </c>
      <c r="AF664" s="71">
        <v>0.99631675874769798</v>
      </c>
      <c r="AG664" s="71">
        <v>0.98819188191881902</v>
      </c>
      <c r="AH664" s="71">
        <v>0.98597210828547999</v>
      </c>
      <c r="AI664" s="73">
        <v>0.92</v>
      </c>
      <c r="AJ664" s="71">
        <v>0.93012772351615303</v>
      </c>
      <c r="AK664" s="71">
        <v>0.92542213883677304</v>
      </c>
      <c r="AL664" s="71">
        <v>0.89914772727272696</v>
      </c>
      <c r="AM664" s="71">
        <v>0.931005110732538</v>
      </c>
      <c r="AN664" s="70">
        <v>0.99</v>
      </c>
      <c r="AO664" s="75">
        <v>1</v>
      </c>
      <c r="AP664" s="75">
        <v>1</v>
      </c>
      <c r="AQ664" s="75">
        <v>1</v>
      </c>
      <c r="AR664" s="75">
        <v>1</v>
      </c>
      <c r="AS664" s="95">
        <v>8.1059522893420499E-2</v>
      </c>
      <c r="AT664" s="79">
        <v>0.11111111111111099</v>
      </c>
      <c r="AU664" s="79">
        <v>0</v>
      </c>
      <c r="AV664" s="79">
        <v>0</v>
      </c>
      <c r="AW664" s="79">
        <v>3.9215686274509803E-2</v>
      </c>
      <c r="AX664" s="56"/>
      <c r="AY664" s="54"/>
    </row>
    <row r="665" spans="1:51">
      <c r="A665" s="53"/>
      <c r="B665" s="56"/>
      <c r="C665" s="90" t="s">
        <v>663</v>
      </c>
      <c r="D665" s="230" t="s">
        <v>1757</v>
      </c>
      <c r="E665" s="68" t="s">
        <v>664</v>
      </c>
      <c r="F665" s="113" t="s">
        <v>687</v>
      </c>
      <c r="G665" s="113" t="s">
        <v>687</v>
      </c>
      <c r="H665" s="113" t="s">
        <v>687</v>
      </c>
      <c r="I665" s="113" t="s">
        <v>687</v>
      </c>
      <c r="J665" s="70">
        <v>0.9</v>
      </c>
      <c r="K665" s="71">
        <v>0.95833333333333304</v>
      </c>
      <c r="L665" s="71">
        <v>0.931034482758621</v>
      </c>
      <c r="M665" s="72">
        <v>0.92592592592592604</v>
      </c>
      <c r="N665" s="71">
        <v>0.95016611295681097</v>
      </c>
      <c r="O665" s="73">
        <v>0.9</v>
      </c>
      <c r="P665" s="71">
        <v>0.97609561752988006</v>
      </c>
      <c r="Q665" s="71">
        <v>0.98580889309366104</v>
      </c>
      <c r="R665" s="71">
        <v>0.97631212261960099</v>
      </c>
      <c r="S665" s="71">
        <v>0.97085541256623797</v>
      </c>
      <c r="T665" s="73">
        <v>0.9</v>
      </c>
      <c r="U665" s="71">
        <v>0.93127490039840599</v>
      </c>
      <c r="V665" s="71">
        <v>0.94181646168401101</v>
      </c>
      <c r="W665" s="71">
        <v>0.91221551323734296</v>
      </c>
      <c r="X665" s="71">
        <v>0.93731074943224801</v>
      </c>
      <c r="Y665" s="73">
        <v>0.92</v>
      </c>
      <c r="Z665" s="73">
        <v>0.89692585895117505</v>
      </c>
      <c r="AA665" s="73">
        <v>0.932539682539683</v>
      </c>
      <c r="AB665" s="73">
        <v>0.889867841409692</v>
      </c>
      <c r="AC665" s="73">
        <v>0.91637843336724301</v>
      </c>
      <c r="AD665" s="73">
        <v>0.92</v>
      </c>
      <c r="AE665" s="71">
        <v>0.98897869213813405</v>
      </c>
      <c r="AF665" s="71">
        <v>0.99419616947185097</v>
      </c>
      <c r="AG665" s="71">
        <v>0.98288508557457199</v>
      </c>
      <c r="AH665" s="71">
        <v>0.98559530311305299</v>
      </c>
      <c r="AI665" s="73">
        <v>0.92</v>
      </c>
      <c r="AJ665" s="71">
        <v>0.93834296724470101</v>
      </c>
      <c r="AK665" s="71">
        <v>0.96703296703296704</v>
      </c>
      <c r="AL665" s="71">
        <v>0.95090141925585003</v>
      </c>
      <c r="AM665" s="71">
        <v>0.96403209089862196</v>
      </c>
      <c r="AN665" s="70">
        <v>0.99</v>
      </c>
      <c r="AO665" s="75">
        <v>1</v>
      </c>
      <c r="AP665" s="75">
        <v>1</v>
      </c>
      <c r="AQ665" s="75">
        <v>1</v>
      </c>
      <c r="AR665" s="75">
        <v>1</v>
      </c>
      <c r="AS665" s="95">
        <v>8.1059522893420499E-2</v>
      </c>
      <c r="AT665" s="79">
        <v>0</v>
      </c>
      <c r="AU665" s="79">
        <v>0</v>
      </c>
      <c r="AV665" s="79">
        <v>0</v>
      </c>
      <c r="AW665" s="79">
        <v>2.8571428571428598E-2</v>
      </c>
      <c r="AX665" s="56"/>
      <c r="AY665" s="54"/>
    </row>
    <row r="666" spans="1:51">
      <c r="A666" s="53"/>
      <c r="B666" s="56"/>
      <c r="C666" s="90" t="s">
        <v>663</v>
      </c>
      <c r="D666" s="230" t="s">
        <v>1757</v>
      </c>
      <c r="E666" s="68" t="s">
        <v>664</v>
      </c>
      <c r="F666" s="113" t="s">
        <v>688</v>
      </c>
      <c r="G666" s="113" t="s">
        <v>688</v>
      </c>
      <c r="H666" s="113" t="s">
        <v>688</v>
      </c>
      <c r="I666" s="113" t="s">
        <v>688</v>
      </c>
      <c r="J666" s="70">
        <v>0.9</v>
      </c>
      <c r="K666" s="71">
        <v>0.91304347826086996</v>
      </c>
      <c r="L666" s="71">
        <v>0.95833333333333304</v>
      </c>
      <c r="M666" s="72">
        <v>0.92</v>
      </c>
      <c r="N666" s="71">
        <v>0.96691176470588203</v>
      </c>
      <c r="O666" s="73">
        <v>0.9</v>
      </c>
      <c r="P666" s="71">
        <v>0.97560975609756095</v>
      </c>
      <c r="Q666" s="71">
        <v>0.98113207547169801</v>
      </c>
      <c r="R666" s="71">
        <v>0.98100706713780905</v>
      </c>
      <c r="S666" s="71">
        <v>0.97673894423657803</v>
      </c>
      <c r="T666" s="73">
        <v>0.9</v>
      </c>
      <c r="U666" s="71">
        <v>0.93676603432701</v>
      </c>
      <c r="V666" s="71">
        <v>0.93459119496855303</v>
      </c>
      <c r="W666" s="71">
        <v>0.95053003533568903</v>
      </c>
      <c r="X666" s="71">
        <v>0.94973628454221704</v>
      </c>
      <c r="Y666" s="73">
        <v>0.92</v>
      </c>
      <c r="Z666" s="73">
        <v>0.91623036649214695</v>
      </c>
      <c r="AA666" s="73">
        <v>0.93436293436293405</v>
      </c>
      <c r="AB666" s="73">
        <v>0.905349794238683</v>
      </c>
      <c r="AC666" s="73">
        <v>0.93491472260341102</v>
      </c>
      <c r="AD666" s="73">
        <v>0.92</v>
      </c>
      <c r="AE666" s="71">
        <v>0.99712368168744003</v>
      </c>
      <c r="AF666" s="71">
        <v>0.99840127897681896</v>
      </c>
      <c r="AG666" s="71">
        <v>0.99808673469387799</v>
      </c>
      <c r="AH666" s="71">
        <v>0.99686542212315399</v>
      </c>
      <c r="AI666" s="73">
        <v>0.92</v>
      </c>
      <c r="AJ666" s="71">
        <v>0.94880952380952399</v>
      </c>
      <c r="AK666" s="71">
        <v>0.96936459909228401</v>
      </c>
      <c r="AL666" s="71">
        <v>0.96727272727272695</v>
      </c>
      <c r="AM666" s="71">
        <v>0.97500641331036797</v>
      </c>
      <c r="AN666" s="70">
        <v>0.99</v>
      </c>
      <c r="AO666" s="75">
        <v>1</v>
      </c>
      <c r="AP666" s="75">
        <v>1</v>
      </c>
      <c r="AQ666" s="75">
        <v>1</v>
      </c>
      <c r="AR666" s="75">
        <v>1</v>
      </c>
      <c r="AS666" s="95">
        <v>8.1059522893420499E-2</v>
      </c>
      <c r="AT666" s="79">
        <v>0.2</v>
      </c>
      <c r="AU666" s="79">
        <v>0.1</v>
      </c>
      <c r="AV666" s="79">
        <v>0.15384615384615399</v>
      </c>
      <c r="AW666" s="79">
        <v>6.6037735849056603E-2</v>
      </c>
      <c r="AX666" s="56"/>
      <c r="AY666" s="54"/>
    </row>
    <row r="667" spans="1:51">
      <c r="A667" s="53"/>
      <c r="B667" s="56"/>
      <c r="C667" s="90" t="s">
        <v>663</v>
      </c>
      <c r="D667" s="230" t="s">
        <v>1757</v>
      </c>
      <c r="E667" s="68" t="s">
        <v>664</v>
      </c>
      <c r="F667" s="113" t="s">
        <v>689</v>
      </c>
      <c r="G667" s="113" t="s">
        <v>689</v>
      </c>
      <c r="H667" s="113" t="s">
        <v>689</v>
      </c>
      <c r="I667" s="113" t="s">
        <v>689</v>
      </c>
      <c r="J667" s="70">
        <v>0.9</v>
      </c>
      <c r="K667" s="71">
        <v>1</v>
      </c>
      <c r="L667" s="71">
        <v>1</v>
      </c>
      <c r="M667" s="72">
        <v>1</v>
      </c>
      <c r="N667" s="71">
        <v>1</v>
      </c>
      <c r="O667" s="73">
        <v>0.9</v>
      </c>
      <c r="P667" s="71">
        <v>0.905491698595147</v>
      </c>
      <c r="Q667" s="71">
        <v>0.95075757575757602</v>
      </c>
      <c r="R667" s="71">
        <v>0.95625672283972796</v>
      </c>
      <c r="S667" s="71">
        <v>0.93863990309742196</v>
      </c>
      <c r="T667" s="73">
        <v>0.9</v>
      </c>
      <c r="U667" s="71">
        <v>0.976372924648787</v>
      </c>
      <c r="V667" s="71">
        <v>0.97382920110192805</v>
      </c>
      <c r="W667" s="71">
        <v>0.98278953029759797</v>
      </c>
      <c r="X667" s="71">
        <v>0.97861221664647902</v>
      </c>
      <c r="Y667" s="73">
        <v>0.92</v>
      </c>
      <c r="Z667" s="73">
        <v>0.96674876847290603</v>
      </c>
      <c r="AA667" s="73">
        <v>0.96073298429319398</v>
      </c>
      <c r="AB667" s="73">
        <v>0.95765027322404395</v>
      </c>
      <c r="AC667" s="73">
        <v>0.966756513926325</v>
      </c>
      <c r="AD667" s="73">
        <v>0.92</v>
      </c>
      <c r="AE667" s="71">
        <v>0.99901088031651797</v>
      </c>
      <c r="AF667" s="71">
        <v>0.99832840426899805</v>
      </c>
      <c r="AG667" s="71">
        <v>0.98295454545454497</v>
      </c>
      <c r="AH667" s="71">
        <v>0.99703463203463205</v>
      </c>
      <c r="AI667" s="73">
        <v>0.92</v>
      </c>
      <c r="AJ667" s="71">
        <v>0.98236775818639799</v>
      </c>
      <c r="AK667" s="71">
        <v>0.98755690440060695</v>
      </c>
      <c r="AL667" s="71">
        <v>0.98609929078014202</v>
      </c>
      <c r="AM667" s="71">
        <v>0.98789257823473198</v>
      </c>
      <c r="AN667" s="70">
        <v>0.99</v>
      </c>
      <c r="AO667" s="75">
        <v>1</v>
      </c>
      <c r="AP667" s="75">
        <v>1</v>
      </c>
      <c r="AQ667" s="75">
        <v>1</v>
      </c>
      <c r="AR667" s="75">
        <v>1</v>
      </c>
      <c r="AS667" s="95">
        <v>8.1059522893420499E-2</v>
      </c>
      <c r="AT667" s="79">
        <v>0</v>
      </c>
      <c r="AU667" s="79">
        <v>0</v>
      </c>
      <c r="AV667" s="79">
        <v>0.1</v>
      </c>
      <c r="AW667" s="79">
        <v>2.4590163934426201E-2</v>
      </c>
      <c r="AX667" s="56"/>
      <c r="AY667" s="54"/>
    </row>
    <row r="668" spans="1:51">
      <c r="A668" s="53"/>
      <c r="B668" s="56"/>
      <c r="C668" s="90" t="s">
        <v>663</v>
      </c>
      <c r="D668" s="230" t="s">
        <v>1757</v>
      </c>
      <c r="E668" s="68" t="s">
        <v>664</v>
      </c>
      <c r="F668" s="113" t="s">
        <v>690</v>
      </c>
      <c r="G668" s="113" t="s">
        <v>690</v>
      </c>
      <c r="H668" s="113" t="s">
        <v>690</v>
      </c>
      <c r="I668" s="113" t="s">
        <v>690</v>
      </c>
      <c r="J668" s="70">
        <v>0.9</v>
      </c>
      <c r="K668" s="71">
        <v>1</v>
      </c>
      <c r="L668" s="71">
        <v>1</v>
      </c>
      <c r="M668" s="72">
        <v>1</v>
      </c>
      <c r="N668" s="71">
        <v>0.99468085106382997</v>
      </c>
      <c r="O668" s="73">
        <v>0.9</v>
      </c>
      <c r="P668" s="71">
        <v>0.99121027721433397</v>
      </c>
      <c r="Q668" s="71">
        <v>0.98772040302266995</v>
      </c>
      <c r="R668" s="71">
        <v>0.98914518317503397</v>
      </c>
      <c r="S668" s="71">
        <v>0.99260025204381697</v>
      </c>
      <c r="T668" s="73">
        <v>0.9</v>
      </c>
      <c r="U668" s="71">
        <v>0.94050033806626099</v>
      </c>
      <c r="V668" s="71">
        <v>0.93923173803526405</v>
      </c>
      <c r="W668" s="71">
        <v>0.94572591587516996</v>
      </c>
      <c r="X668" s="71">
        <v>0.95198242155944002</v>
      </c>
      <c r="Y668" s="73">
        <v>0.92</v>
      </c>
      <c r="Z668" s="73">
        <v>0.93065693430656904</v>
      </c>
      <c r="AA668" s="73">
        <v>0.88009592326139097</v>
      </c>
      <c r="AB668" s="73">
        <v>0.898507462686567</v>
      </c>
      <c r="AC668" s="73">
        <v>0.92478916079081996</v>
      </c>
      <c r="AD668" s="73">
        <v>0.92</v>
      </c>
      <c r="AE668" s="71">
        <v>1</v>
      </c>
      <c r="AF668" s="71">
        <v>0.99860917941585503</v>
      </c>
      <c r="AG668" s="71">
        <v>0.99784482758620696</v>
      </c>
      <c r="AH668" s="71">
        <v>0.99723204674765498</v>
      </c>
      <c r="AI668" s="73">
        <v>0.92</v>
      </c>
      <c r="AJ668" s="71">
        <v>0.95219469795740996</v>
      </c>
      <c r="AK668" s="71">
        <v>0.95937673900945997</v>
      </c>
      <c r="AL668" s="71">
        <v>0.96185737976782704</v>
      </c>
      <c r="AM668" s="71">
        <v>0.968627245587388</v>
      </c>
      <c r="AN668" s="70">
        <v>0.99</v>
      </c>
      <c r="AO668" s="75">
        <v>1</v>
      </c>
      <c r="AP668" s="75">
        <v>1</v>
      </c>
      <c r="AQ668" s="75">
        <v>1</v>
      </c>
      <c r="AR668" s="75">
        <v>1</v>
      </c>
      <c r="AS668" s="95">
        <v>8.1059522893420499E-2</v>
      </c>
      <c r="AT668" s="79">
        <v>0</v>
      </c>
      <c r="AU668" s="79">
        <v>7.1428571428571397E-2</v>
      </c>
      <c r="AV668" s="79">
        <v>0</v>
      </c>
      <c r="AW668" s="79">
        <v>3.2000000000000001E-2</v>
      </c>
      <c r="AX668" s="56"/>
      <c r="AY668" s="54"/>
    </row>
    <row r="669" spans="1:51">
      <c r="A669" s="53"/>
      <c r="B669" s="56"/>
      <c r="C669" s="90" t="s">
        <v>663</v>
      </c>
      <c r="D669" s="230" t="s">
        <v>1757</v>
      </c>
      <c r="E669" s="68" t="s">
        <v>664</v>
      </c>
      <c r="F669" s="113" t="s">
        <v>691</v>
      </c>
      <c r="G669" s="113" t="s">
        <v>691</v>
      </c>
      <c r="H669" s="113" t="s">
        <v>691</v>
      </c>
      <c r="I669" s="113" t="s">
        <v>691</v>
      </c>
      <c r="J669" s="70">
        <v>0.9</v>
      </c>
      <c r="K669" s="71">
        <v>1</v>
      </c>
      <c r="L669" s="71">
        <v>1</v>
      </c>
      <c r="M669" s="72">
        <v>1</v>
      </c>
      <c r="N669" s="71">
        <v>1</v>
      </c>
      <c r="O669" s="73">
        <v>0.9</v>
      </c>
      <c r="P669" s="71">
        <v>0.98030303030303001</v>
      </c>
      <c r="Q669" s="71">
        <v>0.98305084745762705</v>
      </c>
      <c r="R669" s="71">
        <v>0.99767261442979005</v>
      </c>
      <c r="S669" s="71">
        <v>0.98814727016816095</v>
      </c>
      <c r="T669" s="73">
        <v>0.9</v>
      </c>
      <c r="U669" s="71">
        <v>0.925757575757576</v>
      </c>
      <c r="V669" s="71">
        <v>0.93502824858757105</v>
      </c>
      <c r="W669" s="71">
        <v>0.94414274631497297</v>
      </c>
      <c r="X669" s="71">
        <v>0.93836580487443499</v>
      </c>
      <c r="Y669" s="73">
        <v>0.92</v>
      </c>
      <c r="Z669" s="73">
        <v>0.95156695156695204</v>
      </c>
      <c r="AA669" s="73">
        <v>0.93167701863354002</v>
      </c>
      <c r="AB669" s="73">
        <v>0.92857142857142905</v>
      </c>
      <c r="AC669" s="73">
        <v>0.94006622516556304</v>
      </c>
      <c r="AD669" s="73">
        <v>0.92</v>
      </c>
      <c r="AE669" s="71">
        <v>0.99363057324840798</v>
      </c>
      <c r="AF669" s="71">
        <v>1</v>
      </c>
      <c r="AG669" s="71">
        <v>1</v>
      </c>
      <c r="AH669" s="71">
        <v>0.99499687304565398</v>
      </c>
      <c r="AI669" s="73">
        <v>0.92</v>
      </c>
      <c r="AJ669" s="71">
        <v>0.95548961424332302</v>
      </c>
      <c r="AK669" s="71">
        <v>0.96065989847715705</v>
      </c>
      <c r="AL669" s="71">
        <v>0.97195666029317995</v>
      </c>
      <c r="AM669" s="71">
        <v>0.97215159220244596</v>
      </c>
      <c r="AN669" s="70">
        <v>0.99</v>
      </c>
      <c r="AO669" s="75">
        <v>1</v>
      </c>
      <c r="AP669" s="75">
        <v>1</v>
      </c>
      <c r="AQ669" s="75">
        <v>1</v>
      </c>
      <c r="AR669" s="75">
        <v>1</v>
      </c>
      <c r="AS669" s="95">
        <v>8.1059522893420499E-2</v>
      </c>
      <c r="AT669" s="79">
        <v>0</v>
      </c>
      <c r="AU669" s="79">
        <v>0</v>
      </c>
      <c r="AV669" s="79">
        <v>0</v>
      </c>
      <c r="AW669" s="79">
        <v>3.1914893617021302E-2</v>
      </c>
      <c r="AX669" s="56"/>
      <c r="AY669" s="54"/>
    </row>
    <row r="670" spans="1:51">
      <c r="A670" s="53"/>
      <c r="B670" s="56"/>
      <c r="C670" s="90" t="s">
        <v>663</v>
      </c>
      <c r="D670" s="230" t="s">
        <v>1757</v>
      </c>
      <c r="E670" s="68" t="s">
        <v>664</v>
      </c>
      <c r="F670" s="113" t="s">
        <v>692</v>
      </c>
      <c r="G670" s="113" t="s">
        <v>692</v>
      </c>
      <c r="H670" s="113" t="s">
        <v>692</v>
      </c>
      <c r="I670" s="113" t="s">
        <v>692</v>
      </c>
      <c r="J670" s="70">
        <v>0.9</v>
      </c>
      <c r="K670" s="71" t="s">
        <v>1710</v>
      </c>
      <c r="L670" s="71" t="s">
        <v>1710</v>
      </c>
      <c r="M670" s="72" t="s">
        <v>1710</v>
      </c>
      <c r="N670" s="71" t="s">
        <v>1710</v>
      </c>
      <c r="O670" s="73">
        <v>0.9</v>
      </c>
      <c r="P670" s="71" t="s">
        <v>1710</v>
      </c>
      <c r="Q670" s="71" t="s">
        <v>1710</v>
      </c>
      <c r="R670" s="71" t="s">
        <v>1710</v>
      </c>
      <c r="S670" s="71" t="s">
        <v>1710</v>
      </c>
      <c r="T670" s="73">
        <v>0.9</v>
      </c>
      <c r="U670" s="71" t="s">
        <v>1710</v>
      </c>
      <c r="V670" s="71" t="s">
        <v>1710</v>
      </c>
      <c r="W670" s="71" t="s">
        <v>1710</v>
      </c>
      <c r="X670" s="71" t="s">
        <v>1710</v>
      </c>
      <c r="Y670" s="73">
        <v>0.92</v>
      </c>
      <c r="Z670" s="73" t="s">
        <v>1710</v>
      </c>
      <c r="AA670" s="73" t="s">
        <v>1710</v>
      </c>
      <c r="AB670" s="73" t="s">
        <v>1710</v>
      </c>
      <c r="AC670" s="73" t="s">
        <v>1710</v>
      </c>
      <c r="AD670" s="73">
        <v>0.92</v>
      </c>
      <c r="AE670" s="71" t="s">
        <v>1710</v>
      </c>
      <c r="AF670" s="71" t="s">
        <v>1710</v>
      </c>
      <c r="AG670" s="71" t="s">
        <v>1710</v>
      </c>
      <c r="AH670" s="71" t="s">
        <v>1710</v>
      </c>
      <c r="AI670" s="73">
        <v>0.92</v>
      </c>
      <c r="AJ670" s="71" t="s">
        <v>1710</v>
      </c>
      <c r="AK670" s="71" t="s">
        <v>1710</v>
      </c>
      <c r="AL670" s="71" t="s">
        <v>1710</v>
      </c>
      <c r="AM670" s="71" t="s">
        <v>1710</v>
      </c>
      <c r="AN670" s="70">
        <v>0.99</v>
      </c>
      <c r="AO670" s="75" t="s">
        <v>1710</v>
      </c>
      <c r="AP670" s="75" t="s">
        <v>1710</v>
      </c>
      <c r="AQ670" s="75" t="s">
        <v>1710</v>
      </c>
      <c r="AR670" s="75" t="s">
        <v>1710</v>
      </c>
      <c r="AS670" s="95">
        <v>8.1059522893420499E-2</v>
      </c>
      <c r="AT670" s="79" t="s">
        <v>1710</v>
      </c>
      <c r="AU670" s="79" t="s">
        <v>1710</v>
      </c>
      <c r="AV670" s="79" t="s">
        <v>1710</v>
      </c>
      <c r="AW670" s="79" t="s">
        <v>1710</v>
      </c>
      <c r="AX670" s="56"/>
      <c r="AY670" s="54"/>
    </row>
    <row r="671" spans="1:51">
      <c r="A671" s="53"/>
      <c r="B671" s="56"/>
      <c r="C671" s="90" t="s">
        <v>663</v>
      </c>
      <c r="D671" s="230" t="s">
        <v>1757</v>
      </c>
      <c r="E671" s="68" t="s">
        <v>664</v>
      </c>
      <c r="F671" s="113" t="s">
        <v>693</v>
      </c>
      <c r="G671" s="113" t="s">
        <v>693</v>
      </c>
      <c r="H671" s="113" t="s">
        <v>693</v>
      </c>
      <c r="I671" s="113" t="s">
        <v>693</v>
      </c>
      <c r="J671" s="70">
        <v>0.9</v>
      </c>
      <c r="K671" s="71">
        <v>0.83333333333333304</v>
      </c>
      <c r="L671" s="71">
        <v>0.86206896551724099</v>
      </c>
      <c r="M671" s="72">
        <v>0.89655172413793105</v>
      </c>
      <c r="N671" s="71">
        <v>0.89562289562289599</v>
      </c>
      <c r="O671" s="73">
        <v>0.9</v>
      </c>
      <c r="P671" s="71">
        <v>0.94399277326106601</v>
      </c>
      <c r="Q671" s="71">
        <v>0.95313131313131305</v>
      </c>
      <c r="R671" s="71">
        <v>0.94894204231830703</v>
      </c>
      <c r="S671" s="71">
        <v>0.94800231100840004</v>
      </c>
      <c r="T671" s="73">
        <v>0.9</v>
      </c>
      <c r="U671" s="71">
        <v>0.95031616982836498</v>
      </c>
      <c r="V671" s="71">
        <v>0.94505050505050503</v>
      </c>
      <c r="W671" s="71">
        <v>0.95860165593376301</v>
      </c>
      <c r="X671" s="71">
        <v>0.94666903693169202</v>
      </c>
      <c r="Y671" s="73">
        <v>0.92</v>
      </c>
      <c r="Z671" s="73">
        <v>0.95865237366003098</v>
      </c>
      <c r="AA671" s="73">
        <v>0.96078431372549</v>
      </c>
      <c r="AB671" s="73">
        <v>0.95201238390092902</v>
      </c>
      <c r="AC671" s="73">
        <v>0.96054099274958205</v>
      </c>
      <c r="AD671" s="73">
        <v>0.92</v>
      </c>
      <c r="AE671" s="71">
        <v>1</v>
      </c>
      <c r="AF671" s="71">
        <v>0.99768786127167597</v>
      </c>
      <c r="AG671" s="71">
        <v>0.99342105263157898</v>
      </c>
      <c r="AH671" s="71">
        <v>0.99661864157600699</v>
      </c>
      <c r="AI671" s="73">
        <v>0.92</v>
      </c>
      <c r="AJ671" s="71">
        <v>0.97556818181818195</v>
      </c>
      <c r="AK671" s="71">
        <v>0.97364953886692995</v>
      </c>
      <c r="AL671" s="71">
        <v>0.97765957446808505</v>
      </c>
      <c r="AM671" s="71">
        <v>0.97793424066837398</v>
      </c>
      <c r="AN671" s="70">
        <v>0.99</v>
      </c>
      <c r="AO671" s="75">
        <v>1</v>
      </c>
      <c r="AP671" s="75">
        <v>1</v>
      </c>
      <c r="AQ671" s="75">
        <v>1</v>
      </c>
      <c r="AR671" s="75">
        <v>1</v>
      </c>
      <c r="AS671" s="95">
        <v>8.1059522893420499E-2</v>
      </c>
      <c r="AT671" s="79">
        <v>0</v>
      </c>
      <c r="AU671" s="79">
        <v>0</v>
      </c>
      <c r="AV671" s="79" t="s">
        <v>1710</v>
      </c>
      <c r="AW671" s="79">
        <v>4.3478260869565202E-2</v>
      </c>
      <c r="AX671" s="56"/>
      <c r="AY671" s="54"/>
    </row>
    <row r="672" spans="1:51">
      <c r="A672" s="53"/>
      <c r="B672" s="56"/>
      <c r="C672" s="90" t="s">
        <v>663</v>
      </c>
      <c r="D672" s="230" t="s">
        <v>1757</v>
      </c>
      <c r="E672" s="68" t="s">
        <v>664</v>
      </c>
      <c r="F672" s="113" t="s">
        <v>694</v>
      </c>
      <c r="G672" s="113" t="s">
        <v>694</v>
      </c>
      <c r="H672" s="113" t="s">
        <v>694</v>
      </c>
      <c r="I672" s="113" t="s">
        <v>694</v>
      </c>
      <c r="J672" s="70">
        <v>0.9</v>
      </c>
      <c r="K672" s="71">
        <v>0.875</v>
      </c>
      <c r="L672" s="71">
        <v>0.85185185185185197</v>
      </c>
      <c r="M672" s="72">
        <v>0.88461538461538503</v>
      </c>
      <c r="N672" s="71">
        <v>0.85714285714285698</v>
      </c>
      <c r="O672" s="73">
        <v>0.9</v>
      </c>
      <c r="P672" s="71">
        <v>0.95637296834901597</v>
      </c>
      <c r="Q672" s="71">
        <v>0.94894894894894899</v>
      </c>
      <c r="R672" s="71">
        <v>0.95687796463993102</v>
      </c>
      <c r="S672" s="71">
        <v>0.95416666666666705</v>
      </c>
      <c r="T672" s="73">
        <v>0.9</v>
      </c>
      <c r="U672" s="71">
        <v>0.92215568862275499</v>
      </c>
      <c r="V672" s="71">
        <v>0.94144144144144104</v>
      </c>
      <c r="W672" s="71">
        <v>0.94049159120310499</v>
      </c>
      <c r="X672" s="71">
        <v>0.944076797385621</v>
      </c>
      <c r="Y672" s="73">
        <v>0.92</v>
      </c>
      <c r="Z672" s="73">
        <v>0.92260061919504599</v>
      </c>
      <c r="AA672" s="73">
        <v>0.92878787878787905</v>
      </c>
      <c r="AB672" s="73">
        <v>0.92180451127819596</v>
      </c>
      <c r="AC672" s="73">
        <v>0.92385295743504703</v>
      </c>
      <c r="AD672" s="73">
        <v>0.92</v>
      </c>
      <c r="AE672" s="71">
        <v>1</v>
      </c>
      <c r="AF672" s="71">
        <v>0.987341772151899</v>
      </c>
      <c r="AG672" s="71">
        <v>1</v>
      </c>
      <c r="AH672" s="71">
        <v>0.98780487804878003</v>
      </c>
      <c r="AI672" s="73">
        <v>0.92</v>
      </c>
      <c r="AJ672" s="71">
        <v>0.95044052863436101</v>
      </c>
      <c r="AK672" s="71">
        <v>0.97388955582232895</v>
      </c>
      <c r="AL672" s="71">
        <v>0.96282652377762901</v>
      </c>
      <c r="AM672" s="71">
        <v>0.96744229982052299</v>
      </c>
      <c r="AN672" s="70">
        <v>0.99</v>
      </c>
      <c r="AO672" s="75">
        <v>1</v>
      </c>
      <c r="AP672" s="75">
        <v>1</v>
      </c>
      <c r="AQ672" s="75">
        <v>1</v>
      </c>
      <c r="AR672" s="75">
        <v>1</v>
      </c>
      <c r="AS672" s="95">
        <v>8.1059522893420499E-2</v>
      </c>
      <c r="AT672" s="79">
        <v>0</v>
      </c>
      <c r="AU672" s="79">
        <v>0</v>
      </c>
      <c r="AV672" s="79">
        <v>0</v>
      </c>
      <c r="AW672" s="79">
        <v>2.5641025641025599E-2</v>
      </c>
      <c r="AX672" s="56"/>
      <c r="AY672" s="54"/>
    </row>
    <row r="673" spans="1:51">
      <c r="A673" s="53"/>
      <c r="B673" s="56"/>
      <c r="C673" s="90" t="s">
        <v>663</v>
      </c>
      <c r="D673" s="230" t="s">
        <v>1757</v>
      </c>
      <c r="E673" s="68" t="s">
        <v>664</v>
      </c>
      <c r="F673" s="113" t="s">
        <v>695</v>
      </c>
      <c r="G673" s="113" t="s">
        <v>695</v>
      </c>
      <c r="H673" s="113" t="s">
        <v>695</v>
      </c>
      <c r="I673" s="113" t="s">
        <v>695</v>
      </c>
      <c r="J673" s="70">
        <v>0.9</v>
      </c>
      <c r="K673" s="71">
        <v>0.8125</v>
      </c>
      <c r="L673" s="71">
        <v>0.86111111111111105</v>
      </c>
      <c r="M673" s="72">
        <v>0.94117647058823495</v>
      </c>
      <c r="N673" s="71">
        <v>0.84237726098191201</v>
      </c>
      <c r="O673" s="73">
        <v>0.9</v>
      </c>
      <c r="P673" s="71">
        <v>0.93099730458220997</v>
      </c>
      <c r="Q673" s="71">
        <v>0.73732410096046497</v>
      </c>
      <c r="R673" s="71">
        <v>0.866218236173393</v>
      </c>
      <c r="S673" s="71">
        <v>0.89669573762437005</v>
      </c>
      <c r="T673" s="73">
        <v>0.9</v>
      </c>
      <c r="U673" s="71">
        <v>0.89649595687331496</v>
      </c>
      <c r="V673" s="71">
        <v>0.89524234978780404</v>
      </c>
      <c r="W673" s="71">
        <v>0.88913801694070704</v>
      </c>
      <c r="X673" s="71">
        <v>0.91268885886254802</v>
      </c>
      <c r="Y673" s="73">
        <v>0.92</v>
      </c>
      <c r="Z673" s="73">
        <v>0.91176470588235303</v>
      </c>
      <c r="AA673" s="73">
        <v>0.92095588235294101</v>
      </c>
      <c r="AB673" s="73">
        <v>0.90394973070018003</v>
      </c>
      <c r="AC673" s="73">
        <v>0.92863457365587099</v>
      </c>
      <c r="AD673" s="73">
        <v>0.92</v>
      </c>
      <c r="AE673" s="71">
        <v>0.996820349761526</v>
      </c>
      <c r="AF673" s="71">
        <v>0.99216454456415304</v>
      </c>
      <c r="AG673" s="71">
        <v>0.99115044247787598</v>
      </c>
      <c r="AH673" s="71">
        <v>0.99275044677479196</v>
      </c>
      <c r="AI673" s="73">
        <v>0.92</v>
      </c>
      <c r="AJ673" s="71">
        <v>0.94650205761316897</v>
      </c>
      <c r="AK673" s="71">
        <v>0.96856475660140096</v>
      </c>
      <c r="AL673" s="71">
        <v>0.96237083252095901</v>
      </c>
      <c r="AM673" s="71">
        <v>0.96956415417317199</v>
      </c>
      <c r="AN673" s="70">
        <v>0.99</v>
      </c>
      <c r="AO673" s="75">
        <v>1</v>
      </c>
      <c r="AP673" s="75">
        <v>1</v>
      </c>
      <c r="AQ673" s="75">
        <v>1</v>
      </c>
      <c r="AR673" s="75">
        <v>1</v>
      </c>
      <c r="AS673" s="95">
        <v>8.1059522893420499E-2</v>
      </c>
      <c r="AT673" s="79">
        <v>0</v>
      </c>
      <c r="AU673" s="79">
        <v>0</v>
      </c>
      <c r="AV673" s="79">
        <v>0</v>
      </c>
      <c r="AW673" s="79">
        <v>1.6260162601626001E-2</v>
      </c>
      <c r="AX673" s="56"/>
      <c r="AY673" s="54"/>
    </row>
    <row r="674" spans="1:51">
      <c r="A674" s="53"/>
      <c r="B674" s="56"/>
      <c r="C674" s="90" t="s">
        <v>663</v>
      </c>
      <c r="D674" s="230" t="s">
        <v>1757</v>
      </c>
      <c r="E674" s="68" t="s">
        <v>664</v>
      </c>
      <c r="F674" s="113" t="s">
        <v>696</v>
      </c>
      <c r="G674" s="113" t="s">
        <v>696</v>
      </c>
      <c r="H674" s="113" t="s">
        <v>696</v>
      </c>
      <c r="I674" s="113" t="s">
        <v>696</v>
      </c>
      <c r="J674" s="70">
        <v>0.9</v>
      </c>
      <c r="K674" s="71">
        <v>0.79166666666666696</v>
      </c>
      <c r="L674" s="71">
        <v>0.77777777777777801</v>
      </c>
      <c r="M674" s="72">
        <v>0.70370370370370405</v>
      </c>
      <c r="N674" s="71">
        <v>0.77516778523489904</v>
      </c>
      <c r="O674" s="73">
        <v>0.9</v>
      </c>
      <c r="P674" s="71">
        <v>0.92786885245901596</v>
      </c>
      <c r="Q674" s="71">
        <v>0.93788594260806402</v>
      </c>
      <c r="R674" s="71">
        <v>0.92878089652283202</v>
      </c>
      <c r="S674" s="71">
        <v>0.93215958044577596</v>
      </c>
      <c r="T674" s="73">
        <v>0.9</v>
      </c>
      <c r="U674" s="71">
        <v>0.91393442622950805</v>
      </c>
      <c r="V674" s="71">
        <v>0.92517253904831098</v>
      </c>
      <c r="W674" s="71">
        <v>0.91830749895265995</v>
      </c>
      <c r="X674" s="71">
        <v>0.92376849597302901</v>
      </c>
      <c r="Y674" s="73">
        <v>0.92</v>
      </c>
      <c r="Z674" s="73">
        <v>0.89310829817158899</v>
      </c>
      <c r="AA674" s="73">
        <v>0.91718750000000004</v>
      </c>
      <c r="AB674" s="73">
        <v>0.90960451977401102</v>
      </c>
      <c r="AC674" s="73">
        <v>0.90143504531722096</v>
      </c>
      <c r="AD674" s="73">
        <v>0.92</v>
      </c>
      <c r="AE674" s="71">
        <v>1</v>
      </c>
      <c r="AF674" s="71">
        <v>0.99486774575602099</v>
      </c>
      <c r="AG674" s="71">
        <v>0.99961933764750699</v>
      </c>
      <c r="AH674" s="71">
        <v>0.99849103192839295</v>
      </c>
      <c r="AI674" s="73">
        <v>0.92</v>
      </c>
      <c r="AJ674" s="71">
        <v>0.93785603314344901</v>
      </c>
      <c r="AK674" s="71">
        <v>0.96318114874815897</v>
      </c>
      <c r="AL674" s="71">
        <v>0.94832041343669204</v>
      </c>
      <c r="AM674" s="71">
        <v>0.95281521456812202</v>
      </c>
      <c r="AN674" s="70">
        <v>0.99</v>
      </c>
      <c r="AO674" s="75">
        <v>1</v>
      </c>
      <c r="AP674" s="75">
        <v>1</v>
      </c>
      <c r="AQ674" s="75">
        <v>1</v>
      </c>
      <c r="AR674" s="75">
        <v>1</v>
      </c>
      <c r="AS674" s="95">
        <v>8.1059522893420499E-2</v>
      </c>
      <c r="AT674" s="79">
        <v>0</v>
      </c>
      <c r="AU674" s="79">
        <v>0</v>
      </c>
      <c r="AV674" s="79">
        <v>0</v>
      </c>
      <c r="AW674" s="79">
        <v>-9.1743119266055103E-3</v>
      </c>
      <c r="AX674" s="56"/>
      <c r="AY674" s="54"/>
    </row>
    <row r="675" spans="1:51">
      <c r="A675" s="53"/>
      <c r="B675" s="56"/>
      <c r="C675" s="90" t="s">
        <v>663</v>
      </c>
      <c r="D675" s="230" t="s">
        <v>1757</v>
      </c>
      <c r="E675" s="68" t="s">
        <v>664</v>
      </c>
      <c r="F675" s="113" t="s">
        <v>697</v>
      </c>
      <c r="G675" s="113" t="s">
        <v>697</v>
      </c>
      <c r="H675" s="113" t="s">
        <v>697</v>
      </c>
      <c r="I675" s="113" t="s">
        <v>697</v>
      </c>
      <c r="J675" s="70">
        <v>0.9</v>
      </c>
      <c r="K675" s="71">
        <v>0.82352941176470595</v>
      </c>
      <c r="L675" s="71">
        <v>1</v>
      </c>
      <c r="M675" s="72">
        <v>1</v>
      </c>
      <c r="N675" s="71">
        <v>0.84236453201970396</v>
      </c>
      <c r="O675" s="73">
        <v>0.9</v>
      </c>
      <c r="P675" s="71">
        <v>0.97897196261682196</v>
      </c>
      <c r="Q675" s="71">
        <v>0.97933659597607403</v>
      </c>
      <c r="R675" s="71">
        <v>0.97836938435940102</v>
      </c>
      <c r="S675" s="71">
        <v>0.98208292735736702</v>
      </c>
      <c r="T675" s="73">
        <v>0.9</v>
      </c>
      <c r="U675" s="71">
        <v>0.91355140186915895</v>
      </c>
      <c r="V675" s="71">
        <v>0.931484502446982</v>
      </c>
      <c r="W675" s="71">
        <v>0.94287298946200804</v>
      </c>
      <c r="X675" s="71">
        <v>0.94094402944679001</v>
      </c>
      <c r="Y675" s="73">
        <v>0.92</v>
      </c>
      <c r="Z675" s="73">
        <v>0.96007259528130695</v>
      </c>
      <c r="AA675" s="73">
        <v>0.92448512585812403</v>
      </c>
      <c r="AB675" s="73">
        <v>0.92791127541589602</v>
      </c>
      <c r="AC675" s="73">
        <v>0.94345495417603298</v>
      </c>
      <c r="AD675" s="73">
        <v>0.92</v>
      </c>
      <c r="AE675" s="71">
        <v>1</v>
      </c>
      <c r="AF675" s="71">
        <v>0.99841646872525702</v>
      </c>
      <c r="AG675" s="71">
        <v>1</v>
      </c>
      <c r="AH675" s="71">
        <v>0.995277449822904</v>
      </c>
      <c r="AI675" s="73">
        <v>0.92</v>
      </c>
      <c r="AJ675" s="71">
        <v>0.96309439318665702</v>
      </c>
      <c r="AK675" s="71">
        <v>0.96704745166959605</v>
      </c>
      <c r="AL675" s="71">
        <v>0.97184300341296903</v>
      </c>
      <c r="AM675" s="71">
        <v>0.97173232239986795</v>
      </c>
      <c r="AN675" s="70">
        <v>0.99</v>
      </c>
      <c r="AO675" s="75">
        <v>1</v>
      </c>
      <c r="AP675" s="75">
        <v>1</v>
      </c>
      <c r="AQ675" s="75">
        <v>1</v>
      </c>
      <c r="AR675" s="75">
        <v>1</v>
      </c>
      <c r="AS675" s="95">
        <v>8.1059522893420499E-2</v>
      </c>
      <c r="AT675" s="79">
        <v>0</v>
      </c>
      <c r="AU675" s="79">
        <v>0</v>
      </c>
      <c r="AV675" s="79">
        <v>0</v>
      </c>
      <c r="AW675" s="79">
        <v>0.08</v>
      </c>
      <c r="AX675" s="56"/>
      <c r="AY675" s="54"/>
    </row>
    <row r="676" spans="1:51">
      <c r="A676" s="53"/>
      <c r="B676" s="56"/>
      <c r="C676" s="90" t="s">
        <v>663</v>
      </c>
      <c r="D676" s="230" t="s">
        <v>1757</v>
      </c>
      <c r="E676" s="68" t="s">
        <v>664</v>
      </c>
      <c r="F676" s="113" t="s">
        <v>698</v>
      </c>
      <c r="G676" s="113" t="s">
        <v>698</v>
      </c>
      <c r="H676" s="113" t="s">
        <v>698</v>
      </c>
      <c r="I676" s="113" t="s">
        <v>698</v>
      </c>
      <c r="J676" s="70">
        <v>0.9</v>
      </c>
      <c r="K676" s="71">
        <v>0.94117647058823495</v>
      </c>
      <c r="L676" s="71">
        <v>0.90476190476190499</v>
      </c>
      <c r="M676" s="72">
        <v>0.952380952380952</v>
      </c>
      <c r="N676" s="71">
        <v>0.96506550218340603</v>
      </c>
      <c r="O676" s="73">
        <v>0.9</v>
      </c>
      <c r="P676" s="71">
        <v>0.99705014749262499</v>
      </c>
      <c r="Q676" s="71">
        <v>0.99516270888302505</v>
      </c>
      <c r="R676" s="71">
        <v>0.99852579852579804</v>
      </c>
      <c r="S676" s="71">
        <v>0.99585062240663902</v>
      </c>
      <c r="T676" s="73">
        <v>0.9</v>
      </c>
      <c r="U676" s="71">
        <v>0.95673549655850498</v>
      </c>
      <c r="V676" s="71">
        <v>0.95954265611257705</v>
      </c>
      <c r="W676" s="71">
        <v>0.96805896805896796</v>
      </c>
      <c r="X676" s="71">
        <v>0.96330831274185302</v>
      </c>
      <c r="Y676" s="73">
        <v>0.92</v>
      </c>
      <c r="Z676" s="73">
        <v>0.97231270358306199</v>
      </c>
      <c r="AA676" s="73">
        <v>0.96986817325800401</v>
      </c>
      <c r="AB676" s="73">
        <v>0.97968750000000004</v>
      </c>
      <c r="AC676" s="73">
        <v>0.97583212735166402</v>
      </c>
      <c r="AD676" s="73">
        <v>0.92</v>
      </c>
      <c r="AE676" s="71">
        <v>0.99652777777777801</v>
      </c>
      <c r="AF676" s="71">
        <v>0.99659863945578198</v>
      </c>
      <c r="AG676" s="71">
        <v>0.99173553719008301</v>
      </c>
      <c r="AH676" s="71">
        <v>0.99273337059809996</v>
      </c>
      <c r="AI676" s="73">
        <v>0.92</v>
      </c>
      <c r="AJ676" s="71">
        <v>0.98651134273451901</v>
      </c>
      <c r="AK676" s="71">
        <v>0.98823529411764699</v>
      </c>
      <c r="AL676" s="71">
        <v>0.98953271028037404</v>
      </c>
      <c r="AM676" s="71">
        <v>0.98878662858351896</v>
      </c>
      <c r="AN676" s="70">
        <v>0.99</v>
      </c>
      <c r="AO676" s="75">
        <v>1</v>
      </c>
      <c r="AP676" s="75">
        <v>1</v>
      </c>
      <c r="AQ676" s="75">
        <v>1</v>
      </c>
      <c r="AR676" s="75">
        <v>1</v>
      </c>
      <c r="AS676" s="95">
        <v>8.1059522893420499E-2</v>
      </c>
      <c r="AT676" s="79">
        <v>0</v>
      </c>
      <c r="AU676" s="79">
        <v>0</v>
      </c>
      <c r="AV676" s="79">
        <v>0.28571428571428598</v>
      </c>
      <c r="AW676" s="79">
        <v>3.3333333333333298E-2</v>
      </c>
      <c r="AX676" s="56"/>
      <c r="AY676" s="54"/>
    </row>
    <row r="677" spans="1:51">
      <c r="A677" s="53"/>
      <c r="B677" s="56"/>
      <c r="C677" s="90" t="s">
        <v>663</v>
      </c>
      <c r="D677" s="230" t="s">
        <v>1757</v>
      </c>
      <c r="E677" s="68" t="s">
        <v>664</v>
      </c>
      <c r="F677" s="113" t="s">
        <v>699</v>
      </c>
      <c r="G677" s="113" t="s">
        <v>699</v>
      </c>
      <c r="H677" s="113" t="s">
        <v>699</v>
      </c>
      <c r="I677" s="113" t="s">
        <v>699</v>
      </c>
      <c r="J677" s="70">
        <v>0.9</v>
      </c>
      <c r="K677" s="71">
        <v>0.81428571428571395</v>
      </c>
      <c r="L677" s="71">
        <v>0.86666666666666703</v>
      </c>
      <c r="M677" s="72">
        <v>0.84</v>
      </c>
      <c r="N677" s="71">
        <v>0.85283474065138698</v>
      </c>
      <c r="O677" s="73">
        <v>0.9</v>
      </c>
      <c r="P677" s="71">
        <v>0.97109166983644002</v>
      </c>
      <c r="Q677" s="71">
        <v>0.84028336821767802</v>
      </c>
      <c r="R677" s="71">
        <v>0.95802337938363402</v>
      </c>
      <c r="S677" s="71">
        <v>0.87423591052596195</v>
      </c>
      <c r="T677" s="73">
        <v>0.9</v>
      </c>
      <c r="U677" s="71">
        <v>0.93685812095853904</v>
      </c>
      <c r="V677" s="71">
        <v>0.91225245532120403</v>
      </c>
      <c r="W677" s="71">
        <v>0.93482111229188802</v>
      </c>
      <c r="X677" s="71">
        <v>0.92819238261570503</v>
      </c>
      <c r="Y677" s="73">
        <v>0.92</v>
      </c>
      <c r="Z677" s="73">
        <v>0.91579634464752002</v>
      </c>
      <c r="AA677" s="73">
        <v>0.89879688605803298</v>
      </c>
      <c r="AB677" s="73">
        <v>0.885611077664058</v>
      </c>
      <c r="AC677" s="73">
        <v>0.90717065036131195</v>
      </c>
      <c r="AD677" s="73">
        <v>0.92</v>
      </c>
      <c r="AE677" s="71">
        <v>0.98961038961039005</v>
      </c>
      <c r="AF677" s="71">
        <v>0.99518459069020904</v>
      </c>
      <c r="AG677" s="71">
        <v>0.99384615384615405</v>
      </c>
      <c r="AH677" s="71">
        <v>0.99488597097442999</v>
      </c>
      <c r="AI677" s="73">
        <v>0.92</v>
      </c>
      <c r="AJ677" s="71">
        <v>0.95097332372026</v>
      </c>
      <c r="AK677" s="71">
        <v>0.96157880933647999</v>
      </c>
      <c r="AL677" s="71">
        <v>0.95199671772428895</v>
      </c>
      <c r="AM677" s="71">
        <v>0.96134804806353502</v>
      </c>
      <c r="AN677" s="70">
        <v>0.99</v>
      </c>
      <c r="AO677" s="75">
        <v>1</v>
      </c>
      <c r="AP677" s="75">
        <v>1</v>
      </c>
      <c r="AQ677" s="75">
        <v>1</v>
      </c>
      <c r="AR677" s="75">
        <v>1</v>
      </c>
      <c r="AS677" s="95">
        <v>8.1059522893420499E-2</v>
      </c>
      <c r="AT677" s="79">
        <v>0</v>
      </c>
      <c r="AU677" s="79">
        <v>2.7777777777777801E-2</v>
      </c>
      <c r="AV677" s="79">
        <v>0.11111111111111099</v>
      </c>
      <c r="AW677" s="79">
        <v>6.9498069498069498E-2</v>
      </c>
      <c r="AX677" s="56"/>
      <c r="AY677" s="54"/>
    </row>
    <row r="678" spans="1:51">
      <c r="A678" s="53"/>
      <c r="B678" s="56"/>
      <c r="C678" s="90" t="s">
        <v>663</v>
      </c>
      <c r="D678" s="230" t="s">
        <v>1757</v>
      </c>
      <c r="E678" s="68" t="s">
        <v>664</v>
      </c>
      <c r="F678" s="113" t="s">
        <v>700</v>
      </c>
      <c r="G678" s="113" t="s">
        <v>700</v>
      </c>
      <c r="H678" s="113" t="s">
        <v>700</v>
      </c>
      <c r="I678" s="113" t="s">
        <v>700</v>
      </c>
      <c r="J678" s="70">
        <v>0.9</v>
      </c>
      <c r="K678" s="71">
        <v>0.75</v>
      </c>
      <c r="L678" s="71">
        <v>0.83333333333333304</v>
      </c>
      <c r="M678" s="72">
        <v>0.83333333333333304</v>
      </c>
      <c r="N678" s="71">
        <v>0.80303030303030298</v>
      </c>
      <c r="O678" s="73">
        <v>0.9</v>
      </c>
      <c r="P678" s="71">
        <v>0.97699115044247797</v>
      </c>
      <c r="Q678" s="71">
        <v>0.98151001540832095</v>
      </c>
      <c r="R678" s="71">
        <v>0.99575551782682503</v>
      </c>
      <c r="S678" s="71">
        <v>0.98571657839833104</v>
      </c>
      <c r="T678" s="73">
        <v>0.9</v>
      </c>
      <c r="U678" s="71">
        <v>0.92566371681415904</v>
      </c>
      <c r="V678" s="71">
        <v>0.94221879815100196</v>
      </c>
      <c r="W678" s="71">
        <v>0.94397283531409204</v>
      </c>
      <c r="X678" s="71">
        <v>0.93901460439736795</v>
      </c>
      <c r="Y678" s="73">
        <v>0.92</v>
      </c>
      <c r="Z678" s="73">
        <v>0.80769230769230804</v>
      </c>
      <c r="AA678" s="73">
        <v>0.85106382978723405</v>
      </c>
      <c r="AB678" s="73">
        <v>0.91358024691357997</v>
      </c>
      <c r="AC678" s="73">
        <v>0.87198563365828596</v>
      </c>
      <c r="AD678" s="73">
        <v>0.92</v>
      </c>
      <c r="AE678" s="71">
        <v>0.91666666666666696</v>
      </c>
      <c r="AF678" s="71">
        <v>0.94444444444444398</v>
      </c>
      <c r="AG678" s="71">
        <v>1</v>
      </c>
      <c r="AH678" s="71">
        <v>0.98318240620957298</v>
      </c>
      <c r="AI678" s="73">
        <v>0.92</v>
      </c>
      <c r="AJ678" s="71">
        <v>0.90697674418604601</v>
      </c>
      <c r="AK678" s="71">
        <v>0.95697602950215099</v>
      </c>
      <c r="AL678" s="71">
        <v>0.96870838881491395</v>
      </c>
      <c r="AM678" s="71">
        <v>0.95563160789586299</v>
      </c>
      <c r="AN678" s="70">
        <v>0.99</v>
      </c>
      <c r="AO678" s="75">
        <v>1</v>
      </c>
      <c r="AP678" s="75">
        <v>1</v>
      </c>
      <c r="AQ678" s="75">
        <v>1</v>
      </c>
      <c r="AR678" s="75">
        <v>1</v>
      </c>
      <c r="AS678" s="95">
        <v>8.1059522893420499E-2</v>
      </c>
      <c r="AT678" s="79">
        <v>0</v>
      </c>
      <c r="AU678" s="79">
        <v>0</v>
      </c>
      <c r="AV678" s="79">
        <v>0</v>
      </c>
      <c r="AW678" s="79">
        <v>2.27272727272727E-2</v>
      </c>
      <c r="AX678" s="56"/>
      <c r="AY678" s="54"/>
    </row>
    <row r="679" spans="1:51">
      <c r="A679" s="53"/>
      <c r="B679" s="56"/>
      <c r="C679" s="90" t="s">
        <v>663</v>
      </c>
      <c r="D679" s="230" t="s">
        <v>1757</v>
      </c>
      <c r="E679" s="68" t="s">
        <v>664</v>
      </c>
      <c r="F679" s="113" t="s">
        <v>701</v>
      </c>
      <c r="G679" s="113" t="s">
        <v>701</v>
      </c>
      <c r="H679" s="113" t="s">
        <v>701</v>
      </c>
      <c r="I679" s="113" t="s">
        <v>701</v>
      </c>
      <c r="J679" s="70">
        <v>0.9</v>
      </c>
      <c r="K679" s="71">
        <v>0.8</v>
      </c>
      <c r="L679" s="71">
        <v>0.86956521739130399</v>
      </c>
      <c r="M679" s="72">
        <v>0.82608695652173902</v>
      </c>
      <c r="N679" s="71">
        <v>0.83265306122449001</v>
      </c>
      <c r="O679" s="73">
        <v>0.9</v>
      </c>
      <c r="P679" s="71">
        <v>0.91082802547770703</v>
      </c>
      <c r="Q679" s="71">
        <v>0.94464562855664802</v>
      </c>
      <c r="R679" s="71">
        <v>0.88185890257558797</v>
      </c>
      <c r="S679" s="71">
        <v>0.89877335133918501</v>
      </c>
      <c r="T679" s="73">
        <v>0.9</v>
      </c>
      <c r="U679" s="71">
        <v>0.90573248407643303</v>
      </c>
      <c r="V679" s="71">
        <v>0.91153647180548403</v>
      </c>
      <c r="W679" s="71">
        <v>0.89025755879059398</v>
      </c>
      <c r="X679" s="71">
        <v>0.90203691199639902</v>
      </c>
      <c r="Y679" s="73">
        <v>0.92</v>
      </c>
      <c r="Z679" s="73">
        <v>0.89256198347107396</v>
      </c>
      <c r="AA679" s="73">
        <v>0.87621359223300999</v>
      </c>
      <c r="AB679" s="73">
        <v>0.84086444007858496</v>
      </c>
      <c r="AC679" s="73">
        <v>0.88033261026753395</v>
      </c>
      <c r="AD679" s="73">
        <v>0.92</v>
      </c>
      <c r="AE679" s="71">
        <v>1</v>
      </c>
      <c r="AF679" s="71">
        <v>0.88888888888888895</v>
      </c>
      <c r="AG679" s="71">
        <v>0.94444444444444398</v>
      </c>
      <c r="AH679" s="71">
        <v>0.96915167095115695</v>
      </c>
      <c r="AI679" s="73">
        <v>0.92</v>
      </c>
      <c r="AJ679" s="71">
        <v>0.92513790386130801</v>
      </c>
      <c r="AK679" s="71">
        <v>0.94757033248081801</v>
      </c>
      <c r="AL679" s="71">
        <v>0.90893246187363796</v>
      </c>
      <c r="AM679" s="71">
        <v>0.93555307646099695</v>
      </c>
      <c r="AN679" s="70">
        <v>0.99</v>
      </c>
      <c r="AO679" s="75">
        <v>1</v>
      </c>
      <c r="AP679" s="75">
        <v>1</v>
      </c>
      <c r="AQ679" s="75">
        <v>1</v>
      </c>
      <c r="AR679" s="75">
        <v>1</v>
      </c>
      <c r="AS679" s="95">
        <v>8.1059522893420499E-2</v>
      </c>
      <c r="AT679" s="79">
        <v>0</v>
      </c>
      <c r="AU679" s="79">
        <v>0</v>
      </c>
      <c r="AV679" s="79">
        <v>0</v>
      </c>
      <c r="AW679" s="79">
        <v>8.3333333333333301E-2</v>
      </c>
      <c r="AX679" s="56"/>
      <c r="AY679" s="54"/>
    </row>
    <row r="680" spans="1:51">
      <c r="A680" s="53"/>
      <c r="B680" s="56"/>
      <c r="C680" s="90" t="s">
        <v>663</v>
      </c>
      <c r="D680" s="230" t="s">
        <v>1757</v>
      </c>
      <c r="E680" s="68" t="s">
        <v>664</v>
      </c>
      <c r="F680" s="113" t="s">
        <v>702</v>
      </c>
      <c r="G680" s="113" t="s">
        <v>702</v>
      </c>
      <c r="H680" s="113" t="s">
        <v>702</v>
      </c>
      <c r="I680" s="113" t="s">
        <v>702</v>
      </c>
      <c r="J680" s="70">
        <v>0.9</v>
      </c>
      <c r="K680" s="71">
        <v>0.939393939393939</v>
      </c>
      <c r="L680" s="71">
        <v>0.939393939393939</v>
      </c>
      <c r="M680" s="72">
        <v>0.86666666666666703</v>
      </c>
      <c r="N680" s="71">
        <v>0.92817679558011001</v>
      </c>
      <c r="O680" s="73">
        <v>0.9</v>
      </c>
      <c r="P680" s="71">
        <v>0.96307934014139795</v>
      </c>
      <c r="Q680" s="71">
        <v>0.97660569970225397</v>
      </c>
      <c r="R680" s="71">
        <v>0.97649769585253499</v>
      </c>
      <c r="S680" s="71">
        <v>0.97149207163311502</v>
      </c>
      <c r="T680" s="73">
        <v>0.9</v>
      </c>
      <c r="U680" s="71">
        <v>0.91830322073841297</v>
      </c>
      <c r="V680" s="71">
        <v>0.93109315185027697</v>
      </c>
      <c r="W680" s="71">
        <v>0.94331797235022996</v>
      </c>
      <c r="X680" s="71">
        <v>0.937385134846348</v>
      </c>
      <c r="Y680" s="73">
        <v>0.92</v>
      </c>
      <c r="Z680" s="73">
        <v>0.937416777629827</v>
      </c>
      <c r="AA680" s="73">
        <v>0.90340909090909105</v>
      </c>
      <c r="AB680" s="73">
        <v>0.91147540983606601</v>
      </c>
      <c r="AC680" s="73">
        <v>0.92967781908302305</v>
      </c>
      <c r="AD680" s="73">
        <v>0.92</v>
      </c>
      <c r="AE680" s="71">
        <v>0.995391705069124</v>
      </c>
      <c r="AF680" s="71">
        <v>1</v>
      </c>
      <c r="AG680" s="71">
        <v>1</v>
      </c>
      <c r="AH680" s="71">
        <v>0.99581239530988297</v>
      </c>
      <c r="AI680" s="73">
        <v>0.92</v>
      </c>
      <c r="AJ680" s="71">
        <v>0.94762845849802402</v>
      </c>
      <c r="AK680" s="71">
        <v>0.95634480207177197</v>
      </c>
      <c r="AL680" s="71">
        <v>0.95361380798273998</v>
      </c>
      <c r="AM680" s="71">
        <v>0.95886786132976098</v>
      </c>
      <c r="AN680" s="70">
        <v>0.99</v>
      </c>
      <c r="AO680" s="75">
        <v>1</v>
      </c>
      <c r="AP680" s="75">
        <v>1</v>
      </c>
      <c r="AQ680" s="75">
        <v>1</v>
      </c>
      <c r="AR680" s="75">
        <v>1</v>
      </c>
      <c r="AS680" s="95">
        <v>8.1059522893420499E-2</v>
      </c>
      <c r="AT680" s="79">
        <v>0</v>
      </c>
      <c r="AU680" s="79">
        <v>-0.16666666666666699</v>
      </c>
      <c r="AV680" s="79">
        <v>0</v>
      </c>
      <c r="AW680" s="79">
        <v>3.9682539682539701E-2</v>
      </c>
      <c r="AX680" s="56"/>
      <c r="AY680" s="54"/>
    </row>
    <row r="681" spans="1:51">
      <c r="A681" s="53"/>
      <c r="B681" s="56"/>
      <c r="C681" s="90" t="s">
        <v>663</v>
      </c>
      <c r="D681" s="230" t="s">
        <v>1757</v>
      </c>
      <c r="E681" s="68" t="s">
        <v>664</v>
      </c>
      <c r="F681" s="113" t="s">
        <v>703</v>
      </c>
      <c r="G681" s="113" t="s">
        <v>703</v>
      </c>
      <c r="H681" s="113" t="s">
        <v>703</v>
      </c>
      <c r="I681" s="113" t="s">
        <v>703</v>
      </c>
      <c r="J681" s="70">
        <v>0.9</v>
      </c>
      <c r="K681" s="71">
        <v>0.8</v>
      </c>
      <c r="L681" s="71">
        <v>0.8</v>
      </c>
      <c r="M681" s="72">
        <v>0.77777777777777801</v>
      </c>
      <c r="N681" s="71">
        <v>0.841628959276018</v>
      </c>
      <c r="O681" s="73">
        <v>0.9</v>
      </c>
      <c r="P681" s="71">
        <v>0.97286821705426396</v>
      </c>
      <c r="Q681" s="71">
        <v>0.962209302325581</v>
      </c>
      <c r="R681" s="71">
        <v>0.92670157068062797</v>
      </c>
      <c r="S681" s="71">
        <v>0.96784922394678496</v>
      </c>
      <c r="T681" s="73">
        <v>0.9</v>
      </c>
      <c r="U681" s="71">
        <v>0.92764857881136997</v>
      </c>
      <c r="V681" s="71">
        <v>0.925145348837209</v>
      </c>
      <c r="W681" s="71">
        <v>0.92146596858638696</v>
      </c>
      <c r="X681" s="71">
        <v>0.93908960479979098</v>
      </c>
      <c r="Y681" s="73">
        <v>0.92</v>
      </c>
      <c r="Z681" s="73">
        <v>0.89227642276422803</v>
      </c>
      <c r="AA681" s="73">
        <v>0.96551724137931005</v>
      </c>
      <c r="AB681" s="73">
        <v>0.92443324937027704</v>
      </c>
      <c r="AC681" s="73">
        <v>0.94043528064146598</v>
      </c>
      <c r="AD681" s="73">
        <v>0.92</v>
      </c>
      <c r="AE681" s="71">
        <v>1</v>
      </c>
      <c r="AF681" s="71">
        <v>1</v>
      </c>
      <c r="AG681" s="71">
        <v>1</v>
      </c>
      <c r="AH681" s="71">
        <v>0.99871589085072199</v>
      </c>
      <c r="AI681" s="73">
        <v>0.92</v>
      </c>
      <c r="AJ681" s="71">
        <v>0.93212312549329102</v>
      </c>
      <c r="AK681" s="71">
        <v>0.95630145661811305</v>
      </c>
      <c r="AL681" s="71">
        <v>0.94925028835063396</v>
      </c>
      <c r="AM681" s="71">
        <v>0.96137251916146405</v>
      </c>
      <c r="AN681" s="70">
        <v>0.99</v>
      </c>
      <c r="AO681" s="75">
        <v>1</v>
      </c>
      <c r="AP681" s="75">
        <v>1</v>
      </c>
      <c r="AQ681" s="75">
        <v>1</v>
      </c>
      <c r="AR681" s="75">
        <v>1</v>
      </c>
      <c r="AS681" s="95">
        <v>8.1059522893420499E-2</v>
      </c>
      <c r="AT681" s="79">
        <v>0.125</v>
      </c>
      <c r="AU681" s="79">
        <v>0</v>
      </c>
      <c r="AV681" s="79">
        <v>0</v>
      </c>
      <c r="AW681" s="79">
        <v>4.7619047619047603E-2</v>
      </c>
      <c r="AX681" s="56"/>
      <c r="AY681" s="54"/>
    </row>
    <row r="682" spans="1:51">
      <c r="A682" s="53"/>
      <c r="B682" s="56"/>
      <c r="C682" s="90" t="s">
        <v>663</v>
      </c>
      <c r="D682" s="230" t="s">
        <v>1757</v>
      </c>
      <c r="E682" s="68" t="s">
        <v>664</v>
      </c>
      <c r="F682" s="113" t="s">
        <v>704</v>
      </c>
      <c r="G682" s="113" t="s">
        <v>704</v>
      </c>
      <c r="H682" s="113" t="s">
        <v>704</v>
      </c>
      <c r="I682" s="113" t="s">
        <v>704</v>
      </c>
      <c r="J682" s="70">
        <v>0.9</v>
      </c>
      <c r="K682" s="71">
        <v>0.96296296296296302</v>
      </c>
      <c r="L682" s="71">
        <v>1</v>
      </c>
      <c r="M682" s="72">
        <v>0.96153846153846201</v>
      </c>
      <c r="N682" s="71">
        <v>0.93518518518518501</v>
      </c>
      <c r="O682" s="73">
        <v>0.9</v>
      </c>
      <c r="P682" s="71">
        <v>0.94017632241813598</v>
      </c>
      <c r="Q682" s="71">
        <v>0.89172932330827104</v>
      </c>
      <c r="R682" s="71">
        <v>0.87558612066270702</v>
      </c>
      <c r="S682" s="71">
        <v>0.93581597116148396</v>
      </c>
      <c r="T682" s="73">
        <v>0.9</v>
      </c>
      <c r="U682" s="71">
        <v>0.89420654911838804</v>
      </c>
      <c r="V682" s="71">
        <v>0.90406015037594001</v>
      </c>
      <c r="W682" s="71">
        <v>0.87777430447014704</v>
      </c>
      <c r="X682" s="71">
        <v>0.92124396651799401</v>
      </c>
      <c r="Y682" s="73">
        <v>0.92</v>
      </c>
      <c r="Z682" s="73">
        <v>0.90180586907449201</v>
      </c>
      <c r="AA682" s="73">
        <v>0.906172839506173</v>
      </c>
      <c r="AB682" s="73">
        <v>0.92397660818713401</v>
      </c>
      <c r="AC682" s="73">
        <v>0.93352674066599395</v>
      </c>
      <c r="AD682" s="73">
        <v>0.92</v>
      </c>
      <c r="AE682" s="71">
        <v>1</v>
      </c>
      <c r="AF682" s="71">
        <v>0.99330357142857095</v>
      </c>
      <c r="AG682" s="71">
        <v>0.98976109215017105</v>
      </c>
      <c r="AH682" s="71">
        <v>0.99323104693140796</v>
      </c>
      <c r="AI682" s="73">
        <v>0.92</v>
      </c>
      <c r="AJ682" s="71">
        <v>0.922828282828283</v>
      </c>
      <c r="AK682" s="71">
        <v>0.94396782841823101</v>
      </c>
      <c r="AL682" s="71">
        <v>0.94385784187483901</v>
      </c>
      <c r="AM682" s="71">
        <v>0.95760794728041698</v>
      </c>
      <c r="AN682" s="70">
        <v>0.99</v>
      </c>
      <c r="AO682" s="75">
        <v>1</v>
      </c>
      <c r="AP682" s="75">
        <v>1</v>
      </c>
      <c r="AQ682" s="75">
        <v>1</v>
      </c>
      <c r="AR682" s="75">
        <v>1</v>
      </c>
      <c r="AS682" s="95">
        <v>8.1059522893420499E-2</v>
      </c>
      <c r="AT682" s="79">
        <v>6.25E-2</v>
      </c>
      <c r="AU682" s="79">
        <v>0.17647058823529399</v>
      </c>
      <c r="AV682" s="79">
        <v>7.69230769230769E-2</v>
      </c>
      <c r="AW682" s="79">
        <v>5.0314465408804999E-2</v>
      </c>
      <c r="AX682" s="56"/>
      <c r="AY682" s="54"/>
    </row>
    <row r="683" spans="1:51">
      <c r="A683" s="53"/>
      <c r="B683" s="56"/>
      <c r="C683" s="90" t="s">
        <v>663</v>
      </c>
      <c r="D683" s="230" t="s">
        <v>1757</v>
      </c>
      <c r="E683" s="68" t="s">
        <v>664</v>
      </c>
      <c r="F683" s="113" t="s">
        <v>705</v>
      </c>
      <c r="G683" s="113" t="s">
        <v>705</v>
      </c>
      <c r="H683" s="113" t="s">
        <v>705</v>
      </c>
      <c r="I683" s="113" t="s">
        <v>705</v>
      </c>
      <c r="J683" s="70">
        <v>0.9</v>
      </c>
      <c r="K683" s="71">
        <v>0.90909090909090895</v>
      </c>
      <c r="L683" s="71">
        <v>1</v>
      </c>
      <c r="M683" s="72">
        <v>0.86956521739130399</v>
      </c>
      <c r="N683" s="71">
        <v>0.94274809160305295</v>
      </c>
      <c r="O683" s="73">
        <v>0.9</v>
      </c>
      <c r="P683" s="71">
        <v>0.93287037037037002</v>
      </c>
      <c r="Q683" s="71">
        <v>0.95513105286539302</v>
      </c>
      <c r="R683" s="71">
        <v>0.95229186155285295</v>
      </c>
      <c r="S683" s="71">
        <v>0.94085473254843799</v>
      </c>
      <c r="T683" s="73">
        <v>0.9</v>
      </c>
      <c r="U683" s="71">
        <v>0.89891975308642003</v>
      </c>
      <c r="V683" s="71">
        <v>0.91781430475344306</v>
      </c>
      <c r="W683" s="71">
        <v>0.92001870907390104</v>
      </c>
      <c r="X683" s="71">
        <v>0.91920830629461403</v>
      </c>
      <c r="Y683" s="73">
        <v>0.92</v>
      </c>
      <c r="Z683" s="73">
        <v>0.91298701298701301</v>
      </c>
      <c r="AA683" s="73">
        <v>0.88951841359773398</v>
      </c>
      <c r="AB683" s="73">
        <v>0.93173431734317302</v>
      </c>
      <c r="AC683" s="73">
        <v>0.91896298711886504</v>
      </c>
      <c r="AD683" s="73">
        <v>0.92</v>
      </c>
      <c r="AE683" s="71">
        <v>0.99775784753363195</v>
      </c>
      <c r="AF683" s="71">
        <v>0.99488926746166995</v>
      </c>
      <c r="AG683" s="71">
        <v>0.99212598425196896</v>
      </c>
      <c r="AH683" s="71">
        <v>0.99528936742934004</v>
      </c>
      <c r="AI683" s="73">
        <v>0.92</v>
      </c>
      <c r="AJ683" s="71">
        <v>0.93126815101645699</v>
      </c>
      <c r="AK683" s="71">
        <v>0.95353302611367097</v>
      </c>
      <c r="AL683" s="71">
        <v>0.95335820895522405</v>
      </c>
      <c r="AM683" s="71">
        <v>0.95488667532842497</v>
      </c>
      <c r="AN683" s="70">
        <v>0.99</v>
      </c>
      <c r="AO683" s="75">
        <v>1</v>
      </c>
      <c r="AP683" s="75">
        <v>1</v>
      </c>
      <c r="AQ683" s="75">
        <v>1</v>
      </c>
      <c r="AR683" s="75">
        <v>1</v>
      </c>
      <c r="AS683" s="95">
        <v>8.1059522893420499E-2</v>
      </c>
      <c r="AT683" s="79">
        <v>0.18181818181818199</v>
      </c>
      <c r="AU683" s="79">
        <v>0</v>
      </c>
      <c r="AV683" s="79">
        <v>0</v>
      </c>
      <c r="AW683" s="79">
        <v>6.0606060606060601E-2</v>
      </c>
      <c r="AX683" s="56"/>
      <c r="AY683" s="54"/>
    </row>
    <row r="684" spans="1:51">
      <c r="A684" s="53"/>
      <c r="B684" s="56"/>
      <c r="C684" s="90" t="s">
        <v>663</v>
      </c>
      <c r="D684" s="230" t="s">
        <v>1757</v>
      </c>
      <c r="E684" s="68" t="s">
        <v>664</v>
      </c>
      <c r="F684" s="113" t="s">
        <v>706</v>
      </c>
      <c r="G684" s="113" t="s">
        <v>706</v>
      </c>
      <c r="H684" s="113" t="s">
        <v>706</v>
      </c>
      <c r="I684" s="113" t="s">
        <v>706</v>
      </c>
      <c r="J684" s="70">
        <v>0.9</v>
      </c>
      <c r="K684" s="71">
        <v>0.91666666666666696</v>
      </c>
      <c r="L684" s="71">
        <v>0.93333333333333302</v>
      </c>
      <c r="M684" s="72">
        <v>0.875</v>
      </c>
      <c r="N684" s="71">
        <v>0.89710610932475898</v>
      </c>
      <c r="O684" s="73">
        <v>0.9</v>
      </c>
      <c r="P684" s="71">
        <v>0.96302921884317205</v>
      </c>
      <c r="Q684" s="71">
        <v>0.86985578614140002</v>
      </c>
      <c r="R684" s="71">
        <v>0.84995944849959404</v>
      </c>
      <c r="S684" s="71">
        <v>0.90392098174199298</v>
      </c>
      <c r="T684" s="73">
        <v>0.9</v>
      </c>
      <c r="U684" s="71">
        <v>0.91890280262373303</v>
      </c>
      <c r="V684" s="71">
        <v>0.92261695392191301</v>
      </c>
      <c r="W684" s="71">
        <v>0.90673154906731501</v>
      </c>
      <c r="X684" s="71">
        <v>0.93516162825501303</v>
      </c>
      <c r="Y684" s="73">
        <v>0.92</v>
      </c>
      <c r="Z684" s="73">
        <v>0.92116182572614103</v>
      </c>
      <c r="AA684" s="73">
        <v>0.95471698113207504</v>
      </c>
      <c r="AB684" s="73">
        <v>0.94246575342465799</v>
      </c>
      <c r="AC684" s="73">
        <v>0.93998951781970697</v>
      </c>
      <c r="AD684" s="73">
        <v>0.92</v>
      </c>
      <c r="AE684" s="71">
        <v>1</v>
      </c>
      <c r="AF684" s="71">
        <v>0.99736842105263201</v>
      </c>
      <c r="AG684" s="71">
        <v>0.97787610619469001</v>
      </c>
      <c r="AH684" s="71">
        <v>0.99622285174693104</v>
      </c>
      <c r="AI684" s="73">
        <v>0.92</v>
      </c>
      <c r="AJ684" s="71">
        <v>0.93449450965543401</v>
      </c>
      <c r="AK684" s="71">
        <v>0.95790097835754495</v>
      </c>
      <c r="AL684" s="71">
        <v>0.96152643102908997</v>
      </c>
      <c r="AM684" s="71">
        <v>0.96109187207170499</v>
      </c>
      <c r="AN684" s="70">
        <v>0.99</v>
      </c>
      <c r="AO684" s="75">
        <v>1</v>
      </c>
      <c r="AP684" s="75">
        <v>1</v>
      </c>
      <c r="AQ684" s="75">
        <v>1</v>
      </c>
      <c r="AR684" s="75">
        <v>1</v>
      </c>
      <c r="AS684" s="95">
        <v>8.1059522893420499E-2</v>
      </c>
      <c r="AT684" s="79">
        <v>0</v>
      </c>
      <c r="AU684" s="79">
        <v>0</v>
      </c>
      <c r="AV684" s="79">
        <v>0</v>
      </c>
      <c r="AW684" s="79">
        <v>2.4590163934426201E-2</v>
      </c>
      <c r="AX684" s="56"/>
      <c r="AY684" s="54"/>
    </row>
    <row r="685" spans="1:51">
      <c r="A685" s="53"/>
      <c r="B685" s="56"/>
      <c r="C685" s="90" t="s">
        <v>663</v>
      </c>
      <c r="D685" s="230" t="s">
        <v>1757</v>
      </c>
      <c r="E685" s="68" t="s">
        <v>664</v>
      </c>
      <c r="F685" s="113" t="s">
        <v>707</v>
      </c>
      <c r="G685" s="113" t="s">
        <v>707</v>
      </c>
      <c r="H685" s="113" t="s">
        <v>707</v>
      </c>
      <c r="I685" s="113" t="s">
        <v>707</v>
      </c>
      <c r="J685" s="70">
        <v>0.9</v>
      </c>
      <c r="K685" s="71">
        <v>0.94444444444444398</v>
      </c>
      <c r="L685" s="71">
        <v>0.95</v>
      </c>
      <c r="M685" s="72">
        <v>0.94736842105263197</v>
      </c>
      <c r="N685" s="71">
        <v>0.96744186046511604</v>
      </c>
      <c r="O685" s="73">
        <v>0.9</v>
      </c>
      <c r="P685" s="71">
        <v>0.97474747474747503</v>
      </c>
      <c r="Q685" s="71">
        <v>0.99299229152067303</v>
      </c>
      <c r="R685" s="71">
        <v>0.97758152173913004</v>
      </c>
      <c r="S685" s="71">
        <v>0.98022651899130198</v>
      </c>
      <c r="T685" s="73">
        <v>0.9</v>
      </c>
      <c r="U685" s="71">
        <v>0.92929292929292895</v>
      </c>
      <c r="V685" s="71">
        <v>0.96285914505956505</v>
      </c>
      <c r="W685" s="71">
        <v>0.95720108695652195</v>
      </c>
      <c r="X685" s="71">
        <v>0.96045303798260395</v>
      </c>
      <c r="Y685" s="73">
        <v>0.92</v>
      </c>
      <c r="Z685" s="73">
        <v>0.87683823529411797</v>
      </c>
      <c r="AA685" s="73">
        <v>0.798165137614679</v>
      </c>
      <c r="AB685" s="73">
        <v>0.83798882681564202</v>
      </c>
      <c r="AC685" s="73">
        <v>0.86984913307813605</v>
      </c>
      <c r="AD685" s="73">
        <v>0.92</v>
      </c>
      <c r="AE685" s="71">
        <v>1</v>
      </c>
      <c r="AF685" s="71">
        <v>1</v>
      </c>
      <c r="AG685" s="71">
        <v>0.96694214876033102</v>
      </c>
      <c r="AH685" s="71">
        <v>0.99453978159126399</v>
      </c>
      <c r="AI685" s="73">
        <v>0.92</v>
      </c>
      <c r="AJ685" s="71">
        <v>0.92290419161676696</v>
      </c>
      <c r="AK685" s="71">
        <v>0.95075987841945298</v>
      </c>
      <c r="AL685" s="71">
        <v>0.94207650273223997</v>
      </c>
      <c r="AM685" s="71">
        <v>0.95333692405621095</v>
      </c>
      <c r="AN685" s="70">
        <v>0.99</v>
      </c>
      <c r="AO685" s="75">
        <v>1</v>
      </c>
      <c r="AP685" s="75">
        <v>1</v>
      </c>
      <c r="AQ685" s="75">
        <v>1</v>
      </c>
      <c r="AR685" s="75">
        <v>1</v>
      </c>
      <c r="AS685" s="95">
        <v>8.1059522893420499E-2</v>
      </c>
      <c r="AT685" s="79">
        <v>0</v>
      </c>
      <c r="AU685" s="79">
        <v>-9.0909090909090898E-2</v>
      </c>
      <c r="AV685" s="79">
        <v>0</v>
      </c>
      <c r="AW685" s="79">
        <v>1.8181818181818198E-2</v>
      </c>
      <c r="AX685" s="56"/>
      <c r="AY685" s="54"/>
    </row>
    <row r="686" spans="1:51">
      <c r="A686" s="53"/>
      <c r="B686" s="56"/>
      <c r="C686" s="90" t="s">
        <v>663</v>
      </c>
      <c r="D686" s="230" t="s">
        <v>1757</v>
      </c>
      <c r="E686" s="68" t="s">
        <v>664</v>
      </c>
      <c r="F686" s="113" t="s">
        <v>708</v>
      </c>
      <c r="G686" s="113" t="s">
        <v>708</v>
      </c>
      <c r="H686" s="113" t="s">
        <v>708</v>
      </c>
      <c r="I686" s="113" t="s">
        <v>708</v>
      </c>
      <c r="J686" s="70">
        <v>0.9</v>
      </c>
      <c r="K686" s="71">
        <v>0.88571428571428601</v>
      </c>
      <c r="L686" s="71">
        <v>0.92105263157894701</v>
      </c>
      <c r="M686" s="72">
        <v>0.94594594594594605</v>
      </c>
      <c r="N686" s="71">
        <v>0.90046296296296302</v>
      </c>
      <c r="O686" s="73">
        <v>0.9</v>
      </c>
      <c r="P686" s="71">
        <v>0.97417840375586895</v>
      </c>
      <c r="Q686" s="71">
        <v>0.94308278867102402</v>
      </c>
      <c r="R686" s="71">
        <v>0.95848840538219304</v>
      </c>
      <c r="S686" s="71">
        <v>0.95392200066101096</v>
      </c>
      <c r="T686" s="73">
        <v>0.9</v>
      </c>
      <c r="U686" s="71">
        <v>0.93779342723004699</v>
      </c>
      <c r="V686" s="71">
        <v>0.92184095860566495</v>
      </c>
      <c r="W686" s="71">
        <v>0.91497280274835402</v>
      </c>
      <c r="X686" s="71">
        <v>0.93610223642172496</v>
      </c>
      <c r="Y686" s="73">
        <v>0.92</v>
      </c>
      <c r="Z686" s="73">
        <v>0.93411264612114797</v>
      </c>
      <c r="AA686" s="73">
        <v>0.89795918367346905</v>
      </c>
      <c r="AB686" s="73">
        <v>0.89506953223767405</v>
      </c>
      <c r="AC686" s="73">
        <v>0.93112244897959195</v>
      </c>
      <c r="AD686" s="73">
        <v>0.92</v>
      </c>
      <c r="AE686" s="71">
        <v>0.99812382739212002</v>
      </c>
      <c r="AF686" s="71">
        <v>0.99927378358750896</v>
      </c>
      <c r="AG686" s="71">
        <v>0.99051490514905105</v>
      </c>
      <c r="AH686" s="71">
        <v>0.99724940830294895</v>
      </c>
      <c r="AI686" s="73">
        <v>0.92</v>
      </c>
      <c r="AJ686" s="71">
        <v>0.94782608695652204</v>
      </c>
      <c r="AK686" s="71">
        <v>0.94593945218644904</v>
      </c>
      <c r="AL686" s="71">
        <v>0.93323996265172704</v>
      </c>
      <c r="AM686" s="71">
        <v>0.95640175372220904</v>
      </c>
      <c r="AN686" s="70">
        <v>0.99</v>
      </c>
      <c r="AO686" s="75">
        <v>1</v>
      </c>
      <c r="AP686" s="75">
        <v>1</v>
      </c>
      <c r="AQ686" s="75">
        <v>1</v>
      </c>
      <c r="AR686" s="75">
        <v>1</v>
      </c>
      <c r="AS686" s="95">
        <v>8.1059522893420499E-2</v>
      </c>
      <c r="AT686" s="79">
        <v>0.11111111111111099</v>
      </c>
      <c r="AU686" s="79">
        <v>0</v>
      </c>
      <c r="AV686" s="79">
        <v>0</v>
      </c>
      <c r="AW686" s="79">
        <v>0.06</v>
      </c>
      <c r="AX686" s="56"/>
      <c r="AY686" s="54"/>
    </row>
    <row r="687" spans="1:51">
      <c r="A687" s="53"/>
      <c r="B687" s="56"/>
      <c r="C687" s="90" t="s">
        <v>663</v>
      </c>
      <c r="D687" s="230" t="s">
        <v>1757</v>
      </c>
      <c r="E687" s="68" t="s">
        <v>664</v>
      </c>
      <c r="F687" s="113" t="s">
        <v>709</v>
      </c>
      <c r="G687" s="113" t="s">
        <v>709</v>
      </c>
      <c r="H687" s="113" t="s">
        <v>709</v>
      </c>
      <c r="I687" s="113" t="s">
        <v>709</v>
      </c>
      <c r="J687" s="70">
        <v>0.9</v>
      </c>
      <c r="K687" s="71">
        <v>0.95454545454545503</v>
      </c>
      <c r="L687" s="71">
        <v>1</v>
      </c>
      <c r="M687" s="72">
        <v>0.95652173913043503</v>
      </c>
      <c r="N687" s="71">
        <v>0.98501872659176004</v>
      </c>
      <c r="O687" s="73">
        <v>0.9</v>
      </c>
      <c r="P687" s="71">
        <v>0.97119078104993595</v>
      </c>
      <c r="Q687" s="71">
        <v>0.98085106382978704</v>
      </c>
      <c r="R687" s="71">
        <v>0.95068965517241399</v>
      </c>
      <c r="S687" s="71">
        <v>0.96861603429522003</v>
      </c>
      <c r="T687" s="73">
        <v>0.9</v>
      </c>
      <c r="U687" s="71">
        <v>0.94110115236875802</v>
      </c>
      <c r="V687" s="71">
        <v>0.94437689969604899</v>
      </c>
      <c r="W687" s="71">
        <v>0.94724137931034502</v>
      </c>
      <c r="X687" s="71">
        <v>0.94449420948237295</v>
      </c>
      <c r="Y687" s="73">
        <v>0.92</v>
      </c>
      <c r="Z687" s="73">
        <v>0.74052132701421802</v>
      </c>
      <c r="AA687" s="73">
        <v>0.93411764705882305</v>
      </c>
      <c r="AB687" s="73">
        <v>0.95077720207253902</v>
      </c>
      <c r="AC687" s="73">
        <v>0.929283771532185</v>
      </c>
      <c r="AD687" s="73">
        <v>0.92</v>
      </c>
      <c r="AE687" s="71">
        <v>1</v>
      </c>
      <c r="AF687" s="71">
        <v>1</v>
      </c>
      <c r="AG687" s="71">
        <v>0.98952879581151798</v>
      </c>
      <c r="AH687" s="71">
        <v>0.994462025316456</v>
      </c>
      <c r="AI687" s="73">
        <v>0.92</v>
      </c>
      <c r="AJ687" s="71">
        <v>0.88445552784704895</v>
      </c>
      <c r="AK687" s="71">
        <v>0.96554508748317602</v>
      </c>
      <c r="AL687" s="71">
        <v>0.96623093681917205</v>
      </c>
      <c r="AM687" s="71">
        <v>0.96444330425859404</v>
      </c>
      <c r="AN687" s="70">
        <v>0.99</v>
      </c>
      <c r="AO687" s="75">
        <v>1</v>
      </c>
      <c r="AP687" s="75">
        <v>1</v>
      </c>
      <c r="AQ687" s="75">
        <v>1</v>
      </c>
      <c r="AR687" s="75">
        <v>1</v>
      </c>
      <c r="AS687" s="95">
        <v>8.1059522893420499E-2</v>
      </c>
      <c r="AT687" s="79">
        <v>0</v>
      </c>
      <c r="AU687" s="79">
        <v>0.22222222222222199</v>
      </c>
      <c r="AV687" s="79">
        <v>0</v>
      </c>
      <c r="AW687" s="79">
        <v>2.1978021978022001E-2</v>
      </c>
      <c r="AX687" s="56"/>
      <c r="AY687" s="54"/>
    </row>
    <row r="688" spans="1:51">
      <c r="A688" s="53"/>
      <c r="B688" s="56"/>
      <c r="C688" s="90" t="s">
        <v>663</v>
      </c>
      <c r="D688" s="230" t="s">
        <v>1757</v>
      </c>
      <c r="E688" s="68" t="s">
        <v>664</v>
      </c>
      <c r="F688" s="113" t="s">
        <v>710</v>
      </c>
      <c r="G688" s="113" t="s">
        <v>710</v>
      </c>
      <c r="H688" s="113" t="s">
        <v>710</v>
      </c>
      <c r="I688" s="113" t="s">
        <v>710</v>
      </c>
      <c r="J688" s="70">
        <v>0.9</v>
      </c>
      <c r="K688" s="71">
        <v>0.98333333333333295</v>
      </c>
      <c r="L688" s="71">
        <v>0.91666666666666696</v>
      </c>
      <c r="M688" s="72">
        <v>0.91525423728813604</v>
      </c>
      <c r="N688" s="71">
        <v>0.95321637426900596</v>
      </c>
      <c r="O688" s="73">
        <v>0.9</v>
      </c>
      <c r="P688" s="71">
        <v>0.94119730782855104</v>
      </c>
      <c r="Q688" s="71">
        <v>0.96856465005931203</v>
      </c>
      <c r="R688" s="71">
        <v>0.94611872146118703</v>
      </c>
      <c r="S688" s="71">
        <v>0.95970225872689896</v>
      </c>
      <c r="T688" s="73">
        <v>0.9</v>
      </c>
      <c r="U688" s="71">
        <v>0.92596528515763399</v>
      </c>
      <c r="V688" s="71">
        <v>0.92724396994859604</v>
      </c>
      <c r="W688" s="71">
        <v>0.90365296803652995</v>
      </c>
      <c r="X688" s="71">
        <v>0.93555355920602301</v>
      </c>
      <c r="Y688" s="73">
        <v>0.92</v>
      </c>
      <c r="Z688" s="73">
        <v>0.90551181102362199</v>
      </c>
      <c r="AA688" s="73">
        <v>0.88919667590027696</v>
      </c>
      <c r="AB688" s="73">
        <v>0.88816855753646695</v>
      </c>
      <c r="AC688" s="73">
        <v>0.90530182050463104</v>
      </c>
      <c r="AD688" s="73">
        <v>0.92</v>
      </c>
      <c r="AE688" s="71">
        <v>0.998897261532806</v>
      </c>
      <c r="AF688" s="71">
        <v>0.99719101123595499</v>
      </c>
      <c r="AG688" s="71">
        <v>0.98823016564952004</v>
      </c>
      <c r="AH688" s="71">
        <v>0.99649416834832605</v>
      </c>
      <c r="AI688" s="73">
        <v>0.92</v>
      </c>
      <c r="AJ688" s="71">
        <v>0.93724137931034501</v>
      </c>
      <c r="AK688" s="71">
        <v>0.94640387275241999</v>
      </c>
      <c r="AL688" s="71">
        <v>0.932918149466192</v>
      </c>
      <c r="AM688" s="71">
        <v>0.95152751551119497</v>
      </c>
      <c r="AN688" s="70">
        <v>0.99</v>
      </c>
      <c r="AO688" s="75">
        <v>1</v>
      </c>
      <c r="AP688" s="75">
        <v>1</v>
      </c>
      <c r="AQ688" s="75">
        <v>1</v>
      </c>
      <c r="AR688" s="75">
        <v>1</v>
      </c>
      <c r="AS688" s="95">
        <v>8.1059522893420499E-2</v>
      </c>
      <c r="AT688" s="79">
        <v>0.104166666666667</v>
      </c>
      <c r="AU688" s="79">
        <v>1.88679245283019E-2</v>
      </c>
      <c r="AV688" s="79">
        <v>2.1739130434782601E-2</v>
      </c>
      <c r="AW688" s="79">
        <v>3.8022813688212899E-2</v>
      </c>
      <c r="AX688" s="56"/>
      <c r="AY688" s="54"/>
    </row>
    <row r="689" spans="1:51">
      <c r="A689" s="53"/>
      <c r="B689" s="56"/>
      <c r="C689" s="90" t="s">
        <v>663</v>
      </c>
      <c r="D689" s="230" t="s">
        <v>1757</v>
      </c>
      <c r="E689" s="68" t="s">
        <v>664</v>
      </c>
      <c r="F689" s="113" t="s">
        <v>711</v>
      </c>
      <c r="G689" s="113" t="s">
        <v>711</v>
      </c>
      <c r="H689" s="113" t="s">
        <v>711</v>
      </c>
      <c r="I689" s="113" t="s">
        <v>711</v>
      </c>
      <c r="J689" s="70">
        <v>0.9</v>
      </c>
      <c r="K689" s="71">
        <v>1</v>
      </c>
      <c r="L689" s="71">
        <v>0.96296296296296302</v>
      </c>
      <c r="M689" s="72">
        <v>1</v>
      </c>
      <c r="N689" s="71">
        <v>0.97986577181208101</v>
      </c>
      <c r="O689" s="73">
        <v>0.9</v>
      </c>
      <c r="P689" s="71">
        <v>0.97309761721752497</v>
      </c>
      <c r="Q689" s="71">
        <v>0.94480102695763801</v>
      </c>
      <c r="R689" s="71">
        <v>0.96431881371640404</v>
      </c>
      <c r="S689" s="71">
        <v>0.95999649859944003</v>
      </c>
      <c r="T689" s="73">
        <v>0.9</v>
      </c>
      <c r="U689" s="71">
        <v>0.92621060722521098</v>
      </c>
      <c r="V689" s="71">
        <v>0.90885750962772804</v>
      </c>
      <c r="W689" s="71">
        <v>0.93744207599629303</v>
      </c>
      <c r="X689" s="71">
        <v>0.93032212885154097</v>
      </c>
      <c r="Y689" s="73">
        <v>0.92</v>
      </c>
      <c r="Z689" s="73">
        <v>0.91505791505791501</v>
      </c>
      <c r="AA689" s="73">
        <v>0.92258064516129001</v>
      </c>
      <c r="AB689" s="73">
        <v>0.92132867132867102</v>
      </c>
      <c r="AC689" s="73">
        <v>0.92343854936198799</v>
      </c>
      <c r="AD689" s="73">
        <v>0.92</v>
      </c>
      <c r="AE689" s="71">
        <v>1</v>
      </c>
      <c r="AF689" s="71">
        <v>1</v>
      </c>
      <c r="AG689" s="71">
        <v>0.87179487179487203</v>
      </c>
      <c r="AH689" s="71">
        <v>0.99670083657358299</v>
      </c>
      <c r="AI689" s="73">
        <v>0.92</v>
      </c>
      <c r="AJ689" s="71">
        <v>0.94225216554379199</v>
      </c>
      <c r="AK689" s="71">
        <v>0.95466565923687197</v>
      </c>
      <c r="AL689" s="71">
        <v>0.95384615384615401</v>
      </c>
      <c r="AM689" s="71">
        <v>0.95792543220162496</v>
      </c>
      <c r="AN689" s="70">
        <v>0.99</v>
      </c>
      <c r="AO689" s="75">
        <v>1</v>
      </c>
      <c r="AP689" s="75">
        <v>1</v>
      </c>
      <c r="AQ689" s="75">
        <v>1</v>
      </c>
      <c r="AR689" s="75">
        <v>1</v>
      </c>
      <c r="AS689" s="95">
        <v>8.1059522893420499E-2</v>
      </c>
      <c r="AT689" s="79">
        <v>0</v>
      </c>
      <c r="AU689" s="79">
        <v>0</v>
      </c>
      <c r="AV689" s="79">
        <v>7.69230769230769E-2</v>
      </c>
      <c r="AW689" s="79">
        <v>5.5555555555555601E-2</v>
      </c>
      <c r="AX689" s="56"/>
      <c r="AY689" s="54"/>
    </row>
    <row r="690" spans="1:51">
      <c r="A690" s="53"/>
      <c r="B690" s="56"/>
      <c r="C690" s="90" t="s">
        <v>663</v>
      </c>
      <c r="D690" s="230" t="s">
        <v>1757</v>
      </c>
      <c r="E690" s="68" t="s">
        <v>664</v>
      </c>
      <c r="F690" s="113" t="s">
        <v>712</v>
      </c>
      <c r="G690" s="113" t="s">
        <v>712</v>
      </c>
      <c r="H690" s="113" t="s">
        <v>712</v>
      </c>
      <c r="I690" s="113" t="s">
        <v>712</v>
      </c>
      <c r="J690" s="70">
        <v>0.9</v>
      </c>
      <c r="K690" s="71">
        <v>0.94444444444444398</v>
      </c>
      <c r="L690" s="71">
        <v>0.92105263157894701</v>
      </c>
      <c r="M690" s="72">
        <v>0.90909090909090895</v>
      </c>
      <c r="N690" s="71">
        <v>0.92523364485981296</v>
      </c>
      <c r="O690" s="73">
        <v>0.9</v>
      </c>
      <c r="P690" s="71">
        <v>0.910313901345291</v>
      </c>
      <c r="Q690" s="71">
        <v>0.95623632385120305</v>
      </c>
      <c r="R690" s="71">
        <v>0.92205128205128195</v>
      </c>
      <c r="S690" s="71">
        <v>0.94877549673245798</v>
      </c>
      <c r="T690" s="73">
        <v>0.9</v>
      </c>
      <c r="U690" s="71">
        <v>0.90647021140294703</v>
      </c>
      <c r="V690" s="71">
        <v>0.90872147546108195</v>
      </c>
      <c r="W690" s="71">
        <v>0.87965811965812002</v>
      </c>
      <c r="X690" s="71">
        <v>0.91078619050762399</v>
      </c>
      <c r="Y690" s="73">
        <v>0.92</v>
      </c>
      <c r="Z690" s="73">
        <v>0.91428571428571404</v>
      </c>
      <c r="AA690" s="73">
        <v>0.90425531914893598</v>
      </c>
      <c r="AB690" s="73">
        <v>0.85809906291834004</v>
      </c>
      <c r="AC690" s="73">
        <v>0.90362938189025099</v>
      </c>
      <c r="AD690" s="73">
        <v>0.92</v>
      </c>
      <c r="AE690" s="71">
        <v>0.90764023210831701</v>
      </c>
      <c r="AF690" s="71">
        <v>0.96310806398955295</v>
      </c>
      <c r="AG690" s="71">
        <v>0.96971691902567503</v>
      </c>
      <c r="AH690" s="71">
        <v>0.98291057128796999</v>
      </c>
      <c r="AI690" s="73">
        <v>0.92</v>
      </c>
      <c r="AJ690" s="71">
        <v>0.92798110979929205</v>
      </c>
      <c r="AK690" s="71">
        <v>0.95286103542234302</v>
      </c>
      <c r="AL690" s="71">
        <v>0.90693877551020396</v>
      </c>
      <c r="AM690" s="71">
        <v>0.94694877273437905</v>
      </c>
      <c r="AN690" s="70">
        <v>0.99</v>
      </c>
      <c r="AO690" s="75">
        <v>1</v>
      </c>
      <c r="AP690" s="75">
        <v>1</v>
      </c>
      <c r="AQ690" s="75">
        <v>1</v>
      </c>
      <c r="AR690" s="75">
        <v>1</v>
      </c>
      <c r="AS690" s="95">
        <v>8.1059522893420499E-2</v>
      </c>
      <c r="AT690" s="79">
        <v>0.25</v>
      </c>
      <c r="AU690" s="79">
        <v>0</v>
      </c>
      <c r="AV690" s="79">
        <v>7.69230769230769E-2</v>
      </c>
      <c r="AW690" s="79">
        <v>9.5588235294117599E-2</v>
      </c>
      <c r="AX690" s="56"/>
      <c r="AY690" s="54"/>
    </row>
    <row r="691" spans="1:51">
      <c r="A691" s="53"/>
      <c r="B691" s="56"/>
      <c r="C691" s="90" t="s">
        <v>663</v>
      </c>
      <c r="D691" s="230" t="s">
        <v>1757</v>
      </c>
      <c r="E691" s="68" t="s">
        <v>664</v>
      </c>
      <c r="F691" s="113" t="s">
        <v>713</v>
      </c>
      <c r="G691" s="113" t="s">
        <v>713</v>
      </c>
      <c r="H691" s="113" t="s">
        <v>713</v>
      </c>
      <c r="I691" s="113" t="s">
        <v>713</v>
      </c>
      <c r="J691" s="70">
        <v>0.9</v>
      </c>
      <c r="K691" s="71">
        <v>0.88461538461538503</v>
      </c>
      <c r="L691" s="71">
        <v>0.5625</v>
      </c>
      <c r="M691" s="72">
        <v>0.79310344827586199</v>
      </c>
      <c r="N691" s="71">
        <v>0.78805970149253701</v>
      </c>
      <c r="O691" s="73">
        <v>0.9</v>
      </c>
      <c r="P691" s="71">
        <v>0.88002364066193794</v>
      </c>
      <c r="Q691" s="71">
        <v>0.949917081260365</v>
      </c>
      <c r="R691" s="71">
        <v>0.95298507462686599</v>
      </c>
      <c r="S691" s="71">
        <v>0.94120302448933502</v>
      </c>
      <c r="T691" s="73">
        <v>0.9</v>
      </c>
      <c r="U691" s="71">
        <v>0.92198581560283699</v>
      </c>
      <c r="V691" s="71">
        <v>0.93001658374792695</v>
      </c>
      <c r="W691" s="71">
        <v>0.88992537313432796</v>
      </c>
      <c r="X691" s="71">
        <v>0.92423729451153003</v>
      </c>
      <c r="Y691" s="73">
        <v>0.92</v>
      </c>
      <c r="Z691" s="73">
        <v>0.91944764096662801</v>
      </c>
      <c r="AA691" s="73">
        <v>0.90707964601769897</v>
      </c>
      <c r="AB691" s="73">
        <v>0.89224137931034497</v>
      </c>
      <c r="AC691" s="73">
        <v>0.90025252525252497</v>
      </c>
      <c r="AD691" s="73">
        <v>0.92</v>
      </c>
      <c r="AE691" s="71">
        <v>0.99951417004048604</v>
      </c>
      <c r="AF691" s="71">
        <v>0.99594347029573405</v>
      </c>
      <c r="AG691" s="71">
        <v>0.99822837816073395</v>
      </c>
      <c r="AH691" s="71">
        <v>0.99688707335679305</v>
      </c>
      <c r="AI691" s="73">
        <v>0.92</v>
      </c>
      <c r="AJ691" s="71">
        <v>0.94459617635583304</v>
      </c>
      <c r="AK691" s="71">
        <v>0.96106143640034603</v>
      </c>
      <c r="AL691" s="71">
        <v>0.92209715639810397</v>
      </c>
      <c r="AM691" s="71">
        <v>0.94886852329685301</v>
      </c>
      <c r="AN691" s="70">
        <v>0.99</v>
      </c>
      <c r="AO691" s="75">
        <v>1</v>
      </c>
      <c r="AP691" s="75">
        <v>1</v>
      </c>
      <c r="AQ691" s="75">
        <v>1</v>
      </c>
      <c r="AR691" s="75">
        <v>1</v>
      </c>
      <c r="AS691" s="95">
        <v>8.1059522893420499E-2</v>
      </c>
      <c r="AT691" s="79">
        <v>3.2258064516128997E-2</v>
      </c>
      <c r="AU691" s="79">
        <v>0.05</v>
      </c>
      <c r="AV691" s="79">
        <v>0.15384615384615399</v>
      </c>
      <c r="AW691" s="79">
        <v>2.30263157894737E-2</v>
      </c>
      <c r="AX691" s="56"/>
      <c r="AY691" s="54"/>
    </row>
    <row r="692" spans="1:51">
      <c r="A692" s="53"/>
      <c r="B692" s="56"/>
      <c r="C692" s="90" t="s">
        <v>663</v>
      </c>
      <c r="D692" s="230" t="s">
        <v>1757</v>
      </c>
      <c r="E692" s="68" t="s">
        <v>664</v>
      </c>
      <c r="F692" s="113" t="s">
        <v>714</v>
      </c>
      <c r="G692" s="113" t="s">
        <v>714</v>
      </c>
      <c r="H692" s="113" t="s">
        <v>714</v>
      </c>
      <c r="I692" s="113" t="s">
        <v>714</v>
      </c>
      <c r="J692" s="70">
        <v>0.9</v>
      </c>
      <c r="K692" s="71">
        <v>1</v>
      </c>
      <c r="L692" s="71">
        <v>1</v>
      </c>
      <c r="M692" s="72">
        <v>0.95652173913043503</v>
      </c>
      <c r="N692" s="71">
        <v>0.96885813148788902</v>
      </c>
      <c r="O692" s="73">
        <v>0.9</v>
      </c>
      <c r="P692" s="71">
        <v>0.88985736925515102</v>
      </c>
      <c r="Q692" s="71">
        <v>0.90924512298558102</v>
      </c>
      <c r="R692" s="71">
        <v>0.96033300685602396</v>
      </c>
      <c r="S692" s="71">
        <v>0.94369878183831701</v>
      </c>
      <c r="T692" s="73">
        <v>0.9</v>
      </c>
      <c r="U692" s="71">
        <v>0.92709984152139502</v>
      </c>
      <c r="V692" s="71">
        <v>0.90415606446140795</v>
      </c>
      <c r="W692" s="71">
        <v>0.89960822722820799</v>
      </c>
      <c r="X692" s="71">
        <v>0.916633444075305</v>
      </c>
      <c r="Y692" s="73">
        <v>0.92</v>
      </c>
      <c r="Z692" s="73">
        <v>0.87466666666666704</v>
      </c>
      <c r="AA692" s="73">
        <v>0.8125</v>
      </c>
      <c r="AB692" s="73">
        <v>0.86746987951807197</v>
      </c>
      <c r="AC692" s="73">
        <v>0.85617021276595695</v>
      </c>
      <c r="AD692" s="73">
        <v>0.92</v>
      </c>
      <c r="AE692" s="71">
        <v>1</v>
      </c>
      <c r="AF692" s="71">
        <v>1</v>
      </c>
      <c r="AG692" s="71">
        <v>0.93055555555555602</v>
      </c>
      <c r="AH692" s="71">
        <v>0.99314372778059901</v>
      </c>
      <c r="AI692" s="73">
        <v>0.92</v>
      </c>
      <c r="AJ692" s="71">
        <v>0.92594433399602405</v>
      </c>
      <c r="AK692" s="71">
        <v>0.94093910491562704</v>
      </c>
      <c r="AL692" s="71">
        <v>0.937094929470072</v>
      </c>
      <c r="AM692" s="71">
        <v>0.93940884968193195</v>
      </c>
      <c r="AN692" s="70">
        <v>0.99</v>
      </c>
      <c r="AO692" s="75">
        <v>1</v>
      </c>
      <c r="AP692" s="75">
        <v>1</v>
      </c>
      <c r="AQ692" s="75">
        <v>1</v>
      </c>
      <c r="AR692" s="75">
        <v>1</v>
      </c>
      <c r="AS692" s="95">
        <v>8.1059522893420499E-2</v>
      </c>
      <c r="AT692" s="79">
        <v>0</v>
      </c>
      <c r="AU692" s="79">
        <v>0.230769230769231</v>
      </c>
      <c r="AV692" s="79">
        <v>0</v>
      </c>
      <c r="AW692" s="79">
        <v>8.2802547770700605E-2</v>
      </c>
      <c r="AX692" s="56"/>
      <c r="AY692" s="54"/>
    </row>
    <row r="693" spans="1:51">
      <c r="A693" s="53"/>
      <c r="B693" s="56"/>
      <c r="C693" s="90" t="s">
        <v>663</v>
      </c>
      <c r="D693" s="230" t="s">
        <v>1757</v>
      </c>
      <c r="E693" s="68" t="s">
        <v>664</v>
      </c>
      <c r="F693" s="113" t="s">
        <v>715</v>
      </c>
      <c r="G693" s="113" t="s">
        <v>715</v>
      </c>
      <c r="H693" s="113" t="s">
        <v>715</v>
      </c>
      <c r="I693" s="113" t="s">
        <v>715</v>
      </c>
      <c r="J693" s="70">
        <v>0.9</v>
      </c>
      <c r="K693" s="71">
        <v>0.90476190476190499</v>
      </c>
      <c r="L693" s="71">
        <v>0.96551724137931005</v>
      </c>
      <c r="M693" s="72">
        <v>0.96296296296296302</v>
      </c>
      <c r="N693" s="71">
        <v>0.94630872483221495</v>
      </c>
      <c r="O693" s="73">
        <v>0.9</v>
      </c>
      <c r="P693" s="71">
        <v>0.98282097649186295</v>
      </c>
      <c r="Q693" s="71">
        <v>0.97333916083916105</v>
      </c>
      <c r="R693" s="71">
        <v>0.98985707699400605</v>
      </c>
      <c r="S693" s="71">
        <v>0.98212220937472205</v>
      </c>
      <c r="T693" s="73">
        <v>0.9</v>
      </c>
      <c r="U693" s="71">
        <v>0.93761301989150103</v>
      </c>
      <c r="V693" s="71">
        <v>0.94449300699300698</v>
      </c>
      <c r="W693" s="71">
        <v>0.93130474873213498</v>
      </c>
      <c r="X693" s="71">
        <v>0.93831717513119295</v>
      </c>
      <c r="Y693" s="73">
        <v>0.92</v>
      </c>
      <c r="Z693" s="73">
        <v>0.87734241908006805</v>
      </c>
      <c r="AA693" s="73">
        <v>0.85969738651994498</v>
      </c>
      <c r="AB693" s="73">
        <v>0.84774665042630903</v>
      </c>
      <c r="AC693" s="73">
        <v>0.87515972399693298</v>
      </c>
      <c r="AD693" s="73">
        <v>0.92</v>
      </c>
      <c r="AE693" s="71">
        <v>0.99843505477308303</v>
      </c>
      <c r="AF693" s="71">
        <v>0.99349240780911097</v>
      </c>
      <c r="AG693" s="71">
        <v>0.98622047244094502</v>
      </c>
      <c r="AH693" s="71">
        <v>0.99304992470751796</v>
      </c>
      <c r="AI693" s="73">
        <v>0.92</v>
      </c>
      <c r="AJ693" s="71">
        <v>0.94211458948611904</v>
      </c>
      <c r="AK693" s="71">
        <v>0.94993368700265302</v>
      </c>
      <c r="AL693" s="71">
        <v>0.93545150501672203</v>
      </c>
      <c r="AM693" s="71">
        <v>0.95088078115722097</v>
      </c>
      <c r="AN693" s="70">
        <v>0.99</v>
      </c>
      <c r="AO693" s="75">
        <v>1</v>
      </c>
      <c r="AP693" s="75">
        <v>1</v>
      </c>
      <c r="AQ693" s="75">
        <v>1</v>
      </c>
      <c r="AR693" s="75">
        <v>1</v>
      </c>
      <c r="AS693" s="95">
        <v>8.1059522893420499E-2</v>
      </c>
      <c r="AT693" s="79">
        <v>0</v>
      </c>
      <c r="AU693" s="79">
        <v>0</v>
      </c>
      <c r="AV693" s="79">
        <v>0</v>
      </c>
      <c r="AW693" s="79">
        <v>1.2345679012345699E-2</v>
      </c>
      <c r="AX693" s="56"/>
      <c r="AY693" s="54"/>
    </row>
    <row r="694" spans="1:51">
      <c r="A694" s="53"/>
      <c r="B694" s="56"/>
      <c r="C694" s="90" t="s">
        <v>663</v>
      </c>
      <c r="D694" s="230" t="s">
        <v>1757</v>
      </c>
      <c r="E694" s="68" t="s">
        <v>664</v>
      </c>
      <c r="F694" s="113" t="s">
        <v>716</v>
      </c>
      <c r="G694" s="113" t="s">
        <v>716</v>
      </c>
      <c r="H694" s="113" t="s">
        <v>716</v>
      </c>
      <c r="I694" s="113" t="s">
        <v>716</v>
      </c>
      <c r="J694" s="70">
        <v>0.9</v>
      </c>
      <c r="K694" s="71">
        <v>0.78378378378378399</v>
      </c>
      <c r="L694" s="71">
        <v>0.90243902439024404</v>
      </c>
      <c r="M694" s="72">
        <v>0.84615384615384603</v>
      </c>
      <c r="N694" s="71">
        <v>0.87643020594965704</v>
      </c>
      <c r="O694" s="73">
        <v>0.9</v>
      </c>
      <c r="P694" s="71">
        <v>0.95013550135501401</v>
      </c>
      <c r="Q694" s="71">
        <v>0.95671232876712298</v>
      </c>
      <c r="R694" s="71">
        <v>0.90326518156850799</v>
      </c>
      <c r="S694" s="71">
        <v>0.95901391824745397</v>
      </c>
      <c r="T694" s="73">
        <v>0.9</v>
      </c>
      <c r="U694" s="71">
        <v>0.91056910569105698</v>
      </c>
      <c r="V694" s="71">
        <v>0.93753424657534201</v>
      </c>
      <c r="W694" s="71">
        <v>0.90692706743973195</v>
      </c>
      <c r="X694" s="71">
        <v>0.93178137096110003</v>
      </c>
      <c r="Y694" s="73">
        <v>0.92</v>
      </c>
      <c r="Z694" s="73">
        <v>0.87007874015747999</v>
      </c>
      <c r="AA694" s="73">
        <v>0.87713588283156996</v>
      </c>
      <c r="AB694" s="73">
        <v>0.83849557522123896</v>
      </c>
      <c r="AC694" s="73">
        <v>0.875261162268823</v>
      </c>
      <c r="AD694" s="73">
        <v>0.92</v>
      </c>
      <c r="AE694" s="71">
        <v>0.99840700915969705</v>
      </c>
      <c r="AF694" s="71">
        <v>0.99396681749622895</v>
      </c>
      <c r="AG694" s="71">
        <v>0.99391385767790297</v>
      </c>
      <c r="AH694" s="71">
        <v>0.98951938405182605</v>
      </c>
      <c r="AI694" s="73">
        <v>0.92</v>
      </c>
      <c r="AJ694" s="71">
        <v>0.92036325532658003</v>
      </c>
      <c r="AK694" s="71">
        <v>0.94549180327868898</v>
      </c>
      <c r="AL694" s="71">
        <v>0.91605524384980597</v>
      </c>
      <c r="AM694" s="71">
        <v>0.94360034034277396</v>
      </c>
      <c r="AN694" s="70">
        <v>0.99</v>
      </c>
      <c r="AO694" s="75">
        <v>1</v>
      </c>
      <c r="AP694" s="75">
        <v>1</v>
      </c>
      <c r="AQ694" s="75">
        <v>1</v>
      </c>
      <c r="AR694" s="75">
        <v>1</v>
      </c>
      <c r="AS694" s="95">
        <v>8.1059522893420499E-2</v>
      </c>
      <c r="AT694" s="79">
        <v>-2.7027027027027001E-2</v>
      </c>
      <c r="AU694" s="79">
        <v>-2.7777777777777801E-2</v>
      </c>
      <c r="AV694" s="79">
        <v>4.3478260869565202E-2</v>
      </c>
      <c r="AW694" s="79">
        <v>2.0547945205479499E-2</v>
      </c>
      <c r="AX694" s="56"/>
      <c r="AY694" s="54"/>
    </row>
    <row r="695" spans="1:51">
      <c r="A695" s="53"/>
      <c r="B695" s="56"/>
      <c r="C695" s="90" t="s">
        <v>663</v>
      </c>
      <c r="D695" s="230" t="s">
        <v>1757</v>
      </c>
      <c r="E695" s="68" t="s">
        <v>664</v>
      </c>
      <c r="F695" s="113" t="s">
        <v>717</v>
      </c>
      <c r="G695" s="113" t="s">
        <v>717</v>
      </c>
      <c r="H695" s="113" t="s">
        <v>717</v>
      </c>
      <c r="I695" s="113" t="s">
        <v>717</v>
      </c>
      <c r="J695" s="70">
        <v>0.9</v>
      </c>
      <c r="K695" s="71">
        <v>0.92307692307692302</v>
      </c>
      <c r="L695" s="71">
        <v>0.70588235294117696</v>
      </c>
      <c r="M695" s="72">
        <v>0.69767441860465096</v>
      </c>
      <c r="N695" s="71">
        <v>0.80088495575221197</v>
      </c>
      <c r="O695" s="73">
        <v>0.9</v>
      </c>
      <c r="P695" s="71">
        <v>0.96285714285714297</v>
      </c>
      <c r="Q695" s="71">
        <v>0.97165697674418605</v>
      </c>
      <c r="R695" s="71">
        <v>0.96852957135105799</v>
      </c>
      <c r="S695" s="71">
        <v>0.969117301363423</v>
      </c>
      <c r="T695" s="73">
        <v>0.9</v>
      </c>
      <c r="U695" s="71">
        <v>0.93285714285714305</v>
      </c>
      <c r="V695" s="71">
        <v>0.93968023255813904</v>
      </c>
      <c r="W695" s="71">
        <v>0.94302767227346695</v>
      </c>
      <c r="X695" s="71">
        <v>0.94352374236013203</v>
      </c>
      <c r="Y695" s="73">
        <v>0.92</v>
      </c>
      <c r="Z695" s="73">
        <v>0.93315508021390403</v>
      </c>
      <c r="AA695" s="73">
        <v>0.97215777262181002</v>
      </c>
      <c r="AB695" s="73">
        <v>0.97725657427150003</v>
      </c>
      <c r="AC695" s="73">
        <v>0.96088135593220303</v>
      </c>
      <c r="AD695" s="73">
        <v>0.92</v>
      </c>
      <c r="AE695" s="71">
        <v>0.99713392391870803</v>
      </c>
      <c r="AF695" s="71">
        <v>0.99684144030322197</v>
      </c>
      <c r="AG695" s="71">
        <v>0.99899446958270499</v>
      </c>
      <c r="AH695" s="71">
        <v>0.99614501795068</v>
      </c>
      <c r="AI695" s="73">
        <v>0.92</v>
      </c>
      <c r="AJ695" s="71">
        <v>0.95631970260223098</v>
      </c>
      <c r="AK695" s="71">
        <v>0.98118428334255703</v>
      </c>
      <c r="AL695" s="71">
        <v>0.98998822143698495</v>
      </c>
      <c r="AM695" s="71">
        <v>0.97626806025207502</v>
      </c>
      <c r="AN695" s="70">
        <v>0.99</v>
      </c>
      <c r="AO695" s="75">
        <v>1</v>
      </c>
      <c r="AP695" s="75">
        <v>1</v>
      </c>
      <c r="AQ695" s="75">
        <v>1</v>
      </c>
      <c r="AR695" s="75">
        <v>1</v>
      </c>
      <c r="AS695" s="95">
        <v>8.1059522893420499E-2</v>
      </c>
      <c r="AT695" s="79">
        <v>-0.125</v>
      </c>
      <c r="AU695" s="79">
        <v>0.18181818181818199</v>
      </c>
      <c r="AV695" s="79">
        <v>9.5238095238095205E-2</v>
      </c>
      <c r="AW695" s="79">
        <v>7.8947368421052599E-2</v>
      </c>
      <c r="AX695" s="56"/>
      <c r="AY695" s="54"/>
    </row>
    <row r="696" spans="1:51">
      <c r="A696" s="53"/>
      <c r="B696" s="56"/>
      <c r="C696" s="90" t="s">
        <v>663</v>
      </c>
      <c r="D696" s="230" t="s">
        <v>1757</v>
      </c>
      <c r="E696" s="68" t="s">
        <v>664</v>
      </c>
      <c r="F696" s="113" t="s">
        <v>718</v>
      </c>
      <c r="G696" s="113" t="s">
        <v>718</v>
      </c>
      <c r="H696" s="113" t="s">
        <v>718</v>
      </c>
      <c r="I696" s="113" t="s">
        <v>718</v>
      </c>
      <c r="J696" s="70">
        <v>0.9</v>
      </c>
      <c r="K696" s="71">
        <v>1</v>
      </c>
      <c r="L696" s="71">
        <v>1</v>
      </c>
      <c r="M696" s="72">
        <v>0.952380952380952</v>
      </c>
      <c r="N696" s="71">
        <v>0.95555555555555605</v>
      </c>
      <c r="O696" s="73">
        <v>0.9</v>
      </c>
      <c r="P696" s="71">
        <v>0.99907834101382498</v>
      </c>
      <c r="Q696" s="71">
        <v>1</v>
      </c>
      <c r="R696" s="71">
        <v>0.99949005609383001</v>
      </c>
      <c r="S696" s="71">
        <v>0.99907972488617602</v>
      </c>
      <c r="T696" s="73">
        <v>0.9</v>
      </c>
      <c r="U696" s="71">
        <v>0.96589861751152095</v>
      </c>
      <c r="V696" s="71">
        <v>0.96799628942486104</v>
      </c>
      <c r="W696" s="71">
        <v>0.97042325344212099</v>
      </c>
      <c r="X696" s="71">
        <v>0.97379637702218302</v>
      </c>
      <c r="Y696" s="73">
        <v>0.92</v>
      </c>
      <c r="Z696" s="73">
        <v>0.94463667820069197</v>
      </c>
      <c r="AA696" s="73">
        <v>0.96803652968036502</v>
      </c>
      <c r="AB696" s="73">
        <v>0.95984455958549197</v>
      </c>
      <c r="AC696" s="73">
        <v>0.96429552320791001</v>
      </c>
      <c r="AD696" s="73">
        <v>0.92</v>
      </c>
      <c r="AE696" s="71">
        <v>0.99816849816849795</v>
      </c>
      <c r="AF696" s="71">
        <v>0.99553571428571397</v>
      </c>
      <c r="AG696" s="71">
        <v>0.99283154121863804</v>
      </c>
      <c r="AH696" s="71">
        <v>0.99497861260926201</v>
      </c>
      <c r="AI696" s="73">
        <v>0.92</v>
      </c>
      <c r="AJ696" s="71">
        <v>0.97053517739025896</v>
      </c>
      <c r="AK696" s="71">
        <v>0.981869889797369</v>
      </c>
      <c r="AL696" s="71">
        <v>0.98060739114526196</v>
      </c>
      <c r="AM696" s="71">
        <v>0.98317101117158401</v>
      </c>
      <c r="AN696" s="70">
        <v>0.99</v>
      </c>
      <c r="AO696" s="75">
        <v>1</v>
      </c>
      <c r="AP696" s="75">
        <v>1</v>
      </c>
      <c r="AQ696" s="75">
        <v>1</v>
      </c>
      <c r="AR696" s="75">
        <v>1</v>
      </c>
      <c r="AS696" s="95">
        <v>8.1059522893420499E-2</v>
      </c>
      <c r="AT696" s="79">
        <v>0</v>
      </c>
      <c r="AU696" s="79">
        <v>0</v>
      </c>
      <c r="AV696" s="79">
        <v>0</v>
      </c>
      <c r="AW696" s="79">
        <v>3.65853658536585E-2</v>
      </c>
      <c r="AX696" s="56"/>
      <c r="AY696" s="54"/>
    </row>
    <row r="697" spans="1:51">
      <c r="A697" s="53"/>
      <c r="B697" s="56"/>
      <c r="C697" s="90" t="s">
        <v>663</v>
      </c>
      <c r="D697" s="230" t="s">
        <v>1757</v>
      </c>
      <c r="E697" s="68" t="s">
        <v>664</v>
      </c>
      <c r="F697" s="113" t="s">
        <v>719</v>
      </c>
      <c r="G697" s="113" t="s">
        <v>719</v>
      </c>
      <c r="H697" s="113" t="s">
        <v>719</v>
      </c>
      <c r="I697" s="113" t="s">
        <v>719</v>
      </c>
      <c r="J697" s="70">
        <v>0.9</v>
      </c>
      <c r="K697" s="71">
        <v>0.97142857142857097</v>
      </c>
      <c r="L697" s="71">
        <v>1</v>
      </c>
      <c r="M697" s="72">
        <v>0.97499999999999998</v>
      </c>
      <c r="N697" s="71">
        <v>0.99282296650717705</v>
      </c>
      <c r="O697" s="73">
        <v>0.9</v>
      </c>
      <c r="P697" s="71">
        <v>0.98628257887517101</v>
      </c>
      <c r="Q697" s="71">
        <v>0.99132465799132496</v>
      </c>
      <c r="R697" s="71">
        <v>0.98976350158842197</v>
      </c>
      <c r="S697" s="71">
        <v>0.99350757449642102</v>
      </c>
      <c r="T697" s="73">
        <v>0.9</v>
      </c>
      <c r="U697" s="71">
        <v>0.92729766803840896</v>
      </c>
      <c r="V697" s="71">
        <v>0.92392392392392397</v>
      </c>
      <c r="W697" s="71">
        <v>0.943522767384398</v>
      </c>
      <c r="X697" s="71">
        <v>0.94006991842849996</v>
      </c>
      <c r="Y697" s="73">
        <v>0.92</v>
      </c>
      <c r="Z697" s="73">
        <v>0.90625</v>
      </c>
      <c r="AA697" s="73">
        <v>0.91954022988505701</v>
      </c>
      <c r="AB697" s="73">
        <v>0.91171171171171195</v>
      </c>
      <c r="AC697" s="73">
        <v>0.93184576603491698</v>
      </c>
      <c r="AD697" s="73">
        <v>0.92</v>
      </c>
      <c r="AE697" s="71">
        <v>0.99531250000000004</v>
      </c>
      <c r="AF697" s="71">
        <v>0.97910990009082699</v>
      </c>
      <c r="AG697" s="71">
        <v>0.99824868651488596</v>
      </c>
      <c r="AH697" s="71">
        <v>0.99420412779191403</v>
      </c>
      <c r="AI697" s="73">
        <v>0.92</v>
      </c>
      <c r="AJ697" s="71">
        <v>0.94333776007082804</v>
      </c>
      <c r="AK697" s="71">
        <v>0.96560257362039104</v>
      </c>
      <c r="AL697" s="71">
        <v>0.958153690083693</v>
      </c>
      <c r="AM697" s="71">
        <v>0.96790105278657101</v>
      </c>
      <c r="AN697" s="70">
        <v>0.99</v>
      </c>
      <c r="AO697" s="75">
        <v>1</v>
      </c>
      <c r="AP697" s="75">
        <v>1</v>
      </c>
      <c r="AQ697" s="75">
        <v>1</v>
      </c>
      <c r="AR697" s="75">
        <v>1</v>
      </c>
      <c r="AS697" s="95">
        <v>8.1059522893420499E-2</v>
      </c>
      <c r="AT697" s="79">
        <v>0</v>
      </c>
      <c r="AU697" s="79">
        <v>0</v>
      </c>
      <c r="AV697" s="79">
        <v>7.69230769230769E-2</v>
      </c>
      <c r="AW697" s="79">
        <v>4.5454545454545497E-2</v>
      </c>
      <c r="AX697" s="56"/>
      <c r="AY697" s="54"/>
    </row>
    <row r="698" spans="1:51">
      <c r="A698" s="53"/>
      <c r="B698" s="56"/>
      <c r="C698" s="90" t="s">
        <v>663</v>
      </c>
      <c r="D698" s="230" t="s">
        <v>1757</v>
      </c>
      <c r="E698" s="68" t="s">
        <v>664</v>
      </c>
      <c r="F698" s="113" t="s">
        <v>720</v>
      </c>
      <c r="G698" s="113" t="s">
        <v>720</v>
      </c>
      <c r="H698" s="113" t="s">
        <v>720</v>
      </c>
      <c r="I698" s="113" t="s">
        <v>720</v>
      </c>
      <c r="J698" s="70">
        <v>0.9</v>
      </c>
      <c r="K698" s="71">
        <v>0.82089552238805996</v>
      </c>
      <c r="L698" s="71">
        <v>0.95</v>
      </c>
      <c r="M698" s="72">
        <v>0.71428571428571397</v>
      </c>
      <c r="N698" s="71">
        <v>0.84985835694051004</v>
      </c>
      <c r="O698" s="73">
        <v>0.9</v>
      </c>
      <c r="P698" s="71">
        <v>0.93298969072164994</v>
      </c>
      <c r="Q698" s="71">
        <v>0.91878552198623997</v>
      </c>
      <c r="R698" s="71">
        <v>0.81749049429657805</v>
      </c>
      <c r="S698" s="71">
        <v>0.92330427072557997</v>
      </c>
      <c r="T698" s="73">
        <v>0.9</v>
      </c>
      <c r="U698" s="71">
        <v>0.90084899939357199</v>
      </c>
      <c r="V698" s="71">
        <v>0.91444810050852499</v>
      </c>
      <c r="W698" s="71">
        <v>0.79325095057034201</v>
      </c>
      <c r="X698" s="71">
        <v>0.92068124722920097</v>
      </c>
      <c r="Y698" s="73">
        <v>0.92</v>
      </c>
      <c r="Z698" s="73">
        <v>0.88829215896885105</v>
      </c>
      <c r="AA698" s="73">
        <v>0.91780821917808197</v>
      </c>
      <c r="AB698" s="73">
        <v>0.68786127167630096</v>
      </c>
      <c r="AC698" s="73">
        <v>0.89861237719031695</v>
      </c>
      <c r="AD698" s="73">
        <v>0.92</v>
      </c>
      <c r="AE698" s="71">
        <v>1</v>
      </c>
      <c r="AF698" s="71">
        <v>0.99389905712701099</v>
      </c>
      <c r="AG698" s="71">
        <v>0.99295774647887303</v>
      </c>
      <c r="AH698" s="71">
        <v>0.99117143233627603</v>
      </c>
      <c r="AI698" s="73">
        <v>0.92</v>
      </c>
      <c r="AJ698" s="71">
        <v>0.92249564037977105</v>
      </c>
      <c r="AK698" s="71">
        <v>0.95773195876288697</v>
      </c>
      <c r="AL698" s="71">
        <v>0.79184910744358405</v>
      </c>
      <c r="AM698" s="71">
        <v>0.94191051078688803</v>
      </c>
      <c r="AN698" s="70">
        <v>0.99</v>
      </c>
      <c r="AO698" s="75">
        <v>1</v>
      </c>
      <c r="AP698" s="75">
        <v>1</v>
      </c>
      <c r="AQ698" s="75">
        <v>1</v>
      </c>
      <c r="AR698" s="75">
        <v>1</v>
      </c>
      <c r="AS698" s="95">
        <v>8.1059522893420499E-2</v>
      </c>
      <c r="AT698" s="79">
        <v>2.7027027027027001E-2</v>
      </c>
      <c r="AU698" s="79">
        <v>6.6666666666666693E-2</v>
      </c>
      <c r="AV698" s="79">
        <v>0.33333333333333298</v>
      </c>
      <c r="AW698" s="79">
        <v>7.5144508670520194E-2</v>
      </c>
      <c r="AX698" s="56"/>
      <c r="AY698" s="54"/>
    </row>
    <row r="699" spans="1:51">
      <c r="A699" s="53"/>
      <c r="B699" s="56"/>
      <c r="C699" s="90" t="s">
        <v>663</v>
      </c>
      <c r="D699" s="230" t="s">
        <v>1757</v>
      </c>
      <c r="E699" s="68" t="s">
        <v>664</v>
      </c>
      <c r="F699" s="113" t="s">
        <v>721</v>
      </c>
      <c r="G699" s="113" t="s">
        <v>721</v>
      </c>
      <c r="H699" s="113" t="s">
        <v>721</v>
      </c>
      <c r="I699" s="113" t="s">
        <v>721</v>
      </c>
      <c r="J699" s="70">
        <v>0.9</v>
      </c>
      <c r="K699" s="71">
        <v>0.76315789473684204</v>
      </c>
      <c r="L699" s="71">
        <v>0.82</v>
      </c>
      <c r="M699" s="72">
        <v>0.82978723404255295</v>
      </c>
      <c r="N699" s="71">
        <v>0.82409177820267698</v>
      </c>
      <c r="O699" s="73">
        <v>0.9</v>
      </c>
      <c r="P699" s="71">
        <v>0.97599216070553696</v>
      </c>
      <c r="Q699" s="71">
        <v>0.97395216670613305</v>
      </c>
      <c r="R699" s="71">
        <v>0.97812335266209804</v>
      </c>
      <c r="S699" s="71">
        <v>0.97615556570439599</v>
      </c>
      <c r="T699" s="73">
        <v>0.9</v>
      </c>
      <c r="U699" s="71">
        <v>0.92650661440470405</v>
      </c>
      <c r="V699" s="71">
        <v>0.92872365616860098</v>
      </c>
      <c r="W699" s="71">
        <v>0.921982076963627</v>
      </c>
      <c r="X699" s="71">
        <v>0.941542677210778</v>
      </c>
      <c r="Y699" s="73">
        <v>0.92</v>
      </c>
      <c r="Z699" s="73">
        <v>0.91852487135506</v>
      </c>
      <c r="AA699" s="73">
        <v>0.94404591104734603</v>
      </c>
      <c r="AB699" s="73">
        <v>0.91615956727518599</v>
      </c>
      <c r="AC699" s="73">
        <v>0.94116446741939896</v>
      </c>
      <c r="AD699" s="73">
        <v>0.92</v>
      </c>
      <c r="AE699" s="71">
        <v>0.99505766062602996</v>
      </c>
      <c r="AF699" s="71">
        <v>0.99178644763860402</v>
      </c>
      <c r="AG699" s="71">
        <v>0.99449035812672204</v>
      </c>
      <c r="AH699" s="71">
        <v>0.98542982030111703</v>
      </c>
      <c r="AI699" s="73">
        <v>0.92</v>
      </c>
      <c r="AJ699" s="71">
        <v>0.95073277206111595</v>
      </c>
      <c r="AK699" s="71">
        <v>0.97134211463154196</v>
      </c>
      <c r="AL699" s="71">
        <v>0.95865731082875005</v>
      </c>
      <c r="AM699" s="71">
        <v>0.971530565126274</v>
      </c>
      <c r="AN699" s="70">
        <v>0.99</v>
      </c>
      <c r="AO699" s="75">
        <v>1</v>
      </c>
      <c r="AP699" s="75">
        <v>1</v>
      </c>
      <c r="AQ699" s="75">
        <v>1</v>
      </c>
      <c r="AR699" s="75">
        <v>1</v>
      </c>
      <c r="AS699" s="95">
        <v>8.1059522893420499E-2</v>
      </c>
      <c r="AT699" s="79">
        <v>3.4482758620689703E-2</v>
      </c>
      <c r="AU699" s="79">
        <v>0.14285714285714299</v>
      </c>
      <c r="AV699" s="79">
        <v>0</v>
      </c>
      <c r="AW699" s="79">
        <v>4.7808764940239001E-2</v>
      </c>
      <c r="AX699" s="56"/>
      <c r="AY699" s="54"/>
    </row>
    <row r="700" spans="1:51">
      <c r="A700" s="53"/>
      <c r="B700" s="56"/>
      <c r="C700" s="90" t="s">
        <v>663</v>
      </c>
      <c r="D700" s="230" t="s">
        <v>1757</v>
      </c>
      <c r="E700" s="68" t="s">
        <v>664</v>
      </c>
      <c r="F700" s="113" t="s">
        <v>722</v>
      </c>
      <c r="G700" s="113" t="s">
        <v>722</v>
      </c>
      <c r="H700" s="113" t="s">
        <v>722</v>
      </c>
      <c r="I700" s="113" t="s">
        <v>722</v>
      </c>
      <c r="J700" s="70">
        <v>0.9</v>
      </c>
      <c r="K700" s="71">
        <v>1</v>
      </c>
      <c r="L700" s="71">
        <v>1</v>
      </c>
      <c r="M700" s="72">
        <v>0.97674418604651203</v>
      </c>
      <c r="N700" s="71">
        <v>0.96881959910913096</v>
      </c>
      <c r="O700" s="73">
        <v>0.9</v>
      </c>
      <c r="P700" s="71">
        <v>0.99869366427171802</v>
      </c>
      <c r="Q700" s="71">
        <v>0.99223552248463298</v>
      </c>
      <c r="R700" s="71">
        <v>0.99143163156015701</v>
      </c>
      <c r="S700" s="71">
        <v>0.99222737432031205</v>
      </c>
      <c r="T700" s="73">
        <v>0.9</v>
      </c>
      <c r="U700" s="71">
        <v>0.94905290659699504</v>
      </c>
      <c r="V700" s="71">
        <v>0.94920737625364004</v>
      </c>
      <c r="W700" s="71">
        <v>0.945733666547662</v>
      </c>
      <c r="X700" s="71">
        <v>0.95333088701337698</v>
      </c>
      <c r="Y700" s="73">
        <v>0.92</v>
      </c>
      <c r="Z700" s="73">
        <v>0.92880978865406005</v>
      </c>
      <c r="AA700" s="73">
        <v>0.92930232558139503</v>
      </c>
      <c r="AB700" s="73">
        <v>0.95046179680940401</v>
      </c>
      <c r="AC700" s="73">
        <v>0.94102048280907102</v>
      </c>
      <c r="AD700" s="73">
        <v>0.92</v>
      </c>
      <c r="AE700" s="71">
        <v>1</v>
      </c>
      <c r="AF700" s="71">
        <v>0.99813084112149497</v>
      </c>
      <c r="AG700" s="71">
        <v>0.99881516587677699</v>
      </c>
      <c r="AH700" s="71">
        <v>0.996118523652746</v>
      </c>
      <c r="AI700" s="73">
        <v>0.92</v>
      </c>
      <c r="AJ700" s="71">
        <v>0.96421225832990498</v>
      </c>
      <c r="AK700" s="71">
        <v>0.967122630189585</v>
      </c>
      <c r="AL700" s="71">
        <v>0.97318967677273904</v>
      </c>
      <c r="AM700" s="71">
        <v>0.97209052250843198</v>
      </c>
      <c r="AN700" s="70">
        <v>0.99</v>
      </c>
      <c r="AO700" s="75">
        <v>1</v>
      </c>
      <c r="AP700" s="75">
        <v>1</v>
      </c>
      <c r="AQ700" s="75">
        <v>1</v>
      </c>
      <c r="AR700" s="75">
        <v>1</v>
      </c>
      <c r="AS700" s="95">
        <v>8.1059522893420499E-2</v>
      </c>
      <c r="AT700" s="79">
        <v>0.133333333333333</v>
      </c>
      <c r="AU700" s="79">
        <v>0.214285714285714</v>
      </c>
      <c r="AV700" s="79">
        <v>0.04</v>
      </c>
      <c r="AW700" s="79">
        <v>6.3157894736842093E-2</v>
      </c>
      <c r="AX700" s="56"/>
      <c r="AY700" s="54"/>
    </row>
    <row r="701" spans="1:51">
      <c r="A701" s="53"/>
      <c r="B701" s="56"/>
      <c r="C701" s="90" t="s">
        <v>663</v>
      </c>
      <c r="D701" s="230" t="s">
        <v>1757</v>
      </c>
      <c r="E701" s="68" t="s">
        <v>664</v>
      </c>
      <c r="F701" s="113" t="s">
        <v>723</v>
      </c>
      <c r="G701" s="113" t="s">
        <v>723</v>
      </c>
      <c r="H701" s="113" t="s">
        <v>723</v>
      </c>
      <c r="I701" s="113" t="s">
        <v>723</v>
      </c>
      <c r="J701" s="70">
        <v>0.9</v>
      </c>
      <c r="K701" s="71">
        <v>1</v>
      </c>
      <c r="L701" s="71">
        <v>0.88</v>
      </c>
      <c r="M701" s="72">
        <v>0.91304347826086996</v>
      </c>
      <c r="N701" s="71">
        <v>0.92857142857142905</v>
      </c>
      <c r="O701" s="73">
        <v>0.9</v>
      </c>
      <c r="P701" s="71">
        <v>0.98121827411167495</v>
      </c>
      <c r="Q701" s="71">
        <v>0.97755996904823295</v>
      </c>
      <c r="R701" s="71">
        <v>0.98575651706530498</v>
      </c>
      <c r="S701" s="71">
        <v>0.981165544947044</v>
      </c>
      <c r="T701" s="73">
        <v>0.9</v>
      </c>
      <c r="U701" s="71">
        <v>0.92944162436548206</v>
      </c>
      <c r="V701" s="71">
        <v>0.95589373226721697</v>
      </c>
      <c r="W701" s="71">
        <v>0.96479441010481004</v>
      </c>
      <c r="X701" s="71">
        <v>0.95638336724578699</v>
      </c>
      <c r="Y701" s="73">
        <v>0.92</v>
      </c>
      <c r="Z701" s="73">
        <v>0.95012468827930197</v>
      </c>
      <c r="AA701" s="73">
        <v>0.94656488549618301</v>
      </c>
      <c r="AB701" s="73">
        <v>0.94425087108013905</v>
      </c>
      <c r="AC701" s="73">
        <v>0.95404814004376404</v>
      </c>
      <c r="AD701" s="73">
        <v>0.92</v>
      </c>
      <c r="AE701" s="71">
        <v>0.99760956175298798</v>
      </c>
      <c r="AF701" s="71">
        <v>0.99574632637277605</v>
      </c>
      <c r="AG701" s="71">
        <v>0.99351175993511798</v>
      </c>
      <c r="AH701" s="71">
        <v>0.99596774193548399</v>
      </c>
      <c r="AI701" s="73">
        <v>0.92</v>
      </c>
      <c r="AJ701" s="71">
        <v>0.96187775677378695</v>
      </c>
      <c r="AK701" s="71">
        <v>0.97686524002313502</v>
      </c>
      <c r="AL701" s="71">
        <v>0.97420981190614697</v>
      </c>
      <c r="AM701" s="71">
        <v>0.97934598831847497</v>
      </c>
      <c r="AN701" s="70">
        <v>0.99</v>
      </c>
      <c r="AO701" s="75">
        <v>1</v>
      </c>
      <c r="AP701" s="75">
        <v>1</v>
      </c>
      <c r="AQ701" s="75">
        <v>1</v>
      </c>
      <c r="AR701" s="75">
        <v>1</v>
      </c>
      <c r="AS701" s="95">
        <v>8.1059522893420499E-2</v>
      </c>
      <c r="AT701" s="79">
        <v>0</v>
      </c>
      <c r="AU701" s="79">
        <v>0.1</v>
      </c>
      <c r="AV701" s="79">
        <v>5.5555555555555601E-2</v>
      </c>
      <c r="AW701" s="79">
        <v>3.1055900621118002E-2</v>
      </c>
      <c r="AX701" s="56"/>
      <c r="AY701" s="54"/>
    </row>
    <row r="702" spans="1:51">
      <c r="A702" s="53"/>
      <c r="B702" s="56"/>
      <c r="C702" s="90" t="s">
        <v>663</v>
      </c>
      <c r="D702" s="230" t="s">
        <v>1757</v>
      </c>
      <c r="E702" s="68" t="s">
        <v>664</v>
      </c>
      <c r="F702" s="113" t="s">
        <v>724</v>
      </c>
      <c r="G702" s="113" t="s">
        <v>724</v>
      </c>
      <c r="H702" s="113" t="s">
        <v>724</v>
      </c>
      <c r="I702" s="113" t="s">
        <v>724</v>
      </c>
      <c r="J702" s="70">
        <v>0.9</v>
      </c>
      <c r="K702" s="71">
        <v>0.73333333333333295</v>
      </c>
      <c r="L702" s="71">
        <v>0.77777777777777801</v>
      </c>
      <c r="M702" s="72">
        <v>0.83333333333333304</v>
      </c>
      <c r="N702" s="71">
        <v>0.81443298969072198</v>
      </c>
      <c r="O702" s="73">
        <v>0.9</v>
      </c>
      <c r="P702" s="71">
        <v>0.98911860718171896</v>
      </c>
      <c r="Q702" s="71">
        <v>0.99293862031504598</v>
      </c>
      <c r="R702" s="71">
        <v>0.98166189111747804</v>
      </c>
      <c r="S702" s="71">
        <v>0.99077336017446704</v>
      </c>
      <c r="T702" s="73">
        <v>0.9</v>
      </c>
      <c r="U702" s="71">
        <v>0.955386289445049</v>
      </c>
      <c r="V702" s="71">
        <v>0.96903856599674099</v>
      </c>
      <c r="W702" s="71">
        <v>0.96045845272206298</v>
      </c>
      <c r="X702" s="71">
        <v>0.96767880109601301</v>
      </c>
      <c r="Y702" s="73">
        <v>0.92</v>
      </c>
      <c r="Z702" s="73">
        <v>0.95798319327731096</v>
      </c>
      <c r="AA702" s="73">
        <v>0.98852459016393401</v>
      </c>
      <c r="AB702" s="73">
        <v>0.97564687975646902</v>
      </c>
      <c r="AC702" s="73">
        <v>0.97469782433521401</v>
      </c>
      <c r="AD702" s="73">
        <v>0.92</v>
      </c>
      <c r="AE702" s="71">
        <v>0.99444444444444402</v>
      </c>
      <c r="AF702" s="71">
        <v>1</v>
      </c>
      <c r="AG702" s="71">
        <v>0.98750000000000004</v>
      </c>
      <c r="AH702" s="71">
        <v>0.99643536121673004</v>
      </c>
      <c r="AI702" s="73">
        <v>0.92</v>
      </c>
      <c r="AJ702" s="71">
        <v>0.97419354838709704</v>
      </c>
      <c r="AK702" s="71">
        <v>0.989804241435563</v>
      </c>
      <c r="AL702" s="71">
        <v>0.98668331252600905</v>
      </c>
      <c r="AM702" s="71">
        <v>0.98692512037190805</v>
      </c>
      <c r="AN702" s="70">
        <v>0.99</v>
      </c>
      <c r="AO702" s="75">
        <v>1</v>
      </c>
      <c r="AP702" s="75">
        <v>1</v>
      </c>
      <c r="AQ702" s="75">
        <v>1</v>
      </c>
      <c r="AR702" s="75">
        <v>1</v>
      </c>
      <c r="AS702" s="95">
        <v>8.1059522893420499E-2</v>
      </c>
      <c r="AT702" s="79">
        <v>0</v>
      </c>
      <c r="AU702" s="79">
        <v>0</v>
      </c>
      <c r="AV702" s="79">
        <v>0.18181818181818199</v>
      </c>
      <c r="AW702" s="79">
        <v>3.9215686274509803E-2</v>
      </c>
      <c r="AX702" s="56"/>
      <c r="AY702" s="54"/>
    </row>
    <row r="703" spans="1:51">
      <c r="A703" s="53"/>
      <c r="B703" s="56"/>
      <c r="C703" s="90" t="s">
        <v>663</v>
      </c>
      <c r="D703" s="230" t="s">
        <v>1757</v>
      </c>
      <c r="E703" s="68" t="s">
        <v>664</v>
      </c>
      <c r="F703" s="113" t="s">
        <v>725</v>
      </c>
      <c r="G703" s="113" t="s">
        <v>725</v>
      </c>
      <c r="H703" s="113" t="s">
        <v>725</v>
      </c>
      <c r="I703" s="113" t="s">
        <v>725</v>
      </c>
      <c r="J703" s="70">
        <v>0.9</v>
      </c>
      <c r="K703" s="71">
        <v>0.86666666666666703</v>
      </c>
      <c r="L703" s="71">
        <v>0.90909090909090895</v>
      </c>
      <c r="M703" s="72">
        <v>0.93650793650793696</v>
      </c>
      <c r="N703" s="71">
        <v>0.95398773006134996</v>
      </c>
      <c r="O703" s="73">
        <v>0.9</v>
      </c>
      <c r="P703" s="71">
        <v>0.88208269525268002</v>
      </c>
      <c r="Q703" s="71">
        <v>0.91870560378847699</v>
      </c>
      <c r="R703" s="71">
        <v>0.90212517059855701</v>
      </c>
      <c r="S703" s="71">
        <v>0.92926175736856698</v>
      </c>
      <c r="T703" s="73">
        <v>0.9</v>
      </c>
      <c r="U703" s="71">
        <v>0.905053598774885</v>
      </c>
      <c r="V703" s="71">
        <v>0.92212575637990002</v>
      </c>
      <c r="W703" s="71">
        <v>0.90485474751413497</v>
      </c>
      <c r="X703" s="71">
        <v>0.91810034186454803</v>
      </c>
      <c r="Y703" s="73">
        <v>0.92</v>
      </c>
      <c r="Z703" s="73">
        <v>0.88878048780487795</v>
      </c>
      <c r="AA703" s="73">
        <v>0.93663688058489003</v>
      </c>
      <c r="AB703" s="73">
        <v>0.93375944218477602</v>
      </c>
      <c r="AC703" s="73">
        <v>0.90407660738714102</v>
      </c>
      <c r="AD703" s="73">
        <v>0.92</v>
      </c>
      <c r="AE703" s="71">
        <v>0.99864007252946496</v>
      </c>
      <c r="AF703" s="71">
        <v>0.99080459770114904</v>
      </c>
      <c r="AG703" s="71">
        <v>0.97988264878457698</v>
      </c>
      <c r="AH703" s="71">
        <v>0.99056710561068595</v>
      </c>
      <c r="AI703" s="73">
        <v>0.92</v>
      </c>
      <c r="AJ703" s="71">
        <v>0.92426273458444996</v>
      </c>
      <c r="AK703" s="71">
        <v>0.96343402225755204</v>
      </c>
      <c r="AL703" s="71">
        <v>0.96555750145942798</v>
      </c>
      <c r="AM703" s="71">
        <v>0.95248290627805798</v>
      </c>
      <c r="AN703" s="70">
        <v>0.99</v>
      </c>
      <c r="AO703" s="75">
        <v>1</v>
      </c>
      <c r="AP703" s="75">
        <v>1</v>
      </c>
      <c r="AQ703" s="75">
        <v>1</v>
      </c>
      <c r="AR703" s="75">
        <v>1</v>
      </c>
      <c r="AS703" s="95">
        <v>8.1059522893420499E-2</v>
      </c>
      <c r="AT703" s="79">
        <v>5.8823529411764698E-2</v>
      </c>
      <c r="AU703" s="79">
        <v>0.04</v>
      </c>
      <c r="AV703" s="79">
        <v>0</v>
      </c>
      <c r="AW703" s="79">
        <v>2.8985507246376802E-2</v>
      </c>
      <c r="AX703" s="56"/>
      <c r="AY703" s="54"/>
    </row>
    <row r="704" spans="1:51">
      <c r="A704" s="53"/>
      <c r="B704" s="56"/>
      <c r="C704" s="90" t="s">
        <v>663</v>
      </c>
      <c r="D704" s="230" t="s">
        <v>1757</v>
      </c>
      <c r="E704" s="68" t="s">
        <v>664</v>
      </c>
      <c r="F704" s="113" t="s">
        <v>726</v>
      </c>
      <c r="G704" s="113" t="s">
        <v>726</v>
      </c>
      <c r="H704" s="113" t="s">
        <v>726</v>
      </c>
      <c r="I704" s="113" t="s">
        <v>726</v>
      </c>
      <c r="J704" s="70">
        <v>0.9</v>
      </c>
      <c r="K704" s="71">
        <v>0.96153846153846201</v>
      </c>
      <c r="L704" s="71">
        <v>1</v>
      </c>
      <c r="M704" s="72">
        <v>0.97142857142857097</v>
      </c>
      <c r="N704" s="71">
        <v>0.98637602179836503</v>
      </c>
      <c r="O704" s="73">
        <v>0.9</v>
      </c>
      <c r="P704" s="71">
        <v>0.98600311041990696</v>
      </c>
      <c r="Q704" s="71">
        <v>0.97966231772831902</v>
      </c>
      <c r="R704" s="71">
        <v>0.979228486646884</v>
      </c>
      <c r="S704" s="71">
        <v>0.98406422721587905</v>
      </c>
      <c r="T704" s="73">
        <v>0.9</v>
      </c>
      <c r="U704" s="71">
        <v>0.91601866251943997</v>
      </c>
      <c r="V704" s="71">
        <v>0.92709132770529501</v>
      </c>
      <c r="W704" s="71">
        <v>0.938109368376431</v>
      </c>
      <c r="X704" s="71">
        <v>0.93383628514947303</v>
      </c>
      <c r="Y704" s="73">
        <v>0.92</v>
      </c>
      <c r="Z704" s="73">
        <v>0.88425925925925897</v>
      </c>
      <c r="AA704" s="73">
        <v>0.91179976162097698</v>
      </c>
      <c r="AB704" s="73">
        <v>0.91111111111111098</v>
      </c>
      <c r="AC704" s="73">
        <v>0.90958709065021404</v>
      </c>
      <c r="AD704" s="73">
        <v>0.92</v>
      </c>
      <c r="AE704" s="71">
        <v>1</v>
      </c>
      <c r="AF704" s="71">
        <v>0.99923017705927597</v>
      </c>
      <c r="AG704" s="71">
        <v>0.99111111111111105</v>
      </c>
      <c r="AH704" s="71">
        <v>0.99579552998451004</v>
      </c>
      <c r="AI704" s="73">
        <v>0.92</v>
      </c>
      <c r="AJ704" s="71">
        <v>0.94053774560496395</v>
      </c>
      <c r="AK704" s="71">
        <v>0.96197387518142197</v>
      </c>
      <c r="AL704" s="71">
        <v>0.95858895705521496</v>
      </c>
      <c r="AM704" s="71">
        <v>0.96315472606863295</v>
      </c>
      <c r="AN704" s="70">
        <v>0.99</v>
      </c>
      <c r="AO704" s="75">
        <v>1</v>
      </c>
      <c r="AP704" s="75">
        <v>1</v>
      </c>
      <c r="AQ704" s="75">
        <v>1</v>
      </c>
      <c r="AR704" s="75">
        <v>1</v>
      </c>
      <c r="AS704" s="95">
        <v>8.1059522893420499E-2</v>
      </c>
      <c r="AT704" s="79">
        <v>0</v>
      </c>
      <c r="AU704" s="79">
        <v>0.25</v>
      </c>
      <c r="AV704" s="79">
        <v>0.25</v>
      </c>
      <c r="AW704" s="79">
        <v>6.3063063063063099E-2</v>
      </c>
      <c r="AX704" s="56"/>
      <c r="AY704" s="54"/>
    </row>
    <row r="705" spans="1:51">
      <c r="A705" s="53"/>
      <c r="B705" s="56"/>
      <c r="C705" s="90" t="s">
        <v>663</v>
      </c>
      <c r="D705" s="230" t="s">
        <v>1757</v>
      </c>
      <c r="E705" s="68" t="s">
        <v>664</v>
      </c>
      <c r="F705" s="113" t="s">
        <v>727</v>
      </c>
      <c r="G705" s="113" t="s">
        <v>727</v>
      </c>
      <c r="H705" s="113" t="s">
        <v>727</v>
      </c>
      <c r="I705" s="113" t="s">
        <v>727</v>
      </c>
      <c r="J705" s="70">
        <v>0.9</v>
      </c>
      <c r="K705" s="71">
        <v>0.78947368421052599</v>
      </c>
      <c r="L705" s="71">
        <v>0.85714285714285698</v>
      </c>
      <c r="M705" s="72">
        <v>0.76190476190476197</v>
      </c>
      <c r="N705" s="71">
        <v>0.81497797356828205</v>
      </c>
      <c r="O705" s="73">
        <v>0.9</v>
      </c>
      <c r="P705" s="71">
        <v>0.96752519596864495</v>
      </c>
      <c r="Q705" s="71">
        <v>0.97397397397397401</v>
      </c>
      <c r="R705" s="71">
        <v>0.97461423593827801</v>
      </c>
      <c r="S705" s="71">
        <v>0.96913431396189997</v>
      </c>
      <c r="T705" s="73">
        <v>0.9</v>
      </c>
      <c r="U705" s="71">
        <v>0.941769316909295</v>
      </c>
      <c r="V705" s="71">
        <v>0.94694694694694703</v>
      </c>
      <c r="W705" s="71">
        <v>0.95470383275261295</v>
      </c>
      <c r="X705" s="71">
        <v>0.94053532674222295</v>
      </c>
      <c r="Y705" s="73">
        <v>0.92</v>
      </c>
      <c r="Z705" s="73">
        <v>0.91680814940577204</v>
      </c>
      <c r="AA705" s="73">
        <v>0.946879150066401</v>
      </c>
      <c r="AB705" s="73">
        <v>0.92376111817026696</v>
      </c>
      <c r="AC705" s="73">
        <v>0.94433266264252202</v>
      </c>
      <c r="AD705" s="73">
        <v>0.92</v>
      </c>
      <c r="AE705" s="71">
        <v>1</v>
      </c>
      <c r="AF705" s="71">
        <v>0.98076923076923095</v>
      </c>
      <c r="AG705" s="71">
        <v>0.95714285714285696</v>
      </c>
      <c r="AH705" s="71">
        <v>0.98100490196078405</v>
      </c>
      <c r="AI705" s="73">
        <v>0.92</v>
      </c>
      <c r="AJ705" s="71">
        <v>0.95141700404858298</v>
      </c>
      <c r="AK705" s="71">
        <v>0.97273718647764496</v>
      </c>
      <c r="AL705" s="71">
        <v>0.96496245977833395</v>
      </c>
      <c r="AM705" s="71">
        <v>0.97279370034052204</v>
      </c>
      <c r="AN705" s="70">
        <v>0.99</v>
      </c>
      <c r="AO705" s="75">
        <v>1</v>
      </c>
      <c r="AP705" s="75">
        <v>1</v>
      </c>
      <c r="AQ705" s="75">
        <v>1</v>
      </c>
      <c r="AR705" s="75">
        <v>1</v>
      </c>
      <c r="AS705" s="95">
        <v>8.1059522893420499E-2</v>
      </c>
      <c r="AT705" s="79">
        <v>0</v>
      </c>
      <c r="AU705" s="79">
        <v>9.0909090909090898E-2</v>
      </c>
      <c r="AV705" s="79">
        <v>0</v>
      </c>
      <c r="AW705" s="79">
        <v>9.5238095238095195E-3</v>
      </c>
      <c r="AX705" s="56"/>
      <c r="AY705" s="54"/>
    </row>
    <row r="706" spans="1:51">
      <c r="A706" s="53"/>
      <c r="B706" s="56"/>
      <c r="C706" s="90" t="s">
        <v>663</v>
      </c>
      <c r="D706" s="230" t="s">
        <v>1757</v>
      </c>
      <c r="E706" s="68" t="s">
        <v>664</v>
      </c>
      <c r="F706" s="113" t="s">
        <v>728</v>
      </c>
      <c r="G706" s="113" t="s">
        <v>728</v>
      </c>
      <c r="H706" s="113" t="s">
        <v>728</v>
      </c>
      <c r="I706" s="113" t="s">
        <v>728</v>
      </c>
      <c r="J706" s="70">
        <v>0.9</v>
      </c>
      <c r="K706" s="71">
        <v>0.84615384615384603</v>
      </c>
      <c r="L706" s="71">
        <v>0.86666666666666703</v>
      </c>
      <c r="M706" s="72">
        <v>0.85714285714285698</v>
      </c>
      <c r="N706" s="71">
        <v>0.84375</v>
      </c>
      <c r="O706" s="73">
        <v>0.9</v>
      </c>
      <c r="P706" s="71">
        <v>0.99859550561797705</v>
      </c>
      <c r="Q706" s="71">
        <v>1</v>
      </c>
      <c r="R706" s="71">
        <v>0.99926739926739905</v>
      </c>
      <c r="S706" s="71">
        <v>0.99798430638542901</v>
      </c>
      <c r="T706" s="73">
        <v>0.9</v>
      </c>
      <c r="U706" s="71">
        <v>0.96910112359550604</v>
      </c>
      <c r="V706" s="71">
        <v>0.97266993693062398</v>
      </c>
      <c r="W706" s="71">
        <v>0.96923076923076901</v>
      </c>
      <c r="X706" s="71">
        <v>0.97494780793319402</v>
      </c>
      <c r="Y706" s="73">
        <v>0.92</v>
      </c>
      <c r="Z706" s="73">
        <v>0.98055555555555596</v>
      </c>
      <c r="AA706" s="73">
        <v>0.96017699115044297</v>
      </c>
      <c r="AB706" s="73">
        <v>0.97191011235955105</v>
      </c>
      <c r="AC706" s="73">
        <v>0.97543147208121805</v>
      </c>
      <c r="AD706" s="73">
        <v>0.92</v>
      </c>
      <c r="AE706" s="71">
        <v>0.99889012208657002</v>
      </c>
      <c r="AF706" s="71">
        <v>0.99908424908424898</v>
      </c>
      <c r="AG706" s="71">
        <v>0.98076923076923095</v>
      </c>
      <c r="AH706" s="71">
        <v>0.99762979683972897</v>
      </c>
      <c r="AI706" s="73">
        <v>0.92</v>
      </c>
      <c r="AJ706" s="71">
        <v>0.98507462686567204</v>
      </c>
      <c r="AK706" s="71">
        <v>0.98722724853645605</v>
      </c>
      <c r="AL706" s="71">
        <v>0.98472880463401802</v>
      </c>
      <c r="AM706" s="71">
        <v>0.98947760004251495</v>
      </c>
      <c r="AN706" s="70">
        <v>0.99</v>
      </c>
      <c r="AO706" s="75">
        <v>1</v>
      </c>
      <c r="AP706" s="75">
        <v>1</v>
      </c>
      <c r="AQ706" s="75">
        <v>1</v>
      </c>
      <c r="AR706" s="75">
        <v>1</v>
      </c>
      <c r="AS706" s="95">
        <v>8.1059522893420499E-2</v>
      </c>
      <c r="AT706" s="79">
        <v>0</v>
      </c>
      <c r="AU706" s="79">
        <v>0</v>
      </c>
      <c r="AV706" s="79">
        <v>0.11111111111111099</v>
      </c>
      <c r="AW706" s="79">
        <v>4.1666666666666699E-2</v>
      </c>
      <c r="AX706" s="56"/>
      <c r="AY706" s="54"/>
    </row>
    <row r="707" spans="1:51">
      <c r="A707" s="53"/>
      <c r="B707" s="56"/>
      <c r="C707" s="90" t="s">
        <v>663</v>
      </c>
      <c r="D707" s="230" t="s">
        <v>1757</v>
      </c>
      <c r="E707" s="68" t="s">
        <v>664</v>
      </c>
      <c r="F707" s="113" t="s">
        <v>729</v>
      </c>
      <c r="G707" s="113" t="s">
        <v>729</v>
      </c>
      <c r="H707" s="113" t="s">
        <v>729</v>
      </c>
      <c r="I707" s="113" t="s">
        <v>729</v>
      </c>
      <c r="J707" s="70">
        <v>0.9</v>
      </c>
      <c r="K707" s="71">
        <v>0.75</v>
      </c>
      <c r="L707" s="71">
        <v>0.9375</v>
      </c>
      <c r="M707" s="72">
        <v>0.73333333333333295</v>
      </c>
      <c r="N707" s="71">
        <v>0.86127167630057799</v>
      </c>
      <c r="O707" s="73">
        <v>0.9</v>
      </c>
      <c r="P707" s="71">
        <v>0.96438356164383598</v>
      </c>
      <c r="Q707" s="71">
        <v>0.96252465483234695</v>
      </c>
      <c r="R707" s="71">
        <v>0.96736026111791096</v>
      </c>
      <c r="S707" s="71">
        <v>0.95920103719309602</v>
      </c>
      <c r="T707" s="73">
        <v>0.9</v>
      </c>
      <c r="U707" s="71">
        <v>0.93698630136986305</v>
      </c>
      <c r="V707" s="71">
        <v>0.94358974358974401</v>
      </c>
      <c r="W707" s="71">
        <v>0.93186454508363903</v>
      </c>
      <c r="X707" s="71">
        <v>0.93513491613321498</v>
      </c>
      <c r="Y707" s="73">
        <v>0.92</v>
      </c>
      <c r="Z707" s="73">
        <v>0.94570928196147097</v>
      </c>
      <c r="AA707" s="73">
        <v>0.96099290780141799</v>
      </c>
      <c r="AB707" s="73">
        <v>0.94949494949494995</v>
      </c>
      <c r="AC707" s="73">
        <v>0.94044700793078595</v>
      </c>
      <c r="AD707" s="73">
        <v>0.92</v>
      </c>
      <c r="AE707" s="71">
        <v>0.98429319371727797</v>
      </c>
      <c r="AF707" s="71">
        <v>0.97735849056603796</v>
      </c>
      <c r="AG707" s="71">
        <v>0.97931034482758605</v>
      </c>
      <c r="AH707" s="71">
        <v>0.97711670480549195</v>
      </c>
      <c r="AI707" s="73">
        <v>0.92</v>
      </c>
      <c r="AJ707" s="71">
        <v>0.96278511404561795</v>
      </c>
      <c r="AK707" s="71">
        <v>0.97388781431334603</v>
      </c>
      <c r="AL707" s="71">
        <v>0.97143795141168698</v>
      </c>
      <c r="AM707" s="71">
        <v>0.97120733249051805</v>
      </c>
      <c r="AN707" s="70">
        <v>0.99</v>
      </c>
      <c r="AO707" s="75">
        <v>1</v>
      </c>
      <c r="AP707" s="75">
        <v>1</v>
      </c>
      <c r="AQ707" s="75">
        <v>1</v>
      </c>
      <c r="AR707" s="75">
        <v>1</v>
      </c>
      <c r="AS707" s="95">
        <v>8.1059522893420499E-2</v>
      </c>
      <c r="AT707" s="79">
        <v>0</v>
      </c>
      <c r="AU707" s="79">
        <v>0.25</v>
      </c>
      <c r="AV707" s="79">
        <v>0</v>
      </c>
      <c r="AW707" s="79">
        <v>3.8095238095238099E-2</v>
      </c>
      <c r="AX707" s="56"/>
      <c r="AY707" s="54"/>
    </row>
    <row r="708" spans="1:51">
      <c r="A708" s="53"/>
      <c r="B708" s="56"/>
      <c r="C708" s="90" t="s">
        <v>663</v>
      </c>
      <c r="D708" s="230" t="s">
        <v>1757</v>
      </c>
      <c r="E708" s="68" t="s">
        <v>664</v>
      </c>
      <c r="F708" s="113" t="s">
        <v>730</v>
      </c>
      <c r="G708" s="113" t="s">
        <v>730</v>
      </c>
      <c r="H708" s="113" t="s">
        <v>730</v>
      </c>
      <c r="I708" s="113" t="s">
        <v>730</v>
      </c>
      <c r="J708" s="70">
        <v>0.9</v>
      </c>
      <c r="K708" s="71">
        <v>0.92307692307692302</v>
      </c>
      <c r="L708" s="71">
        <v>0.91666666666666696</v>
      </c>
      <c r="M708" s="72">
        <v>0.84210526315789502</v>
      </c>
      <c r="N708" s="71">
        <v>0.88172043010752699</v>
      </c>
      <c r="O708" s="73">
        <v>0.9</v>
      </c>
      <c r="P708" s="71">
        <v>0.96603611349956997</v>
      </c>
      <c r="Q708" s="71">
        <v>0.97632794457274796</v>
      </c>
      <c r="R708" s="71">
        <v>0.97512953367875599</v>
      </c>
      <c r="S708" s="71">
        <v>0.96797553910524603</v>
      </c>
      <c r="T708" s="73">
        <v>0.9</v>
      </c>
      <c r="U708" s="71">
        <v>0.94711951848667197</v>
      </c>
      <c r="V708" s="71">
        <v>0.95977675134718998</v>
      </c>
      <c r="W708" s="71">
        <v>0.94715025906735795</v>
      </c>
      <c r="X708" s="71">
        <v>0.93810347602188604</v>
      </c>
      <c r="Y708" s="73">
        <v>0.92</v>
      </c>
      <c r="Z708" s="73">
        <v>0.96528365791701898</v>
      </c>
      <c r="AA708" s="73">
        <v>0.96649916247906198</v>
      </c>
      <c r="AB708" s="73">
        <v>0.93684210526315803</v>
      </c>
      <c r="AC708" s="73">
        <v>0.93587027974581805</v>
      </c>
      <c r="AD708" s="73">
        <v>0.92</v>
      </c>
      <c r="AE708" s="71">
        <v>0.99485596707818902</v>
      </c>
      <c r="AF708" s="71">
        <v>0.95724003887269205</v>
      </c>
      <c r="AG708" s="71">
        <v>0.97364771151178897</v>
      </c>
      <c r="AH708" s="71">
        <v>0.96675242430239505</v>
      </c>
      <c r="AI708" s="73">
        <v>0.92</v>
      </c>
      <c r="AJ708" s="71">
        <v>0.96631757712991795</v>
      </c>
      <c r="AK708" s="71">
        <v>0.97340841545440304</v>
      </c>
      <c r="AL708" s="71">
        <v>0.95746455379482898</v>
      </c>
      <c r="AM708" s="71">
        <v>0.96049771617577595</v>
      </c>
      <c r="AN708" s="70">
        <v>0.99</v>
      </c>
      <c r="AO708" s="75">
        <v>1</v>
      </c>
      <c r="AP708" s="75">
        <v>1</v>
      </c>
      <c r="AQ708" s="75">
        <v>1</v>
      </c>
      <c r="AR708" s="75">
        <v>1</v>
      </c>
      <c r="AS708" s="95">
        <v>8.1059522893420499E-2</v>
      </c>
      <c r="AT708" s="79">
        <v>3.03030303030303E-2</v>
      </c>
      <c r="AU708" s="79">
        <v>0</v>
      </c>
      <c r="AV708" s="79">
        <v>0</v>
      </c>
      <c r="AW708" s="79">
        <v>2.2556390977443601E-2</v>
      </c>
      <c r="AX708" s="56"/>
      <c r="AY708" s="54"/>
    </row>
    <row r="709" spans="1:51">
      <c r="A709" s="53"/>
      <c r="B709" s="56"/>
      <c r="C709" s="90" t="s">
        <v>663</v>
      </c>
      <c r="D709" s="230" t="s">
        <v>1757</v>
      </c>
      <c r="E709" s="68" t="s">
        <v>664</v>
      </c>
      <c r="F709" s="113" t="s">
        <v>731</v>
      </c>
      <c r="G709" s="113" t="s">
        <v>731</v>
      </c>
      <c r="H709" s="113" t="s">
        <v>731</v>
      </c>
      <c r="I709" s="113" t="s">
        <v>731</v>
      </c>
      <c r="J709" s="70">
        <v>0.9</v>
      </c>
      <c r="K709" s="71">
        <v>0.83783783783783805</v>
      </c>
      <c r="L709" s="71">
        <v>0.82926829268292701</v>
      </c>
      <c r="M709" s="72">
        <v>0.90243902439024404</v>
      </c>
      <c r="N709" s="71">
        <v>0.86848072562358303</v>
      </c>
      <c r="O709" s="73">
        <v>0.9</v>
      </c>
      <c r="P709" s="71">
        <v>0.89180672268907601</v>
      </c>
      <c r="Q709" s="71">
        <v>0.91297898640296704</v>
      </c>
      <c r="R709" s="71">
        <v>0.865695792880259</v>
      </c>
      <c r="S709" s="71">
        <v>0.90772176793292603</v>
      </c>
      <c r="T709" s="73">
        <v>0.9</v>
      </c>
      <c r="U709" s="71">
        <v>0.92279411764705899</v>
      </c>
      <c r="V709" s="71">
        <v>0.93127317676143395</v>
      </c>
      <c r="W709" s="71">
        <v>0.93985976267529703</v>
      </c>
      <c r="X709" s="71">
        <v>0.93028671980126298</v>
      </c>
      <c r="Y709" s="73">
        <v>0.92</v>
      </c>
      <c r="Z709" s="73">
        <v>0.91685649202733499</v>
      </c>
      <c r="AA709" s="73">
        <v>0.95166487647690701</v>
      </c>
      <c r="AB709" s="73">
        <v>0.929824561403509</v>
      </c>
      <c r="AC709" s="73">
        <v>0.94589518869611899</v>
      </c>
      <c r="AD709" s="73">
        <v>0.92</v>
      </c>
      <c r="AE709" s="71">
        <v>0.99694189602446504</v>
      </c>
      <c r="AF709" s="71">
        <v>0.97776405188387905</v>
      </c>
      <c r="AG709" s="71">
        <v>0.98034934497816595</v>
      </c>
      <c r="AH709" s="71">
        <v>0.96886567953463798</v>
      </c>
      <c r="AI709" s="73">
        <v>0.92</v>
      </c>
      <c r="AJ709" s="71">
        <v>0.95175125089349499</v>
      </c>
      <c r="AK709" s="71">
        <v>0.96605062274005604</v>
      </c>
      <c r="AL709" s="71">
        <v>0.95880069025021597</v>
      </c>
      <c r="AM709" s="71">
        <v>0.96299117882919005</v>
      </c>
      <c r="AN709" s="70">
        <v>0.99</v>
      </c>
      <c r="AO709" s="75">
        <v>1</v>
      </c>
      <c r="AP709" s="75">
        <v>1</v>
      </c>
      <c r="AQ709" s="75">
        <v>1</v>
      </c>
      <c r="AR709" s="75">
        <v>1</v>
      </c>
      <c r="AS709" s="95">
        <v>8.1059522893420499E-2</v>
      </c>
      <c r="AT709" s="79">
        <v>9.0909090909090898E-2</v>
      </c>
      <c r="AU709" s="79">
        <v>0</v>
      </c>
      <c r="AV709" s="79">
        <v>0</v>
      </c>
      <c r="AW709" s="79">
        <v>7.6555023923445001E-2</v>
      </c>
      <c r="AX709" s="56"/>
      <c r="AY709" s="54"/>
    </row>
    <row r="710" spans="1:51">
      <c r="A710" s="53"/>
      <c r="B710" s="56"/>
      <c r="C710" s="90" t="s">
        <v>663</v>
      </c>
      <c r="D710" s="230" t="s">
        <v>1757</v>
      </c>
      <c r="E710" s="68" t="s">
        <v>664</v>
      </c>
      <c r="F710" s="113" t="s">
        <v>732</v>
      </c>
      <c r="G710" s="113" t="s">
        <v>732</v>
      </c>
      <c r="H710" s="113" t="s">
        <v>732</v>
      </c>
      <c r="I710" s="113" t="s">
        <v>732</v>
      </c>
      <c r="J710" s="70">
        <v>0.9</v>
      </c>
      <c r="K710" s="71">
        <v>0.86486486486486502</v>
      </c>
      <c r="L710" s="71">
        <v>0.95555555555555605</v>
      </c>
      <c r="M710" s="72">
        <v>0.84090909090909105</v>
      </c>
      <c r="N710" s="71">
        <v>0.89506172839506204</v>
      </c>
      <c r="O710" s="73">
        <v>0.9</v>
      </c>
      <c r="P710" s="71">
        <v>0.96174863387978105</v>
      </c>
      <c r="Q710" s="71">
        <v>0.96852674261440397</v>
      </c>
      <c r="R710" s="71">
        <v>0.96266018559434396</v>
      </c>
      <c r="S710" s="71">
        <v>0.94025136247358498</v>
      </c>
      <c r="T710" s="73">
        <v>0.9</v>
      </c>
      <c r="U710" s="71">
        <v>0.95673952641165805</v>
      </c>
      <c r="V710" s="71">
        <v>0.95423826993628102</v>
      </c>
      <c r="W710" s="71">
        <v>0.95514803358373801</v>
      </c>
      <c r="X710" s="71">
        <v>0.94903792681570498</v>
      </c>
      <c r="Y710" s="73">
        <v>0.92</v>
      </c>
      <c r="Z710" s="73">
        <v>0.96023688663282603</v>
      </c>
      <c r="AA710" s="73">
        <v>0.965669014084507</v>
      </c>
      <c r="AB710" s="73">
        <v>0.96875</v>
      </c>
      <c r="AC710" s="73">
        <v>0.97035120147874299</v>
      </c>
      <c r="AD710" s="73">
        <v>0.92</v>
      </c>
      <c r="AE710" s="71">
        <v>0.99832102081934204</v>
      </c>
      <c r="AF710" s="71">
        <v>0.99928673323823103</v>
      </c>
      <c r="AG710" s="71">
        <v>0.993603411513859</v>
      </c>
      <c r="AH710" s="71">
        <v>0.99035135627161797</v>
      </c>
      <c r="AI710" s="73">
        <v>0.92</v>
      </c>
      <c r="AJ710" s="71">
        <v>0.97247706422018398</v>
      </c>
      <c r="AK710" s="71">
        <v>0.97752453308008902</v>
      </c>
      <c r="AL710" s="71">
        <v>0.97828751532130998</v>
      </c>
      <c r="AM710" s="71">
        <v>0.98092242469827995</v>
      </c>
      <c r="AN710" s="70">
        <v>0.99</v>
      </c>
      <c r="AO710" s="75">
        <v>1</v>
      </c>
      <c r="AP710" s="75">
        <v>1</v>
      </c>
      <c r="AQ710" s="75">
        <v>1</v>
      </c>
      <c r="AR710" s="75">
        <v>1</v>
      </c>
      <c r="AS710" s="95">
        <v>8.1059522893420499E-2</v>
      </c>
      <c r="AT710" s="79">
        <v>0</v>
      </c>
      <c r="AU710" s="79">
        <v>0</v>
      </c>
      <c r="AV710" s="79">
        <v>3.5714285714285698E-2</v>
      </c>
      <c r="AW710" s="79">
        <v>2.8735632183908E-2</v>
      </c>
      <c r="AX710" s="56"/>
      <c r="AY710" s="54"/>
    </row>
    <row r="711" spans="1:51">
      <c r="A711" s="53"/>
      <c r="B711" s="56"/>
      <c r="C711" s="90" t="s">
        <v>663</v>
      </c>
      <c r="D711" s="230" t="s">
        <v>1757</v>
      </c>
      <c r="E711" s="68" t="s">
        <v>664</v>
      </c>
      <c r="F711" s="113" t="s">
        <v>733</v>
      </c>
      <c r="G711" s="113" t="s">
        <v>733</v>
      </c>
      <c r="H711" s="113" t="s">
        <v>733</v>
      </c>
      <c r="I711" s="113" t="s">
        <v>733</v>
      </c>
      <c r="J711" s="70">
        <v>0.9</v>
      </c>
      <c r="K711" s="71">
        <v>0.95833333333333304</v>
      </c>
      <c r="L711" s="71">
        <v>0.931034482758621</v>
      </c>
      <c r="M711" s="72">
        <v>0.96551724137931005</v>
      </c>
      <c r="N711" s="71">
        <v>0.94904458598726105</v>
      </c>
      <c r="O711" s="73">
        <v>0.9</v>
      </c>
      <c r="P711" s="71">
        <v>0.95880681818181801</v>
      </c>
      <c r="Q711" s="71">
        <v>0.95173137460650603</v>
      </c>
      <c r="R711" s="71">
        <v>0.92098586444363895</v>
      </c>
      <c r="S711" s="71">
        <v>0.92857142857142905</v>
      </c>
      <c r="T711" s="73">
        <v>0.9</v>
      </c>
      <c r="U711" s="71">
        <v>0.9140625</v>
      </c>
      <c r="V711" s="71">
        <v>0.91640433718083203</v>
      </c>
      <c r="W711" s="71">
        <v>0.90866255889815195</v>
      </c>
      <c r="X711" s="71">
        <v>0.90816326530612201</v>
      </c>
      <c r="Y711" s="73">
        <v>0.92</v>
      </c>
      <c r="Z711" s="73">
        <v>0.93504736129905297</v>
      </c>
      <c r="AA711" s="73">
        <v>0.93623188405797098</v>
      </c>
      <c r="AB711" s="73">
        <v>0.95024077046549005</v>
      </c>
      <c r="AC711" s="73">
        <v>0.94545683046374296</v>
      </c>
      <c r="AD711" s="73">
        <v>0.92</v>
      </c>
      <c r="AE711" s="71">
        <v>0.99815157116451003</v>
      </c>
      <c r="AF711" s="71">
        <v>0.99713876967095805</v>
      </c>
      <c r="AG711" s="71">
        <v>0.99749373433583999</v>
      </c>
      <c r="AH711" s="71">
        <v>0.98718528569274799</v>
      </c>
      <c r="AI711" s="73">
        <v>0.92</v>
      </c>
      <c r="AJ711" s="71">
        <v>0.96180717279925498</v>
      </c>
      <c r="AK711" s="71">
        <v>0.96565315315315303</v>
      </c>
      <c r="AL711" s="71">
        <v>0.96303962152572398</v>
      </c>
      <c r="AM711" s="71">
        <v>0.96592647142128796</v>
      </c>
      <c r="AN711" s="70">
        <v>0.99</v>
      </c>
      <c r="AO711" s="75">
        <v>1</v>
      </c>
      <c r="AP711" s="75">
        <v>1</v>
      </c>
      <c r="AQ711" s="75">
        <v>1</v>
      </c>
      <c r="AR711" s="75">
        <v>1</v>
      </c>
      <c r="AS711" s="95">
        <v>8.1059522893420499E-2</v>
      </c>
      <c r="AT711" s="79">
        <v>0</v>
      </c>
      <c r="AU711" s="79">
        <v>0.11111111111111099</v>
      </c>
      <c r="AV711" s="79">
        <v>0</v>
      </c>
      <c r="AW711" s="79">
        <v>3.9370078740157501E-2</v>
      </c>
      <c r="AX711" s="56"/>
      <c r="AY711" s="54"/>
    </row>
    <row r="712" spans="1:51">
      <c r="A712" s="53"/>
      <c r="B712" s="56"/>
      <c r="C712" s="90" t="s">
        <v>663</v>
      </c>
      <c r="D712" s="230" t="s">
        <v>1757</v>
      </c>
      <c r="E712" s="68" t="s">
        <v>664</v>
      </c>
      <c r="F712" s="113" t="s">
        <v>734</v>
      </c>
      <c r="G712" s="113" t="s">
        <v>734</v>
      </c>
      <c r="H712" s="113" t="s">
        <v>734</v>
      </c>
      <c r="I712" s="113" t="s">
        <v>734</v>
      </c>
      <c r="J712" s="70">
        <v>0.9</v>
      </c>
      <c r="K712" s="71">
        <v>0.83333333333333304</v>
      </c>
      <c r="L712" s="71">
        <v>0.77083333333333304</v>
      </c>
      <c r="M712" s="72">
        <v>0.66666666666666696</v>
      </c>
      <c r="N712" s="71">
        <v>0.72639691714836196</v>
      </c>
      <c r="O712" s="73">
        <v>0.9</v>
      </c>
      <c r="P712" s="71">
        <v>0.95759717314487602</v>
      </c>
      <c r="Q712" s="71">
        <v>0.94491080797481597</v>
      </c>
      <c r="R712" s="71">
        <v>0.96064814814814803</v>
      </c>
      <c r="S712" s="71">
        <v>0.94991615427613196</v>
      </c>
      <c r="T712" s="73">
        <v>0.9</v>
      </c>
      <c r="U712" s="71">
        <v>0.91166077738515905</v>
      </c>
      <c r="V712" s="71">
        <v>0.90556138509968498</v>
      </c>
      <c r="W712" s="71">
        <v>0.91956018518518501</v>
      </c>
      <c r="X712" s="71">
        <v>0.91148686416992697</v>
      </c>
      <c r="Y712" s="73">
        <v>0.92</v>
      </c>
      <c r="Z712" s="73">
        <v>0.967914438502674</v>
      </c>
      <c r="AA712" s="73">
        <v>0.969060773480663</v>
      </c>
      <c r="AB712" s="73">
        <v>0.94084186575654105</v>
      </c>
      <c r="AC712" s="73">
        <v>0.96496404204315001</v>
      </c>
      <c r="AD712" s="73">
        <v>0.92</v>
      </c>
      <c r="AE712" s="71">
        <v>0.99746578813988895</v>
      </c>
      <c r="AF712" s="71">
        <v>0.99106847502480999</v>
      </c>
      <c r="AG712" s="71">
        <v>0.99589322381930201</v>
      </c>
      <c r="AH712" s="71">
        <v>0.99346106360601805</v>
      </c>
      <c r="AI712" s="73">
        <v>0.92</v>
      </c>
      <c r="AJ712" s="71">
        <v>0.96806912096168296</v>
      </c>
      <c r="AK712" s="71">
        <v>0.96252381960618205</v>
      </c>
      <c r="AL712" s="71">
        <v>0.97010807082087802</v>
      </c>
      <c r="AM712" s="71">
        <v>0.97645924815251195</v>
      </c>
      <c r="AN712" s="70">
        <v>0.99</v>
      </c>
      <c r="AO712" s="75">
        <v>1</v>
      </c>
      <c r="AP712" s="75">
        <v>1</v>
      </c>
      <c r="AQ712" s="75">
        <v>1</v>
      </c>
      <c r="AR712" s="75">
        <v>1</v>
      </c>
      <c r="AS712" s="95">
        <v>8.1059522893420499E-2</v>
      </c>
      <c r="AT712" s="79">
        <v>0</v>
      </c>
      <c r="AU712" s="79">
        <v>0</v>
      </c>
      <c r="AV712" s="79">
        <v>0</v>
      </c>
      <c r="AW712" s="79">
        <v>1.9480519480519501E-2</v>
      </c>
      <c r="AX712" s="56"/>
      <c r="AY712" s="54"/>
    </row>
    <row r="713" spans="1:51">
      <c r="A713" s="53"/>
      <c r="B713" s="56"/>
      <c r="C713" s="90" t="s">
        <v>663</v>
      </c>
      <c r="D713" s="230" t="s">
        <v>1757</v>
      </c>
      <c r="E713" s="68" t="s">
        <v>664</v>
      </c>
      <c r="F713" s="113" t="s">
        <v>735</v>
      </c>
      <c r="G713" s="113" t="s">
        <v>735</v>
      </c>
      <c r="H713" s="113" t="s">
        <v>735</v>
      </c>
      <c r="I713" s="113" t="s">
        <v>735</v>
      </c>
      <c r="J713" s="70">
        <v>0.9</v>
      </c>
      <c r="K713" s="71">
        <v>0.92857142857142905</v>
      </c>
      <c r="L713" s="71">
        <v>1</v>
      </c>
      <c r="M713" s="72">
        <v>0.84848484848484895</v>
      </c>
      <c r="N713" s="71">
        <v>0.90981432360742698</v>
      </c>
      <c r="O713" s="73">
        <v>0.9</v>
      </c>
      <c r="P713" s="71">
        <v>0.96</v>
      </c>
      <c r="Q713" s="71">
        <v>0.96475770925110105</v>
      </c>
      <c r="R713" s="71">
        <v>0.96661654135338304</v>
      </c>
      <c r="S713" s="71">
        <v>0.95437450803183599</v>
      </c>
      <c r="T713" s="73">
        <v>0.9</v>
      </c>
      <c r="U713" s="71">
        <v>0.96064516129032296</v>
      </c>
      <c r="V713" s="71">
        <v>0.92290748898678399</v>
      </c>
      <c r="W713" s="71">
        <v>0.92812030075188001</v>
      </c>
      <c r="X713" s="71">
        <v>0.92565814407743197</v>
      </c>
      <c r="Y713" s="73">
        <v>0.92</v>
      </c>
      <c r="Z713" s="73">
        <v>0.971830985915493</v>
      </c>
      <c r="AA713" s="73">
        <v>0.97566137566137601</v>
      </c>
      <c r="AB713" s="73">
        <v>0.96071428571428596</v>
      </c>
      <c r="AC713" s="73">
        <v>0.96716144774298496</v>
      </c>
      <c r="AD713" s="73">
        <v>0.92</v>
      </c>
      <c r="AE713" s="71">
        <v>0.99424184261036497</v>
      </c>
      <c r="AF713" s="71">
        <v>1</v>
      </c>
      <c r="AG713" s="71">
        <v>0.99710144927536204</v>
      </c>
      <c r="AH713" s="71">
        <v>0.99444088090656402</v>
      </c>
      <c r="AI713" s="73">
        <v>0.92</v>
      </c>
      <c r="AJ713" s="71">
        <v>0.972545757071547</v>
      </c>
      <c r="AK713" s="71">
        <v>0.97422455220620396</v>
      </c>
      <c r="AL713" s="71">
        <v>0.96913137114142101</v>
      </c>
      <c r="AM713" s="71">
        <v>0.972968689864391</v>
      </c>
      <c r="AN713" s="70">
        <v>0.99</v>
      </c>
      <c r="AO713" s="75">
        <v>1</v>
      </c>
      <c r="AP713" s="75">
        <v>1</v>
      </c>
      <c r="AQ713" s="75">
        <v>1</v>
      </c>
      <c r="AR713" s="75">
        <v>1</v>
      </c>
      <c r="AS713" s="95">
        <v>8.1059522893420499E-2</v>
      </c>
      <c r="AT713" s="79">
        <v>0</v>
      </c>
      <c r="AU713" s="79">
        <v>0</v>
      </c>
      <c r="AV713" s="79">
        <v>0.15384615384615399</v>
      </c>
      <c r="AW713" s="79">
        <v>3.1007751937984499E-2</v>
      </c>
      <c r="AX713" s="56"/>
      <c r="AY713" s="54"/>
    </row>
    <row r="714" spans="1:51">
      <c r="A714" s="53"/>
      <c r="B714" s="56"/>
      <c r="C714" s="90" t="s">
        <v>663</v>
      </c>
      <c r="D714" s="230" t="s">
        <v>1757</v>
      </c>
      <c r="E714" s="68" t="s">
        <v>664</v>
      </c>
      <c r="F714" s="113" t="s">
        <v>736</v>
      </c>
      <c r="G714" s="113" t="s">
        <v>736</v>
      </c>
      <c r="H714" s="113" t="s">
        <v>736</v>
      </c>
      <c r="I714" s="113" t="s">
        <v>736</v>
      </c>
      <c r="J714" s="70">
        <v>0.9</v>
      </c>
      <c r="K714" s="71">
        <v>0.78571428571428603</v>
      </c>
      <c r="L714" s="71">
        <v>0.68181818181818199</v>
      </c>
      <c r="M714" s="72">
        <v>0.59090909090909105</v>
      </c>
      <c r="N714" s="71">
        <v>0.68067226890756305</v>
      </c>
      <c r="O714" s="73">
        <v>0.9</v>
      </c>
      <c r="P714" s="71">
        <v>0.96086105675146805</v>
      </c>
      <c r="Q714" s="71">
        <v>0.93647166361974399</v>
      </c>
      <c r="R714" s="71">
        <v>0.90948693126815106</v>
      </c>
      <c r="S714" s="71">
        <v>0.93192704049542796</v>
      </c>
      <c r="T714" s="73">
        <v>0.9</v>
      </c>
      <c r="U714" s="71">
        <v>0.87377690802348296</v>
      </c>
      <c r="V714" s="71">
        <v>0.88071297989031105</v>
      </c>
      <c r="W714" s="71">
        <v>0.86350435624395006</v>
      </c>
      <c r="X714" s="71">
        <v>0.88746431854468</v>
      </c>
      <c r="Y714" s="73">
        <v>0.92</v>
      </c>
      <c r="Z714" s="73">
        <v>0.862785862785863</v>
      </c>
      <c r="AA714" s="73">
        <v>0.93382352941176505</v>
      </c>
      <c r="AB714" s="73">
        <v>0.91463414634146301</v>
      </c>
      <c r="AC714" s="73">
        <v>0.90131691465708896</v>
      </c>
      <c r="AD714" s="73">
        <v>0.92</v>
      </c>
      <c r="AE714" s="71">
        <v>1</v>
      </c>
      <c r="AF714" s="71">
        <v>1</v>
      </c>
      <c r="AG714" s="71">
        <v>0.96875</v>
      </c>
      <c r="AH714" s="71">
        <v>0.98226018396846304</v>
      </c>
      <c r="AI714" s="73">
        <v>0.92</v>
      </c>
      <c r="AJ714" s="71">
        <v>0.90198675496688696</v>
      </c>
      <c r="AK714" s="71">
        <v>0.95170142700329297</v>
      </c>
      <c r="AL714" s="71">
        <v>0.92562305295950198</v>
      </c>
      <c r="AM714" s="71">
        <v>0.94363225320271304</v>
      </c>
      <c r="AN714" s="70">
        <v>0.99</v>
      </c>
      <c r="AO714" s="75">
        <v>1</v>
      </c>
      <c r="AP714" s="75">
        <v>1</v>
      </c>
      <c r="AQ714" s="75">
        <v>1</v>
      </c>
      <c r="AR714" s="75">
        <v>1</v>
      </c>
      <c r="AS714" s="95">
        <v>8.1059522893420499E-2</v>
      </c>
      <c r="AT714" s="79">
        <v>0</v>
      </c>
      <c r="AU714" s="79">
        <v>0.16666666666666699</v>
      </c>
      <c r="AV714" s="79">
        <v>0.22222222222222199</v>
      </c>
      <c r="AW714" s="79">
        <v>3.94736842105263E-2</v>
      </c>
      <c r="AX714" s="56"/>
      <c r="AY714" s="54"/>
    </row>
    <row r="715" spans="1:51">
      <c r="A715" s="53"/>
      <c r="B715" s="56"/>
      <c r="C715" s="90" t="s">
        <v>663</v>
      </c>
      <c r="D715" s="230" t="s">
        <v>1757</v>
      </c>
      <c r="E715" s="68" t="s">
        <v>664</v>
      </c>
      <c r="F715" s="113" t="s">
        <v>737</v>
      </c>
      <c r="G715" s="113" t="s">
        <v>737</v>
      </c>
      <c r="H715" s="113" t="s">
        <v>737</v>
      </c>
      <c r="I715" s="113" t="s">
        <v>737</v>
      </c>
      <c r="J715" s="70">
        <v>0.9</v>
      </c>
      <c r="K715" s="71">
        <v>0.89655172413793105</v>
      </c>
      <c r="L715" s="71">
        <v>0.92857142857142905</v>
      </c>
      <c r="M715" s="72">
        <v>0.9</v>
      </c>
      <c r="N715" s="71">
        <v>0.874608150470219</v>
      </c>
      <c r="O715" s="73">
        <v>0.9</v>
      </c>
      <c r="P715" s="71">
        <v>0.97046843177189401</v>
      </c>
      <c r="Q715" s="71">
        <v>0.96834264432029804</v>
      </c>
      <c r="R715" s="71">
        <v>0.96949776492243001</v>
      </c>
      <c r="S715" s="71">
        <v>0.96232508073196998</v>
      </c>
      <c r="T715" s="73">
        <v>0.9</v>
      </c>
      <c r="U715" s="71">
        <v>0.94297352342158902</v>
      </c>
      <c r="V715" s="71">
        <v>0.950884543761639</v>
      </c>
      <c r="W715" s="71">
        <v>0.95188009466210899</v>
      </c>
      <c r="X715" s="71">
        <v>0.93892562407094204</v>
      </c>
      <c r="Y715" s="73">
        <v>0.92</v>
      </c>
      <c r="Z715" s="73">
        <v>0.96909272183449602</v>
      </c>
      <c r="AA715" s="73">
        <v>0.95126903553299502</v>
      </c>
      <c r="AB715" s="73">
        <v>0.95767195767195801</v>
      </c>
      <c r="AC715" s="73">
        <v>0.966542421015264</v>
      </c>
      <c r="AD715" s="73">
        <v>0.92</v>
      </c>
      <c r="AE715" s="71">
        <v>0.99905033238366603</v>
      </c>
      <c r="AF715" s="71">
        <v>0.99934938191281697</v>
      </c>
      <c r="AG715" s="71">
        <v>0.99657534246575297</v>
      </c>
      <c r="AH715" s="71">
        <v>0.998957355854447</v>
      </c>
      <c r="AI715" s="73">
        <v>0.92</v>
      </c>
      <c r="AJ715" s="71">
        <v>0.96741686261336901</v>
      </c>
      <c r="AK715" s="71">
        <v>0.97217490062464496</v>
      </c>
      <c r="AL715" s="71">
        <v>0.97284782151126103</v>
      </c>
      <c r="AM715" s="71">
        <v>0.97555109423761199</v>
      </c>
      <c r="AN715" s="70">
        <v>0.99</v>
      </c>
      <c r="AO715" s="75">
        <v>1</v>
      </c>
      <c r="AP715" s="75">
        <v>1</v>
      </c>
      <c r="AQ715" s="75">
        <v>1</v>
      </c>
      <c r="AR715" s="75">
        <v>1</v>
      </c>
      <c r="AS715" s="95">
        <v>8.1059522893420499E-2</v>
      </c>
      <c r="AT715" s="79">
        <v>0</v>
      </c>
      <c r="AU715" s="79">
        <v>5.2631578947368397E-2</v>
      </c>
      <c r="AV715" s="79">
        <v>0.1875</v>
      </c>
      <c r="AW715" s="79">
        <v>6.0606060606060601E-2</v>
      </c>
      <c r="AX715" s="56"/>
      <c r="AY715" s="54"/>
    </row>
    <row r="716" spans="1:51">
      <c r="A716" s="53"/>
      <c r="B716" s="56"/>
      <c r="C716" s="90" t="s">
        <v>663</v>
      </c>
      <c r="D716" s="230" t="s">
        <v>1757</v>
      </c>
      <c r="E716" s="68" t="s">
        <v>664</v>
      </c>
      <c r="F716" s="113" t="s">
        <v>738</v>
      </c>
      <c r="G716" s="113" t="s">
        <v>738</v>
      </c>
      <c r="H716" s="113" t="s">
        <v>738</v>
      </c>
      <c r="I716" s="113" t="s">
        <v>738</v>
      </c>
      <c r="J716" s="70">
        <v>0.9</v>
      </c>
      <c r="K716" s="71">
        <v>0.875</v>
      </c>
      <c r="L716" s="71">
        <v>0.84210526315789502</v>
      </c>
      <c r="M716" s="72">
        <v>0.75</v>
      </c>
      <c r="N716" s="71">
        <v>0.8125</v>
      </c>
      <c r="O716" s="73">
        <v>0.9</v>
      </c>
      <c r="P716" s="71">
        <v>0.90256410256410302</v>
      </c>
      <c r="Q716" s="71">
        <v>0.91607629427792903</v>
      </c>
      <c r="R716" s="71">
        <v>0.94622425629290596</v>
      </c>
      <c r="S716" s="71">
        <v>0.92336155183046498</v>
      </c>
      <c r="T716" s="73">
        <v>0.9</v>
      </c>
      <c r="U716" s="71">
        <v>0.91025641025641002</v>
      </c>
      <c r="V716" s="71">
        <v>0.91280653950953705</v>
      </c>
      <c r="W716" s="71">
        <v>0.90961098398169304</v>
      </c>
      <c r="X716" s="71">
        <v>0.90682289622694401</v>
      </c>
      <c r="Y716" s="73">
        <v>0.92</v>
      </c>
      <c r="Z716" s="73">
        <v>0.91283292978208197</v>
      </c>
      <c r="AA716" s="73">
        <v>0.90109890109890101</v>
      </c>
      <c r="AB716" s="73">
        <v>0.73951434878587197</v>
      </c>
      <c r="AC716" s="73">
        <v>0.88429118773946402</v>
      </c>
      <c r="AD716" s="73">
        <v>0.92</v>
      </c>
      <c r="AE716" s="71">
        <v>1</v>
      </c>
      <c r="AF716" s="71">
        <v>0.96491228070175405</v>
      </c>
      <c r="AG716" s="71">
        <v>0.99024390243902405</v>
      </c>
      <c r="AH716" s="71">
        <v>0.97953216374269003</v>
      </c>
      <c r="AI716" s="73">
        <v>0.92</v>
      </c>
      <c r="AJ716" s="71">
        <v>0.93713327745180197</v>
      </c>
      <c r="AK716" s="71">
        <v>0.94677137870855099</v>
      </c>
      <c r="AL716" s="71">
        <v>0.90231712857791901</v>
      </c>
      <c r="AM716" s="71">
        <v>0.94051851209572501</v>
      </c>
      <c r="AN716" s="70">
        <v>0.99</v>
      </c>
      <c r="AO716" s="75">
        <v>1</v>
      </c>
      <c r="AP716" s="75">
        <v>1</v>
      </c>
      <c r="AQ716" s="75">
        <v>1</v>
      </c>
      <c r="AR716" s="75">
        <v>1</v>
      </c>
      <c r="AS716" s="95">
        <v>8.1059522893420499E-2</v>
      </c>
      <c r="AT716" s="79">
        <v>0</v>
      </c>
      <c r="AU716" s="79">
        <v>0.125</v>
      </c>
      <c r="AV716" s="79">
        <v>0</v>
      </c>
      <c r="AW716" s="79">
        <v>5.7971014492753603E-2</v>
      </c>
      <c r="AX716" s="56"/>
      <c r="AY716" s="54"/>
    </row>
    <row r="717" spans="1:51">
      <c r="A717" s="53"/>
      <c r="B717" s="56"/>
      <c r="C717" s="90" t="s">
        <v>663</v>
      </c>
      <c r="D717" s="230" t="s">
        <v>1757</v>
      </c>
      <c r="E717" s="68" t="s">
        <v>664</v>
      </c>
      <c r="F717" s="113" t="s">
        <v>739</v>
      </c>
      <c r="G717" s="113" t="s">
        <v>739</v>
      </c>
      <c r="H717" s="113" t="s">
        <v>739</v>
      </c>
      <c r="I717" s="113" t="s">
        <v>739</v>
      </c>
      <c r="J717" s="70">
        <v>0.9</v>
      </c>
      <c r="K717" s="71">
        <v>0.61538461538461497</v>
      </c>
      <c r="L717" s="71">
        <v>0.71428571428571397</v>
      </c>
      <c r="M717" s="72">
        <v>0.5625</v>
      </c>
      <c r="N717" s="71">
        <v>0.63380281690140805</v>
      </c>
      <c r="O717" s="73">
        <v>0.9</v>
      </c>
      <c r="P717" s="71">
        <v>0.88089117395030003</v>
      </c>
      <c r="Q717" s="71">
        <v>0.85959438377535102</v>
      </c>
      <c r="R717" s="71">
        <v>0.89161462979482597</v>
      </c>
      <c r="S717" s="71">
        <v>0.82204509611695997</v>
      </c>
      <c r="T717" s="73">
        <v>0.9</v>
      </c>
      <c r="U717" s="71">
        <v>0.79434447300771205</v>
      </c>
      <c r="V717" s="71">
        <v>0.87792511700468001</v>
      </c>
      <c r="W717" s="71">
        <v>0.85504014272970597</v>
      </c>
      <c r="X717" s="71">
        <v>0.81663185712458997</v>
      </c>
      <c r="Y717" s="73">
        <v>0.92</v>
      </c>
      <c r="Z717" s="73">
        <v>0.85950413223140498</v>
      </c>
      <c r="AA717" s="73">
        <v>0.91452991452991494</v>
      </c>
      <c r="AB717" s="73">
        <v>0.93109869646182497</v>
      </c>
      <c r="AC717" s="73">
        <v>0.89479090242113002</v>
      </c>
      <c r="AD717" s="73">
        <v>0.92</v>
      </c>
      <c r="AE717" s="71">
        <v>0.98947368421052595</v>
      </c>
      <c r="AF717" s="71">
        <v>0.97173144876325102</v>
      </c>
      <c r="AG717" s="71">
        <v>0.95522388059701502</v>
      </c>
      <c r="AH717" s="71">
        <v>0.97150837988826799</v>
      </c>
      <c r="AI717" s="73">
        <v>0.92</v>
      </c>
      <c r="AJ717" s="71">
        <v>0.90575620767494402</v>
      </c>
      <c r="AK717" s="71">
        <v>0.94220387424579199</v>
      </c>
      <c r="AL717" s="71">
        <v>0.94214876033057804</v>
      </c>
      <c r="AM717" s="71">
        <v>0.92967511885895404</v>
      </c>
      <c r="AN717" s="70">
        <v>0.99</v>
      </c>
      <c r="AO717" s="75">
        <v>1</v>
      </c>
      <c r="AP717" s="75">
        <v>1</v>
      </c>
      <c r="AQ717" s="75">
        <v>1</v>
      </c>
      <c r="AR717" s="75">
        <v>1</v>
      </c>
      <c r="AS717" s="95">
        <v>8.1059522893420499E-2</v>
      </c>
      <c r="AT717" s="79">
        <v>0</v>
      </c>
      <c r="AU717" s="79">
        <v>0</v>
      </c>
      <c r="AV717" s="79">
        <v>0</v>
      </c>
      <c r="AW717" s="79">
        <v>6.5789473684210495E-2</v>
      </c>
      <c r="AX717" s="56"/>
      <c r="AY717" s="54"/>
    </row>
    <row r="718" spans="1:51">
      <c r="A718" s="53"/>
      <c r="B718" s="56"/>
      <c r="C718" s="90" t="s">
        <v>663</v>
      </c>
      <c r="D718" s="230" t="s">
        <v>1757</v>
      </c>
      <c r="E718" s="68" t="s">
        <v>664</v>
      </c>
      <c r="F718" s="113" t="s">
        <v>740</v>
      </c>
      <c r="G718" s="113" t="s">
        <v>740</v>
      </c>
      <c r="H718" s="113" t="s">
        <v>740</v>
      </c>
      <c r="I718" s="113" t="s">
        <v>740</v>
      </c>
      <c r="J718" s="70">
        <v>0.9</v>
      </c>
      <c r="K718" s="71">
        <v>0.97619047619047605</v>
      </c>
      <c r="L718" s="71">
        <v>0.91836734693877597</v>
      </c>
      <c r="M718" s="72">
        <v>0.89795918367346905</v>
      </c>
      <c r="N718" s="71">
        <v>0.94843462246777199</v>
      </c>
      <c r="O718" s="73">
        <v>0.9</v>
      </c>
      <c r="P718" s="71">
        <v>0.95975666822648598</v>
      </c>
      <c r="Q718" s="71">
        <v>0.97297297297297303</v>
      </c>
      <c r="R718" s="71">
        <v>0.96104753521126796</v>
      </c>
      <c r="S718" s="71">
        <v>0.96402152704817901</v>
      </c>
      <c r="T718" s="73">
        <v>0.9</v>
      </c>
      <c r="U718" s="71">
        <v>0.95414131960692605</v>
      </c>
      <c r="V718" s="71">
        <v>0.93538851351351304</v>
      </c>
      <c r="W718" s="71">
        <v>0.94960387323943696</v>
      </c>
      <c r="X718" s="71">
        <v>0.95162846544737201</v>
      </c>
      <c r="Y718" s="73">
        <v>0.92</v>
      </c>
      <c r="Z718" s="73">
        <v>0.97158081705151</v>
      </c>
      <c r="AA718" s="73">
        <v>0.95421245421245404</v>
      </c>
      <c r="AB718" s="73">
        <v>0.92990239574090505</v>
      </c>
      <c r="AC718" s="73">
        <v>0.95880606106753996</v>
      </c>
      <c r="AD718" s="73">
        <v>0.92</v>
      </c>
      <c r="AE718" s="71">
        <v>0.993896236012208</v>
      </c>
      <c r="AF718" s="71">
        <v>0.97076023391812905</v>
      </c>
      <c r="AG718" s="71">
        <v>0.97043478260869598</v>
      </c>
      <c r="AH718" s="71">
        <v>0.98255457175418603</v>
      </c>
      <c r="AI718" s="73">
        <v>0.92</v>
      </c>
      <c r="AJ718" s="71">
        <v>0.96984465427962196</v>
      </c>
      <c r="AK718" s="71">
        <v>0.97050248670896899</v>
      </c>
      <c r="AL718" s="71">
        <v>0.96069099242023603</v>
      </c>
      <c r="AM718" s="71">
        <v>0.97329476095717504</v>
      </c>
      <c r="AN718" s="70">
        <v>0.99</v>
      </c>
      <c r="AO718" s="75">
        <v>1</v>
      </c>
      <c r="AP718" s="75">
        <v>1</v>
      </c>
      <c r="AQ718" s="75">
        <v>1</v>
      </c>
      <c r="AR718" s="75">
        <v>1</v>
      </c>
      <c r="AS718" s="95">
        <v>8.1059522893420499E-2</v>
      </c>
      <c r="AT718" s="79">
        <v>7.69230769230769E-2</v>
      </c>
      <c r="AU718" s="79">
        <v>0.11764705882352899</v>
      </c>
      <c r="AV718" s="79">
        <v>0</v>
      </c>
      <c r="AW718" s="79">
        <v>4.0935672514619902E-2</v>
      </c>
      <c r="AX718" s="56"/>
      <c r="AY718" s="54"/>
    </row>
    <row r="719" spans="1:51">
      <c r="A719" s="53"/>
      <c r="B719" s="56"/>
      <c r="C719" s="90" t="s">
        <v>663</v>
      </c>
      <c r="D719" s="230" t="s">
        <v>1757</v>
      </c>
      <c r="E719" s="68" t="s">
        <v>664</v>
      </c>
      <c r="F719" s="113" t="s">
        <v>741</v>
      </c>
      <c r="G719" s="113" t="s">
        <v>741</v>
      </c>
      <c r="H719" s="113" t="s">
        <v>741</v>
      </c>
      <c r="I719" s="113" t="s">
        <v>741</v>
      </c>
      <c r="J719" s="70">
        <v>0.9</v>
      </c>
      <c r="K719" s="71">
        <v>0.97499999999999998</v>
      </c>
      <c r="L719" s="71">
        <v>0.97560975609756095</v>
      </c>
      <c r="M719" s="72">
        <v>0.97368421052631604</v>
      </c>
      <c r="N719" s="71">
        <v>0.97198275862068995</v>
      </c>
      <c r="O719" s="73">
        <v>0.9</v>
      </c>
      <c r="P719" s="71">
        <v>0.98209583991574501</v>
      </c>
      <c r="Q719" s="71">
        <v>0.95806610754810095</v>
      </c>
      <c r="R719" s="71">
        <v>0.91929073677774398</v>
      </c>
      <c r="S719" s="71">
        <v>0.96609008391847895</v>
      </c>
      <c r="T719" s="73">
        <v>0.9</v>
      </c>
      <c r="U719" s="71">
        <v>0.94207477619799895</v>
      </c>
      <c r="V719" s="71">
        <v>0.91835224469659604</v>
      </c>
      <c r="W719" s="71">
        <v>0.89758483644145504</v>
      </c>
      <c r="X719" s="71">
        <v>0.92672832105954195</v>
      </c>
      <c r="Y719" s="73">
        <v>0.92</v>
      </c>
      <c r="Z719" s="73">
        <v>0.912923923006416</v>
      </c>
      <c r="AA719" s="73">
        <v>0.92226148409894004</v>
      </c>
      <c r="AB719" s="73">
        <v>0.93540945790080698</v>
      </c>
      <c r="AC719" s="73">
        <v>0.92484076433120999</v>
      </c>
      <c r="AD719" s="73">
        <v>0.92</v>
      </c>
      <c r="AE719" s="71">
        <v>1</v>
      </c>
      <c r="AF719" s="71">
        <v>0.99728752260397802</v>
      </c>
      <c r="AG719" s="71">
        <v>0.99709864603481602</v>
      </c>
      <c r="AH719" s="71">
        <v>0.99795883653682604</v>
      </c>
      <c r="AI719" s="73">
        <v>0.92</v>
      </c>
      <c r="AJ719" s="71">
        <v>0.95083612040133803</v>
      </c>
      <c r="AK719" s="71">
        <v>0.96363636363636396</v>
      </c>
      <c r="AL719" s="71">
        <v>0.94997583373610395</v>
      </c>
      <c r="AM719" s="71">
        <v>0.96034072174390905</v>
      </c>
      <c r="AN719" s="70">
        <v>0.99</v>
      </c>
      <c r="AO719" s="75">
        <v>1</v>
      </c>
      <c r="AP719" s="75">
        <v>1</v>
      </c>
      <c r="AQ719" s="75">
        <v>1</v>
      </c>
      <c r="AR719" s="75">
        <v>1</v>
      </c>
      <c r="AS719" s="95">
        <v>8.1059522893420499E-2</v>
      </c>
      <c r="AT719" s="79">
        <v>0</v>
      </c>
      <c r="AU719" s="79">
        <v>0</v>
      </c>
      <c r="AV719" s="79">
        <v>0</v>
      </c>
      <c r="AW719" s="79">
        <v>1.9841269841269799E-2</v>
      </c>
      <c r="AX719" s="56"/>
      <c r="AY719" s="54"/>
    </row>
    <row r="720" spans="1:51">
      <c r="A720" s="53"/>
      <c r="B720" s="56"/>
      <c r="C720" s="90" t="s">
        <v>663</v>
      </c>
      <c r="D720" s="230" t="s">
        <v>1757</v>
      </c>
      <c r="E720" s="68" t="s">
        <v>664</v>
      </c>
      <c r="F720" s="113" t="s">
        <v>742</v>
      </c>
      <c r="G720" s="113" t="s">
        <v>742</v>
      </c>
      <c r="H720" s="113" t="s">
        <v>742</v>
      </c>
      <c r="I720" s="113" t="s">
        <v>742</v>
      </c>
      <c r="J720" s="70">
        <v>0.9</v>
      </c>
      <c r="K720" s="71">
        <v>0.939393939393939</v>
      </c>
      <c r="L720" s="71">
        <v>0.97142857142857097</v>
      </c>
      <c r="M720" s="72">
        <v>0.971830985915493</v>
      </c>
      <c r="N720" s="71">
        <v>0.97842639593908598</v>
      </c>
      <c r="O720" s="73">
        <v>0.9</v>
      </c>
      <c r="P720" s="71">
        <v>0.98976769911504403</v>
      </c>
      <c r="Q720" s="71">
        <v>0.95988420181968603</v>
      </c>
      <c r="R720" s="71">
        <v>0.97767145135566202</v>
      </c>
      <c r="S720" s="71">
        <v>0.97970850127971298</v>
      </c>
      <c r="T720" s="73">
        <v>0.9</v>
      </c>
      <c r="U720" s="71">
        <v>0.93777654867256599</v>
      </c>
      <c r="V720" s="71">
        <v>0.90570719602977701</v>
      </c>
      <c r="W720" s="71">
        <v>0.94051036682615596</v>
      </c>
      <c r="X720" s="71">
        <v>0.92655826142929398</v>
      </c>
      <c r="Y720" s="73">
        <v>0.92</v>
      </c>
      <c r="Z720" s="73">
        <v>0.94135338345864705</v>
      </c>
      <c r="AA720" s="73">
        <v>0.93920972644376899</v>
      </c>
      <c r="AB720" s="73">
        <v>0.94233128834355795</v>
      </c>
      <c r="AC720" s="73">
        <v>0.94682199553328905</v>
      </c>
      <c r="AD720" s="73">
        <v>0.92</v>
      </c>
      <c r="AE720" s="71">
        <v>0.99462365591397806</v>
      </c>
      <c r="AF720" s="71">
        <v>0.98194130925507905</v>
      </c>
      <c r="AG720" s="71">
        <v>0.97814207650273199</v>
      </c>
      <c r="AH720" s="71">
        <v>0.98118139048614705</v>
      </c>
      <c r="AI720" s="73">
        <v>0.92</v>
      </c>
      <c r="AJ720" s="71">
        <v>0.95936553199073205</v>
      </c>
      <c r="AK720" s="71">
        <v>0.96384372725066703</v>
      </c>
      <c r="AL720" s="71">
        <v>0.96873417721518995</v>
      </c>
      <c r="AM720" s="71">
        <v>0.969776224289014</v>
      </c>
      <c r="AN720" s="70">
        <v>0.99</v>
      </c>
      <c r="AO720" s="75">
        <v>1</v>
      </c>
      <c r="AP720" s="75">
        <v>1</v>
      </c>
      <c r="AQ720" s="75">
        <v>1</v>
      </c>
      <c r="AR720" s="75">
        <v>1</v>
      </c>
      <c r="AS720" s="95">
        <v>8.1059522893420499E-2</v>
      </c>
      <c r="AT720" s="79">
        <v>1.9230769230769201E-2</v>
      </c>
      <c r="AU720" s="79">
        <v>0</v>
      </c>
      <c r="AV720" s="79">
        <v>0</v>
      </c>
      <c r="AW720" s="79">
        <v>3.6170212765957402E-2</v>
      </c>
      <c r="AX720" s="56"/>
      <c r="AY720" s="54"/>
    </row>
    <row r="721" spans="1:51">
      <c r="A721" s="53"/>
      <c r="B721" s="56"/>
      <c r="C721" s="90" t="s">
        <v>663</v>
      </c>
      <c r="D721" s="230" t="s">
        <v>1757</v>
      </c>
      <c r="E721" s="68" t="s">
        <v>664</v>
      </c>
      <c r="F721" s="113" t="s">
        <v>743</v>
      </c>
      <c r="G721" s="113" t="s">
        <v>743</v>
      </c>
      <c r="H721" s="113" t="s">
        <v>743</v>
      </c>
      <c r="I721" s="113" t="s">
        <v>743</v>
      </c>
      <c r="J721" s="70">
        <v>0.9</v>
      </c>
      <c r="K721" s="71">
        <v>0.97560975609756095</v>
      </c>
      <c r="L721" s="71">
        <v>1</v>
      </c>
      <c r="M721" s="72">
        <v>0.93333333333333302</v>
      </c>
      <c r="N721" s="71">
        <v>0.94297352342158902</v>
      </c>
      <c r="O721" s="73">
        <v>0.9</v>
      </c>
      <c r="P721" s="71">
        <v>0.94988344988344997</v>
      </c>
      <c r="Q721" s="71">
        <v>0.89156626506024095</v>
      </c>
      <c r="R721" s="71">
        <v>0.95078031212485004</v>
      </c>
      <c r="S721" s="71">
        <v>0.90115321252059299</v>
      </c>
      <c r="T721" s="73">
        <v>0.9</v>
      </c>
      <c r="U721" s="71">
        <v>0.81993006993007</v>
      </c>
      <c r="V721" s="71">
        <v>0.78821954484605095</v>
      </c>
      <c r="W721" s="71">
        <v>0.77490996398559397</v>
      </c>
      <c r="X721" s="71">
        <v>0.79051417671030999</v>
      </c>
      <c r="Y721" s="73">
        <v>0.92</v>
      </c>
      <c r="Z721" s="73">
        <v>0.87272727272727302</v>
      </c>
      <c r="AA721" s="73">
        <v>0.92760180995475106</v>
      </c>
      <c r="AB721" s="73">
        <v>0.91130012150668305</v>
      </c>
      <c r="AC721" s="73">
        <v>0.91161012900143301</v>
      </c>
      <c r="AD721" s="73">
        <v>0.92</v>
      </c>
      <c r="AE721" s="71">
        <v>0.99804878048780499</v>
      </c>
      <c r="AF721" s="71">
        <v>0.99787685774946899</v>
      </c>
      <c r="AG721" s="71">
        <v>0.94972067039106101</v>
      </c>
      <c r="AH721" s="71">
        <v>0.99047080675119104</v>
      </c>
      <c r="AI721" s="73">
        <v>0.92</v>
      </c>
      <c r="AJ721" s="71">
        <v>0.921405287939152</v>
      </c>
      <c r="AK721" s="71">
        <v>0.956188652142686</v>
      </c>
      <c r="AL721" s="71">
        <v>0.94584837545126399</v>
      </c>
      <c r="AM721" s="71">
        <v>0.95045956951716104</v>
      </c>
      <c r="AN721" s="70">
        <v>0.99</v>
      </c>
      <c r="AO721" s="75">
        <v>1</v>
      </c>
      <c r="AP721" s="75">
        <v>1</v>
      </c>
      <c r="AQ721" s="75">
        <v>1</v>
      </c>
      <c r="AR721" s="75">
        <v>1</v>
      </c>
      <c r="AS721" s="95">
        <v>8.1059522893420499E-2</v>
      </c>
      <c r="AT721" s="79">
        <v>0</v>
      </c>
      <c r="AU721" s="79">
        <v>2.7027027027027001E-2</v>
      </c>
      <c r="AV721" s="79">
        <v>5.2631578947368397E-2</v>
      </c>
      <c r="AW721" s="79">
        <v>1.7699115044247801E-2</v>
      </c>
      <c r="AX721" s="56"/>
      <c r="AY721" s="54"/>
    </row>
    <row r="722" spans="1:51">
      <c r="A722" s="53"/>
      <c r="B722" s="56"/>
      <c r="C722" s="90" t="s">
        <v>663</v>
      </c>
      <c r="D722" s="230" t="s">
        <v>1757</v>
      </c>
      <c r="E722" s="68" t="s">
        <v>664</v>
      </c>
      <c r="F722" s="113" t="s">
        <v>744</v>
      </c>
      <c r="G722" s="113" t="s">
        <v>744</v>
      </c>
      <c r="H722" s="113" t="s">
        <v>744</v>
      </c>
      <c r="I722" s="113" t="s">
        <v>744</v>
      </c>
      <c r="J722" s="70">
        <v>0.9</v>
      </c>
      <c r="K722" s="71">
        <v>0.93333333333333302</v>
      </c>
      <c r="L722" s="71">
        <v>0.94285714285714295</v>
      </c>
      <c r="M722" s="72">
        <v>1</v>
      </c>
      <c r="N722" s="71">
        <v>0.966233766233766</v>
      </c>
      <c r="O722" s="73">
        <v>0.9</v>
      </c>
      <c r="P722" s="71">
        <v>0.96757382744643905</v>
      </c>
      <c r="Q722" s="71">
        <v>0.92997347480106096</v>
      </c>
      <c r="R722" s="71">
        <v>0.96477987421383604</v>
      </c>
      <c r="S722" s="71">
        <v>0.96026759744037204</v>
      </c>
      <c r="T722" s="73">
        <v>0.9</v>
      </c>
      <c r="U722" s="71">
        <v>0.93456861609727804</v>
      </c>
      <c r="V722" s="71">
        <v>0.92997347480106096</v>
      </c>
      <c r="W722" s="71">
        <v>0.92264150943396195</v>
      </c>
      <c r="X722" s="71">
        <v>0.92917393833624196</v>
      </c>
      <c r="Y722" s="73">
        <v>0.92</v>
      </c>
      <c r="Z722" s="73">
        <v>0.93895348837209303</v>
      </c>
      <c r="AA722" s="73">
        <v>0.95967741935483897</v>
      </c>
      <c r="AB722" s="73">
        <v>0.96099897365720199</v>
      </c>
      <c r="AC722" s="73">
        <v>0.95779934090076901</v>
      </c>
      <c r="AD722" s="73">
        <v>0.92</v>
      </c>
      <c r="AE722" s="71">
        <v>1</v>
      </c>
      <c r="AF722" s="71">
        <v>0.99305555555555602</v>
      </c>
      <c r="AG722" s="71">
        <v>0.98255813953488402</v>
      </c>
      <c r="AH722" s="71">
        <v>0.98974095922031302</v>
      </c>
      <c r="AI722" s="73">
        <v>0.92</v>
      </c>
      <c r="AJ722" s="71">
        <v>0.95324392895976795</v>
      </c>
      <c r="AK722" s="71">
        <v>0.96905766526019699</v>
      </c>
      <c r="AL722" s="71">
        <v>0.96277420784400602</v>
      </c>
      <c r="AM722" s="71">
        <v>0.96852514015803604</v>
      </c>
      <c r="AN722" s="70">
        <v>0.99</v>
      </c>
      <c r="AO722" s="75">
        <v>1</v>
      </c>
      <c r="AP722" s="75">
        <v>1</v>
      </c>
      <c r="AQ722" s="75">
        <v>1</v>
      </c>
      <c r="AR722" s="75">
        <v>1</v>
      </c>
      <c r="AS722" s="95">
        <v>8.1059522893420499E-2</v>
      </c>
      <c r="AT722" s="79">
        <v>0</v>
      </c>
      <c r="AU722" s="79">
        <v>0</v>
      </c>
      <c r="AV722" s="79">
        <v>0</v>
      </c>
      <c r="AW722" s="79">
        <v>1.25786163522013E-2</v>
      </c>
      <c r="AX722" s="56"/>
      <c r="AY722" s="54"/>
    </row>
    <row r="723" spans="1:51">
      <c r="A723" s="53"/>
      <c r="B723" s="56"/>
      <c r="C723" s="90" t="s">
        <v>663</v>
      </c>
      <c r="D723" s="230" t="s">
        <v>1757</v>
      </c>
      <c r="E723" s="68" t="s">
        <v>664</v>
      </c>
      <c r="F723" s="113" t="s">
        <v>745</v>
      </c>
      <c r="G723" s="113" t="s">
        <v>745</v>
      </c>
      <c r="H723" s="113" t="s">
        <v>745</v>
      </c>
      <c r="I723" s="113" t="s">
        <v>745</v>
      </c>
      <c r="J723" s="70">
        <v>0.9</v>
      </c>
      <c r="K723" s="71">
        <v>1</v>
      </c>
      <c r="L723" s="71">
        <v>1</v>
      </c>
      <c r="M723" s="72">
        <v>0.96875</v>
      </c>
      <c r="N723" s="71">
        <v>0.997076023391813</v>
      </c>
      <c r="O723" s="73">
        <v>0.9</v>
      </c>
      <c r="P723" s="71">
        <v>0.97896950578338604</v>
      </c>
      <c r="Q723" s="71">
        <v>0.959537572254335</v>
      </c>
      <c r="R723" s="71">
        <v>0.868847150259067</v>
      </c>
      <c r="S723" s="71">
        <v>0.95115856428895995</v>
      </c>
      <c r="T723" s="73">
        <v>0.9</v>
      </c>
      <c r="U723" s="71">
        <v>0.93848580441640395</v>
      </c>
      <c r="V723" s="71">
        <v>0.93866409762363501</v>
      </c>
      <c r="W723" s="71">
        <v>0.925194300518135</v>
      </c>
      <c r="X723" s="71">
        <v>0.93317972350230405</v>
      </c>
      <c r="Y723" s="73">
        <v>0.92</v>
      </c>
      <c r="Z723" s="73">
        <v>0.91736526946107799</v>
      </c>
      <c r="AA723" s="73">
        <v>0.90617848970251702</v>
      </c>
      <c r="AB723" s="73">
        <v>0.82178217821782196</v>
      </c>
      <c r="AC723" s="73">
        <v>0.89026134442855298</v>
      </c>
      <c r="AD723" s="73">
        <v>0.92</v>
      </c>
      <c r="AE723" s="71">
        <v>1</v>
      </c>
      <c r="AF723" s="71">
        <v>1</v>
      </c>
      <c r="AG723" s="71">
        <v>0.99086757990867602</v>
      </c>
      <c r="AH723" s="71">
        <v>0.99868818050636199</v>
      </c>
      <c r="AI723" s="73">
        <v>0.92</v>
      </c>
      <c r="AJ723" s="71">
        <v>0.95182481751824799</v>
      </c>
      <c r="AK723" s="71">
        <v>0.96963733483272396</v>
      </c>
      <c r="AL723" s="71">
        <v>0.94100605741374799</v>
      </c>
      <c r="AM723" s="71">
        <v>0.95680037361838999</v>
      </c>
      <c r="AN723" s="70">
        <v>0.99</v>
      </c>
      <c r="AO723" s="75">
        <v>1</v>
      </c>
      <c r="AP723" s="75">
        <v>1</v>
      </c>
      <c r="AQ723" s="75">
        <v>1</v>
      </c>
      <c r="AR723" s="75">
        <v>1</v>
      </c>
      <c r="AS723" s="95">
        <v>8.1059522893420499E-2</v>
      </c>
      <c r="AT723" s="79">
        <v>0</v>
      </c>
      <c r="AU723" s="79">
        <v>7.69230769230769E-2</v>
      </c>
      <c r="AV723" s="79">
        <v>0</v>
      </c>
      <c r="AW723" s="79">
        <v>2.1739130434782601E-2</v>
      </c>
      <c r="AX723" s="56"/>
      <c r="AY723" s="54"/>
    </row>
    <row r="724" spans="1:51">
      <c r="A724" s="53"/>
      <c r="B724" s="56"/>
      <c r="C724" s="90" t="s">
        <v>663</v>
      </c>
      <c r="D724" s="230" t="s">
        <v>1757</v>
      </c>
      <c r="E724" s="68" t="s">
        <v>664</v>
      </c>
      <c r="F724" s="113" t="s">
        <v>746</v>
      </c>
      <c r="G724" s="113" t="s">
        <v>746</v>
      </c>
      <c r="H724" s="113" t="s">
        <v>746</v>
      </c>
      <c r="I724" s="113" t="s">
        <v>746</v>
      </c>
      <c r="J724" s="70">
        <v>0.9</v>
      </c>
      <c r="K724" s="71">
        <v>1</v>
      </c>
      <c r="L724" s="71">
        <v>0.96153846153846201</v>
      </c>
      <c r="M724" s="72">
        <v>0.91304347826086996</v>
      </c>
      <c r="N724" s="71">
        <v>0.96545454545454501</v>
      </c>
      <c r="O724" s="73">
        <v>0.9</v>
      </c>
      <c r="P724" s="71">
        <v>0.93375728669846303</v>
      </c>
      <c r="Q724" s="71">
        <v>0.96406063702946698</v>
      </c>
      <c r="R724" s="71">
        <v>0.94563894523326597</v>
      </c>
      <c r="S724" s="71">
        <v>0.94316529097331103</v>
      </c>
      <c r="T724" s="73">
        <v>0.9</v>
      </c>
      <c r="U724" s="71">
        <v>0.77450980392156898</v>
      </c>
      <c r="V724" s="71">
        <v>0.62357349684891805</v>
      </c>
      <c r="W724" s="71">
        <v>0.65801217038539594</v>
      </c>
      <c r="X724" s="71">
        <v>0.72457170919668301</v>
      </c>
      <c r="Y724" s="73">
        <v>0.92</v>
      </c>
      <c r="Z724" s="73">
        <v>0.88606847697756796</v>
      </c>
      <c r="AA724" s="73">
        <v>0.91487532244196001</v>
      </c>
      <c r="AB724" s="73">
        <v>0.84725357411587698</v>
      </c>
      <c r="AC724" s="73">
        <v>0.88188679245282997</v>
      </c>
      <c r="AD724" s="73">
        <v>0.92</v>
      </c>
      <c r="AE724" s="71">
        <v>0.999545557827766</v>
      </c>
      <c r="AF724" s="71">
        <v>0.99476584022038606</v>
      </c>
      <c r="AG724" s="71">
        <v>0.99871822260200804</v>
      </c>
      <c r="AH724" s="71">
        <v>0.99813308179066895</v>
      </c>
      <c r="AI724" s="73">
        <v>0.92</v>
      </c>
      <c r="AJ724" s="71">
        <v>0.92136064374542803</v>
      </c>
      <c r="AK724" s="71">
        <v>0.94910435029855</v>
      </c>
      <c r="AL724" s="71">
        <v>0.90190126218245703</v>
      </c>
      <c r="AM724" s="71">
        <v>0.935720220560465</v>
      </c>
      <c r="AN724" s="70">
        <v>0.99</v>
      </c>
      <c r="AO724" s="75">
        <v>1</v>
      </c>
      <c r="AP724" s="75">
        <v>1</v>
      </c>
      <c r="AQ724" s="75">
        <v>1</v>
      </c>
      <c r="AR724" s="75">
        <v>1</v>
      </c>
      <c r="AS724" s="95">
        <v>8.1059522893420499E-2</v>
      </c>
      <c r="AT724" s="79">
        <v>1.9230769230769201E-2</v>
      </c>
      <c r="AU724" s="79">
        <v>2.27272727272727E-2</v>
      </c>
      <c r="AV724" s="79">
        <v>0</v>
      </c>
      <c r="AW724" s="79">
        <v>2.8423772609819101E-2</v>
      </c>
      <c r="AX724" s="56"/>
      <c r="AY724" s="54"/>
    </row>
    <row r="725" spans="1:51">
      <c r="A725" s="53"/>
      <c r="B725" s="56"/>
      <c r="C725" s="90" t="s">
        <v>663</v>
      </c>
      <c r="D725" s="230" t="s">
        <v>1757</v>
      </c>
      <c r="E725" s="68" t="s">
        <v>664</v>
      </c>
      <c r="F725" s="113" t="s">
        <v>747</v>
      </c>
      <c r="G725" s="113" t="s">
        <v>747</v>
      </c>
      <c r="H725" s="113" t="s">
        <v>747</v>
      </c>
      <c r="I725" s="113" t="s">
        <v>747</v>
      </c>
      <c r="J725" s="70">
        <v>0.9</v>
      </c>
      <c r="K725" s="71">
        <v>0.82758620689655205</v>
      </c>
      <c r="L725" s="71">
        <v>0.93333333333333302</v>
      </c>
      <c r="M725" s="72">
        <v>0.96428571428571397</v>
      </c>
      <c r="N725" s="71">
        <v>0.93730407523510995</v>
      </c>
      <c r="O725" s="73">
        <v>0.9</v>
      </c>
      <c r="P725" s="71">
        <v>0.95638465580662102</v>
      </c>
      <c r="Q725" s="71">
        <v>0.96885139519792296</v>
      </c>
      <c r="R725" s="71">
        <v>0.95217561740493895</v>
      </c>
      <c r="S725" s="71">
        <v>0.95438157045808203</v>
      </c>
      <c r="T725" s="73">
        <v>0.9</v>
      </c>
      <c r="U725" s="71">
        <v>0.90383604834471898</v>
      </c>
      <c r="V725" s="71">
        <v>0.89130434782608703</v>
      </c>
      <c r="W725" s="71">
        <v>0.88788710309682495</v>
      </c>
      <c r="X725" s="71">
        <v>0.90937037458727099</v>
      </c>
      <c r="Y725" s="73">
        <v>0.92</v>
      </c>
      <c r="Z725" s="73">
        <v>0.90425531914893598</v>
      </c>
      <c r="AA725" s="73">
        <v>0.94432548179871501</v>
      </c>
      <c r="AB725" s="73">
        <v>0.87684069611780502</v>
      </c>
      <c r="AC725" s="73">
        <v>0.91856287425149696</v>
      </c>
      <c r="AD725" s="73">
        <v>0.92</v>
      </c>
      <c r="AE725" s="71">
        <v>1</v>
      </c>
      <c r="AF725" s="71">
        <v>0.93852459016393397</v>
      </c>
      <c r="AG725" s="71">
        <v>0.97142857142857097</v>
      </c>
      <c r="AH725" s="71">
        <v>0.97549591598599805</v>
      </c>
      <c r="AI725" s="73">
        <v>0.92</v>
      </c>
      <c r="AJ725" s="71">
        <v>0.93015642051655101</v>
      </c>
      <c r="AK725" s="71">
        <v>0.95463510848126198</v>
      </c>
      <c r="AL725" s="71">
        <v>0.93298969072164994</v>
      </c>
      <c r="AM725" s="71">
        <v>0.95349400508659299</v>
      </c>
      <c r="AN725" s="70">
        <v>0.99</v>
      </c>
      <c r="AO725" s="75">
        <v>1</v>
      </c>
      <c r="AP725" s="75">
        <v>1</v>
      </c>
      <c r="AQ725" s="75">
        <v>1</v>
      </c>
      <c r="AR725" s="75">
        <v>1</v>
      </c>
      <c r="AS725" s="95">
        <v>8.1059522893420499E-2</v>
      </c>
      <c r="AT725" s="79">
        <v>0</v>
      </c>
      <c r="AU725" s="79">
        <v>0</v>
      </c>
      <c r="AV725" s="79">
        <v>0.11111111111111099</v>
      </c>
      <c r="AW725" s="79">
        <v>4.11764705882353E-2</v>
      </c>
      <c r="AX725" s="56"/>
      <c r="AY725" s="54"/>
    </row>
    <row r="726" spans="1:51">
      <c r="A726" s="53"/>
      <c r="B726" s="56"/>
      <c r="C726" s="90" t="s">
        <v>663</v>
      </c>
      <c r="D726" s="230" t="s">
        <v>1757</v>
      </c>
      <c r="E726" s="68" t="s">
        <v>664</v>
      </c>
      <c r="F726" s="113" t="s">
        <v>748</v>
      </c>
      <c r="G726" s="113" t="s">
        <v>748</v>
      </c>
      <c r="H726" s="113" t="s">
        <v>748</v>
      </c>
      <c r="I726" s="113" t="s">
        <v>748</v>
      </c>
      <c r="J726" s="70">
        <v>0.9</v>
      </c>
      <c r="K726" s="71">
        <v>0.9375</v>
      </c>
      <c r="L726" s="71">
        <v>1</v>
      </c>
      <c r="M726" s="72">
        <v>0.96875</v>
      </c>
      <c r="N726" s="71">
        <v>0.97783933518005495</v>
      </c>
      <c r="O726" s="73">
        <v>0.9</v>
      </c>
      <c r="P726" s="71">
        <v>0.94863861386138604</v>
      </c>
      <c r="Q726" s="71">
        <v>0.95903271692745395</v>
      </c>
      <c r="R726" s="71">
        <v>0.90762771168649403</v>
      </c>
      <c r="S726" s="71">
        <v>0.95000158624409103</v>
      </c>
      <c r="T726" s="73">
        <v>0.9</v>
      </c>
      <c r="U726" s="71">
        <v>0.77784653465346498</v>
      </c>
      <c r="V726" s="71">
        <v>0.840682788051209</v>
      </c>
      <c r="W726" s="71">
        <v>0.85304408677396804</v>
      </c>
      <c r="X726" s="71">
        <v>0.84927508645030303</v>
      </c>
      <c r="Y726" s="73">
        <v>0.92</v>
      </c>
      <c r="Z726" s="73">
        <v>0.88951521984216497</v>
      </c>
      <c r="AA726" s="73">
        <v>0.85922330097087396</v>
      </c>
      <c r="AB726" s="73">
        <v>0.92392544693799905</v>
      </c>
      <c r="AC726" s="73">
        <v>0.90744875177592899</v>
      </c>
      <c r="AD726" s="73">
        <v>0.92</v>
      </c>
      <c r="AE726" s="71">
        <v>0.99404761904761896</v>
      </c>
      <c r="AF726" s="71">
        <v>0.92694063926940595</v>
      </c>
      <c r="AG726" s="71">
        <v>0.85046728971962604</v>
      </c>
      <c r="AH726" s="71">
        <v>0.96252676659528902</v>
      </c>
      <c r="AI726" s="73">
        <v>0.92</v>
      </c>
      <c r="AJ726" s="71">
        <v>0.92209348781462197</v>
      </c>
      <c r="AK726" s="71">
        <v>0.94831975560081505</v>
      </c>
      <c r="AL726" s="71">
        <v>0.93297190734351898</v>
      </c>
      <c r="AM726" s="71">
        <v>0.94559648105181704</v>
      </c>
      <c r="AN726" s="70">
        <v>0.99</v>
      </c>
      <c r="AO726" s="75">
        <v>1</v>
      </c>
      <c r="AP726" s="75">
        <v>1</v>
      </c>
      <c r="AQ726" s="75">
        <v>1</v>
      </c>
      <c r="AR726" s="75">
        <v>1</v>
      </c>
      <c r="AS726" s="95">
        <v>8.1059522893420499E-2</v>
      </c>
      <c r="AT726" s="79">
        <v>0.05</v>
      </c>
      <c r="AU726" s="79">
        <v>0</v>
      </c>
      <c r="AV726" s="79">
        <v>0</v>
      </c>
      <c r="AW726" s="79">
        <v>3.0674846625766899E-2</v>
      </c>
      <c r="AX726" s="56"/>
      <c r="AY726" s="54"/>
    </row>
    <row r="727" spans="1:51">
      <c r="A727" s="53"/>
      <c r="B727" s="56"/>
      <c r="C727" s="90" t="s">
        <v>663</v>
      </c>
      <c r="D727" s="230" t="s">
        <v>1757</v>
      </c>
      <c r="E727" s="68" t="s">
        <v>664</v>
      </c>
      <c r="F727" s="113" t="s">
        <v>749</v>
      </c>
      <c r="G727" s="113" t="s">
        <v>749</v>
      </c>
      <c r="H727" s="113" t="s">
        <v>749</v>
      </c>
      <c r="I727" s="113" t="s">
        <v>749</v>
      </c>
      <c r="J727" s="70">
        <v>0.9</v>
      </c>
      <c r="K727" s="71">
        <v>1</v>
      </c>
      <c r="L727" s="71">
        <v>1</v>
      </c>
      <c r="M727" s="72">
        <v>1</v>
      </c>
      <c r="N727" s="71">
        <v>0.89696969696969697</v>
      </c>
      <c r="O727" s="73">
        <v>0.9</v>
      </c>
      <c r="P727" s="71">
        <v>0.96595208070617899</v>
      </c>
      <c r="Q727" s="71">
        <v>0.98312710911136103</v>
      </c>
      <c r="R727" s="71">
        <v>0.97843019772318796</v>
      </c>
      <c r="S727" s="71">
        <v>0.97850159029332096</v>
      </c>
      <c r="T727" s="73">
        <v>0.9</v>
      </c>
      <c r="U727" s="71">
        <v>0.93064312736443899</v>
      </c>
      <c r="V727" s="71">
        <v>0.93307086614173196</v>
      </c>
      <c r="W727" s="71">
        <v>0.93888556021569802</v>
      </c>
      <c r="X727" s="71">
        <v>0.944693132288844</v>
      </c>
      <c r="Y727" s="73">
        <v>0.92</v>
      </c>
      <c r="Z727" s="73">
        <v>0.86363636363636398</v>
      </c>
      <c r="AA727" s="73">
        <v>0.80582524271844702</v>
      </c>
      <c r="AB727" s="73">
        <v>0.88046647230320696</v>
      </c>
      <c r="AC727" s="73">
        <v>0.88143682491836195</v>
      </c>
      <c r="AD727" s="73">
        <v>0.92</v>
      </c>
      <c r="AE727" s="71">
        <v>1</v>
      </c>
      <c r="AF727" s="71">
        <v>1</v>
      </c>
      <c r="AG727" s="71">
        <v>1</v>
      </c>
      <c r="AH727" s="71">
        <v>0.99404367968232998</v>
      </c>
      <c r="AI727" s="73">
        <v>0.92</v>
      </c>
      <c r="AJ727" s="71">
        <v>0.92133008921330095</v>
      </c>
      <c r="AK727" s="71">
        <v>0.96068548387096797</v>
      </c>
      <c r="AL727" s="71">
        <v>0.96272365805169002</v>
      </c>
      <c r="AM727" s="71">
        <v>0.96135680549592095</v>
      </c>
      <c r="AN727" s="70">
        <v>0.99</v>
      </c>
      <c r="AO727" s="75">
        <v>1</v>
      </c>
      <c r="AP727" s="75">
        <v>1</v>
      </c>
      <c r="AQ727" s="75">
        <v>1</v>
      </c>
      <c r="AR727" s="75">
        <v>1</v>
      </c>
      <c r="AS727" s="95">
        <v>8.1059522893420499E-2</v>
      </c>
      <c r="AT727" s="79">
        <v>0</v>
      </c>
      <c r="AU727" s="79">
        <v>0</v>
      </c>
      <c r="AV727" s="79">
        <v>0</v>
      </c>
      <c r="AW727" s="79">
        <v>0.05</v>
      </c>
      <c r="AX727" s="56"/>
      <c r="AY727" s="54"/>
    </row>
    <row r="728" spans="1:51">
      <c r="A728" s="53"/>
      <c r="B728" s="56"/>
      <c r="C728" s="90" t="s">
        <v>663</v>
      </c>
      <c r="D728" s="230" t="s">
        <v>1757</v>
      </c>
      <c r="E728" s="68" t="s">
        <v>664</v>
      </c>
      <c r="F728" s="113" t="s">
        <v>750</v>
      </c>
      <c r="G728" s="113" t="s">
        <v>750</v>
      </c>
      <c r="H728" s="113" t="s">
        <v>750</v>
      </c>
      <c r="I728" s="113" t="s">
        <v>750</v>
      </c>
      <c r="J728" s="70">
        <v>0.9</v>
      </c>
      <c r="K728" s="71">
        <v>0.92857142857142905</v>
      </c>
      <c r="L728" s="71">
        <v>1</v>
      </c>
      <c r="M728" s="72">
        <v>0.88461538461538503</v>
      </c>
      <c r="N728" s="71">
        <v>0.94207317073170704</v>
      </c>
      <c r="O728" s="73">
        <v>0.9</v>
      </c>
      <c r="P728" s="71">
        <v>0.98050974512743605</v>
      </c>
      <c r="Q728" s="71">
        <v>0.97463768115941996</v>
      </c>
      <c r="R728" s="71">
        <v>0.94836956521739102</v>
      </c>
      <c r="S728" s="71">
        <v>0.97453574559655698</v>
      </c>
      <c r="T728" s="73">
        <v>0.9</v>
      </c>
      <c r="U728" s="71">
        <v>0.95277361319340304</v>
      </c>
      <c r="V728" s="71">
        <v>0.96594202898550696</v>
      </c>
      <c r="W728" s="71">
        <v>0.96506211180124202</v>
      </c>
      <c r="X728" s="71">
        <v>0.96843867059854905</v>
      </c>
      <c r="Y728" s="73">
        <v>0.92</v>
      </c>
      <c r="Z728" s="73">
        <v>0.95903010033444802</v>
      </c>
      <c r="AA728" s="73">
        <v>0.93361884368308401</v>
      </c>
      <c r="AB728" s="73">
        <v>0.95110593713620495</v>
      </c>
      <c r="AC728" s="73">
        <v>0.958452722063037</v>
      </c>
      <c r="AD728" s="73">
        <v>0.92</v>
      </c>
      <c r="AE728" s="71">
        <v>0.99964776329693505</v>
      </c>
      <c r="AF728" s="71">
        <v>1</v>
      </c>
      <c r="AG728" s="71">
        <v>0.99847328244274802</v>
      </c>
      <c r="AH728" s="71">
        <v>0.99886978763904599</v>
      </c>
      <c r="AI728" s="73">
        <v>0.92</v>
      </c>
      <c r="AJ728" s="71">
        <v>0.96523113393915405</v>
      </c>
      <c r="AK728" s="71">
        <v>0.97768825534552195</v>
      </c>
      <c r="AL728" s="71">
        <v>0.97641921397379905</v>
      </c>
      <c r="AM728" s="71">
        <v>0.97917921362815097</v>
      </c>
      <c r="AN728" s="70">
        <v>0.99</v>
      </c>
      <c r="AO728" s="75">
        <v>1</v>
      </c>
      <c r="AP728" s="75">
        <v>1</v>
      </c>
      <c r="AQ728" s="75">
        <v>1</v>
      </c>
      <c r="AR728" s="75">
        <v>1</v>
      </c>
      <c r="AS728" s="95">
        <v>8.1059522893420499E-2</v>
      </c>
      <c r="AT728" s="79">
        <v>0.14285714285714299</v>
      </c>
      <c r="AU728" s="79">
        <v>0</v>
      </c>
      <c r="AV728" s="79">
        <v>0</v>
      </c>
      <c r="AW728" s="79">
        <v>4.7619047619047603E-2</v>
      </c>
      <c r="AX728" s="56"/>
      <c r="AY728" s="54"/>
    </row>
    <row r="729" spans="1:51">
      <c r="A729" s="53"/>
      <c r="B729" s="56"/>
      <c r="C729" s="90" t="s">
        <v>663</v>
      </c>
      <c r="D729" s="230" t="s">
        <v>1757</v>
      </c>
      <c r="E729" s="68" t="s">
        <v>664</v>
      </c>
      <c r="F729" s="113" t="s">
        <v>751</v>
      </c>
      <c r="G729" s="113" t="s">
        <v>751</v>
      </c>
      <c r="H729" s="113" t="s">
        <v>751</v>
      </c>
      <c r="I729" s="113" t="s">
        <v>751</v>
      </c>
      <c r="J729" s="70">
        <v>0.9</v>
      </c>
      <c r="K729" s="71">
        <v>0.95774647887323905</v>
      </c>
      <c r="L729" s="71">
        <v>0.98648648648648696</v>
      </c>
      <c r="M729" s="72">
        <v>0.97222222222222199</v>
      </c>
      <c r="N729" s="71">
        <v>0.96867167919799502</v>
      </c>
      <c r="O729" s="73">
        <v>0.9</v>
      </c>
      <c r="P729" s="71">
        <v>0.99341744377399899</v>
      </c>
      <c r="Q729" s="71">
        <v>0.98871766648321402</v>
      </c>
      <c r="R729" s="71">
        <v>0.99473684210526303</v>
      </c>
      <c r="S729" s="71">
        <v>0.99259492910358105</v>
      </c>
      <c r="T729" s="73">
        <v>0.9</v>
      </c>
      <c r="U729" s="71">
        <v>0.95282501371365902</v>
      </c>
      <c r="V729" s="71">
        <v>0.94441386901486002</v>
      </c>
      <c r="W729" s="71">
        <v>0.93609022556390997</v>
      </c>
      <c r="X729" s="71">
        <v>0.94888548425859198</v>
      </c>
      <c r="Y729" s="73">
        <v>0.92</v>
      </c>
      <c r="Z729" s="73">
        <v>0.94738628649015599</v>
      </c>
      <c r="AA729" s="73">
        <v>0.95947219604147005</v>
      </c>
      <c r="AB729" s="73">
        <v>0.93916518650088798</v>
      </c>
      <c r="AC729" s="73">
        <v>0.95494311414137301</v>
      </c>
      <c r="AD729" s="73">
        <v>0.92</v>
      </c>
      <c r="AE729" s="71">
        <v>0.99900284900284897</v>
      </c>
      <c r="AF729" s="71">
        <v>0.99699381078691396</v>
      </c>
      <c r="AG729" s="71">
        <v>0.99725920125293699</v>
      </c>
      <c r="AH729" s="71">
        <v>0.99849473156046198</v>
      </c>
      <c r="AI729" s="73">
        <v>0.92</v>
      </c>
      <c r="AJ729" s="71">
        <v>0.96347931504773499</v>
      </c>
      <c r="AK729" s="71">
        <v>0.97791911676467103</v>
      </c>
      <c r="AL729" s="71">
        <v>0.956209297103077</v>
      </c>
      <c r="AM729" s="71">
        <v>0.973014267812782</v>
      </c>
      <c r="AN729" s="70">
        <v>0.99</v>
      </c>
      <c r="AO729" s="75">
        <v>1</v>
      </c>
      <c r="AP729" s="75">
        <v>1</v>
      </c>
      <c r="AQ729" s="75">
        <v>1</v>
      </c>
      <c r="AR729" s="75">
        <v>1</v>
      </c>
      <c r="AS729" s="95">
        <v>8.1059522893420499E-2</v>
      </c>
      <c r="AT729" s="79">
        <v>3.2258064516128997E-2</v>
      </c>
      <c r="AU729" s="79">
        <v>9.0909090909090898E-2</v>
      </c>
      <c r="AV729" s="79">
        <v>0</v>
      </c>
      <c r="AW729" s="79">
        <v>1.8469656992084402E-2</v>
      </c>
      <c r="AX729" s="56"/>
      <c r="AY729" s="54"/>
    </row>
    <row r="730" spans="1:51">
      <c r="A730" s="53"/>
      <c r="B730" s="56"/>
      <c r="C730" s="90" t="s">
        <v>663</v>
      </c>
      <c r="D730" s="230" t="s">
        <v>1757</v>
      </c>
      <c r="E730" s="68" t="s">
        <v>664</v>
      </c>
      <c r="F730" s="113" t="s">
        <v>752</v>
      </c>
      <c r="G730" s="113" t="s">
        <v>752</v>
      </c>
      <c r="H730" s="113" t="s">
        <v>752</v>
      </c>
      <c r="I730" s="113" t="s">
        <v>752</v>
      </c>
      <c r="J730" s="70">
        <v>0.9</v>
      </c>
      <c r="K730" s="71">
        <v>0.95</v>
      </c>
      <c r="L730" s="71">
        <v>1</v>
      </c>
      <c r="M730" s="72">
        <v>0.94871794871794901</v>
      </c>
      <c r="N730" s="71">
        <v>0.96868008948545903</v>
      </c>
      <c r="O730" s="73">
        <v>0.9</v>
      </c>
      <c r="P730" s="71">
        <v>0.98439937597503901</v>
      </c>
      <c r="Q730" s="71">
        <v>0.98432055749128899</v>
      </c>
      <c r="R730" s="71">
        <v>0.98796169630642905</v>
      </c>
      <c r="S730" s="71">
        <v>0.98523944592845503</v>
      </c>
      <c r="T730" s="73">
        <v>0.9</v>
      </c>
      <c r="U730" s="71">
        <v>0.95163806552262098</v>
      </c>
      <c r="V730" s="71">
        <v>0.94997511199601803</v>
      </c>
      <c r="W730" s="71">
        <v>0.95731874145006801</v>
      </c>
      <c r="X730" s="71">
        <v>0.95789386721008996</v>
      </c>
      <c r="Y730" s="73">
        <v>0.92</v>
      </c>
      <c r="Z730" s="73">
        <v>0.94529914529914505</v>
      </c>
      <c r="AA730" s="73">
        <v>0.96200345423143396</v>
      </c>
      <c r="AB730" s="73">
        <v>0.96425670186839996</v>
      </c>
      <c r="AC730" s="73">
        <v>0.96317882611080596</v>
      </c>
      <c r="AD730" s="73">
        <v>0.92</v>
      </c>
      <c r="AE730" s="71">
        <v>0.99874277093286401</v>
      </c>
      <c r="AF730" s="71">
        <v>0.99886932644160897</v>
      </c>
      <c r="AG730" s="71">
        <v>0.99638009049773801</v>
      </c>
      <c r="AH730" s="71">
        <v>0.99866550325925196</v>
      </c>
      <c r="AI730" s="73">
        <v>0.92</v>
      </c>
      <c r="AJ730" s="71">
        <v>0.965742251223491</v>
      </c>
      <c r="AK730" s="71">
        <v>0.98303979125896901</v>
      </c>
      <c r="AL730" s="71">
        <v>0.97973802701596402</v>
      </c>
      <c r="AM730" s="71">
        <v>0.98188747446173197</v>
      </c>
      <c r="AN730" s="70">
        <v>0.99</v>
      </c>
      <c r="AO730" s="75">
        <v>1</v>
      </c>
      <c r="AP730" s="75">
        <v>1</v>
      </c>
      <c r="AQ730" s="75">
        <v>1</v>
      </c>
      <c r="AR730" s="75">
        <v>1</v>
      </c>
      <c r="AS730" s="95">
        <v>8.1059522893420499E-2</v>
      </c>
      <c r="AT730" s="79">
        <v>0</v>
      </c>
      <c r="AU730" s="79">
        <v>0.05</v>
      </c>
      <c r="AV730" s="79">
        <v>0</v>
      </c>
      <c r="AW730" s="79">
        <v>2.1390374331550801E-2</v>
      </c>
      <c r="AX730" s="56"/>
      <c r="AY730" s="54"/>
    </row>
    <row r="731" spans="1:51">
      <c r="A731" s="53"/>
      <c r="B731" s="56"/>
      <c r="C731" s="90" t="s">
        <v>663</v>
      </c>
      <c r="D731" s="230" t="s">
        <v>1757</v>
      </c>
      <c r="E731" s="68" t="s">
        <v>664</v>
      </c>
      <c r="F731" s="113" t="s">
        <v>753</v>
      </c>
      <c r="G731" s="113" t="s">
        <v>753</v>
      </c>
      <c r="H731" s="113" t="s">
        <v>753</v>
      </c>
      <c r="I731" s="113" t="s">
        <v>753</v>
      </c>
      <c r="J731" s="70">
        <v>0.9</v>
      </c>
      <c r="K731" s="71">
        <v>0.92</v>
      </c>
      <c r="L731" s="71">
        <v>0.87755102040816302</v>
      </c>
      <c r="M731" s="72">
        <v>0.93617021276595702</v>
      </c>
      <c r="N731" s="71">
        <v>0.92870544090056295</v>
      </c>
      <c r="O731" s="73">
        <v>0.9</v>
      </c>
      <c r="P731" s="71">
        <v>0.97393364928909998</v>
      </c>
      <c r="Q731" s="71">
        <v>0.96753246753246802</v>
      </c>
      <c r="R731" s="71">
        <v>0.96276346604215501</v>
      </c>
      <c r="S731" s="71">
        <v>0.97029659238974397</v>
      </c>
      <c r="T731" s="73">
        <v>0.9</v>
      </c>
      <c r="U731" s="71">
        <v>0.924565560821485</v>
      </c>
      <c r="V731" s="71">
        <v>0.93258212375859395</v>
      </c>
      <c r="W731" s="71">
        <v>0.92131147540983604</v>
      </c>
      <c r="X731" s="71">
        <v>0.928137629469314</v>
      </c>
      <c r="Y731" s="73">
        <v>0.92</v>
      </c>
      <c r="Z731" s="73">
        <v>0.94613918017159204</v>
      </c>
      <c r="AA731" s="73">
        <v>0.95130237825594599</v>
      </c>
      <c r="AB731" s="73">
        <v>0.94722955145118704</v>
      </c>
      <c r="AC731" s="73">
        <v>0.94271667047793295</v>
      </c>
      <c r="AD731" s="73">
        <v>0.92</v>
      </c>
      <c r="AE731" s="71">
        <v>0.99896871777243001</v>
      </c>
      <c r="AF731" s="71">
        <v>0.98253275109170302</v>
      </c>
      <c r="AG731" s="71">
        <v>0.99513513513513496</v>
      </c>
      <c r="AH731" s="71">
        <v>0.98500275508492896</v>
      </c>
      <c r="AI731" s="73">
        <v>0.92</v>
      </c>
      <c r="AJ731" s="71">
        <v>0.95729076790336498</v>
      </c>
      <c r="AK731" s="71">
        <v>0.96830583238032997</v>
      </c>
      <c r="AL731" s="71">
        <v>0.95852773457750096</v>
      </c>
      <c r="AM731" s="71">
        <v>0.963198292884897</v>
      </c>
      <c r="AN731" s="70">
        <v>0.99</v>
      </c>
      <c r="AO731" s="75">
        <v>1</v>
      </c>
      <c r="AP731" s="75">
        <v>1</v>
      </c>
      <c r="AQ731" s="75">
        <v>1</v>
      </c>
      <c r="AR731" s="75">
        <v>1</v>
      </c>
      <c r="AS731" s="95">
        <v>8.1059522893420499E-2</v>
      </c>
      <c r="AT731" s="79">
        <v>0.05</v>
      </c>
      <c r="AU731" s="79">
        <v>0</v>
      </c>
      <c r="AV731" s="79">
        <v>4.5454545454545497E-2</v>
      </c>
      <c r="AW731" s="79">
        <v>5.3658536585365901E-2</v>
      </c>
      <c r="AX731" s="56"/>
      <c r="AY731" s="54"/>
    </row>
    <row r="732" spans="1:51">
      <c r="A732" s="53"/>
      <c r="B732" s="56"/>
      <c r="C732" s="90" t="s">
        <v>663</v>
      </c>
      <c r="D732" s="230" t="s">
        <v>1757</v>
      </c>
      <c r="E732" s="68" t="s">
        <v>664</v>
      </c>
      <c r="F732" s="113" t="s">
        <v>754</v>
      </c>
      <c r="G732" s="113" t="s">
        <v>754</v>
      </c>
      <c r="H732" s="113" t="s">
        <v>754</v>
      </c>
      <c r="I732" s="113" t="s">
        <v>754</v>
      </c>
      <c r="J732" s="70">
        <v>0.9</v>
      </c>
      <c r="K732" s="71">
        <v>0.9375</v>
      </c>
      <c r="L732" s="71">
        <v>0.94117647058823495</v>
      </c>
      <c r="M732" s="72">
        <v>0.94117647058823495</v>
      </c>
      <c r="N732" s="71">
        <v>0.92307692307692302</v>
      </c>
      <c r="O732" s="73">
        <v>0.9</v>
      </c>
      <c r="P732" s="71">
        <v>0.95810810810810798</v>
      </c>
      <c r="Q732" s="71">
        <v>0.95299316994776995</v>
      </c>
      <c r="R732" s="71">
        <v>0.90103092783505201</v>
      </c>
      <c r="S732" s="71">
        <v>0.93743418743418705</v>
      </c>
      <c r="T732" s="73">
        <v>0.9</v>
      </c>
      <c r="U732" s="71">
        <v>0.91486486486486496</v>
      </c>
      <c r="V732" s="71">
        <v>0.90638810767376499</v>
      </c>
      <c r="W732" s="71">
        <v>0.898556701030928</v>
      </c>
      <c r="X732" s="71">
        <v>0.92027904527904503</v>
      </c>
      <c r="Y732" s="73">
        <v>0.92</v>
      </c>
      <c r="Z732" s="73">
        <v>0.94448913917940502</v>
      </c>
      <c r="AA732" s="73">
        <v>0.96643109540635996</v>
      </c>
      <c r="AB732" s="73">
        <v>0.91836734693877597</v>
      </c>
      <c r="AC732" s="73">
        <v>0.94168250475142501</v>
      </c>
      <c r="AD732" s="73">
        <v>0.92</v>
      </c>
      <c r="AE732" s="71">
        <v>0.99178247734139002</v>
      </c>
      <c r="AF732" s="71">
        <v>0.998294097577619</v>
      </c>
      <c r="AG732" s="71">
        <v>0.99673748103186599</v>
      </c>
      <c r="AH732" s="71">
        <v>0.94547877937565805</v>
      </c>
      <c r="AI732" s="73">
        <v>0.92</v>
      </c>
      <c r="AJ732" s="71">
        <v>0.96036697247706404</v>
      </c>
      <c r="AK732" s="71">
        <v>0.96858638743455505</v>
      </c>
      <c r="AL732" s="71">
        <v>0.94815256257449299</v>
      </c>
      <c r="AM732" s="71">
        <v>0.96331869740212195</v>
      </c>
      <c r="AN732" s="70">
        <v>0.99</v>
      </c>
      <c r="AO732" s="75">
        <v>1</v>
      </c>
      <c r="AP732" s="75">
        <v>1</v>
      </c>
      <c r="AQ732" s="75">
        <v>1</v>
      </c>
      <c r="AR732" s="75">
        <v>1</v>
      </c>
      <c r="AS732" s="95">
        <v>8.1059522893420499E-2</v>
      </c>
      <c r="AT732" s="79">
        <v>0</v>
      </c>
      <c r="AU732" s="79">
        <v>0</v>
      </c>
      <c r="AV732" s="79">
        <v>0</v>
      </c>
      <c r="AW732" s="79">
        <v>2.1978021978022001E-2</v>
      </c>
      <c r="AX732" s="56"/>
      <c r="AY732" s="54"/>
    </row>
    <row r="733" spans="1:51">
      <c r="A733" s="53"/>
      <c r="B733" s="56"/>
      <c r="C733" s="90" t="s">
        <v>663</v>
      </c>
      <c r="D733" s="230" t="s">
        <v>1757</v>
      </c>
      <c r="E733" s="68" t="s">
        <v>664</v>
      </c>
      <c r="F733" s="113" t="s">
        <v>755</v>
      </c>
      <c r="G733" s="113" t="s">
        <v>755</v>
      </c>
      <c r="H733" s="113" t="s">
        <v>755</v>
      </c>
      <c r="I733" s="113" t="s">
        <v>755</v>
      </c>
      <c r="J733" s="70">
        <v>0.9</v>
      </c>
      <c r="K733" s="71">
        <v>1</v>
      </c>
      <c r="L733" s="71">
        <v>1</v>
      </c>
      <c r="M733" s="72">
        <v>0.96</v>
      </c>
      <c r="N733" s="71">
        <v>0.98381877022653696</v>
      </c>
      <c r="O733" s="73">
        <v>0.9</v>
      </c>
      <c r="P733" s="71">
        <v>0.98696319018404899</v>
      </c>
      <c r="Q733" s="71">
        <v>0.98901501281581805</v>
      </c>
      <c r="R733" s="71">
        <v>0.97743785850860399</v>
      </c>
      <c r="S733" s="71">
        <v>0.98814308681672003</v>
      </c>
      <c r="T733" s="73">
        <v>0.9</v>
      </c>
      <c r="U733" s="71">
        <v>0.95168711656441696</v>
      </c>
      <c r="V733" s="71">
        <v>0.94910289271329196</v>
      </c>
      <c r="W733" s="71">
        <v>0.93613766730401504</v>
      </c>
      <c r="X733" s="71">
        <v>0.95004019292604502</v>
      </c>
      <c r="Y733" s="73">
        <v>0.92</v>
      </c>
      <c r="Z733" s="73">
        <v>0.96530249110320299</v>
      </c>
      <c r="AA733" s="73">
        <v>0.97530864197530898</v>
      </c>
      <c r="AB733" s="73">
        <v>0.97754137115839201</v>
      </c>
      <c r="AC733" s="73">
        <v>0.96776564468710602</v>
      </c>
      <c r="AD733" s="73">
        <v>0.92</v>
      </c>
      <c r="AE733" s="71">
        <v>0.99826989619377204</v>
      </c>
      <c r="AF733" s="71">
        <v>0.99601196410767701</v>
      </c>
      <c r="AG733" s="71">
        <v>0.98780487804878003</v>
      </c>
      <c r="AH733" s="71">
        <v>0.99739281575897998</v>
      </c>
      <c r="AI733" s="73">
        <v>0.92</v>
      </c>
      <c r="AJ733" s="71">
        <v>0.97572016460905397</v>
      </c>
      <c r="AK733" s="71">
        <v>0.983530142945929</v>
      </c>
      <c r="AL733" s="71">
        <v>0.98526437445824899</v>
      </c>
      <c r="AM733" s="71">
        <v>0.98183720321990098</v>
      </c>
      <c r="AN733" s="70">
        <v>0.99</v>
      </c>
      <c r="AO733" s="75">
        <v>1</v>
      </c>
      <c r="AP733" s="75">
        <v>1</v>
      </c>
      <c r="AQ733" s="75">
        <v>1</v>
      </c>
      <c r="AR733" s="75">
        <v>1</v>
      </c>
      <c r="AS733" s="95">
        <v>8.1059522893420499E-2</v>
      </c>
      <c r="AT733" s="79">
        <v>9.0909090909090898E-2</v>
      </c>
      <c r="AU733" s="79">
        <v>0</v>
      </c>
      <c r="AV733" s="79">
        <v>0</v>
      </c>
      <c r="AW733" s="79">
        <v>4.4642857142857102E-2</v>
      </c>
      <c r="AX733" s="56"/>
      <c r="AY733" s="54"/>
    </row>
    <row r="734" spans="1:51">
      <c r="A734" s="53"/>
      <c r="B734" s="56"/>
      <c r="C734" s="90" t="s">
        <v>663</v>
      </c>
      <c r="D734" s="230" t="s">
        <v>1757</v>
      </c>
      <c r="E734" s="68" t="s">
        <v>664</v>
      </c>
      <c r="F734" s="113" t="s">
        <v>756</v>
      </c>
      <c r="G734" s="113" t="s">
        <v>756</v>
      </c>
      <c r="H734" s="113" t="s">
        <v>756</v>
      </c>
      <c r="I734" s="113" t="s">
        <v>756</v>
      </c>
      <c r="J734" s="70">
        <v>0.9</v>
      </c>
      <c r="K734" s="71">
        <v>0.97142857142857097</v>
      </c>
      <c r="L734" s="71">
        <v>0.94871794871794901</v>
      </c>
      <c r="M734" s="72">
        <v>1</v>
      </c>
      <c r="N734" s="71">
        <v>0.96252927400468402</v>
      </c>
      <c r="O734" s="73">
        <v>0.9</v>
      </c>
      <c r="P734" s="71">
        <v>0.98321342925659505</v>
      </c>
      <c r="Q734" s="71">
        <v>0.97754667927203998</v>
      </c>
      <c r="R734" s="71">
        <v>0.97903088693680895</v>
      </c>
      <c r="S734" s="71">
        <v>0.97524971028089003</v>
      </c>
      <c r="T734" s="73">
        <v>0.9</v>
      </c>
      <c r="U734" s="71">
        <v>0.910791366906475</v>
      </c>
      <c r="V734" s="71">
        <v>0.92105885133538201</v>
      </c>
      <c r="W734" s="71">
        <v>0.92717483706432402</v>
      </c>
      <c r="X734" s="71">
        <v>0.93110203631146204</v>
      </c>
      <c r="Y734" s="73">
        <v>0.92</v>
      </c>
      <c r="Z734" s="73">
        <v>0.93651685393258399</v>
      </c>
      <c r="AA734" s="73">
        <v>0.93944099378881996</v>
      </c>
      <c r="AB734" s="73">
        <v>0.94641384995877997</v>
      </c>
      <c r="AC734" s="73">
        <v>0.95182020535650202</v>
      </c>
      <c r="AD734" s="73">
        <v>0.92</v>
      </c>
      <c r="AE734" s="71">
        <v>0.99971671388102001</v>
      </c>
      <c r="AF734" s="71">
        <v>0.99911769895888503</v>
      </c>
      <c r="AG734" s="71">
        <v>0.99860335195530703</v>
      </c>
      <c r="AH734" s="71">
        <v>0.99919207714360203</v>
      </c>
      <c r="AI734" s="73">
        <v>0.92</v>
      </c>
      <c r="AJ734" s="71">
        <v>0.95474528057926</v>
      </c>
      <c r="AK734" s="71">
        <v>0.96924338732827597</v>
      </c>
      <c r="AL734" s="71">
        <v>0.96480505795574301</v>
      </c>
      <c r="AM734" s="71">
        <v>0.96986235882317795</v>
      </c>
      <c r="AN734" s="70">
        <v>0.99</v>
      </c>
      <c r="AO734" s="75">
        <v>1</v>
      </c>
      <c r="AP734" s="75">
        <v>1</v>
      </c>
      <c r="AQ734" s="75">
        <v>1</v>
      </c>
      <c r="AR734" s="75">
        <v>1</v>
      </c>
      <c r="AS734" s="95">
        <v>8.1059522893420499E-2</v>
      </c>
      <c r="AT734" s="79">
        <v>0.13793103448275901</v>
      </c>
      <c r="AU734" s="79">
        <v>7.8947368421052599E-2</v>
      </c>
      <c r="AV734" s="79">
        <v>0</v>
      </c>
      <c r="AW734" s="79">
        <v>5.0675675675675699E-2</v>
      </c>
      <c r="AX734" s="56"/>
      <c r="AY734" s="54"/>
    </row>
    <row r="735" spans="1:51">
      <c r="A735" s="53"/>
      <c r="B735" s="56"/>
      <c r="C735" s="90" t="s">
        <v>663</v>
      </c>
      <c r="D735" s="230" t="s">
        <v>1757</v>
      </c>
      <c r="E735" s="68" t="s">
        <v>664</v>
      </c>
      <c r="F735" s="113" t="s">
        <v>757</v>
      </c>
      <c r="G735" s="113" t="s">
        <v>757</v>
      </c>
      <c r="H735" s="113" t="s">
        <v>757</v>
      </c>
      <c r="I735" s="113" t="s">
        <v>757</v>
      </c>
      <c r="J735" s="70">
        <v>0.9</v>
      </c>
      <c r="K735" s="71">
        <v>0.94285714285714295</v>
      </c>
      <c r="L735" s="71">
        <v>0.92105263157894701</v>
      </c>
      <c r="M735" s="72">
        <v>0.96969696969696995</v>
      </c>
      <c r="N735" s="71">
        <v>0.90379746835442998</v>
      </c>
      <c r="O735" s="73">
        <v>0.9</v>
      </c>
      <c r="P735" s="71">
        <v>0.96298438403701603</v>
      </c>
      <c r="Q735" s="71">
        <v>0.96044711951848705</v>
      </c>
      <c r="R735" s="71">
        <v>0.95505971087366404</v>
      </c>
      <c r="S735" s="71">
        <v>0.97127285859680201</v>
      </c>
      <c r="T735" s="73">
        <v>0.9</v>
      </c>
      <c r="U735" s="71">
        <v>0.96298438403701603</v>
      </c>
      <c r="V735" s="71">
        <v>0.96016050444253398</v>
      </c>
      <c r="W735" s="71">
        <v>0.95537397862979301</v>
      </c>
      <c r="X735" s="71">
        <v>0.95429922190485605</v>
      </c>
      <c r="Y735" s="73">
        <v>0.92</v>
      </c>
      <c r="Z735" s="73">
        <v>0.96502057613168701</v>
      </c>
      <c r="AA735" s="73">
        <v>0.95948136142625595</v>
      </c>
      <c r="AB735" s="73">
        <v>0.94902687673772002</v>
      </c>
      <c r="AC735" s="73">
        <v>0.95476268951878696</v>
      </c>
      <c r="AD735" s="73">
        <v>0.92</v>
      </c>
      <c r="AE735" s="71">
        <v>0.99980934223069595</v>
      </c>
      <c r="AF735" s="71">
        <v>0.99929735806632902</v>
      </c>
      <c r="AG735" s="71">
        <v>0.99863138686131403</v>
      </c>
      <c r="AH735" s="71">
        <v>0.99921945681290003</v>
      </c>
      <c r="AI735" s="73">
        <v>0.92</v>
      </c>
      <c r="AJ735" s="71">
        <v>0.97584692597239697</v>
      </c>
      <c r="AK735" s="71">
        <v>0.98173849525200896</v>
      </c>
      <c r="AL735" s="71">
        <v>0.974894415767245</v>
      </c>
      <c r="AM735" s="71">
        <v>0.97720978265971903</v>
      </c>
      <c r="AN735" s="70">
        <v>0.99</v>
      </c>
      <c r="AO735" s="75">
        <v>1</v>
      </c>
      <c r="AP735" s="75">
        <v>1</v>
      </c>
      <c r="AQ735" s="75">
        <v>1</v>
      </c>
      <c r="AR735" s="75">
        <v>1</v>
      </c>
      <c r="AS735" s="95">
        <v>8.1059522893420499E-2</v>
      </c>
      <c r="AT735" s="79">
        <v>0</v>
      </c>
      <c r="AU735" s="79">
        <v>-7.69230769230769E-2</v>
      </c>
      <c r="AV735" s="79">
        <v>0</v>
      </c>
      <c r="AW735" s="79">
        <v>3.7433155080213901E-2</v>
      </c>
      <c r="AX735" s="56"/>
      <c r="AY735" s="54"/>
    </row>
    <row r="736" spans="1:51">
      <c r="A736" s="53"/>
      <c r="B736" s="56"/>
      <c r="C736" s="90" t="s">
        <v>663</v>
      </c>
      <c r="D736" s="230" t="s">
        <v>1757</v>
      </c>
      <c r="E736" s="68" t="s">
        <v>664</v>
      </c>
      <c r="F736" s="113" t="s">
        <v>758</v>
      </c>
      <c r="G736" s="113" t="s">
        <v>758</v>
      </c>
      <c r="H736" s="113" t="s">
        <v>758</v>
      </c>
      <c r="I736" s="113" t="s">
        <v>758</v>
      </c>
      <c r="J736" s="70">
        <v>0.9</v>
      </c>
      <c r="K736" s="71">
        <v>0.94117647058823495</v>
      </c>
      <c r="L736" s="71">
        <v>0.9</v>
      </c>
      <c r="M736" s="72">
        <v>0.94444444444444398</v>
      </c>
      <c r="N736" s="71">
        <v>0.92753623188405798</v>
      </c>
      <c r="O736" s="73">
        <v>0.9</v>
      </c>
      <c r="P736" s="71">
        <v>0.96099674972914395</v>
      </c>
      <c r="Q736" s="71">
        <v>0.96408414571575196</v>
      </c>
      <c r="R736" s="71">
        <v>0.95124851367419705</v>
      </c>
      <c r="S736" s="71">
        <v>0.95166056021746803</v>
      </c>
      <c r="T736" s="73">
        <v>0.9</v>
      </c>
      <c r="U736" s="71">
        <v>0.93716143011917696</v>
      </c>
      <c r="V736" s="71">
        <v>0.93483837865572095</v>
      </c>
      <c r="W736" s="71">
        <v>0.9179548156956</v>
      </c>
      <c r="X736" s="71">
        <v>0.91720836780522397</v>
      </c>
      <c r="Y736" s="73">
        <v>0.92</v>
      </c>
      <c r="Z736" s="73">
        <v>0.96035805626598503</v>
      </c>
      <c r="AA736" s="73">
        <v>0.96323529411764697</v>
      </c>
      <c r="AB736" s="73">
        <v>0.96804511278195504</v>
      </c>
      <c r="AC736" s="73">
        <v>0.95005395406197002</v>
      </c>
      <c r="AD736" s="73">
        <v>0.92</v>
      </c>
      <c r="AE736" s="71">
        <v>1</v>
      </c>
      <c r="AF736" s="71">
        <v>0.99956255468066502</v>
      </c>
      <c r="AG736" s="71">
        <v>0.99699097291875605</v>
      </c>
      <c r="AH736" s="71">
        <v>0.99902026504408803</v>
      </c>
      <c r="AI736" s="73">
        <v>0.92</v>
      </c>
      <c r="AJ736" s="71">
        <v>0.970087976539589</v>
      </c>
      <c r="AK736" s="71">
        <v>0.98244824482448201</v>
      </c>
      <c r="AL736" s="71">
        <v>0.97427797833935004</v>
      </c>
      <c r="AM736" s="71">
        <v>0.97176902707781698</v>
      </c>
      <c r="AN736" s="70">
        <v>0.99</v>
      </c>
      <c r="AO736" s="75">
        <v>1</v>
      </c>
      <c r="AP736" s="75">
        <v>1</v>
      </c>
      <c r="AQ736" s="75">
        <v>1</v>
      </c>
      <c r="AR736" s="75">
        <v>1</v>
      </c>
      <c r="AS736" s="95">
        <v>8.1059522893420499E-2</v>
      </c>
      <c r="AT736" s="79">
        <v>0</v>
      </c>
      <c r="AU736" s="79">
        <v>0.125</v>
      </c>
      <c r="AV736" s="79">
        <v>0</v>
      </c>
      <c r="AW736" s="79">
        <v>7.3529411764705899E-2</v>
      </c>
      <c r="AX736" s="56"/>
      <c r="AY736" s="54"/>
    </row>
    <row r="737" spans="1:51">
      <c r="A737" s="53"/>
      <c r="B737" s="56"/>
      <c r="C737" s="90" t="s">
        <v>663</v>
      </c>
      <c r="D737" s="230" t="s">
        <v>1757</v>
      </c>
      <c r="E737" s="68" t="s">
        <v>664</v>
      </c>
      <c r="F737" s="113" t="s">
        <v>759</v>
      </c>
      <c r="G737" s="113" t="s">
        <v>759</v>
      </c>
      <c r="H737" s="113" t="s">
        <v>759</v>
      </c>
      <c r="I737" s="113" t="s">
        <v>759</v>
      </c>
      <c r="J737" s="70">
        <v>0.9</v>
      </c>
      <c r="K737" s="71">
        <v>1</v>
      </c>
      <c r="L737" s="71">
        <v>0.94736842105263197</v>
      </c>
      <c r="M737" s="72">
        <v>1</v>
      </c>
      <c r="N737" s="71">
        <v>0.95794392523364502</v>
      </c>
      <c r="O737" s="73">
        <v>0.9</v>
      </c>
      <c r="P737" s="71">
        <v>0.97582205029013502</v>
      </c>
      <c r="Q737" s="71">
        <v>0.97907949790795001</v>
      </c>
      <c r="R737" s="71">
        <v>0.984100877192982</v>
      </c>
      <c r="S737" s="71">
        <v>0.98336525307797495</v>
      </c>
      <c r="T737" s="73">
        <v>0.9</v>
      </c>
      <c r="U737" s="71">
        <v>0.93326885880077404</v>
      </c>
      <c r="V737" s="71">
        <v>0.93444909344490901</v>
      </c>
      <c r="W737" s="71">
        <v>0.95120614035087703</v>
      </c>
      <c r="X737" s="71">
        <v>0.95042407660738704</v>
      </c>
      <c r="Y737" s="73">
        <v>0.92</v>
      </c>
      <c r="Z737" s="73">
        <v>0.94247038917089698</v>
      </c>
      <c r="AA737" s="73">
        <v>0.86241610738255003</v>
      </c>
      <c r="AB737" s="73">
        <v>0.90040650406504097</v>
      </c>
      <c r="AC737" s="73">
        <v>0.936318191697457</v>
      </c>
      <c r="AD737" s="73">
        <v>0.92</v>
      </c>
      <c r="AE737" s="71">
        <v>0.99821109123434704</v>
      </c>
      <c r="AF737" s="71">
        <v>0.98927613941018799</v>
      </c>
      <c r="AG737" s="71">
        <v>0.99830795262267302</v>
      </c>
      <c r="AH737" s="71">
        <v>0.98574494175352501</v>
      </c>
      <c r="AI737" s="73">
        <v>0.92</v>
      </c>
      <c r="AJ737" s="71">
        <v>0.96430769230769198</v>
      </c>
      <c r="AK737" s="71">
        <v>0.96161698652511196</v>
      </c>
      <c r="AL737" s="71">
        <v>0.95984455958549197</v>
      </c>
      <c r="AM737" s="71">
        <v>0.96900952880496505</v>
      </c>
      <c r="AN737" s="70">
        <v>0.99</v>
      </c>
      <c r="AO737" s="75">
        <v>1</v>
      </c>
      <c r="AP737" s="75">
        <v>1</v>
      </c>
      <c r="AQ737" s="75">
        <v>1</v>
      </c>
      <c r="AR737" s="75">
        <v>1</v>
      </c>
      <c r="AS737" s="95">
        <v>8.1059522893420499E-2</v>
      </c>
      <c r="AT737" s="79">
        <v>0</v>
      </c>
      <c r="AU737" s="79">
        <v>0</v>
      </c>
      <c r="AV737" s="79">
        <v>0.14285714285714299</v>
      </c>
      <c r="AW737" s="79">
        <v>3.2258064516128997E-2</v>
      </c>
      <c r="AX737" s="56"/>
      <c r="AY737" s="54"/>
    </row>
    <row r="738" spans="1:51">
      <c r="A738" s="53"/>
      <c r="B738" s="56"/>
      <c r="C738" s="90" t="s">
        <v>663</v>
      </c>
      <c r="D738" s="230" t="s">
        <v>1757</v>
      </c>
      <c r="E738" s="68" t="s">
        <v>664</v>
      </c>
      <c r="F738" s="113" t="s">
        <v>760</v>
      </c>
      <c r="G738" s="113" t="s">
        <v>760</v>
      </c>
      <c r="H738" s="113" t="s">
        <v>760</v>
      </c>
      <c r="I738" s="113" t="s">
        <v>760</v>
      </c>
      <c r="J738" s="70">
        <v>0.9</v>
      </c>
      <c r="K738" s="71">
        <v>1</v>
      </c>
      <c r="L738" s="71">
        <v>0.97142857142857097</v>
      </c>
      <c r="M738" s="72">
        <v>0.96875</v>
      </c>
      <c r="N738" s="71">
        <v>0.96858638743455505</v>
      </c>
      <c r="O738" s="73">
        <v>0.9</v>
      </c>
      <c r="P738" s="71">
        <v>0.94951338199513402</v>
      </c>
      <c r="Q738" s="71">
        <v>0.96134732192159</v>
      </c>
      <c r="R738" s="71">
        <v>0.94294670846395001</v>
      </c>
      <c r="S738" s="71">
        <v>0.94250088642004504</v>
      </c>
      <c r="T738" s="73">
        <v>0.9</v>
      </c>
      <c r="U738" s="71">
        <v>0.92579075425790802</v>
      </c>
      <c r="V738" s="71">
        <v>0.92435118718939802</v>
      </c>
      <c r="W738" s="71">
        <v>0.90062695924764902</v>
      </c>
      <c r="X738" s="71">
        <v>0.91717882047039401</v>
      </c>
      <c r="Y738" s="73">
        <v>0.92</v>
      </c>
      <c r="Z738" s="73">
        <v>0.89836448598130803</v>
      </c>
      <c r="AA738" s="73">
        <v>0.77317554240631203</v>
      </c>
      <c r="AB738" s="73">
        <v>0.87734668335419297</v>
      </c>
      <c r="AC738" s="73">
        <v>0.89705324396104702</v>
      </c>
      <c r="AD738" s="73">
        <v>0.92</v>
      </c>
      <c r="AE738" s="71">
        <v>1</v>
      </c>
      <c r="AF738" s="71">
        <v>0.99145299145299104</v>
      </c>
      <c r="AG738" s="71">
        <v>0.97883597883597895</v>
      </c>
      <c r="AH738" s="71">
        <v>0.98187427689934403</v>
      </c>
      <c r="AI738" s="73">
        <v>0.92</v>
      </c>
      <c r="AJ738" s="71">
        <v>0.93359999999999999</v>
      </c>
      <c r="AK738" s="71">
        <v>0.94938241705013304</v>
      </c>
      <c r="AL738" s="71">
        <v>0.93734335839599003</v>
      </c>
      <c r="AM738" s="71">
        <v>0.94923250077827503</v>
      </c>
      <c r="AN738" s="70">
        <v>0.99</v>
      </c>
      <c r="AO738" s="75">
        <v>1</v>
      </c>
      <c r="AP738" s="75">
        <v>1</v>
      </c>
      <c r="AQ738" s="75">
        <v>1</v>
      </c>
      <c r="AR738" s="75">
        <v>1</v>
      </c>
      <c r="AS738" s="95">
        <v>8.1059522893420499E-2</v>
      </c>
      <c r="AT738" s="79">
        <v>0</v>
      </c>
      <c r="AU738" s="79">
        <v>0</v>
      </c>
      <c r="AV738" s="79">
        <v>9.0909090909090898E-2</v>
      </c>
      <c r="AW738" s="79">
        <v>4.1958041958042001E-2</v>
      </c>
      <c r="AX738" s="56"/>
      <c r="AY738" s="54"/>
    </row>
    <row r="739" spans="1:51">
      <c r="A739" s="53"/>
      <c r="B739" s="56"/>
      <c r="C739" s="90" t="s">
        <v>663</v>
      </c>
      <c r="D739" s="230" t="s">
        <v>1757</v>
      </c>
      <c r="E739" s="68" t="s">
        <v>664</v>
      </c>
      <c r="F739" s="113" t="s">
        <v>761</v>
      </c>
      <c r="G739" s="113" t="s">
        <v>761</v>
      </c>
      <c r="H739" s="113" t="s">
        <v>761</v>
      </c>
      <c r="I739" s="113" t="s">
        <v>761</v>
      </c>
      <c r="J739" s="70">
        <v>0.9</v>
      </c>
      <c r="K739" s="71">
        <v>0.96078431372549</v>
      </c>
      <c r="L739" s="71">
        <v>1</v>
      </c>
      <c r="M739" s="72">
        <v>0.94915254237288105</v>
      </c>
      <c r="N739" s="71">
        <v>0.95281582952815802</v>
      </c>
      <c r="O739" s="73">
        <v>0.9</v>
      </c>
      <c r="P739" s="71">
        <v>0.95279999999999998</v>
      </c>
      <c r="Q739" s="71">
        <v>0.96361332367849395</v>
      </c>
      <c r="R739" s="71">
        <v>0.95256204963971203</v>
      </c>
      <c r="S739" s="71">
        <v>0.96303509600251802</v>
      </c>
      <c r="T739" s="73">
        <v>0.9</v>
      </c>
      <c r="U739" s="71">
        <v>0.90880000000000005</v>
      </c>
      <c r="V739" s="71">
        <v>0.92903692976104302</v>
      </c>
      <c r="W739" s="71">
        <v>0.91453162530024001</v>
      </c>
      <c r="X739" s="71">
        <v>0.92544066729619101</v>
      </c>
      <c r="Y739" s="73">
        <v>0.92</v>
      </c>
      <c r="Z739" s="73">
        <v>0.91909155429382505</v>
      </c>
      <c r="AA739" s="73">
        <v>0.83070866141732302</v>
      </c>
      <c r="AB739" s="73">
        <v>0.91171617161716201</v>
      </c>
      <c r="AC739" s="73">
        <v>0.91439144736842104</v>
      </c>
      <c r="AD739" s="73">
        <v>0.92</v>
      </c>
      <c r="AE739" s="71">
        <v>0.991578947368421</v>
      </c>
      <c r="AF739" s="71">
        <v>0.97027027027027002</v>
      </c>
      <c r="AG739" s="71">
        <v>0.99139784946236598</v>
      </c>
      <c r="AH739" s="71">
        <v>0.99180029154518901</v>
      </c>
      <c r="AI739" s="73">
        <v>0.92</v>
      </c>
      <c r="AJ739" s="71">
        <v>0.94705882352941195</v>
      </c>
      <c r="AK739" s="71">
        <v>0.95864482264991202</v>
      </c>
      <c r="AL739" s="71">
        <v>0.95507246376811605</v>
      </c>
      <c r="AM739" s="71">
        <v>0.962382743678872</v>
      </c>
      <c r="AN739" s="70">
        <v>0.99</v>
      </c>
      <c r="AO739" s="75">
        <v>1</v>
      </c>
      <c r="AP739" s="75">
        <v>1</v>
      </c>
      <c r="AQ739" s="75">
        <v>1</v>
      </c>
      <c r="AR739" s="75">
        <v>1</v>
      </c>
      <c r="AS739" s="95">
        <v>8.1059522893420499E-2</v>
      </c>
      <c r="AT739" s="79">
        <v>0</v>
      </c>
      <c r="AU739" s="79">
        <v>0.125</v>
      </c>
      <c r="AV739" s="79">
        <v>0</v>
      </c>
      <c r="AW739" s="79">
        <v>0.105882352941176</v>
      </c>
      <c r="AX739" s="56"/>
      <c r="AY739" s="54"/>
    </row>
    <row r="740" spans="1:51">
      <c r="A740" s="53"/>
      <c r="B740" s="56"/>
      <c r="C740" s="90" t="s">
        <v>663</v>
      </c>
      <c r="D740" s="230" t="s">
        <v>1757</v>
      </c>
      <c r="E740" s="68" t="s">
        <v>664</v>
      </c>
      <c r="F740" s="113" t="s">
        <v>762</v>
      </c>
      <c r="G740" s="113" t="s">
        <v>762</v>
      </c>
      <c r="H740" s="113" t="s">
        <v>762</v>
      </c>
      <c r="I740" s="113" t="s">
        <v>762</v>
      </c>
      <c r="J740" s="70">
        <v>0.9</v>
      </c>
      <c r="K740" s="71">
        <v>1</v>
      </c>
      <c r="L740" s="71">
        <v>1</v>
      </c>
      <c r="M740" s="72">
        <v>0.96428571428571397</v>
      </c>
      <c r="N740" s="71">
        <v>0.99375000000000002</v>
      </c>
      <c r="O740" s="73">
        <v>0.9</v>
      </c>
      <c r="P740" s="71">
        <v>0.98331479421579504</v>
      </c>
      <c r="Q740" s="71">
        <v>0.97211040828062101</v>
      </c>
      <c r="R740" s="71">
        <v>0.97591215019482802</v>
      </c>
      <c r="S740" s="71">
        <v>0.97532751850436095</v>
      </c>
      <c r="T740" s="73">
        <v>0.9</v>
      </c>
      <c r="U740" s="71">
        <v>0.94215795328142404</v>
      </c>
      <c r="V740" s="71">
        <v>0.936745255894192</v>
      </c>
      <c r="W740" s="71">
        <v>0.95253276656039698</v>
      </c>
      <c r="X740" s="71">
        <v>0.94533829099628197</v>
      </c>
      <c r="Y740" s="73">
        <v>0.92</v>
      </c>
      <c r="Z740" s="73">
        <v>0.94754846066134502</v>
      </c>
      <c r="AA740" s="73">
        <v>0.88295687885010299</v>
      </c>
      <c r="AB740" s="73">
        <v>0.97175866495507102</v>
      </c>
      <c r="AC740" s="73">
        <v>0.94840157038698802</v>
      </c>
      <c r="AD740" s="73">
        <v>0.92</v>
      </c>
      <c r="AE740" s="71">
        <v>0.99062814654170905</v>
      </c>
      <c r="AF740" s="71">
        <v>0.93161953727506397</v>
      </c>
      <c r="AG740" s="71">
        <v>0.99513776337115101</v>
      </c>
      <c r="AH740" s="71">
        <v>0.99155409429871599</v>
      </c>
      <c r="AI740" s="73">
        <v>0.92</v>
      </c>
      <c r="AJ740" s="71">
        <v>0.96747663551401897</v>
      </c>
      <c r="AK740" s="71">
        <v>0.97150063051702396</v>
      </c>
      <c r="AL740" s="71">
        <v>0.981404385234527</v>
      </c>
      <c r="AM740" s="71">
        <v>0.97594319922038097</v>
      </c>
      <c r="AN740" s="70">
        <v>0.99</v>
      </c>
      <c r="AO740" s="75">
        <v>1</v>
      </c>
      <c r="AP740" s="75">
        <v>1</v>
      </c>
      <c r="AQ740" s="75">
        <v>1</v>
      </c>
      <c r="AR740" s="75">
        <v>1</v>
      </c>
      <c r="AS740" s="95">
        <v>8.1059522893420499E-2</v>
      </c>
      <c r="AT740" s="79">
        <v>0</v>
      </c>
      <c r="AU740" s="79">
        <v>5.5555555555555601E-2</v>
      </c>
      <c r="AV740" s="79">
        <v>6.6666666666666693E-2</v>
      </c>
      <c r="AW740" s="79">
        <v>6.9230769230769207E-2</v>
      </c>
      <c r="AX740" s="56"/>
      <c r="AY740" s="54"/>
    </row>
    <row r="741" spans="1:51">
      <c r="A741" s="53"/>
      <c r="B741" s="56"/>
      <c r="C741" s="90" t="s">
        <v>663</v>
      </c>
      <c r="D741" s="230" t="s">
        <v>1757</v>
      </c>
      <c r="E741" s="68" t="s">
        <v>664</v>
      </c>
      <c r="F741" s="113" t="s">
        <v>763</v>
      </c>
      <c r="G741" s="113" t="s">
        <v>763</v>
      </c>
      <c r="H741" s="113" t="s">
        <v>763</v>
      </c>
      <c r="I741" s="113" t="s">
        <v>763</v>
      </c>
      <c r="J741" s="70">
        <v>0.9</v>
      </c>
      <c r="K741" s="71">
        <v>0.96610169491525399</v>
      </c>
      <c r="L741" s="71">
        <v>0.952380952380952</v>
      </c>
      <c r="M741" s="72">
        <v>0.94827586206896597</v>
      </c>
      <c r="N741" s="71">
        <v>0.96257485029940104</v>
      </c>
      <c r="O741" s="73">
        <v>0.9</v>
      </c>
      <c r="P741" s="71">
        <v>0.97620024620434998</v>
      </c>
      <c r="Q741" s="71">
        <v>0.95724191063174102</v>
      </c>
      <c r="R741" s="71">
        <v>0.97342995169082103</v>
      </c>
      <c r="S741" s="71">
        <v>0.97263099099873296</v>
      </c>
      <c r="T741" s="73">
        <v>0.9</v>
      </c>
      <c r="U741" s="71">
        <v>0.95404185473943404</v>
      </c>
      <c r="V741" s="71">
        <v>0.95916795069337402</v>
      </c>
      <c r="W741" s="71">
        <v>0.93763724198506804</v>
      </c>
      <c r="X741" s="71">
        <v>0.95724935014715695</v>
      </c>
      <c r="Y741" s="73">
        <v>0.92</v>
      </c>
      <c r="Z741" s="73">
        <v>0.88747007182761395</v>
      </c>
      <c r="AA741" s="73">
        <v>0.79913294797687895</v>
      </c>
      <c r="AB741" s="73">
        <v>0.88708220415537498</v>
      </c>
      <c r="AC741" s="73">
        <v>0.91137626377629999</v>
      </c>
      <c r="AD741" s="73">
        <v>0.92</v>
      </c>
      <c r="AE741" s="71">
        <v>0.94666666666666699</v>
      </c>
      <c r="AF741" s="71">
        <v>0.96837944664031606</v>
      </c>
      <c r="AG741" s="71">
        <v>0.94516971279373396</v>
      </c>
      <c r="AH741" s="71">
        <v>0.96343537414965996</v>
      </c>
      <c r="AI741" s="73">
        <v>0.92</v>
      </c>
      <c r="AJ741" s="71">
        <v>0.94390243902438997</v>
      </c>
      <c r="AK741" s="71">
        <v>0.95395854570166505</v>
      </c>
      <c r="AL741" s="71">
        <v>0.95513160219042603</v>
      </c>
      <c r="AM741" s="71">
        <v>0.96185593883048004</v>
      </c>
      <c r="AN741" s="70">
        <v>0.99</v>
      </c>
      <c r="AO741" s="75">
        <v>1</v>
      </c>
      <c r="AP741" s="75">
        <v>1</v>
      </c>
      <c r="AQ741" s="75">
        <v>1</v>
      </c>
      <c r="AR741" s="75">
        <v>1</v>
      </c>
      <c r="AS741" s="95">
        <v>8.1059522893420499E-2</v>
      </c>
      <c r="AT741" s="79">
        <v>0</v>
      </c>
      <c r="AU741" s="79">
        <v>0.19047619047618999</v>
      </c>
      <c r="AV741" s="79">
        <v>0.04</v>
      </c>
      <c r="AW741" s="79">
        <v>6.3063063063063099E-2</v>
      </c>
      <c r="AX741" s="56"/>
      <c r="AY741" s="54"/>
    </row>
    <row r="742" spans="1:51">
      <c r="A742" s="53"/>
      <c r="B742" s="56"/>
      <c r="C742" s="90" t="s">
        <v>663</v>
      </c>
      <c r="D742" s="230" t="s">
        <v>1757</v>
      </c>
      <c r="E742" s="68" t="s">
        <v>664</v>
      </c>
      <c r="F742" s="113" t="s">
        <v>764</v>
      </c>
      <c r="G742" s="113" t="s">
        <v>764</v>
      </c>
      <c r="H742" s="113" t="s">
        <v>764</v>
      </c>
      <c r="I742" s="113" t="s">
        <v>764</v>
      </c>
      <c r="J742" s="70">
        <v>0.9</v>
      </c>
      <c r="K742" s="71">
        <v>0.97142857142857097</v>
      </c>
      <c r="L742" s="71">
        <v>0.95</v>
      </c>
      <c r="M742" s="72">
        <v>0.92307692307692302</v>
      </c>
      <c r="N742" s="71">
        <v>0.952380952380952</v>
      </c>
      <c r="O742" s="73">
        <v>0.9</v>
      </c>
      <c r="P742" s="71">
        <v>0.97661795407098095</v>
      </c>
      <c r="Q742" s="71">
        <v>0.99067851723390399</v>
      </c>
      <c r="R742" s="71">
        <v>0.98480880041906804</v>
      </c>
      <c r="S742" s="71">
        <v>0.98829930535379396</v>
      </c>
      <c r="T742" s="73">
        <v>0.9</v>
      </c>
      <c r="U742" s="71">
        <v>0.93444676409185801</v>
      </c>
      <c r="V742" s="71">
        <v>0.92846303923693896</v>
      </c>
      <c r="W742" s="71">
        <v>0.91959140911472004</v>
      </c>
      <c r="X742" s="71">
        <v>0.94334539499749104</v>
      </c>
      <c r="Y742" s="73">
        <v>0.92</v>
      </c>
      <c r="Z742" s="73">
        <v>0.90736342042755302</v>
      </c>
      <c r="AA742" s="73">
        <v>0.846258503401361</v>
      </c>
      <c r="AB742" s="73">
        <v>0.95833333333333304</v>
      </c>
      <c r="AC742" s="73">
        <v>0.92661193432118505</v>
      </c>
      <c r="AD742" s="73">
        <v>0.92</v>
      </c>
      <c r="AE742" s="71">
        <v>0.99664268585131899</v>
      </c>
      <c r="AF742" s="71">
        <v>0.98886032562125104</v>
      </c>
      <c r="AG742" s="71">
        <v>0.99746300211416505</v>
      </c>
      <c r="AH742" s="71">
        <v>0.99603724039150199</v>
      </c>
      <c r="AI742" s="73">
        <v>0.92</v>
      </c>
      <c r="AJ742" s="71">
        <v>0.95188627665390901</v>
      </c>
      <c r="AK742" s="71">
        <v>0.95569265283230498</v>
      </c>
      <c r="AL742" s="71">
        <v>0.97095857026807497</v>
      </c>
      <c r="AM742" s="71">
        <v>0.96778372054153405</v>
      </c>
      <c r="AN742" s="70">
        <v>0.99</v>
      </c>
      <c r="AO742" s="75">
        <v>1</v>
      </c>
      <c r="AP742" s="75">
        <v>1</v>
      </c>
      <c r="AQ742" s="75">
        <v>1</v>
      </c>
      <c r="AR742" s="75">
        <v>1</v>
      </c>
      <c r="AS742" s="95">
        <v>8.1059522893420499E-2</v>
      </c>
      <c r="AT742" s="79">
        <v>0.11111111111111099</v>
      </c>
      <c r="AU742" s="79">
        <v>5.8823529411764698E-2</v>
      </c>
      <c r="AV742" s="79">
        <v>0</v>
      </c>
      <c r="AW742" s="79">
        <v>7.4999999999999997E-2</v>
      </c>
      <c r="AX742" s="56"/>
      <c r="AY742" s="54"/>
    </row>
    <row r="743" spans="1:51">
      <c r="A743" s="53"/>
      <c r="B743" s="56"/>
      <c r="C743" s="90" t="s">
        <v>663</v>
      </c>
      <c r="D743" s="230" t="s">
        <v>1757</v>
      </c>
      <c r="E743" s="68" t="s">
        <v>664</v>
      </c>
      <c r="F743" s="113" t="s">
        <v>765</v>
      </c>
      <c r="G743" s="113" t="s">
        <v>765</v>
      </c>
      <c r="H743" s="113" t="s">
        <v>765</v>
      </c>
      <c r="I743" s="113" t="s">
        <v>765</v>
      </c>
      <c r="J743" s="70">
        <v>0.9</v>
      </c>
      <c r="K743" s="71">
        <v>0.9</v>
      </c>
      <c r="L743" s="71">
        <v>0.91428571428571404</v>
      </c>
      <c r="M743" s="72">
        <v>0.87878787878787901</v>
      </c>
      <c r="N743" s="71">
        <v>0.90616621983914203</v>
      </c>
      <c r="O743" s="73">
        <v>0.9</v>
      </c>
      <c r="P743" s="71">
        <v>0.98641464855286498</v>
      </c>
      <c r="Q743" s="71">
        <v>0.977021276595745</v>
      </c>
      <c r="R743" s="71">
        <v>0.95823891226934299</v>
      </c>
      <c r="S743" s="71">
        <v>0.97250403877221303</v>
      </c>
      <c r="T743" s="73">
        <v>0.9</v>
      </c>
      <c r="U743" s="71">
        <v>0.94034258712344998</v>
      </c>
      <c r="V743" s="71">
        <v>0.89872340425531905</v>
      </c>
      <c r="W743" s="71">
        <v>0.89575914535448398</v>
      </c>
      <c r="X743" s="71">
        <v>0.91741518578352199</v>
      </c>
      <c r="Y743" s="73">
        <v>0.92</v>
      </c>
      <c r="Z743" s="73">
        <v>0.92307692307692302</v>
      </c>
      <c r="AA743" s="73">
        <v>0.84836065573770503</v>
      </c>
      <c r="AB743" s="73">
        <v>0.94684796044499397</v>
      </c>
      <c r="AC743" s="73">
        <v>0.93029946384202999</v>
      </c>
      <c r="AD743" s="73">
        <v>0.92</v>
      </c>
      <c r="AE743" s="71">
        <v>0.99759659826215596</v>
      </c>
      <c r="AF743" s="71">
        <v>0.98050139275766002</v>
      </c>
      <c r="AG743" s="71">
        <v>0.99743238616912</v>
      </c>
      <c r="AH743" s="71">
        <v>0.997042075292629</v>
      </c>
      <c r="AI743" s="73">
        <v>0.92</v>
      </c>
      <c r="AJ743" s="71">
        <v>0.95537446643383805</v>
      </c>
      <c r="AK743" s="71">
        <v>0.95265387490655395</v>
      </c>
      <c r="AL743" s="71">
        <v>0.96513714432196895</v>
      </c>
      <c r="AM743" s="71">
        <v>0.96211218728958403</v>
      </c>
      <c r="AN743" s="70">
        <v>0.99</v>
      </c>
      <c r="AO743" s="75">
        <v>1</v>
      </c>
      <c r="AP743" s="75">
        <v>1</v>
      </c>
      <c r="AQ743" s="75">
        <v>1</v>
      </c>
      <c r="AR743" s="75">
        <v>1</v>
      </c>
      <c r="AS743" s="95">
        <v>8.1059522893420499E-2</v>
      </c>
      <c r="AT743" s="79">
        <v>0</v>
      </c>
      <c r="AU743" s="79">
        <v>0.14285714285714299</v>
      </c>
      <c r="AV743" s="79">
        <v>0.14285714285714299</v>
      </c>
      <c r="AW743" s="79">
        <v>7.5757575757575801E-2</v>
      </c>
      <c r="AX743" s="56"/>
      <c r="AY743" s="54"/>
    </row>
    <row r="744" spans="1:51">
      <c r="A744" s="53"/>
      <c r="B744" s="56"/>
      <c r="C744" s="90" t="s">
        <v>663</v>
      </c>
      <c r="D744" s="230" t="s">
        <v>1757</v>
      </c>
      <c r="E744" s="68" t="s">
        <v>664</v>
      </c>
      <c r="F744" s="113" t="s">
        <v>766</v>
      </c>
      <c r="G744" s="113" t="s">
        <v>766</v>
      </c>
      <c r="H744" s="113" t="s">
        <v>766</v>
      </c>
      <c r="I744" s="113" t="s">
        <v>766</v>
      </c>
      <c r="J744" s="70">
        <v>0.9</v>
      </c>
      <c r="K744" s="71">
        <v>0.94594594594594605</v>
      </c>
      <c r="L744" s="71">
        <v>0.92500000000000004</v>
      </c>
      <c r="M744" s="72">
        <v>0.82499999999999996</v>
      </c>
      <c r="N744" s="71">
        <v>0.91363636363636402</v>
      </c>
      <c r="O744" s="73">
        <v>0.9</v>
      </c>
      <c r="P744" s="71">
        <v>0.94704225352112703</v>
      </c>
      <c r="Q744" s="71">
        <v>0.89585365853658505</v>
      </c>
      <c r="R744" s="71">
        <v>0.92217687074829902</v>
      </c>
      <c r="S744" s="71">
        <v>0.94275472517923098</v>
      </c>
      <c r="T744" s="73">
        <v>0.9</v>
      </c>
      <c r="U744" s="71">
        <v>0.91774647887323901</v>
      </c>
      <c r="V744" s="71">
        <v>0.87878048780487805</v>
      </c>
      <c r="W744" s="71">
        <v>0.88761904761904797</v>
      </c>
      <c r="X744" s="71">
        <v>0.91646752118183805</v>
      </c>
      <c r="Y744" s="73">
        <v>0.92</v>
      </c>
      <c r="Z744" s="73">
        <v>0.85365853658536595</v>
      </c>
      <c r="AA744" s="73">
        <v>0.74217311233885797</v>
      </c>
      <c r="AB744" s="73">
        <v>0.81627906976744202</v>
      </c>
      <c r="AC744" s="73">
        <v>0.82728058798097703</v>
      </c>
      <c r="AD744" s="73">
        <v>0.92</v>
      </c>
      <c r="AE744" s="71">
        <v>0.98007246376811596</v>
      </c>
      <c r="AF744" s="71">
        <v>0.97288135593220304</v>
      </c>
      <c r="AG744" s="71">
        <v>0.99606299212598404</v>
      </c>
      <c r="AH744" s="71">
        <v>0.98555885262116705</v>
      </c>
      <c r="AI744" s="73">
        <v>0.92</v>
      </c>
      <c r="AJ744" s="71">
        <v>0.92107142857142899</v>
      </c>
      <c r="AK744" s="71">
        <v>0.93217054263565902</v>
      </c>
      <c r="AL744" s="71">
        <v>0.93076074972436595</v>
      </c>
      <c r="AM744" s="71">
        <v>0.93791232638888899</v>
      </c>
      <c r="AN744" s="70">
        <v>0.99</v>
      </c>
      <c r="AO744" s="75">
        <v>1</v>
      </c>
      <c r="AP744" s="75">
        <v>1</v>
      </c>
      <c r="AQ744" s="75">
        <v>1</v>
      </c>
      <c r="AR744" s="75">
        <v>1</v>
      </c>
      <c r="AS744" s="95">
        <v>8.1059522893420499E-2</v>
      </c>
      <c r="AT744" s="79">
        <v>5.5555555555555601E-2</v>
      </c>
      <c r="AU744" s="79">
        <v>0.05</v>
      </c>
      <c r="AV744" s="79">
        <v>0</v>
      </c>
      <c r="AW744" s="79">
        <v>2.68456375838926E-2</v>
      </c>
      <c r="AX744" s="56"/>
      <c r="AY744" s="54"/>
    </row>
    <row r="745" spans="1:51">
      <c r="A745" s="53"/>
      <c r="B745" s="56"/>
      <c r="C745" s="90" t="s">
        <v>663</v>
      </c>
      <c r="D745" s="230" t="s">
        <v>1757</v>
      </c>
      <c r="E745" s="68" t="s">
        <v>664</v>
      </c>
      <c r="F745" s="113" t="s">
        <v>767</v>
      </c>
      <c r="G745" s="113" t="s">
        <v>767</v>
      </c>
      <c r="H745" s="113" t="s">
        <v>767</v>
      </c>
      <c r="I745" s="113" t="s">
        <v>767</v>
      </c>
      <c r="J745" s="70">
        <v>0.9</v>
      </c>
      <c r="K745" s="71">
        <v>1</v>
      </c>
      <c r="L745" s="71">
        <v>0.94285714285714295</v>
      </c>
      <c r="M745" s="72">
        <v>0.931034482758621</v>
      </c>
      <c r="N745" s="71">
        <v>0.96716417910447805</v>
      </c>
      <c r="O745" s="73">
        <v>0.9</v>
      </c>
      <c r="P745" s="71">
        <v>0.97317073170731705</v>
      </c>
      <c r="Q745" s="71">
        <v>0.96044031647746797</v>
      </c>
      <c r="R745" s="71">
        <v>0.97188755020080297</v>
      </c>
      <c r="S745" s="71">
        <v>0.96755619093002898</v>
      </c>
      <c r="T745" s="73">
        <v>0.9</v>
      </c>
      <c r="U745" s="71">
        <v>0.934756097560976</v>
      </c>
      <c r="V745" s="71">
        <v>0.92019263845889199</v>
      </c>
      <c r="W745" s="71">
        <v>0.91887550200803203</v>
      </c>
      <c r="X745" s="71">
        <v>0.92891748074021097</v>
      </c>
      <c r="Y745" s="73">
        <v>0.92</v>
      </c>
      <c r="Z745" s="73">
        <v>0.94081381011097398</v>
      </c>
      <c r="AA745" s="73">
        <v>0.875</v>
      </c>
      <c r="AB745" s="73">
        <v>0.93203883495145601</v>
      </c>
      <c r="AC745" s="73">
        <v>0.93092503022974604</v>
      </c>
      <c r="AD745" s="73">
        <v>0.92</v>
      </c>
      <c r="AE745" s="71">
        <v>0.99422158017557505</v>
      </c>
      <c r="AF745" s="71">
        <v>0.88216544396660801</v>
      </c>
      <c r="AG745" s="71">
        <v>0.99657273419649695</v>
      </c>
      <c r="AH745" s="71">
        <v>0.91171468217546603</v>
      </c>
      <c r="AI745" s="73">
        <v>0.92</v>
      </c>
      <c r="AJ745" s="71">
        <v>0.95928338762215004</v>
      </c>
      <c r="AK745" s="71">
        <v>0.95658682634730496</v>
      </c>
      <c r="AL745" s="71">
        <v>0.96356275303643701</v>
      </c>
      <c r="AM745" s="71">
        <v>0.96300138312586403</v>
      </c>
      <c r="AN745" s="70">
        <v>0.99</v>
      </c>
      <c r="AO745" s="75">
        <v>1</v>
      </c>
      <c r="AP745" s="75">
        <v>1</v>
      </c>
      <c r="AQ745" s="75">
        <v>1</v>
      </c>
      <c r="AR745" s="75">
        <v>1</v>
      </c>
      <c r="AS745" s="95">
        <v>8.1059522893420499E-2</v>
      </c>
      <c r="AT745" s="79">
        <v>0</v>
      </c>
      <c r="AU745" s="79">
        <v>0</v>
      </c>
      <c r="AV745" s="79">
        <v>0</v>
      </c>
      <c r="AW745" s="79">
        <v>6.8965517241379296E-2</v>
      </c>
      <c r="AX745" s="56"/>
      <c r="AY745" s="54"/>
    </row>
    <row r="746" spans="1:51">
      <c r="A746" s="53"/>
      <c r="B746" s="56"/>
      <c r="C746" s="90" t="s">
        <v>663</v>
      </c>
      <c r="D746" s="230" t="s">
        <v>1757</v>
      </c>
      <c r="E746" s="68" t="s">
        <v>664</v>
      </c>
      <c r="F746" s="113" t="s">
        <v>768</v>
      </c>
      <c r="G746" s="113" t="s">
        <v>768</v>
      </c>
      <c r="H746" s="113" t="s">
        <v>768</v>
      </c>
      <c r="I746" s="113" t="s">
        <v>768</v>
      </c>
      <c r="J746" s="70">
        <v>0.9</v>
      </c>
      <c r="K746" s="71">
        <v>1</v>
      </c>
      <c r="L746" s="71">
        <v>1</v>
      </c>
      <c r="M746" s="72">
        <v>1</v>
      </c>
      <c r="N746" s="71">
        <v>0.990506329113924</v>
      </c>
      <c r="O746" s="73">
        <v>0.9</v>
      </c>
      <c r="P746" s="71">
        <v>0.96992892290869304</v>
      </c>
      <c r="Q746" s="71">
        <v>0.96499999999999997</v>
      </c>
      <c r="R746" s="71">
        <v>0.96133751306165105</v>
      </c>
      <c r="S746" s="71">
        <v>0.97296232631428203</v>
      </c>
      <c r="T746" s="73">
        <v>0.9</v>
      </c>
      <c r="U746" s="71">
        <v>0.94313832695461997</v>
      </c>
      <c r="V746" s="71">
        <v>0.92812499999999998</v>
      </c>
      <c r="W746" s="71">
        <v>0.93207941483803602</v>
      </c>
      <c r="X746" s="71">
        <v>0.94255837272597098</v>
      </c>
      <c r="Y746" s="73">
        <v>0.92</v>
      </c>
      <c r="Z746" s="73">
        <v>0.94560185185185197</v>
      </c>
      <c r="AA746" s="73">
        <v>0.89210019267822704</v>
      </c>
      <c r="AB746" s="73">
        <v>0.94811932555123202</v>
      </c>
      <c r="AC746" s="73">
        <v>0.95285255963174798</v>
      </c>
      <c r="AD746" s="73">
        <v>0.92</v>
      </c>
      <c r="AE746" s="71">
        <v>0.99557426597581999</v>
      </c>
      <c r="AF746" s="71">
        <v>0.98912167606768697</v>
      </c>
      <c r="AG746" s="71">
        <v>0.77524099441907701</v>
      </c>
      <c r="AH746" s="71">
        <v>0.94021372572072104</v>
      </c>
      <c r="AI746" s="73">
        <v>0.92</v>
      </c>
      <c r="AJ746" s="71">
        <v>0.95924416450537198</v>
      </c>
      <c r="AK746" s="71">
        <v>0.95944131077088401</v>
      </c>
      <c r="AL746" s="71">
        <v>0.95827614603348898</v>
      </c>
      <c r="AM746" s="71">
        <v>0.97018283305803998</v>
      </c>
      <c r="AN746" s="70">
        <v>0.99</v>
      </c>
      <c r="AO746" s="75">
        <v>1</v>
      </c>
      <c r="AP746" s="75">
        <v>1</v>
      </c>
      <c r="AQ746" s="75">
        <v>1</v>
      </c>
      <c r="AR746" s="75">
        <v>1</v>
      </c>
      <c r="AS746" s="95">
        <v>8.1059522893420499E-2</v>
      </c>
      <c r="AT746" s="79">
        <v>0</v>
      </c>
      <c r="AU746" s="79">
        <v>0</v>
      </c>
      <c r="AV746" s="79">
        <v>7.69230769230769E-2</v>
      </c>
      <c r="AW746" s="79">
        <v>5.9829059829059797E-2</v>
      </c>
      <c r="AX746" s="56"/>
      <c r="AY746" s="54"/>
    </row>
    <row r="747" spans="1:51">
      <c r="A747" s="53"/>
      <c r="B747" s="56"/>
      <c r="C747" s="90" t="s">
        <v>663</v>
      </c>
      <c r="D747" s="230" t="s">
        <v>1757</v>
      </c>
      <c r="E747" s="68" t="s">
        <v>664</v>
      </c>
      <c r="F747" s="113" t="s">
        <v>769</v>
      </c>
      <c r="G747" s="113" t="s">
        <v>769</v>
      </c>
      <c r="H747" s="113" t="s">
        <v>769</v>
      </c>
      <c r="I747" s="113" t="s">
        <v>769</v>
      </c>
      <c r="J747" s="70">
        <v>0.9</v>
      </c>
      <c r="K747" s="71">
        <v>0.90909090909090895</v>
      </c>
      <c r="L747" s="71">
        <v>1</v>
      </c>
      <c r="M747" s="72">
        <v>0.94444444444444398</v>
      </c>
      <c r="N747" s="71">
        <v>0.95560747663551404</v>
      </c>
      <c r="O747" s="73">
        <v>0.9</v>
      </c>
      <c r="P747" s="71">
        <v>0.98663271801400398</v>
      </c>
      <c r="Q747" s="71">
        <v>0.98699727850015095</v>
      </c>
      <c r="R747" s="71">
        <v>0.98032786885245904</v>
      </c>
      <c r="S747" s="71">
        <v>0.985076170124767</v>
      </c>
      <c r="T747" s="73">
        <v>0.9</v>
      </c>
      <c r="U747" s="71">
        <v>0.94334818586887303</v>
      </c>
      <c r="V747" s="71">
        <v>0.95978228001209598</v>
      </c>
      <c r="W747" s="71">
        <v>0.953369763205829</v>
      </c>
      <c r="X747" s="71">
        <v>0.96208726821534396</v>
      </c>
      <c r="Y747" s="73">
        <v>0.92</v>
      </c>
      <c r="Z747" s="73">
        <v>0.98573281452658901</v>
      </c>
      <c r="AA747" s="73">
        <v>0.85846867749419997</v>
      </c>
      <c r="AB747" s="73">
        <v>0.99319727891156495</v>
      </c>
      <c r="AC747" s="73">
        <v>0.98556373610509596</v>
      </c>
      <c r="AD747" s="73">
        <v>0.92</v>
      </c>
      <c r="AE747" s="71">
        <v>0.99662650602409597</v>
      </c>
      <c r="AF747" s="71">
        <v>0.97953216374269003</v>
      </c>
      <c r="AG747" s="71">
        <v>0.99469026548672601</v>
      </c>
      <c r="AH747" s="71">
        <v>0.99480989036622303</v>
      </c>
      <c r="AI747" s="73">
        <v>0.92</v>
      </c>
      <c r="AJ747" s="71">
        <v>0.98847139197267297</v>
      </c>
      <c r="AK747" s="71">
        <v>0.97993579454253599</v>
      </c>
      <c r="AL747" s="71">
        <v>0.990229885057471</v>
      </c>
      <c r="AM747" s="71">
        <v>0.99254437211372604</v>
      </c>
      <c r="AN747" s="70">
        <v>0.99</v>
      </c>
      <c r="AO747" s="75">
        <v>1</v>
      </c>
      <c r="AP747" s="75">
        <v>1</v>
      </c>
      <c r="AQ747" s="75">
        <v>1</v>
      </c>
      <c r="AR747" s="75">
        <v>1</v>
      </c>
      <c r="AS747" s="95">
        <v>8.1059522893420499E-2</v>
      </c>
      <c r="AT747" s="79">
        <v>0.2</v>
      </c>
      <c r="AU747" s="79">
        <v>7.1428571428571397E-2</v>
      </c>
      <c r="AV747" s="79">
        <v>8.3333333333333301E-2</v>
      </c>
      <c r="AW747" s="79">
        <v>1.4598540145985399E-2</v>
      </c>
      <c r="AX747" s="56"/>
      <c r="AY747" s="54"/>
    </row>
    <row r="748" spans="1:51">
      <c r="A748" s="53"/>
      <c r="B748" s="56"/>
      <c r="C748" s="90" t="s">
        <v>663</v>
      </c>
      <c r="D748" s="230" t="s">
        <v>1757</v>
      </c>
      <c r="E748" s="68" t="s">
        <v>664</v>
      </c>
      <c r="F748" s="113" t="s">
        <v>770</v>
      </c>
      <c r="G748" s="113" t="s">
        <v>770</v>
      </c>
      <c r="H748" s="113" t="s">
        <v>770</v>
      </c>
      <c r="I748" s="113" t="s">
        <v>770</v>
      </c>
      <c r="J748" s="70">
        <v>0.9</v>
      </c>
      <c r="K748" s="71">
        <v>1</v>
      </c>
      <c r="L748" s="71">
        <v>1</v>
      </c>
      <c r="M748" s="72">
        <v>0.95652173913043503</v>
      </c>
      <c r="N748" s="71">
        <v>0.98257839721254403</v>
      </c>
      <c r="O748" s="73">
        <v>0.9</v>
      </c>
      <c r="P748" s="71">
        <v>0.97472353870458095</v>
      </c>
      <c r="Q748" s="71">
        <v>0.97450199203187204</v>
      </c>
      <c r="R748" s="71">
        <v>0.96594569719282097</v>
      </c>
      <c r="S748" s="71">
        <v>0.97804955962214202</v>
      </c>
      <c r="T748" s="73">
        <v>0.9</v>
      </c>
      <c r="U748" s="71">
        <v>0.94233807266982605</v>
      </c>
      <c r="V748" s="71">
        <v>0.94900398406374498</v>
      </c>
      <c r="W748" s="71">
        <v>0.94247583985273797</v>
      </c>
      <c r="X748" s="71">
        <v>0.95126180805914295</v>
      </c>
      <c r="Y748" s="73">
        <v>0.92</v>
      </c>
      <c r="Z748" s="73">
        <v>0.89751098096632498</v>
      </c>
      <c r="AA748" s="73">
        <v>0.77688172043010795</v>
      </c>
      <c r="AB748" s="73">
        <v>0.94178082191780799</v>
      </c>
      <c r="AC748" s="73">
        <v>0.89187754379755801</v>
      </c>
      <c r="AD748" s="73">
        <v>0.92</v>
      </c>
      <c r="AE748" s="71">
        <v>0.99376183580260702</v>
      </c>
      <c r="AF748" s="71">
        <v>0.91599539700805499</v>
      </c>
      <c r="AG748" s="71">
        <v>0.99417956656346795</v>
      </c>
      <c r="AH748" s="71">
        <v>0.98938798427849495</v>
      </c>
      <c r="AI748" s="73">
        <v>0.92</v>
      </c>
      <c r="AJ748" s="71">
        <v>0.94561313494099497</v>
      </c>
      <c r="AK748" s="71">
        <v>0.95282691640652095</v>
      </c>
      <c r="AL748" s="71">
        <v>0.96555474981870903</v>
      </c>
      <c r="AM748" s="71">
        <v>0.96354865619672803</v>
      </c>
      <c r="AN748" s="70">
        <v>0.99</v>
      </c>
      <c r="AO748" s="75">
        <v>1</v>
      </c>
      <c r="AP748" s="75">
        <v>1</v>
      </c>
      <c r="AQ748" s="75">
        <v>1</v>
      </c>
      <c r="AR748" s="75">
        <v>1</v>
      </c>
      <c r="AS748" s="95">
        <v>8.1059522893420499E-2</v>
      </c>
      <c r="AT748" s="79">
        <v>0</v>
      </c>
      <c r="AU748" s="79">
        <v>0.15384615384615399</v>
      </c>
      <c r="AV748" s="79">
        <v>0</v>
      </c>
      <c r="AW748" s="79">
        <v>5.0632911392405097E-2</v>
      </c>
      <c r="AX748" s="56"/>
      <c r="AY748" s="54"/>
    </row>
    <row r="749" spans="1:51">
      <c r="A749" s="53"/>
      <c r="B749" s="56"/>
      <c r="C749" s="90" t="s">
        <v>663</v>
      </c>
      <c r="D749" s="230" t="s">
        <v>1757</v>
      </c>
      <c r="E749" s="68" t="s">
        <v>664</v>
      </c>
      <c r="F749" s="113" t="s">
        <v>771</v>
      </c>
      <c r="G749" s="113" t="s">
        <v>771</v>
      </c>
      <c r="H749" s="113" t="s">
        <v>771</v>
      </c>
      <c r="I749" s="113" t="s">
        <v>771</v>
      </c>
      <c r="J749" s="70">
        <v>0.9</v>
      </c>
      <c r="K749" s="71">
        <v>1</v>
      </c>
      <c r="L749" s="71">
        <v>1</v>
      </c>
      <c r="M749" s="72">
        <v>1</v>
      </c>
      <c r="N749" s="71">
        <v>0.990783410138249</v>
      </c>
      <c r="O749" s="73">
        <v>0.9</v>
      </c>
      <c r="P749" s="71">
        <v>0.97611757501530905</v>
      </c>
      <c r="Q749" s="71">
        <v>0.94049390062481397</v>
      </c>
      <c r="R749" s="71">
        <v>0.94123505976095601</v>
      </c>
      <c r="S749" s="71">
        <v>0.96040852351532002</v>
      </c>
      <c r="T749" s="73">
        <v>0.9</v>
      </c>
      <c r="U749" s="71">
        <v>0.91916717697489303</v>
      </c>
      <c r="V749" s="71">
        <v>0.94227908360607004</v>
      </c>
      <c r="W749" s="71">
        <v>0.93127490039840599</v>
      </c>
      <c r="X749" s="71">
        <v>0.94521497919556197</v>
      </c>
      <c r="Y749" s="73">
        <v>0.92</v>
      </c>
      <c r="Z749" s="73">
        <v>0.87345679012345701</v>
      </c>
      <c r="AA749" s="73">
        <v>0.89144050104384098</v>
      </c>
      <c r="AB749" s="73">
        <v>0.92530120481927702</v>
      </c>
      <c r="AC749" s="73">
        <v>0.92120898992508404</v>
      </c>
      <c r="AD749" s="73">
        <v>0.92</v>
      </c>
      <c r="AE749" s="71">
        <v>0.993670886075949</v>
      </c>
      <c r="AF749" s="71">
        <v>0.99591836734693895</v>
      </c>
      <c r="AG749" s="71">
        <v>0.99130434782608701</v>
      </c>
      <c r="AH749" s="71">
        <v>0.99194244604316595</v>
      </c>
      <c r="AI749" s="73">
        <v>0.92</v>
      </c>
      <c r="AJ749" s="71">
        <v>0.93051823416506696</v>
      </c>
      <c r="AK749" s="71">
        <v>0.97317708333333297</v>
      </c>
      <c r="AL749" s="71">
        <v>0.97085610200364303</v>
      </c>
      <c r="AM749" s="71">
        <v>0.971723928245667</v>
      </c>
      <c r="AN749" s="70">
        <v>0.99</v>
      </c>
      <c r="AO749" s="75">
        <v>1</v>
      </c>
      <c r="AP749" s="75">
        <v>1</v>
      </c>
      <c r="AQ749" s="75">
        <v>1</v>
      </c>
      <c r="AR749" s="75">
        <v>1</v>
      </c>
      <c r="AS749" s="95">
        <v>8.1059522893420499E-2</v>
      </c>
      <c r="AT749" s="79">
        <v>0</v>
      </c>
      <c r="AU749" s="79">
        <v>6.25E-2</v>
      </c>
      <c r="AV749" s="79">
        <v>9.0909090909090898E-2</v>
      </c>
      <c r="AW749" s="79">
        <v>4.4444444444444398E-2</v>
      </c>
      <c r="AX749" s="56"/>
      <c r="AY749" s="54"/>
    </row>
    <row r="750" spans="1:51">
      <c r="A750" s="53"/>
      <c r="B750" s="56"/>
      <c r="C750" s="90" t="s">
        <v>663</v>
      </c>
      <c r="D750" s="230" t="s">
        <v>1757</v>
      </c>
      <c r="E750" s="68" t="s">
        <v>664</v>
      </c>
      <c r="F750" s="113" t="s">
        <v>772</v>
      </c>
      <c r="G750" s="113" t="s">
        <v>772</v>
      </c>
      <c r="H750" s="113" t="s">
        <v>772</v>
      </c>
      <c r="I750" s="113" t="s">
        <v>772</v>
      </c>
      <c r="J750" s="70">
        <v>0.9</v>
      </c>
      <c r="K750" s="71">
        <v>0.96296296296296302</v>
      </c>
      <c r="L750" s="71">
        <v>1</v>
      </c>
      <c r="M750" s="72">
        <v>1</v>
      </c>
      <c r="N750" s="71">
        <v>0.99199999999999999</v>
      </c>
      <c r="O750" s="73">
        <v>0.9</v>
      </c>
      <c r="P750" s="71">
        <v>0.97351421188630505</v>
      </c>
      <c r="Q750" s="71">
        <v>0.98077529152221898</v>
      </c>
      <c r="R750" s="71">
        <v>0.95006934812760102</v>
      </c>
      <c r="S750" s="71">
        <v>0.97451618427813003</v>
      </c>
      <c r="T750" s="73">
        <v>0.9</v>
      </c>
      <c r="U750" s="71">
        <v>0.93863049095607198</v>
      </c>
      <c r="V750" s="71">
        <v>0.956192877403089</v>
      </c>
      <c r="W750" s="71">
        <v>0.93654646324549196</v>
      </c>
      <c r="X750" s="71">
        <v>0.95766398355882898</v>
      </c>
      <c r="Y750" s="73">
        <v>0.92</v>
      </c>
      <c r="Z750" s="73">
        <v>0.84841628959276005</v>
      </c>
      <c r="AA750" s="73">
        <v>0.85360360360360399</v>
      </c>
      <c r="AB750" s="73">
        <v>0.84544253632760902</v>
      </c>
      <c r="AC750" s="73">
        <v>0.89028679653679699</v>
      </c>
      <c r="AD750" s="73">
        <v>0.92</v>
      </c>
      <c r="AE750" s="71">
        <v>0.99934314240672595</v>
      </c>
      <c r="AF750" s="71">
        <v>0.99980691253137699</v>
      </c>
      <c r="AG750" s="71">
        <v>0.99891696750902503</v>
      </c>
      <c r="AH750" s="71">
        <v>0.99932431345420603</v>
      </c>
      <c r="AI750" s="73">
        <v>0.92</v>
      </c>
      <c r="AJ750" s="71">
        <v>0.92434210526315796</v>
      </c>
      <c r="AK750" s="71">
        <v>0.96986452861487404</v>
      </c>
      <c r="AL750" s="71">
        <v>0.95496979681493699</v>
      </c>
      <c r="AM750" s="71">
        <v>0.96761233191210205</v>
      </c>
      <c r="AN750" s="70">
        <v>0.99</v>
      </c>
      <c r="AO750" s="75">
        <v>1</v>
      </c>
      <c r="AP750" s="75">
        <v>1</v>
      </c>
      <c r="AQ750" s="75">
        <v>1</v>
      </c>
      <c r="AR750" s="75">
        <v>1</v>
      </c>
      <c r="AS750" s="95">
        <v>8.1059522893420499E-2</v>
      </c>
      <c r="AT750" s="79">
        <v>0</v>
      </c>
      <c r="AU750" s="79">
        <v>0.33333333333333298</v>
      </c>
      <c r="AV750" s="79">
        <v>0</v>
      </c>
      <c r="AW750" s="79">
        <v>0.101123595505618</v>
      </c>
      <c r="AX750" s="56"/>
      <c r="AY750" s="54"/>
    </row>
    <row r="751" spans="1:51">
      <c r="A751" s="53"/>
      <c r="B751" s="56"/>
      <c r="C751" s="90" t="s">
        <v>663</v>
      </c>
      <c r="D751" s="230" t="s">
        <v>1757</v>
      </c>
      <c r="E751" s="68" t="s">
        <v>664</v>
      </c>
      <c r="F751" s="113" t="s">
        <v>773</v>
      </c>
      <c r="G751" s="113" t="s">
        <v>773</v>
      </c>
      <c r="H751" s="113" t="s">
        <v>773</v>
      </c>
      <c r="I751" s="113" t="s">
        <v>773</v>
      </c>
      <c r="J751" s="70">
        <v>0.9</v>
      </c>
      <c r="K751" s="71">
        <v>1</v>
      </c>
      <c r="L751" s="71">
        <v>1</v>
      </c>
      <c r="M751" s="72">
        <v>1</v>
      </c>
      <c r="N751" s="71">
        <v>0.99369085173501603</v>
      </c>
      <c r="O751" s="73">
        <v>0.9</v>
      </c>
      <c r="P751" s="71">
        <v>0.96137026239067103</v>
      </c>
      <c r="Q751" s="71">
        <v>0.96769562096195305</v>
      </c>
      <c r="R751" s="71">
        <v>0.96757361162877398</v>
      </c>
      <c r="S751" s="71">
        <v>0.96383567630563005</v>
      </c>
      <c r="T751" s="73">
        <v>0.9</v>
      </c>
      <c r="U751" s="71">
        <v>0.93294460641399402</v>
      </c>
      <c r="V751" s="71">
        <v>0.95262024407753099</v>
      </c>
      <c r="W751" s="71">
        <v>0.94371971673499799</v>
      </c>
      <c r="X751" s="71">
        <v>0.95276422172044595</v>
      </c>
      <c r="Y751" s="73">
        <v>0.92</v>
      </c>
      <c r="Z751" s="73">
        <v>0.95167785234899305</v>
      </c>
      <c r="AA751" s="73">
        <v>0.95937499999999998</v>
      </c>
      <c r="AB751" s="73">
        <v>0.94561933534743203</v>
      </c>
      <c r="AC751" s="73">
        <v>0.94434731934731897</v>
      </c>
      <c r="AD751" s="73">
        <v>0.92</v>
      </c>
      <c r="AE751" s="71">
        <v>1</v>
      </c>
      <c r="AF751" s="71">
        <v>1</v>
      </c>
      <c r="AG751" s="71">
        <v>0.99457504520795703</v>
      </c>
      <c r="AH751" s="71">
        <v>0.99534558994647404</v>
      </c>
      <c r="AI751" s="73">
        <v>0.92</v>
      </c>
      <c r="AJ751" s="71">
        <v>0.96740670760510195</v>
      </c>
      <c r="AK751" s="71">
        <v>0.98390212491951101</v>
      </c>
      <c r="AL751" s="71">
        <v>0.97698056801195798</v>
      </c>
      <c r="AM751" s="71">
        <v>0.97887652234718303</v>
      </c>
      <c r="AN751" s="70">
        <v>0.99</v>
      </c>
      <c r="AO751" s="75">
        <v>1</v>
      </c>
      <c r="AP751" s="75">
        <v>1</v>
      </c>
      <c r="AQ751" s="75">
        <v>1</v>
      </c>
      <c r="AR751" s="75">
        <v>1</v>
      </c>
      <c r="AS751" s="95">
        <v>8.1059522893420499E-2</v>
      </c>
      <c r="AT751" s="79">
        <v>0</v>
      </c>
      <c r="AU751" s="79">
        <v>0</v>
      </c>
      <c r="AV751" s="79">
        <v>0.16666666666666699</v>
      </c>
      <c r="AW751" s="79">
        <v>8.2474226804123696E-2</v>
      </c>
      <c r="AX751" s="56"/>
      <c r="AY751" s="54"/>
    </row>
    <row r="752" spans="1:51">
      <c r="A752" s="53"/>
      <c r="B752" s="56"/>
      <c r="C752" s="90" t="s">
        <v>663</v>
      </c>
      <c r="D752" s="230" t="s">
        <v>1757</v>
      </c>
      <c r="E752" s="68" t="s">
        <v>664</v>
      </c>
      <c r="F752" s="113" t="s">
        <v>774</v>
      </c>
      <c r="G752" s="113" t="s">
        <v>774</v>
      </c>
      <c r="H752" s="113" t="s">
        <v>774</v>
      </c>
      <c r="I752" s="113" t="s">
        <v>774</v>
      </c>
      <c r="J752" s="70">
        <v>0.9</v>
      </c>
      <c r="K752" s="71">
        <v>1</v>
      </c>
      <c r="L752" s="71">
        <v>1</v>
      </c>
      <c r="M752" s="72">
        <v>1</v>
      </c>
      <c r="N752" s="71">
        <v>0.96923076923076901</v>
      </c>
      <c r="O752" s="73">
        <v>0.9</v>
      </c>
      <c r="P752" s="71">
        <v>0.95148026315789502</v>
      </c>
      <c r="Q752" s="71">
        <v>0.95091324200913196</v>
      </c>
      <c r="R752" s="71">
        <v>0.91491053677932399</v>
      </c>
      <c r="S752" s="71">
        <v>0.948163542624196</v>
      </c>
      <c r="T752" s="73">
        <v>0.9</v>
      </c>
      <c r="U752" s="71">
        <v>0.93832236842105299</v>
      </c>
      <c r="V752" s="71">
        <v>0.92579908675799105</v>
      </c>
      <c r="W752" s="71">
        <v>0.91172962226640197</v>
      </c>
      <c r="X752" s="71">
        <v>0.93129770992366401</v>
      </c>
      <c r="Y752" s="73">
        <v>0.92</v>
      </c>
      <c r="Z752" s="73">
        <v>0.94075144508670505</v>
      </c>
      <c r="AA752" s="73">
        <v>0.94182825484764499</v>
      </c>
      <c r="AB752" s="73">
        <v>0.94086021505376305</v>
      </c>
      <c r="AC752" s="73">
        <v>0.946836268754077</v>
      </c>
      <c r="AD752" s="73">
        <v>0.92</v>
      </c>
      <c r="AE752" s="71">
        <v>1</v>
      </c>
      <c r="AF752" s="71">
        <v>0.99238578680203005</v>
      </c>
      <c r="AG752" s="71">
        <v>0.98870056497175096</v>
      </c>
      <c r="AH752" s="71">
        <v>0.99122146977677394</v>
      </c>
      <c r="AI752" s="73">
        <v>0.92</v>
      </c>
      <c r="AJ752" s="71">
        <v>0.95440251572326995</v>
      </c>
      <c r="AK752" s="71">
        <v>0.97491638795986602</v>
      </c>
      <c r="AL752" s="71">
        <v>0.94825903026358604</v>
      </c>
      <c r="AM752" s="71">
        <v>0.97172203498635901</v>
      </c>
      <c r="AN752" s="70">
        <v>0.99</v>
      </c>
      <c r="AO752" s="75">
        <v>1</v>
      </c>
      <c r="AP752" s="75">
        <v>1</v>
      </c>
      <c r="AQ752" s="75">
        <v>1</v>
      </c>
      <c r="AR752" s="75">
        <v>1</v>
      </c>
      <c r="AS752" s="95">
        <v>8.1059522893420499E-2</v>
      </c>
      <c r="AT752" s="79">
        <v>0.66666666666666696</v>
      </c>
      <c r="AU752" s="79">
        <v>0</v>
      </c>
      <c r="AV752" s="79">
        <v>0</v>
      </c>
      <c r="AW752" s="79">
        <v>0.10638297872340401</v>
      </c>
      <c r="AX752" s="56"/>
      <c r="AY752" s="54"/>
    </row>
    <row r="753" spans="1:51">
      <c r="A753" s="53"/>
      <c r="B753" s="56"/>
      <c r="C753" s="90" t="s">
        <v>663</v>
      </c>
      <c r="D753" s="230" t="s">
        <v>1757</v>
      </c>
      <c r="E753" s="68" t="s">
        <v>664</v>
      </c>
      <c r="F753" s="113" t="s">
        <v>775</v>
      </c>
      <c r="G753" s="113" t="s">
        <v>775</v>
      </c>
      <c r="H753" s="113" t="s">
        <v>775</v>
      </c>
      <c r="I753" s="113" t="s">
        <v>775</v>
      </c>
      <c r="J753" s="70">
        <v>0.9</v>
      </c>
      <c r="K753" s="71">
        <v>1</v>
      </c>
      <c r="L753" s="71">
        <v>1</v>
      </c>
      <c r="M753" s="72">
        <v>1</v>
      </c>
      <c r="N753" s="71">
        <v>0.99053627760252405</v>
      </c>
      <c r="O753" s="73">
        <v>0.9</v>
      </c>
      <c r="P753" s="71">
        <v>0.97097242380261295</v>
      </c>
      <c r="Q753" s="71">
        <v>0.96652558676414002</v>
      </c>
      <c r="R753" s="71">
        <v>0.93855218855218903</v>
      </c>
      <c r="S753" s="71">
        <v>0.95971525643099798</v>
      </c>
      <c r="T753" s="73">
        <v>0.9</v>
      </c>
      <c r="U753" s="71">
        <v>0.90856313497822905</v>
      </c>
      <c r="V753" s="71">
        <v>0.91073489803770702</v>
      </c>
      <c r="W753" s="71">
        <v>0.85563973063973098</v>
      </c>
      <c r="X753" s="71">
        <v>0.91190745834007403</v>
      </c>
      <c r="Y753" s="73">
        <v>0.92</v>
      </c>
      <c r="Z753" s="73">
        <v>0.92489568845618897</v>
      </c>
      <c r="AA753" s="73">
        <v>0.908496732026144</v>
      </c>
      <c r="AB753" s="73">
        <v>0.89065255731922399</v>
      </c>
      <c r="AC753" s="73">
        <v>0.91889673288458396</v>
      </c>
      <c r="AD753" s="73">
        <v>0.92</v>
      </c>
      <c r="AE753" s="71">
        <v>1</v>
      </c>
      <c r="AF753" s="71">
        <v>0.99777365491651204</v>
      </c>
      <c r="AG753" s="71">
        <v>0.99967824967825003</v>
      </c>
      <c r="AH753" s="71">
        <v>0.99909041295251999</v>
      </c>
      <c r="AI753" s="73">
        <v>0.92</v>
      </c>
      <c r="AJ753" s="71">
        <v>0.94571428571428595</v>
      </c>
      <c r="AK753" s="71">
        <v>0.96629986244841803</v>
      </c>
      <c r="AL753" s="71">
        <v>0.94257560312606203</v>
      </c>
      <c r="AM753" s="71">
        <v>0.96281755945621506</v>
      </c>
      <c r="AN753" s="70">
        <v>0.99</v>
      </c>
      <c r="AO753" s="75">
        <v>1</v>
      </c>
      <c r="AP753" s="75">
        <v>1</v>
      </c>
      <c r="AQ753" s="75">
        <v>1</v>
      </c>
      <c r="AR753" s="75">
        <v>1</v>
      </c>
      <c r="AS753" s="95">
        <v>8.1059522893420499E-2</v>
      </c>
      <c r="AT753" s="79">
        <v>0.25</v>
      </c>
      <c r="AU753" s="79">
        <v>8.3333333333333301E-2</v>
      </c>
      <c r="AV753" s="79">
        <v>0</v>
      </c>
      <c r="AW753" s="79">
        <v>6.3636363636363602E-2</v>
      </c>
      <c r="AX753" s="56"/>
      <c r="AY753" s="54"/>
    </row>
    <row r="754" spans="1:51">
      <c r="A754" s="53"/>
      <c r="B754" s="56"/>
      <c r="C754" s="90" t="s">
        <v>663</v>
      </c>
      <c r="D754" s="230" t="s">
        <v>1757</v>
      </c>
      <c r="E754" s="68" t="s">
        <v>664</v>
      </c>
      <c r="F754" s="113" t="s">
        <v>776</v>
      </c>
      <c r="G754" s="113" t="s">
        <v>776</v>
      </c>
      <c r="H754" s="113" t="s">
        <v>776</v>
      </c>
      <c r="I754" s="113" t="s">
        <v>776</v>
      </c>
      <c r="J754" s="70">
        <v>0.9</v>
      </c>
      <c r="K754" s="71">
        <v>0.967741935483871</v>
      </c>
      <c r="L754" s="71">
        <v>0.8125</v>
      </c>
      <c r="M754" s="72">
        <v>1</v>
      </c>
      <c r="N754" s="71">
        <v>0.94647887323943702</v>
      </c>
      <c r="O754" s="73">
        <v>0.9</v>
      </c>
      <c r="P754" s="71">
        <v>0.94782608695652204</v>
      </c>
      <c r="Q754" s="71">
        <v>0.96528447444551602</v>
      </c>
      <c r="R754" s="71">
        <v>0.94913530010172897</v>
      </c>
      <c r="S754" s="71">
        <v>0.96334674175382096</v>
      </c>
      <c r="T754" s="73">
        <v>0.9</v>
      </c>
      <c r="U754" s="71">
        <v>0.92445652173912995</v>
      </c>
      <c r="V754" s="71">
        <v>0.92060430729668896</v>
      </c>
      <c r="W754" s="71">
        <v>0.88606307222787395</v>
      </c>
      <c r="X754" s="71">
        <v>0.91700724054706395</v>
      </c>
      <c r="Y754" s="73">
        <v>0.92</v>
      </c>
      <c r="Z754" s="73">
        <v>0.92874109263658</v>
      </c>
      <c r="AA754" s="73">
        <v>0.95573440643863194</v>
      </c>
      <c r="AB754" s="73">
        <v>0.91966426858513195</v>
      </c>
      <c r="AC754" s="73">
        <v>0.93564605329311201</v>
      </c>
      <c r="AD754" s="73">
        <v>0.92</v>
      </c>
      <c r="AE754" s="71">
        <v>0.99975627589568605</v>
      </c>
      <c r="AF754" s="71">
        <v>0.99939370973853703</v>
      </c>
      <c r="AG754" s="71">
        <v>0.99932497589199598</v>
      </c>
      <c r="AH754" s="71">
        <v>0.99683656053204595</v>
      </c>
      <c r="AI754" s="73">
        <v>0.92</v>
      </c>
      <c r="AJ754" s="71">
        <v>0.95901639344262302</v>
      </c>
      <c r="AK754" s="71">
        <v>0.97479922459152601</v>
      </c>
      <c r="AL754" s="71">
        <v>0.95031712473572905</v>
      </c>
      <c r="AM754" s="71">
        <v>0.966547988012602</v>
      </c>
      <c r="AN754" s="70">
        <v>0.99</v>
      </c>
      <c r="AO754" s="75">
        <v>1</v>
      </c>
      <c r="AP754" s="75">
        <v>1</v>
      </c>
      <c r="AQ754" s="75">
        <v>1</v>
      </c>
      <c r="AR754" s="75">
        <v>1</v>
      </c>
      <c r="AS754" s="95">
        <v>8.1059522893420499E-2</v>
      </c>
      <c r="AT754" s="79">
        <v>0.25</v>
      </c>
      <c r="AU754" s="79">
        <v>0</v>
      </c>
      <c r="AV754" s="79">
        <v>0</v>
      </c>
      <c r="AW754" s="79">
        <v>7.2847682119205295E-2</v>
      </c>
      <c r="AX754" s="56"/>
      <c r="AY754" s="54"/>
    </row>
    <row r="755" spans="1:51">
      <c r="A755" s="53"/>
      <c r="B755" s="56"/>
      <c r="C755" s="90" t="s">
        <v>663</v>
      </c>
      <c r="D755" s="230" t="s">
        <v>1757</v>
      </c>
      <c r="E755" s="68" t="s">
        <v>664</v>
      </c>
      <c r="F755" s="113" t="s">
        <v>777</v>
      </c>
      <c r="G755" s="113" t="s">
        <v>777</v>
      </c>
      <c r="H755" s="113" t="s">
        <v>777</v>
      </c>
      <c r="I755" s="113" t="s">
        <v>777</v>
      </c>
      <c r="J755" s="70">
        <v>0.9</v>
      </c>
      <c r="K755" s="71">
        <v>0.92857142857142905</v>
      </c>
      <c r="L755" s="71">
        <v>0.967741935483871</v>
      </c>
      <c r="M755" s="72">
        <v>0.86666666666666703</v>
      </c>
      <c r="N755" s="71">
        <v>0.95626822157434399</v>
      </c>
      <c r="O755" s="73">
        <v>0.9</v>
      </c>
      <c r="P755" s="71">
        <v>0.978735971647962</v>
      </c>
      <c r="Q755" s="71">
        <v>0.97383483237939505</v>
      </c>
      <c r="R755" s="71">
        <v>0.96736089524401603</v>
      </c>
      <c r="S755" s="71">
        <v>0.97474639778231298</v>
      </c>
      <c r="T755" s="73">
        <v>0.9</v>
      </c>
      <c r="U755" s="71">
        <v>0.943295924394566</v>
      </c>
      <c r="V755" s="71">
        <v>0.94303624965930799</v>
      </c>
      <c r="W755" s="71">
        <v>0.91544917625116595</v>
      </c>
      <c r="X755" s="71">
        <v>0.94471014713498003</v>
      </c>
      <c r="Y755" s="73">
        <v>0.92</v>
      </c>
      <c r="Z755" s="73">
        <v>0.92131474103585698</v>
      </c>
      <c r="AA755" s="73">
        <v>0.926086956521739</v>
      </c>
      <c r="AB755" s="73">
        <v>0.89897698209718702</v>
      </c>
      <c r="AC755" s="73">
        <v>0.93033239298417802</v>
      </c>
      <c r="AD755" s="73">
        <v>0.92</v>
      </c>
      <c r="AE755" s="71">
        <v>0.99766899766899797</v>
      </c>
      <c r="AF755" s="71">
        <v>0.99851961509992604</v>
      </c>
      <c r="AG755" s="71">
        <v>0.99784482758620696</v>
      </c>
      <c r="AH755" s="71">
        <v>0.99889672080907099</v>
      </c>
      <c r="AI755" s="73">
        <v>0.92</v>
      </c>
      <c r="AJ755" s="71">
        <v>0.95550611790878803</v>
      </c>
      <c r="AK755" s="71">
        <v>0.98087167070217895</v>
      </c>
      <c r="AL755" s="71">
        <v>0.95948987246811701</v>
      </c>
      <c r="AM755" s="71">
        <v>0.97401298130886704</v>
      </c>
      <c r="AN755" s="70">
        <v>0.99</v>
      </c>
      <c r="AO755" s="75">
        <v>1</v>
      </c>
      <c r="AP755" s="75">
        <v>1</v>
      </c>
      <c r="AQ755" s="75">
        <v>1</v>
      </c>
      <c r="AR755" s="75">
        <v>1</v>
      </c>
      <c r="AS755" s="95">
        <v>8.1059522893420499E-2</v>
      </c>
      <c r="AT755" s="79">
        <v>0</v>
      </c>
      <c r="AU755" s="79">
        <v>0</v>
      </c>
      <c r="AV755" s="79">
        <v>0.16666666666666699</v>
      </c>
      <c r="AW755" s="79">
        <v>0.08</v>
      </c>
      <c r="AX755" s="56"/>
      <c r="AY755" s="54"/>
    </row>
    <row r="756" spans="1:51">
      <c r="A756" s="53"/>
      <c r="B756" s="56"/>
      <c r="C756" s="90" t="s">
        <v>663</v>
      </c>
      <c r="D756" s="230" t="s">
        <v>1757</v>
      </c>
      <c r="E756" s="68" t="s">
        <v>664</v>
      </c>
      <c r="F756" s="113" t="s">
        <v>778</v>
      </c>
      <c r="G756" s="113" t="s">
        <v>778</v>
      </c>
      <c r="H756" s="113" t="s">
        <v>778</v>
      </c>
      <c r="I756" s="113" t="s">
        <v>778</v>
      </c>
      <c r="J756" s="70">
        <v>0.9</v>
      </c>
      <c r="K756" s="71">
        <v>0.96969696969696995</v>
      </c>
      <c r="L756" s="71">
        <v>1</v>
      </c>
      <c r="M756" s="72">
        <v>1</v>
      </c>
      <c r="N756" s="71">
        <v>0.96685082872928196</v>
      </c>
      <c r="O756" s="73">
        <v>0.9</v>
      </c>
      <c r="P756" s="71">
        <v>0.91863819965378002</v>
      </c>
      <c r="Q756" s="71">
        <v>0.95555555555555605</v>
      </c>
      <c r="R756" s="71">
        <v>0.93958908310334299</v>
      </c>
      <c r="S756" s="71">
        <v>0.94898726938935196</v>
      </c>
      <c r="T756" s="73">
        <v>0.9</v>
      </c>
      <c r="U756" s="71">
        <v>0.91575302942873604</v>
      </c>
      <c r="V756" s="71">
        <v>0.95055555555555604</v>
      </c>
      <c r="W756" s="71">
        <v>0.94265562710824902</v>
      </c>
      <c r="X756" s="71">
        <v>0.93836337917958301</v>
      </c>
      <c r="Y756" s="73">
        <v>0.92</v>
      </c>
      <c r="Z756" s="73">
        <v>0.871196754563895</v>
      </c>
      <c r="AA756" s="73">
        <v>0.80257510729613701</v>
      </c>
      <c r="AB756" s="73">
        <v>0.88971499380421304</v>
      </c>
      <c r="AC756" s="73">
        <v>0.87040878584502701</v>
      </c>
      <c r="AD756" s="73">
        <v>0.92</v>
      </c>
      <c r="AE756" s="71">
        <v>1</v>
      </c>
      <c r="AF756" s="71">
        <v>1</v>
      </c>
      <c r="AG756" s="71">
        <v>0.99851301115241597</v>
      </c>
      <c r="AH756" s="71">
        <v>0.99791624655508504</v>
      </c>
      <c r="AI756" s="73">
        <v>0.92</v>
      </c>
      <c r="AJ756" s="71">
        <v>0.91798455314453797</v>
      </c>
      <c r="AK756" s="71">
        <v>0.95253320216428905</v>
      </c>
      <c r="AL756" s="71">
        <v>0.95919370698131801</v>
      </c>
      <c r="AM756" s="71">
        <v>0.95731942835071504</v>
      </c>
      <c r="AN756" s="70">
        <v>0.99</v>
      </c>
      <c r="AO756" s="75">
        <v>1</v>
      </c>
      <c r="AP756" s="75">
        <v>1</v>
      </c>
      <c r="AQ756" s="75">
        <v>1</v>
      </c>
      <c r="AR756" s="75">
        <v>1</v>
      </c>
      <c r="AS756" s="95">
        <v>8.1059522893420499E-2</v>
      </c>
      <c r="AT756" s="79">
        <v>0</v>
      </c>
      <c r="AU756" s="79">
        <v>0</v>
      </c>
      <c r="AV756" s="79">
        <v>0</v>
      </c>
      <c r="AW756" s="79">
        <v>2.0833333333333301E-2</v>
      </c>
      <c r="AX756" s="56"/>
      <c r="AY756" s="54"/>
    </row>
    <row r="757" spans="1:51">
      <c r="A757" s="53"/>
      <c r="B757" s="56"/>
      <c r="C757" s="90" t="s">
        <v>663</v>
      </c>
      <c r="D757" s="230" t="s">
        <v>1757</v>
      </c>
      <c r="E757" s="68" t="s">
        <v>664</v>
      </c>
      <c r="F757" s="113" t="s">
        <v>779</v>
      </c>
      <c r="G757" s="113" t="s">
        <v>779</v>
      </c>
      <c r="H757" s="113" t="s">
        <v>779</v>
      </c>
      <c r="I757" s="113" t="s">
        <v>779</v>
      </c>
      <c r="J757" s="70">
        <v>0.9</v>
      </c>
      <c r="K757" s="71">
        <v>1</v>
      </c>
      <c r="L757" s="71">
        <v>0.952380952380952</v>
      </c>
      <c r="M757" s="72">
        <v>1</v>
      </c>
      <c r="N757" s="71">
        <v>0.99033816425120802</v>
      </c>
      <c r="O757" s="73">
        <v>0.9</v>
      </c>
      <c r="P757" s="71">
        <v>0.95531281032770599</v>
      </c>
      <c r="Q757" s="71">
        <v>0.97141495950452605</v>
      </c>
      <c r="R757" s="71">
        <v>0.91116625310173704</v>
      </c>
      <c r="S757" s="71">
        <v>0.95256524759353001</v>
      </c>
      <c r="T757" s="73">
        <v>0.9</v>
      </c>
      <c r="U757" s="71">
        <v>0.92353525322740804</v>
      </c>
      <c r="V757" s="71">
        <v>0.94902334444973802</v>
      </c>
      <c r="W757" s="71">
        <v>0.889330024813896</v>
      </c>
      <c r="X757" s="71">
        <v>0.93822566239952399</v>
      </c>
      <c r="Y757" s="73">
        <v>0.92</v>
      </c>
      <c r="Z757" s="73">
        <v>0.91905564924114702</v>
      </c>
      <c r="AA757" s="73">
        <v>0.89690721649484495</v>
      </c>
      <c r="AB757" s="73">
        <v>0.91600000000000004</v>
      </c>
      <c r="AC757" s="73">
        <v>0.92213279678068405</v>
      </c>
      <c r="AD757" s="73">
        <v>0.92</v>
      </c>
      <c r="AE757" s="71">
        <v>1</v>
      </c>
      <c r="AF757" s="71">
        <v>1</v>
      </c>
      <c r="AG757" s="71">
        <v>0.99344262295081998</v>
      </c>
      <c r="AH757" s="71">
        <v>0.99641379310344802</v>
      </c>
      <c r="AI757" s="73">
        <v>0.92</v>
      </c>
      <c r="AJ757" s="71">
        <v>0.95193508114856396</v>
      </c>
      <c r="AK757" s="71">
        <v>0.97238493723849395</v>
      </c>
      <c r="AL757" s="71">
        <v>0.96303656597774201</v>
      </c>
      <c r="AM757" s="71">
        <v>0.97059174658760805</v>
      </c>
      <c r="AN757" s="70">
        <v>0.99</v>
      </c>
      <c r="AO757" s="75">
        <v>1</v>
      </c>
      <c r="AP757" s="75">
        <v>1</v>
      </c>
      <c r="AQ757" s="75">
        <v>1</v>
      </c>
      <c r="AR757" s="75">
        <v>1</v>
      </c>
      <c r="AS757" s="95">
        <v>8.1059522893420499E-2</v>
      </c>
      <c r="AT757" s="79">
        <v>0</v>
      </c>
      <c r="AU757" s="79">
        <v>0</v>
      </c>
      <c r="AV757" s="79">
        <v>0</v>
      </c>
      <c r="AW757" s="79">
        <v>8.4507042253521097E-2</v>
      </c>
      <c r="AX757" s="56"/>
      <c r="AY757" s="54"/>
    </row>
    <row r="758" spans="1:51">
      <c r="A758" s="53"/>
      <c r="B758" s="56"/>
      <c r="C758" s="90" t="s">
        <v>663</v>
      </c>
      <c r="D758" s="230" t="s">
        <v>1757</v>
      </c>
      <c r="E758" s="68" t="s">
        <v>664</v>
      </c>
      <c r="F758" s="113" t="s">
        <v>780</v>
      </c>
      <c r="G758" s="113" t="s">
        <v>780</v>
      </c>
      <c r="H758" s="113" t="s">
        <v>780</v>
      </c>
      <c r="I758" s="113" t="s">
        <v>780</v>
      </c>
      <c r="J758" s="70">
        <v>0.9</v>
      </c>
      <c r="K758" s="71">
        <v>0.83333333333333304</v>
      </c>
      <c r="L758" s="71">
        <v>1</v>
      </c>
      <c r="M758" s="72">
        <v>0.75</v>
      </c>
      <c r="N758" s="71">
        <v>0.85365853658536595</v>
      </c>
      <c r="O758" s="73">
        <v>0.9</v>
      </c>
      <c r="P758" s="71">
        <v>0.97474747474747503</v>
      </c>
      <c r="Q758" s="71">
        <v>0.96611570247933898</v>
      </c>
      <c r="R758" s="71">
        <v>0.96289424860853401</v>
      </c>
      <c r="S758" s="71">
        <v>0.95825676030454199</v>
      </c>
      <c r="T758" s="73">
        <v>0.9</v>
      </c>
      <c r="U758" s="71">
        <v>0.96464646464646497</v>
      </c>
      <c r="V758" s="71">
        <v>0.96198347107437998</v>
      </c>
      <c r="W758" s="71">
        <v>0.96474953617810799</v>
      </c>
      <c r="X758" s="71">
        <v>0.94924302091537605</v>
      </c>
      <c r="Y758" s="73">
        <v>0.92</v>
      </c>
      <c r="Z758" s="73">
        <v>0.95695364238410596</v>
      </c>
      <c r="AA758" s="73">
        <v>0.92647058823529405</v>
      </c>
      <c r="AB758" s="73">
        <v>0.92883895131086103</v>
      </c>
      <c r="AC758" s="73">
        <v>0.915618060695781</v>
      </c>
      <c r="AD758" s="73">
        <v>0.92</v>
      </c>
      <c r="AE758" s="71">
        <v>1</v>
      </c>
      <c r="AF758" s="71">
        <v>1</v>
      </c>
      <c r="AG758" s="71">
        <v>0.994413407821229</v>
      </c>
      <c r="AH758" s="71">
        <v>0.98522167487684698</v>
      </c>
      <c r="AI758" s="73">
        <v>0.92</v>
      </c>
      <c r="AJ758" s="71">
        <v>0.96763392857142905</v>
      </c>
      <c r="AK758" s="71">
        <v>0.97994056463595802</v>
      </c>
      <c r="AL758" s="71">
        <v>0.97620817843866203</v>
      </c>
      <c r="AM758" s="71">
        <v>0.97381272559983001</v>
      </c>
      <c r="AN758" s="70">
        <v>0.99</v>
      </c>
      <c r="AO758" s="75">
        <v>1</v>
      </c>
      <c r="AP758" s="75">
        <v>1</v>
      </c>
      <c r="AQ758" s="75">
        <v>1</v>
      </c>
      <c r="AR758" s="75">
        <v>1</v>
      </c>
      <c r="AS758" s="95">
        <v>8.1059522893420499E-2</v>
      </c>
      <c r="AT758" s="79">
        <v>0</v>
      </c>
      <c r="AU758" s="79">
        <v>0</v>
      </c>
      <c r="AV758" s="79">
        <v>0</v>
      </c>
      <c r="AW758" s="79">
        <v>3.03030303030303E-2</v>
      </c>
      <c r="AX758" s="56"/>
      <c r="AY758" s="54"/>
    </row>
    <row r="759" spans="1:51">
      <c r="A759" s="53"/>
      <c r="B759" s="56"/>
      <c r="C759" s="90" t="s">
        <v>663</v>
      </c>
      <c r="D759" s="230" t="s">
        <v>1757</v>
      </c>
      <c r="E759" s="68" t="s">
        <v>664</v>
      </c>
      <c r="F759" s="113" t="s">
        <v>781</v>
      </c>
      <c r="G759" s="113" t="s">
        <v>781</v>
      </c>
      <c r="H759" s="113" t="s">
        <v>781</v>
      </c>
      <c r="I759" s="113" t="s">
        <v>781</v>
      </c>
      <c r="J759" s="70">
        <v>0.9</v>
      </c>
      <c r="K759" s="71">
        <v>1</v>
      </c>
      <c r="L759" s="71">
        <v>1</v>
      </c>
      <c r="M759" s="72">
        <v>1</v>
      </c>
      <c r="N759" s="71">
        <v>1</v>
      </c>
      <c r="O759" s="73">
        <v>0.9</v>
      </c>
      <c r="P759" s="71">
        <v>0.99311294765840197</v>
      </c>
      <c r="Q759" s="71">
        <v>1</v>
      </c>
      <c r="R759" s="71">
        <v>0.94588235294117695</v>
      </c>
      <c r="S759" s="71">
        <v>0.98933998639147203</v>
      </c>
      <c r="T759" s="73">
        <v>0.9</v>
      </c>
      <c r="U759" s="71">
        <v>0.95316804407713496</v>
      </c>
      <c r="V759" s="71">
        <v>0.95786516853932602</v>
      </c>
      <c r="W759" s="71">
        <v>0.91921568627451</v>
      </c>
      <c r="X759" s="71">
        <v>0.95788916609964503</v>
      </c>
      <c r="Y759" s="73">
        <v>0.92</v>
      </c>
      <c r="Z759" s="73">
        <v>0.93009118541033398</v>
      </c>
      <c r="AA759" s="73">
        <v>0.942105263157895</v>
      </c>
      <c r="AB759" s="73">
        <v>0.94117647058823495</v>
      </c>
      <c r="AC759" s="73">
        <v>0.95102432778489099</v>
      </c>
      <c r="AD759" s="73">
        <v>0.92</v>
      </c>
      <c r="AE759" s="71">
        <v>0.99822064056939497</v>
      </c>
      <c r="AF759" s="71">
        <v>1</v>
      </c>
      <c r="AG759" s="71">
        <v>1</v>
      </c>
      <c r="AH759" s="71">
        <v>0.99929328621908098</v>
      </c>
      <c r="AI759" s="73">
        <v>0.92</v>
      </c>
      <c r="AJ759" s="71">
        <v>0.968720379146919</v>
      </c>
      <c r="AK759" s="71">
        <v>0.98390092879256996</v>
      </c>
      <c r="AL759" s="71">
        <v>0.97622027534417999</v>
      </c>
      <c r="AM759" s="71">
        <v>0.98196049654497597</v>
      </c>
      <c r="AN759" s="70">
        <v>0.99</v>
      </c>
      <c r="AO759" s="75">
        <v>1</v>
      </c>
      <c r="AP759" s="75">
        <v>1</v>
      </c>
      <c r="AQ759" s="75">
        <v>1</v>
      </c>
      <c r="AR759" s="75">
        <v>1</v>
      </c>
      <c r="AS759" s="95">
        <v>8.1059522893420499E-2</v>
      </c>
      <c r="AT759" s="79">
        <v>0.2</v>
      </c>
      <c r="AU759" s="79">
        <v>0.11111111111111099</v>
      </c>
      <c r="AV759" s="79">
        <v>0</v>
      </c>
      <c r="AW759" s="79">
        <v>3.6363636363636397E-2</v>
      </c>
      <c r="AX759" s="56"/>
      <c r="AY759" s="54"/>
    </row>
    <row r="760" spans="1:51">
      <c r="A760" s="53"/>
      <c r="B760" s="56"/>
      <c r="C760" s="90" t="s">
        <v>663</v>
      </c>
      <c r="D760" s="230" t="s">
        <v>1757</v>
      </c>
      <c r="E760" s="68" t="s">
        <v>664</v>
      </c>
      <c r="F760" s="113" t="s">
        <v>782</v>
      </c>
      <c r="G760" s="113" t="s">
        <v>782</v>
      </c>
      <c r="H760" s="113" t="s">
        <v>782</v>
      </c>
      <c r="I760" s="113" t="s">
        <v>782</v>
      </c>
      <c r="J760" s="70">
        <v>0.9</v>
      </c>
      <c r="K760" s="71">
        <v>0.86206896551724099</v>
      </c>
      <c r="L760" s="71">
        <v>0.88888888888888895</v>
      </c>
      <c r="M760" s="72">
        <v>0.84375</v>
      </c>
      <c r="N760" s="71">
        <v>0.83422459893048095</v>
      </c>
      <c r="O760" s="73">
        <v>0.9</v>
      </c>
      <c r="P760" s="71">
        <v>0.934081346423562</v>
      </c>
      <c r="Q760" s="71">
        <v>0.94322482967448895</v>
      </c>
      <c r="R760" s="71">
        <v>0.89933444259567397</v>
      </c>
      <c r="S760" s="71">
        <v>0.90168830134586297</v>
      </c>
      <c r="T760" s="73">
        <v>0.9</v>
      </c>
      <c r="U760" s="71">
        <v>0.90883590462833097</v>
      </c>
      <c r="V760" s="71">
        <v>0.90083270249810798</v>
      </c>
      <c r="W760" s="71">
        <v>0.85940099833610695</v>
      </c>
      <c r="X760" s="71">
        <v>0.89750736640917395</v>
      </c>
      <c r="Y760" s="73">
        <v>0.92</v>
      </c>
      <c r="Z760" s="73">
        <v>0.85843373493975905</v>
      </c>
      <c r="AA760" s="73">
        <v>0.85250737463126802</v>
      </c>
      <c r="AB760" s="73">
        <v>0.87390542907180402</v>
      </c>
      <c r="AC760" s="73">
        <v>0.90051917601741704</v>
      </c>
      <c r="AD760" s="73">
        <v>0.92</v>
      </c>
      <c r="AE760" s="71">
        <v>0.98934093979882898</v>
      </c>
      <c r="AF760" s="71">
        <v>0.97898912724067</v>
      </c>
      <c r="AG760" s="71">
        <v>0.97680120709166396</v>
      </c>
      <c r="AH760" s="71">
        <v>0.98326878388845895</v>
      </c>
      <c r="AI760" s="73">
        <v>0.92</v>
      </c>
      <c r="AJ760" s="71">
        <v>0.92833253702818896</v>
      </c>
      <c r="AK760" s="71">
        <v>0.94636272209185401</v>
      </c>
      <c r="AL760" s="71">
        <v>0.89885752688172005</v>
      </c>
      <c r="AM760" s="71">
        <v>0.94248882888095897</v>
      </c>
      <c r="AN760" s="70">
        <v>0.99</v>
      </c>
      <c r="AO760" s="75">
        <v>1</v>
      </c>
      <c r="AP760" s="75">
        <v>1</v>
      </c>
      <c r="AQ760" s="75">
        <v>1</v>
      </c>
      <c r="AR760" s="75">
        <v>1</v>
      </c>
      <c r="AS760" s="95">
        <v>8.1059522893420499E-2</v>
      </c>
      <c r="AT760" s="79">
        <v>0</v>
      </c>
      <c r="AU760" s="79">
        <v>4.7619047619047603E-2</v>
      </c>
      <c r="AV760" s="79">
        <v>5.5555555555555601E-2</v>
      </c>
      <c r="AW760" s="79">
        <v>2.83018867924528E-2</v>
      </c>
      <c r="AX760" s="56"/>
      <c r="AY760" s="54"/>
    </row>
    <row r="761" spans="1:51">
      <c r="A761" s="53"/>
      <c r="B761" s="56"/>
      <c r="C761" s="90" t="s">
        <v>663</v>
      </c>
      <c r="D761" s="230" t="s">
        <v>1757</v>
      </c>
      <c r="E761" s="68" t="s">
        <v>664</v>
      </c>
      <c r="F761" s="113" t="s">
        <v>783</v>
      </c>
      <c r="G761" s="113" t="s">
        <v>783</v>
      </c>
      <c r="H761" s="113" t="s">
        <v>783</v>
      </c>
      <c r="I761" s="113" t="s">
        <v>783</v>
      </c>
      <c r="J761" s="70">
        <v>0.9</v>
      </c>
      <c r="K761" s="71">
        <v>1</v>
      </c>
      <c r="L761" s="71">
        <v>1</v>
      </c>
      <c r="M761" s="72">
        <v>0.92592592592592604</v>
      </c>
      <c r="N761" s="71">
        <v>0.95819935691318303</v>
      </c>
      <c r="O761" s="73">
        <v>0.9</v>
      </c>
      <c r="P761" s="71">
        <v>0.97991071428571397</v>
      </c>
      <c r="Q761" s="71">
        <v>0.98004073319755602</v>
      </c>
      <c r="R761" s="71">
        <v>0.97081623347013202</v>
      </c>
      <c r="S761" s="71">
        <v>0.96840041003699295</v>
      </c>
      <c r="T761" s="73">
        <v>0.9</v>
      </c>
      <c r="U761" s="71">
        <v>0.94047619047619002</v>
      </c>
      <c r="V761" s="71">
        <v>0.93075356415478605</v>
      </c>
      <c r="W761" s="71">
        <v>0.93980848153214802</v>
      </c>
      <c r="X761" s="71">
        <v>0.925391095066185</v>
      </c>
      <c r="Y761" s="73">
        <v>0.92</v>
      </c>
      <c r="Z761" s="73">
        <v>0.93015873015872996</v>
      </c>
      <c r="AA761" s="73">
        <v>0.92429022082018897</v>
      </c>
      <c r="AB761" s="73">
        <v>0.94814814814814796</v>
      </c>
      <c r="AC761" s="73">
        <v>0.94005245410266003</v>
      </c>
      <c r="AD761" s="73">
        <v>0.92</v>
      </c>
      <c r="AE761" s="71">
        <v>0.99874224383699495</v>
      </c>
      <c r="AF761" s="71">
        <v>0.99791476606281804</v>
      </c>
      <c r="AG761" s="71">
        <v>0.99514955537590899</v>
      </c>
      <c r="AH761" s="71">
        <v>0.99643529281523302</v>
      </c>
      <c r="AI761" s="73">
        <v>0.92</v>
      </c>
      <c r="AJ761" s="71">
        <v>0.955443037974684</v>
      </c>
      <c r="AK761" s="71">
        <v>0.97582972582972605</v>
      </c>
      <c r="AL761" s="71">
        <v>0.97731430662275898</v>
      </c>
      <c r="AM761" s="71">
        <v>0.97142240138209002</v>
      </c>
      <c r="AN761" s="70">
        <v>0.99</v>
      </c>
      <c r="AO761" s="75">
        <v>1</v>
      </c>
      <c r="AP761" s="75">
        <v>1</v>
      </c>
      <c r="AQ761" s="75">
        <v>1</v>
      </c>
      <c r="AR761" s="75">
        <v>1</v>
      </c>
      <c r="AS761" s="95">
        <v>8.1059522893420499E-2</v>
      </c>
      <c r="AT761" s="79">
        <v>0</v>
      </c>
      <c r="AU761" s="79">
        <v>0</v>
      </c>
      <c r="AV761" s="79">
        <v>0</v>
      </c>
      <c r="AW761" s="79">
        <v>1.1904761904761901E-2</v>
      </c>
      <c r="AX761" s="56"/>
      <c r="AY761" s="54"/>
    </row>
    <row r="762" spans="1:51">
      <c r="A762" s="53"/>
      <c r="B762" s="56"/>
      <c r="C762" s="90" t="s">
        <v>663</v>
      </c>
      <c r="D762" s="230" t="s">
        <v>1757</v>
      </c>
      <c r="E762" s="68" t="s">
        <v>664</v>
      </c>
      <c r="F762" s="113" t="s">
        <v>784</v>
      </c>
      <c r="G762" s="113" t="s">
        <v>784</v>
      </c>
      <c r="H762" s="113" t="s">
        <v>784</v>
      </c>
      <c r="I762" s="113" t="s">
        <v>784</v>
      </c>
      <c r="J762" s="70">
        <v>0.9</v>
      </c>
      <c r="K762" s="71">
        <v>0.94117647058823495</v>
      </c>
      <c r="L762" s="71">
        <v>0.97499999999999998</v>
      </c>
      <c r="M762" s="72">
        <v>0.97222222222222199</v>
      </c>
      <c r="N762" s="71">
        <v>0.97004608294930905</v>
      </c>
      <c r="O762" s="73">
        <v>0.9</v>
      </c>
      <c r="P762" s="71">
        <v>0.949367088607595</v>
      </c>
      <c r="Q762" s="71">
        <v>0.91904962153069802</v>
      </c>
      <c r="R762" s="71">
        <v>0.92269817823732103</v>
      </c>
      <c r="S762" s="71">
        <v>0.94468343776302299</v>
      </c>
      <c r="T762" s="73">
        <v>0.9</v>
      </c>
      <c r="U762" s="71">
        <v>0.97955209347614403</v>
      </c>
      <c r="V762" s="71">
        <v>0.973507148864592</v>
      </c>
      <c r="W762" s="71">
        <v>0.96627277203348105</v>
      </c>
      <c r="X762" s="71">
        <v>0.97065837463761295</v>
      </c>
      <c r="Y762" s="73">
        <v>0.92</v>
      </c>
      <c r="Z762" s="73">
        <v>0.96971881759192502</v>
      </c>
      <c r="AA762" s="73">
        <v>0.97774869109947604</v>
      </c>
      <c r="AB762" s="73">
        <v>0.97725490196078402</v>
      </c>
      <c r="AC762" s="73">
        <v>0.97758913412563697</v>
      </c>
      <c r="AD762" s="73">
        <v>0.92</v>
      </c>
      <c r="AE762" s="71">
        <v>0.97680177719509098</v>
      </c>
      <c r="AF762" s="71">
        <v>0.86852031157420095</v>
      </c>
      <c r="AG762" s="71">
        <v>0.98758230054221496</v>
      </c>
      <c r="AH762" s="71">
        <v>0.96097105831533502</v>
      </c>
      <c r="AI762" s="73">
        <v>0.92</v>
      </c>
      <c r="AJ762" s="71">
        <v>0.98390342052313895</v>
      </c>
      <c r="AK762" s="71">
        <v>0.98985507246376803</v>
      </c>
      <c r="AL762" s="71">
        <v>0.98613453250890004</v>
      </c>
      <c r="AM762" s="71">
        <v>0.98645800883252999</v>
      </c>
      <c r="AN762" s="70">
        <v>0.99</v>
      </c>
      <c r="AO762" s="75">
        <v>1</v>
      </c>
      <c r="AP762" s="75">
        <v>1</v>
      </c>
      <c r="AQ762" s="75">
        <v>1</v>
      </c>
      <c r="AR762" s="75">
        <v>1</v>
      </c>
      <c r="AS762" s="95">
        <v>8.1059522893420499E-2</v>
      </c>
      <c r="AT762" s="79">
        <v>0</v>
      </c>
      <c r="AU762" s="79">
        <v>-7.1428571428571397E-2</v>
      </c>
      <c r="AV762" s="79">
        <v>0</v>
      </c>
      <c r="AW762" s="79">
        <v>8.3333333333333297E-3</v>
      </c>
      <c r="AX762" s="56"/>
      <c r="AY762" s="54"/>
    </row>
    <row r="763" spans="1:51">
      <c r="A763" s="53"/>
      <c r="B763" s="56"/>
      <c r="C763" s="90" t="s">
        <v>663</v>
      </c>
      <c r="D763" s="230" t="s">
        <v>1757</v>
      </c>
      <c r="E763" s="68" t="s">
        <v>664</v>
      </c>
      <c r="F763" s="113" t="s">
        <v>785</v>
      </c>
      <c r="G763" s="113" t="s">
        <v>785</v>
      </c>
      <c r="H763" s="113" t="s">
        <v>785</v>
      </c>
      <c r="I763" s="113" t="s">
        <v>785</v>
      </c>
      <c r="J763" s="70">
        <v>0.9</v>
      </c>
      <c r="K763" s="71">
        <v>0.92307692307692302</v>
      </c>
      <c r="L763" s="71">
        <v>1</v>
      </c>
      <c r="M763" s="72">
        <v>0.88235294117647101</v>
      </c>
      <c r="N763" s="71">
        <v>0.95454545454545503</v>
      </c>
      <c r="O763" s="73">
        <v>0.9</v>
      </c>
      <c r="P763" s="71">
        <v>0.97274275979557101</v>
      </c>
      <c r="Q763" s="71">
        <v>0.97811816192560197</v>
      </c>
      <c r="R763" s="71">
        <v>0.97841726618705005</v>
      </c>
      <c r="S763" s="71">
        <v>0.97179426404361202</v>
      </c>
      <c r="T763" s="73">
        <v>0.9</v>
      </c>
      <c r="U763" s="71">
        <v>0.96252129471891001</v>
      </c>
      <c r="V763" s="71">
        <v>0.97155361050328204</v>
      </c>
      <c r="W763" s="71">
        <v>0.97122302158273399</v>
      </c>
      <c r="X763" s="71">
        <v>0.96575017776724303</v>
      </c>
      <c r="Y763" s="73">
        <v>0.92</v>
      </c>
      <c r="Z763" s="73">
        <v>0.97244732576985404</v>
      </c>
      <c r="AA763" s="73">
        <v>0.97543859649122799</v>
      </c>
      <c r="AB763" s="73">
        <v>0.98398576512455505</v>
      </c>
      <c r="AC763" s="73">
        <v>0.97643593519882199</v>
      </c>
      <c r="AD763" s="73">
        <v>0.92</v>
      </c>
      <c r="AE763" s="71">
        <v>0.99891390920280898</v>
      </c>
      <c r="AF763" s="71">
        <v>0.99660175140504503</v>
      </c>
      <c r="AG763" s="71">
        <v>0.99757894736842101</v>
      </c>
      <c r="AH763" s="71">
        <v>0.99694084457374599</v>
      </c>
      <c r="AI763" s="73">
        <v>0.92</v>
      </c>
      <c r="AJ763" s="71">
        <v>0.98216276477146003</v>
      </c>
      <c r="AK763" s="71">
        <v>0.98628192999053899</v>
      </c>
      <c r="AL763" s="71">
        <v>0.988522238163558</v>
      </c>
      <c r="AM763" s="71">
        <v>0.98641530357637897</v>
      </c>
      <c r="AN763" s="70">
        <v>0.99</v>
      </c>
      <c r="AO763" s="75">
        <v>1</v>
      </c>
      <c r="AP763" s="75">
        <v>1</v>
      </c>
      <c r="AQ763" s="75">
        <v>1</v>
      </c>
      <c r="AR763" s="75">
        <v>1</v>
      </c>
      <c r="AS763" s="95">
        <v>8.1059522893420499E-2</v>
      </c>
      <c r="AT763" s="79">
        <v>0.5</v>
      </c>
      <c r="AU763" s="79">
        <v>0.33333333333333298</v>
      </c>
      <c r="AV763" s="79">
        <v>0.2</v>
      </c>
      <c r="AW763" s="79">
        <v>0.15151515151515199</v>
      </c>
      <c r="AX763" s="56"/>
      <c r="AY763" s="54"/>
    </row>
    <row r="764" spans="1:51">
      <c r="A764" s="53"/>
      <c r="B764" s="56"/>
      <c r="C764" s="90" t="s">
        <v>663</v>
      </c>
      <c r="D764" s="230" t="s">
        <v>1757</v>
      </c>
      <c r="E764" s="68" t="s">
        <v>664</v>
      </c>
      <c r="F764" s="113" t="s">
        <v>786</v>
      </c>
      <c r="G764" s="113" t="s">
        <v>786</v>
      </c>
      <c r="H764" s="113" t="s">
        <v>786</v>
      </c>
      <c r="I764" s="113" t="s">
        <v>786</v>
      </c>
      <c r="J764" s="70">
        <v>0.9</v>
      </c>
      <c r="K764" s="71">
        <v>1</v>
      </c>
      <c r="L764" s="71">
        <v>0.97499999999999998</v>
      </c>
      <c r="M764" s="72">
        <v>0.97058823529411797</v>
      </c>
      <c r="N764" s="71">
        <v>0.98232323232323204</v>
      </c>
      <c r="O764" s="73">
        <v>0.9</v>
      </c>
      <c r="P764" s="71">
        <v>0.98515624999999996</v>
      </c>
      <c r="Q764" s="71">
        <v>0.97523670793882</v>
      </c>
      <c r="R764" s="71">
        <v>0.93723494486853298</v>
      </c>
      <c r="S764" s="71">
        <v>0.97033677196644297</v>
      </c>
      <c r="T764" s="73">
        <v>0.9</v>
      </c>
      <c r="U764" s="71">
        <v>0.90390625000000002</v>
      </c>
      <c r="V764" s="71">
        <v>0.937363437727604</v>
      </c>
      <c r="W764" s="71">
        <v>0.94020356234096703</v>
      </c>
      <c r="X764" s="71">
        <v>0.93348854011961602</v>
      </c>
      <c r="Y764" s="73">
        <v>0.92</v>
      </c>
      <c r="Z764" s="73">
        <v>0.95820895522388105</v>
      </c>
      <c r="AA764" s="73">
        <v>0.91496598639455795</v>
      </c>
      <c r="AB764" s="73">
        <v>0.95366795366795398</v>
      </c>
      <c r="AC764" s="73">
        <v>0.947230046948357</v>
      </c>
      <c r="AD764" s="73">
        <v>0.92</v>
      </c>
      <c r="AE764" s="71">
        <v>0.99879695227910703</v>
      </c>
      <c r="AF764" s="71">
        <v>0.99913830245583801</v>
      </c>
      <c r="AG764" s="71">
        <v>0.99501329787234005</v>
      </c>
      <c r="AH764" s="71">
        <v>0.99740428293315997</v>
      </c>
      <c r="AI764" s="73">
        <v>0.92</v>
      </c>
      <c r="AJ764" s="71">
        <v>0.969759097898514</v>
      </c>
      <c r="AK764" s="71">
        <v>0.97796777375863198</v>
      </c>
      <c r="AL764" s="71">
        <v>0.97881944444444402</v>
      </c>
      <c r="AM764" s="71">
        <v>0.97544369897874905</v>
      </c>
      <c r="AN764" s="70">
        <v>0.99</v>
      </c>
      <c r="AO764" s="75">
        <v>1</v>
      </c>
      <c r="AP764" s="75">
        <v>1</v>
      </c>
      <c r="AQ764" s="75">
        <v>1</v>
      </c>
      <c r="AR764" s="75">
        <v>1</v>
      </c>
      <c r="AS764" s="95">
        <v>8.1059522893420499E-2</v>
      </c>
      <c r="AT764" s="79">
        <v>5.5555555555555601E-2</v>
      </c>
      <c r="AU764" s="79">
        <v>0</v>
      </c>
      <c r="AV764" s="79">
        <v>0.14285714285714299</v>
      </c>
      <c r="AW764" s="79">
        <v>6.50406504065041E-2</v>
      </c>
      <c r="AX764" s="56"/>
      <c r="AY764" s="54"/>
    </row>
    <row r="765" spans="1:51">
      <c r="A765" s="53"/>
      <c r="B765" s="56"/>
      <c r="C765" s="90" t="s">
        <v>663</v>
      </c>
      <c r="D765" s="230" t="s">
        <v>1757</v>
      </c>
      <c r="E765" s="68" t="s">
        <v>664</v>
      </c>
      <c r="F765" s="113" t="s">
        <v>787</v>
      </c>
      <c r="G765" s="113" t="s">
        <v>787</v>
      </c>
      <c r="H765" s="113" t="s">
        <v>787</v>
      </c>
      <c r="I765" s="113" t="s">
        <v>787</v>
      </c>
      <c r="J765" s="70">
        <v>0.9</v>
      </c>
      <c r="K765" s="71">
        <v>0.92</v>
      </c>
      <c r="L765" s="71">
        <v>0.92307692307692302</v>
      </c>
      <c r="M765" s="72">
        <v>0.96153846153846201</v>
      </c>
      <c r="N765" s="71">
        <v>0.94019933554817303</v>
      </c>
      <c r="O765" s="73">
        <v>0.9</v>
      </c>
      <c r="P765" s="71">
        <v>0.97232824427480902</v>
      </c>
      <c r="Q765" s="71">
        <v>0.89251439539347399</v>
      </c>
      <c r="R765" s="71">
        <v>0.93302658486707601</v>
      </c>
      <c r="S765" s="71">
        <v>0.91296818564148197</v>
      </c>
      <c r="T765" s="73">
        <v>0.9</v>
      </c>
      <c r="U765" s="71">
        <v>0.920801526717557</v>
      </c>
      <c r="V765" s="71">
        <v>0.90115163147792698</v>
      </c>
      <c r="W765" s="71">
        <v>0.86094069529652395</v>
      </c>
      <c r="X765" s="71">
        <v>0.90391371035574697</v>
      </c>
      <c r="Y765" s="73">
        <v>0.92</v>
      </c>
      <c r="Z765" s="73">
        <v>0.947791164658635</v>
      </c>
      <c r="AA765" s="73">
        <v>0.93046357615894004</v>
      </c>
      <c r="AB765" s="73">
        <v>0.92098092643051799</v>
      </c>
      <c r="AC765" s="73">
        <v>0.92816218598501499</v>
      </c>
      <c r="AD765" s="73">
        <v>0.92</v>
      </c>
      <c r="AE765" s="71">
        <v>0.99585194639438401</v>
      </c>
      <c r="AF765" s="71">
        <v>0.99697824335213503</v>
      </c>
      <c r="AG765" s="71">
        <v>0.99775344004493105</v>
      </c>
      <c r="AH765" s="71">
        <v>0.99815211871579301</v>
      </c>
      <c r="AI765" s="73">
        <v>0.92</v>
      </c>
      <c r="AJ765" s="71">
        <v>0.95084087968952102</v>
      </c>
      <c r="AK765" s="71">
        <v>0.96144174350377198</v>
      </c>
      <c r="AL765" s="71">
        <v>0.95006457167455904</v>
      </c>
      <c r="AM765" s="71">
        <v>0.95931477516060004</v>
      </c>
      <c r="AN765" s="70">
        <v>0.99</v>
      </c>
      <c r="AO765" s="75">
        <v>1</v>
      </c>
      <c r="AP765" s="75">
        <v>1</v>
      </c>
      <c r="AQ765" s="75">
        <v>1</v>
      </c>
      <c r="AR765" s="75">
        <v>1</v>
      </c>
      <c r="AS765" s="95">
        <v>8.1059522893420499E-2</v>
      </c>
      <c r="AT765" s="79">
        <v>0</v>
      </c>
      <c r="AU765" s="79">
        <v>6.6666666666666693E-2</v>
      </c>
      <c r="AV765" s="79">
        <v>0</v>
      </c>
      <c r="AW765" s="79">
        <v>9.5238095238095205E-2</v>
      </c>
      <c r="AX765" s="56"/>
      <c r="AY765" s="54"/>
    </row>
    <row r="766" spans="1:51">
      <c r="A766" s="53"/>
      <c r="B766" s="56"/>
      <c r="C766" s="90" t="s">
        <v>663</v>
      </c>
      <c r="D766" s="230" t="s">
        <v>1757</v>
      </c>
      <c r="E766" s="68" t="s">
        <v>664</v>
      </c>
      <c r="F766" s="113" t="s">
        <v>788</v>
      </c>
      <c r="G766" s="113" t="s">
        <v>788</v>
      </c>
      <c r="H766" s="113" t="s">
        <v>788</v>
      </c>
      <c r="I766" s="113" t="s">
        <v>788</v>
      </c>
      <c r="J766" s="70">
        <v>0.9</v>
      </c>
      <c r="K766" s="71">
        <v>1</v>
      </c>
      <c r="L766" s="71">
        <v>1</v>
      </c>
      <c r="M766" s="72">
        <v>0.97058823529411797</v>
      </c>
      <c r="N766" s="71">
        <v>0.98992443324936996</v>
      </c>
      <c r="O766" s="73">
        <v>0.9</v>
      </c>
      <c r="P766" s="71">
        <v>0.97843761046306099</v>
      </c>
      <c r="Q766" s="71">
        <v>0.93657252273815195</v>
      </c>
      <c r="R766" s="71">
        <v>0.97430519140010496</v>
      </c>
      <c r="S766" s="71">
        <v>0.96812072395555304</v>
      </c>
      <c r="T766" s="73">
        <v>0.9</v>
      </c>
      <c r="U766" s="71">
        <v>0.96288441145281001</v>
      </c>
      <c r="V766" s="71">
        <v>0.95236955481091401</v>
      </c>
      <c r="W766" s="71">
        <v>0.94808599895123202</v>
      </c>
      <c r="X766" s="71">
        <v>0.95298170702120399</v>
      </c>
      <c r="Y766" s="73">
        <v>0.92</v>
      </c>
      <c r="Z766" s="73">
        <v>0.97140649149922698</v>
      </c>
      <c r="AA766" s="73">
        <v>0.97571428571428598</v>
      </c>
      <c r="AB766" s="73">
        <v>0.97927461139896399</v>
      </c>
      <c r="AC766" s="73">
        <v>0.97670563601465699</v>
      </c>
      <c r="AD766" s="73">
        <v>0.92</v>
      </c>
      <c r="AE766" s="71">
        <v>0.99583027455586504</v>
      </c>
      <c r="AF766" s="71">
        <v>0.99867724867724905</v>
      </c>
      <c r="AG766" s="71">
        <v>0.99816531479335602</v>
      </c>
      <c r="AH766" s="71">
        <v>0.99551223000654498</v>
      </c>
      <c r="AI766" s="73">
        <v>0.92</v>
      </c>
      <c r="AJ766" s="71">
        <v>0.97842424242424197</v>
      </c>
      <c r="AK766" s="71">
        <v>0.97663934426229504</v>
      </c>
      <c r="AL766" s="71">
        <v>0.98391636509851199</v>
      </c>
      <c r="AM766" s="71">
        <v>0.980795506300288</v>
      </c>
      <c r="AN766" s="70">
        <v>0.99</v>
      </c>
      <c r="AO766" s="75">
        <v>1</v>
      </c>
      <c r="AP766" s="75">
        <v>1</v>
      </c>
      <c r="AQ766" s="75">
        <v>1</v>
      </c>
      <c r="AR766" s="75">
        <v>1</v>
      </c>
      <c r="AS766" s="95">
        <v>8.1059522893420499E-2</v>
      </c>
      <c r="AT766" s="79">
        <v>0</v>
      </c>
      <c r="AU766" s="79">
        <v>5.8823529411764698E-2</v>
      </c>
      <c r="AV766" s="79">
        <v>5.8823529411764698E-2</v>
      </c>
      <c r="AW766" s="79">
        <v>5.0955414012738898E-2</v>
      </c>
      <c r="AX766" s="56"/>
      <c r="AY766" s="54"/>
    </row>
    <row r="767" spans="1:51">
      <c r="A767" s="53"/>
      <c r="B767" s="56"/>
      <c r="C767" s="90" t="s">
        <v>663</v>
      </c>
      <c r="D767" s="230" t="s">
        <v>1757</v>
      </c>
      <c r="E767" s="68" t="s">
        <v>664</v>
      </c>
      <c r="F767" s="113" t="s">
        <v>789</v>
      </c>
      <c r="G767" s="113" t="s">
        <v>789</v>
      </c>
      <c r="H767" s="113" t="s">
        <v>789</v>
      </c>
      <c r="I767" s="113" t="s">
        <v>789</v>
      </c>
      <c r="J767" s="70">
        <v>0.9</v>
      </c>
      <c r="K767" s="71" t="s">
        <v>1710</v>
      </c>
      <c r="L767" s="71" t="s">
        <v>1710</v>
      </c>
      <c r="M767" s="72" t="s">
        <v>1710</v>
      </c>
      <c r="N767" s="71" t="s">
        <v>1710</v>
      </c>
      <c r="O767" s="73">
        <v>0.9</v>
      </c>
      <c r="P767" s="71" t="s">
        <v>1710</v>
      </c>
      <c r="Q767" s="71" t="s">
        <v>1710</v>
      </c>
      <c r="R767" s="71" t="s">
        <v>1710</v>
      </c>
      <c r="S767" s="71" t="s">
        <v>1710</v>
      </c>
      <c r="T767" s="73">
        <v>0.9</v>
      </c>
      <c r="U767" s="71" t="s">
        <v>1710</v>
      </c>
      <c r="V767" s="71" t="s">
        <v>1710</v>
      </c>
      <c r="W767" s="71" t="s">
        <v>1710</v>
      </c>
      <c r="X767" s="71" t="s">
        <v>1710</v>
      </c>
      <c r="Y767" s="73">
        <v>0.92</v>
      </c>
      <c r="Z767" s="73" t="s">
        <v>1710</v>
      </c>
      <c r="AA767" s="73" t="s">
        <v>1710</v>
      </c>
      <c r="AB767" s="73" t="s">
        <v>1710</v>
      </c>
      <c r="AC767" s="73" t="s">
        <v>1710</v>
      </c>
      <c r="AD767" s="73">
        <v>0.92</v>
      </c>
      <c r="AE767" s="71" t="s">
        <v>1710</v>
      </c>
      <c r="AF767" s="71" t="s">
        <v>1710</v>
      </c>
      <c r="AG767" s="71" t="s">
        <v>1710</v>
      </c>
      <c r="AH767" s="71" t="s">
        <v>1710</v>
      </c>
      <c r="AI767" s="73">
        <v>0.92</v>
      </c>
      <c r="AJ767" s="71" t="s">
        <v>1710</v>
      </c>
      <c r="AK767" s="71" t="s">
        <v>1710</v>
      </c>
      <c r="AL767" s="71" t="s">
        <v>1710</v>
      </c>
      <c r="AM767" s="71" t="s">
        <v>1710</v>
      </c>
      <c r="AN767" s="70">
        <v>0.99</v>
      </c>
      <c r="AO767" s="75" t="s">
        <v>1710</v>
      </c>
      <c r="AP767" s="75" t="s">
        <v>1710</v>
      </c>
      <c r="AQ767" s="75" t="s">
        <v>1710</v>
      </c>
      <c r="AR767" s="75" t="s">
        <v>1710</v>
      </c>
      <c r="AS767" s="95">
        <v>8.1059522893420499E-2</v>
      </c>
      <c r="AT767" s="79" t="s">
        <v>1710</v>
      </c>
      <c r="AU767" s="79" t="s">
        <v>1710</v>
      </c>
      <c r="AV767" s="79" t="s">
        <v>1710</v>
      </c>
      <c r="AW767" s="79" t="s">
        <v>1710</v>
      </c>
      <c r="AX767" s="56"/>
      <c r="AY767" s="54"/>
    </row>
    <row r="768" spans="1:51">
      <c r="A768" s="53"/>
      <c r="B768" s="56"/>
      <c r="C768" s="90" t="s">
        <v>663</v>
      </c>
      <c r="D768" s="230" t="s">
        <v>1757</v>
      </c>
      <c r="E768" s="68" t="s">
        <v>664</v>
      </c>
      <c r="F768" s="113" t="s">
        <v>790</v>
      </c>
      <c r="G768" s="113" t="s">
        <v>790</v>
      </c>
      <c r="H768" s="113" t="s">
        <v>790</v>
      </c>
      <c r="I768" s="113" t="s">
        <v>790</v>
      </c>
      <c r="J768" s="70">
        <v>0.9</v>
      </c>
      <c r="K768" s="71">
        <v>0.93333333333333302</v>
      </c>
      <c r="L768" s="71">
        <v>0.952380952380952</v>
      </c>
      <c r="M768" s="72">
        <v>0.94736842105263197</v>
      </c>
      <c r="N768" s="71">
        <v>0.93689320388349495</v>
      </c>
      <c r="O768" s="73">
        <v>0.9</v>
      </c>
      <c r="P768" s="71">
        <v>0.97822706065318799</v>
      </c>
      <c r="Q768" s="71">
        <v>0.95032397408207303</v>
      </c>
      <c r="R768" s="71">
        <v>0.97887836853605203</v>
      </c>
      <c r="S768" s="71">
        <v>0.96974158875064398</v>
      </c>
      <c r="T768" s="73">
        <v>0.9</v>
      </c>
      <c r="U768" s="71">
        <v>0.94556765163296996</v>
      </c>
      <c r="V768" s="71">
        <v>0.93880489560835101</v>
      </c>
      <c r="W768" s="71">
        <v>0.949745083758194</v>
      </c>
      <c r="X768" s="71">
        <v>0.95207244349554598</v>
      </c>
      <c r="Y768" s="73">
        <v>0.92</v>
      </c>
      <c r="Z768" s="73">
        <v>0.94940476190476197</v>
      </c>
      <c r="AA768" s="73">
        <v>0.93922651933701695</v>
      </c>
      <c r="AB768" s="73">
        <v>0.95815899581590003</v>
      </c>
      <c r="AC768" s="73">
        <v>0.961940047153924</v>
      </c>
      <c r="AD768" s="73">
        <v>0.92</v>
      </c>
      <c r="AE768" s="71">
        <v>0.99956859361518502</v>
      </c>
      <c r="AF768" s="71">
        <v>0.99832335329341304</v>
      </c>
      <c r="AG768" s="71">
        <v>0.99715971160148598</v>
      </c>
      <c r="AH768" s="71">
        <v>0.99860712652280603</v>
      </c>
      <c r="AI768" s="73">
        <v>0.92</v>
      </c>
      <c r="AJ768" s="71">
        <v>0.96534148827726796</v>
      </c>
      <c r="AK768" s="71">
        <v>0.97261146496815298</v>
      </c>
      <c r="AL768" s="71">
        <v>0.98635235732009896</v>
      </c>
      <c r="AM768" s="71">
        <v>0.982262443438914</v>
      </c>
      <c r="AN768" s="70">
        <v>0.99</v>
      </c>
      <c r="AO768" s="75">
        <v>1</v>
      </c>
      <c r="AP768" s="75">
        <v>1</v>
      </c>
      <c r="AQ768" s="75">
        <v>1</v>
      </c>
      <c r="AR768" s="75">
        <v>1</v>
      </c>
      <c r="AS768" s="95">
        <v>8.1059522893420499E-2</v>
      </c>
      <c r="AT768" s="79">
        <v>-0.1</v>
      </c>
      <c r="AU768" s="79">
        <v>6.25E-2</v>
      </c>
      <c r="AV768" s="79">
        <v>0</v>
      </c>
      <c r="AW768" s="79">
        <v>-2.02020202020202E-2</v>
      </c>
      <c r="AX768" s="56"/>
      <c r="AY768" s="54"/>
    </row>
    <row r="769" spans="1:51">
      <c r="A769" s="53"/>
      <c r="B769" s="56"/>
      <c r="C769" s="90" t="s">
        <v>663</v>
      </c>
      <c r="D769" s="230" t="s">
        <v>1757</v>
      </c>
      <c r="E769" s="68" t="s">
        <v>664</v>
      </c>
      <c r="F769" s="113" t="s">
        <v>791</v>
      </c>
      <c r="G769" s="113" t="s">
        <v>791</v>
      </c>
      <c r="H769" s="113" t="s">
        <v>791</v>
      </c>
      <c r="I769" s="113" t="s">
        <v>791</v>
      </c>
      <c r="J769" s="70">
        <v>0.9</v>
      </c>
      <c r="K769" s="71">
        <v>0.47058823529411797</v>
      </c>
      <c r="L769" s="71">
        <v>0.63157894736842102</v>
      </c>
      <c r="M769" s="72">
        <v>0.375</v>
      </c>
      <c r="N769" s="71">
        <v>0.47474747474747497</v>
      </c>
      <c r="O769" s="73">
        <v>0.9</v>
      </c>
      <c r="P769" s="71">
        <v>0.95773381294964</v>
      </c>
      <c r="Q769" s="71">
        <v>0.95101041028781397</v>
      </c>
      <c r="R769" s="71">
        <v>0.94155381325730603</v>
      </c>
      <c r="S769" s="71">
        <v>0.95397178916109904</v>
      </c>
      <c r="T769" s="73">
        <v>0.9</v>
      </c>
      <c r="U769" s="71">
        <v>0.90737410071942404</v>
      </c>
      <c r="V769" s="71">
        <v>0.91549295774647899</v>
      </c>
      <c r="W769" s="71">
        <v>0.89665003563791901</v>
      </c>
      <c r="X769" s="71">
        <v>0.91221232368225702</v>
      </c>
      <c r="Y769" s="73">
        <v>0.92</v>
      </c>
      <c r="Z769" s="73">
        <v>0.87358916478555304</v>
      </c>
      <c r="AA769" s="73">
        <v>0.93500000000000005</v>
      </c>
      <c r="AB769" s="73">
        <v>0.87173396674584303</v>
      </c>
      <c r="AC769" s="73">
        <v>0.89828941285251995</v>
      </c>
      <c r="AD769" s="73">
        <v>0.92</v>
      </c>
      <c r="AE769" s="71">
        <v>0.99721835883171095</v>
      </c>
      <c r="AF769" s="71">
        <v>0.99909008189263004</v>
      </c>
      <c r="AG769" s="71">
        <v>0.99829931972789099</v>
      </c>
      <c r="AH769" s="71">
        <v>0.99624972424443003</v>
      </c>
      <c r="AI769" s="73">
        <v>0.92</v>
      </c>
      <c r="AJ769" s="71">
        <v>0.914469453376206</v>
      </c>
      <c r="AK769" s="71">
        <v>0.95228726020659105</v>
      </c>
      <c r="AL769" s="71">
        <v>0.92501368363437297</v>
      </c>
      <c r="AM769" s="71">
        <v>0.93981368580207802</v>
      </c>
      <c r="AN769" s="70">
        <v>0.99</v>
      </c>
      <c r="AO769" s="75">
        <v>1</v>
      </c>
      <c r="AP769" s="75">
        <v>1</v>
      </c>
      <c r="AQ769" s="75">
        <v>1</v>
      </c>
      <c r="AR769" s="75">
        <v>1</v>
      </c>
      <c r="AS769" s="95">
        <v>8.1059522893420499E-2</v>
      </c>
      <c r="AT769" s="79">
        <v>0</v>
      </c>
      <c r="AU769" s="79">
        <v>9.0909090909090898E-2</v>
      </c>
      <c r="AV769" s="79">
        <v>8.3333333333333301E-2</v>
      </c>
      <c r="AW769" s="79">
        <v>4.6296296296296301E-2</v>
      </c>
      <c r="AX769" s="56"/>
      <c r="AY769" s="54"/>
    </row>
    <row r="770" spans="1:51">
      <c r="A770" s="53"/>
      <c r="B770" s="56"/>
      <c r="C770" s="90" t="s">
        <v>663</v>
      </c>
      <c r="D770" s="230" t="s">
        <v>1757</v>
      </c>
      <c r="E770" s="68" t="s">
        <v>664</v>
      </c>
      <c r="F770" s="113" t="s">
        <v>792</v>
      </c>
      <c r="G770" s="113" t="s">
        <v>792</v>
      </c>
      <c r="H770" s="113" t="s">
        <v>792</v>
      </c>
      <c r="I770" s="113" t="s">
        <v>792</v>
      </c>
      <c r="J770" s="70">
        <v>0.9</v>
      </c>
      <c r="K770" s="71">
        <v>1</v>
      </c>
      <c r="L770" s="71">
        <v>0.8</v>
      </c>
      <c r="M770" s="72">
        <v>0.83333333333333304</v>
      </c>
      <c r="N770" s="71">
        <v>0.84472049689440998</v>
      </c>
      <c r="O770" s="73">
        <v>0.9</v>
      </c>
      <c r="P770" s="71">
        <v>0.90368698269375503</v>
      </c>
      <c r="Q770" s="71">
        <v>0.94564505566470203</v>
      </c>
      <c r="R770" s="71">
        <v>0.55015197568389096</v>
      </c>
      <c r="S770" s="71">
        <v>0.89576903292181098</v>
      </c>
      <c r="T770" s="73">
        <v>0.9</v>
      </c>
      <c r="U770" s="71">
        <v>0.79759217456734399</v>
      </c>
      <c r="V770" s="71">
        <v>0.82252783235101501</v>
      </c>
      <c r="W770" s="71">
        <v>0.59726443768996995</v>
      </c>
      <c r="X770" s="71">
        <v>0.81751543209876498</v>
      </c>
      <c r="Y770" s="73">
        <v>0.92</v>
      </c>
      <c r="Z770" s="73">
        <v>0.88729016786570702</v>
      </c>
      <c r="AA770" s="73">
        <v>1</v>
      </c>
      <c r="AB770" s="73">
        <v>0.68279569892473102</v>
      </c>
      <c r="AC770" s="73">
        <v>0.84634920634920596</v>
      </c>
      <c r="AD770" s="73">
        <v>0.92</v>
      </c>
      <c r="AE770" s="71">
        <v>0.99940262843488603</v>
      </c>
      <c r="AF770" s="71">
        <v>0.99951076320939303</v>
      </c>
      <c r="AG770" s="71">
        <v>0.984375</v>
      </c>
      <c r="AH770" s="71">
        <v>0.99606444471774702</v>
      </c>
      <c r="AI770" s="73">
        <v>0.92</v>
      </c>
      <c r="AJ770" s="71">
        <v>0.93184421534937001</v>
      </c>
      <c r="AK770" s="71">
        <v>0.93067364290385901</v>
      </c>
      <c r="AL770" s="71">
        <v>0.77665876777251197</v>
      </c>
      <c r="AM770" s="71">
        <v>0.91022830561941903</v>
      </c>
      <c r="AN770" s="70">
        <v>0.99</v>
      </c>
      <c r="AO770" s="75">
        <v>1</v>
      </c>
      <c r="AP770" s="75">
        <v>1</v>
      </c>
      <c r="AQ770" s="75">
        <v>1</v>
      </c>
      <c r="AR770" s="75">
        <v>1</v>
      </c>
      <c r="AS770" s="95">
        <v>8.1059522893420499E-2</v>
      </c>
      <c r="AT770" s="79">
        <v>0</v>
      </c>
      <c r="AU770" s="79">
        <v>0</v>
      </c>
      <c r="AV770" s="79">
        <v>1</v>
      </c>
      <c r="AW770" s="79">
        <v>4.7619047619047603E-2</v>
      </c>
      <c r="AX770" s="56"/>
      <c r="AY770" s="54"/>
    </row>
    <row r="771" spans="1:51">
      <c r="A771" s="53"/>
      <c r="B771" s="56"/>
      <c r="C771" s="90" t="s">
        <v>663</v>
      </c>
      <c r="D771" s="230" t="s">
        <v>1757</v>
      </c>
      <c r="E771" s="68" t="s">
        <v>664</v>
      </c>
      <c r="F771" s="113" t="s">
        <v>793</v>
      </c>
      <c r="G771" s="113" t="s">
        <v>793</v>
      </c>
      <c r="H771" s="113" t="s">
        <v>793</v>
      </c>
      <c r="I771" s="113" t="s">
        <v>793</v>
      </c>
      <c r="J771" s="70">
        <v>0.9</v>
      </c>
      <c r="K771" s="71">
        <v>0.82857142857142896</v>
      </c>
      <c r="L771" s="71">
        <v>0.81578947368421095</v>
      </c>
      <c r="M771" s="72">
        <v>0.6875</v>
      </c>
      <c r="N771" s="71">
        <v>0.76225490196078405</v>
      </c>
      <c r="O771" s="73">
        <v>0.9</v>
      </c>
      <c r="P771" s="71">
        <v>0.95454545454545503</v>
      </c>
      <c r="Q771" s="71">
        <v>0.935228023793787</v>
      </c>
      <c r="R771" s="71">
        <v>0.92633451957295398</v>
      </c>
      <c r="S771" s="71">
        <v>0.94730761044726197</v>
      </c>
      <c r="T771" s="73">
        <v>0.9</v>
      </c>
      <c r="U771" s="71">
        <v>0.92094861660079097</v>
      </c>
      <c r="V771" s="71">
        <v>0.92068737607402495</v>
      </c>
      <c r="W771" s="71">
        <v>0.87081850533807803</v>
      </c>
      <c r="X771" s="71">
        <v>0.910547599501353</v>
      </c>
      <c r="Y771" s="73">
        <v>0.92</v>
      </c>
      <c r="Z771" s="73">
        <v>0.905241935483871</v>
      </c>
      <c r="AA771" s="73">
        <v>0.89608177172061299</v>
      </c>
      <c r="AB771" s="73">
        <v>0.85413744740533004</v>
      </c>
      <c r="AC771" s="73">
        <v>0.90281634272114197</v>
      </c>
      <c r="AD771" s="73">
        <v>0.92</v>
      </c>
      <c r="AE771" s="71">
        <v>0.99862637362637396</v>
      </c>
      <c r="AF771" s="71">
        <v>0.99523052464228901</v>
      </c>
      <c r="AG771" s="71">
        <v>0.99249530956847998</v>
      </c>
      <c r="AH771" s="71">
        <v>0.99442812278391202</v>
      </c>
      <c r="AI771" s="73">
        <v>0.92</v>
      </c>
      <c r="AJ771" s="71">
        <v>0.937375745526839</v>
      </c>
      <c r="AK771" s="71">
        <v>0.94353722668142803</v>
      </c>
      <c r="AL771" s="71">
        <v>0.90661368152143096</v>
      </c>
      <c r="AM771" s="71">
        <v>0.946954716234922</v>
      </c>
      <c r="AN771" s="70">
        <v>0.99</v>
      </c>
      <c r="AO771" s="75">
        <v>1</v>
      </c>
      <c r="AP771" s="75">
        <v>1</v>
      </c>
      <c r="AQ771" s="75">
        <v>1</v>
      </c>
      <c r="AR771" s="75">
        <v>1</v>
      </c>
      <c r="AS771" s="95">
        <v>8.1059522893420499E-2</v>
      </c>
      <c r="AT771" s="79">
        <v>0</v>
      </c>
      <c r="AU771" s="79">
        <v>0.13043478260869601</v>
      </c>
      <c r="AV771" s="79">
        <v>0</v>
      </c>
      <c r="AW771" s="79">
        <v>3.2407407407407399E-2</v>
      </c>
      <c r="AX771" s="56"/>
      <c r="AY771" s="54"/>
    </row>
    <row r="772" spans="1:51">
      <c r="A772" s="53"/>
      <c r="B772" s="56"/>
      <c r="C772" s="90" t="s">
        <v>663</v>
      </c>
      <c r="D772" s="230" t="s">
        <v>1757</v>
      </c>
      <c r="E772" s="68" t="s">
        <v>664</v>
      </c>
      <c r="F772" s="113" t="s">
        <v>794</v>
      </c>
      <c r="G772" s="113" t="s">
        <v>794</v>
      </c>
      <c r="H772" s="113" t="s">
        <v>794</v>
      </c>
      <c r="I772" s="113" t="s">
        <v>794</v>
      </c>
      <c r="J772" s="70">
        <v>0.9</v>
      </c>
      <c r="K772" s="71">
        <v>0.83333333333333304</v>
      </c>
      <c r="L772" s="71">
        <v>0.88235294117647101</v>
      </c>
      <c r="M772" s="72">
        <v>0.79310344827586199</v>
      </c>
      <c r="N772" s="71">
        <v>0.81303116147308796</v>
      </c>
      <c r="O772" s="73">
        <v>0.9</v>
      </c>
      <c r="P772" s="71">
        <v>0.94976867151354905</v>
      </c>
      <c r="Q772" s="71">
        <v>0.95212285456187895</v>
      </c>
      <c r="R772" s="71">
        <v>0.94905048633626699</v>
      </c>
      <c r="S772" s="71">
        <v>0.95423418825230699</v>
      </c>
      <c r="T772" s="73">
        <v>0.9</v>
      </c>
      <c r="U772" s="71">
        <v>0.91473892927957701</v>
      </c>
      <c r="V772" s="71">
        <v>0.91779584462511299</v>
      </c>
      <c r="W772" s="71">
        <v>0.87957387679481203</v>
      </c>
      <c r="X772" s="71">
        <v>0.91493343541321104</v>
      </c>
      <c r="Y772" s="73">
        <v>0.92</v>
      </c>
      <c r="Z772" s="73">
        <v>0.87345254470426403</v>
      </c>
      <c r="AA772" s="73">
        <v>0.908496732026144</v>
      </c>
      <c r="AB772" s="73">
        <v>0.82656826568265696</v>
      </c>
      <c r="AC772" s="73">
        <v>0.87928560038271397</v>
      </c>
      <c r="AD772" s="73">
        <v>0.92</v>
      </c>
      <c r="AE772" s="71">
        <v>0.99827586206896601</v>
      </c>
      <c r="AF772" s="71">
        <v>0.99938949938949895</v>
      </c>
      <c r="AG772" s="71">
        <v>0.99679692504804596</v>
      </c>
      <c r="AH772" s="71">
        <v>0.99741931268783501</v>
      </c>
      <c r="AI772" s="73">
        <v>0.92</v>
      </c>
      <c r="AJ772" s="71">
        <v>0.92901785714285701</v>
      </c>
      <c r="AK772" s="71">
        <v>0.95099139543583999</v>
      </c>
      <c r="AL772" s="71">
        <v>0.90670122176971502</v>
      </c>
      <c r="AM772" s="71">
        <v>0.93850491759256105</v>
      </c>
      <c r="AN772" s="70">
        <v>0.99</v>
      </c>
      <c r="AO772" s="75">
        <v>1</v>
      </c>
      <c r="AP772" s="75">
        <v>1</v>
      </c>
      <c r="AQ772" s="75">
        <v>1</v>
      </c>
      <c r="AR772" s="75">
        <v>1</v>
      </c>
      <c r="AS772" s="95">
        <v>8.1059522893420499E-2</v>
      </c>
      <c r="AT772" s="79">
        <v>0</v>
      </c>
      <c r="AU772" s="79">
        <v>-5.5555555555555601E-2</v>
      </c>
      <c r="AV772" s="79">
        <v>0</v>
      </c>
      <c r="AW772" s="79">
        <v>3.8834951456310697E-2</v>
      </c>
      <c r="AX772" s="56"/>
      <c r="AY772" s="54"/>
    </row>
    <row r="773" spans="1:51">
      <c r="A773" s="53"/>
      <c r="B773" s="56"/>
      <c r="C773" s="90" t="s">
        <v>663</v>
      </c>
      <c r="D773" s="230" t="s">
        <v>1757</v>
      </c>
      <c r="E773" s="68" t="s">
        <v>664</v>
      </c>
      <c r="F773" s="113" t="s">
        <v>795</v>
      </c>
      <c r="G773" s="113" t="s">
        <v>795</v>
      </c>
      <c r="H773" s="113" t="s">
        <v>795</v>
      </c>
      <c r="I773" s="113" t="s">
        <v>795</v>
      </c>
      <c r="J773" s="70">
        <v>0.9</v>
      </c>
      <c r="K773" s="71">
        <v>0.75</v>
      </c>
      <c r="L773" s="71">
        <v>0.875</v>
      </c>
      <c r="M773" s="72">
        <v>0.82142857142857095</v>
      </c>
      <c r="N773" s="71">
        <v>0.79591836734693899</v>
      </c>
      <c r="O773" s="73">
        <v>0.9</v>
      </c>
      <c r="P773" s="71">
        <v>0.96493037648272295</v>
      </c>
      <c r="Q773" s="71">
        <v>0.89608387295713798</v>
      </c>
      <c r="R773" s="71">
        <v>0.89214992927864201</v>
      </c>
      <c r="S773" s="71">
        <v>0.92810188989317999</v>
      </c>
      <c r="T773" s="73">
        <v>0.9</v>
      </c>
      <c r="U773" s="71">
        <v>0.89530685920577602</v>
      </c>
      <c r="V773" s="71">
        <v>0.85445575084797998</v>
      </c>
      <c r="W773" s="71">
        <v>0.74045261669023998</v>
      </c>
      <c r="X773" s="71">
        <v>0.84438404652044796</v>
      </c>
      <c r="Y773" s="73">
        <v>0.92</v>
      </c>
      <c r="Z773" s="73">
        <v>0.86803185437997699</v>
      </c>
      <c r="AA773" s="73">
        <v>0.84790209790209803</v>
      </c>
      <c r="AB773" s="73">
        <v>0.72058823529411797</v>
      </c>
      <c r="AC773" s="73">
        <v>0.83846848008250596</v>
      </c>
      <c r="AD773" s="73">
        <v>0.92</v>
      </c>
      <c r="AE773" s="71">
        <v>0.99908675799086799</v>
      </c>
      <c r="AF773" s="71">
        <v>0.99846331156358004</v>
      </c>
      <c r="AG773" s="71">
        <v>0.98245614035087703</v>
      </c>
      <c r="AH773" s="71">
        <v>0.99556694604142104</v>
      </c>
      <c r="AI773" s="73">
        <v>0.92</v>
      </c>
      <c r="AJ773" s="71">
        <v>0.91909155429382505</v>
      </c>
      <c r="AK773" s="71">
        <v>0.91716906946264698</v>
      </c>
      <c r="AL773" s="71">
        <v>0.82167352537722904</v>
      </c>
      <c r="AM773" s="71">
        <v>0.91234614896586697</v>
      </c>
      <c r="AN773" s="70">
        <v>0.99</v>
      </c>
      <c r="AO773" s="75">
        <v>1</v>
      </c>
      <c r="AP773" s="75">
        <v>1</v>
      </c>
      <c r="AQ773" s="75">
        <v>1</v>
      </c>
      <c r="AR773" s="75">
        <v>1</v>
      </c>
      <c r="AS773" s="95">
        <v>8.1059522893420499E-2</v>
      </c>
      <c r="AT773" s="79">
        <v>4.7619047619047603E-2</v>
      </c>
      <c r="AU773" s="79">
        <v>7.8947368421052599E-2</v>
      </c>
      <c r="AV773" s="79">
        <v>0</v>
      </c>
      <c r="AW773" s="79">
        <v>6.0606060606060601E-2</v>
      </c>
      <c r="AX773" s="56"/>
      <c r="AY773" s="54"/>
    </row>
    <row r="774" spans="1:51">
      <c r="A774" s="53"/>
      <c r="B774" s="56"/>
      <c r="C774" s="90" t="s">
        <v>663</v>
      </c>
      <c r="D774" s="230" t="s">
        <v>1757</v>
      </c>
      <c r="E774" s="68" t="s">
        <v>664</v>
      </c>
      <c r="F774" s="113" t="s">
        <v>796</v>
      </c>
      <c r="G774" s="113" t="s">
        <v>796</v>
      </c>
      <c r="H774" s="113" t="s">
        <v>796</v>
      </c>
      <c r="I774" s="113" t="s">
        <v>796</v>
      </c>
      <c r="J774" s="70">
        <v>0.9</v>
      </c>
      <c r="K774" s="71">
        <v>0.76923076923076905</v>
      </c>
      <c r="L774" s="71">
        <v>0.7</v>
      </c>
      <c r="M774" s="72">
        <v>0.74074074074074103</v>
      </c>
      <c r="N774" s="71">
        <v>0.71382636655948595</v>
      </c>
      <c r="O774" s="73">
        <v>0.9</v>
      </c>
      <c r="P774" s="71">
        <v>0.91953352769679297</v>
      </c>
      <c r="Q774" s="71">
        <v>0.92721202003338898</v>
      </c>
      <c r="R774" s="71">
        <v>0.878876322510033</v>
      </c>
      <c r="S774" s="71">
        <v>0.92444625628482102</v>
      </c>
      <c r="T774" s="73">
        <v>0.9</v>
      </c>
      <c r="U774" s="71">
        <v>0.890379008746356</v>
      </c>
      <c r="V774" s="71">
        <v>0.87445742904841395</v>
      </c>
      <c r="W774" s="71">
        <v>0.859540313754104</v>
      </c>
      <c r="X774" s="71">
        <v>0.87287674955836403</v>
      </c>
      <c r="Y774" s="73">
        <v>0.92</v>
      </c>
      <c r="Z774" s="73">
        <v>0.86612339930151305</v>
      </c>
      <c r="AA774" s="73">
        <v>0.85248713550600297</v>
      </c>
      <c r="AB774" s="73">
        <v>0.843621399176955</v>
      </c>
      <c r="AC774" s="73">
        <v>0.85147038894159099</v>
      </c>
      <c r="AD774" s="73">
        <v>0.92</v>
      </c>
      <c r="AE774" s="71">
        <v>0.99869109947643997</v>
      </c>
      <c r="AF774" s="71">
        <v>0.99807692307692297</v>
      </c>
      <c r="AG774" s="71">
        <v>0.99627560521415304</v>
      </c>
      <c r="AH774" s="71">
        <v>0.99688149688149696</v>
      </c>
      <c r="AI774" s="73">
        <v>0.92</v>
      </c>
      <c r="AJ774" s="71">
        <v>0.909126213592233</v>
      </c>
      <c r="AK774" s="71">
        <v>0.93528591352859103</v>
      </c>
      <c r="AL774" s="71">
        <v>0.91123919308357304</v>
      </c>
      <c r="AM774" s="71">
        <v>0.92639152864512597</v>
      </c>
      <c r="AN774" s="70">
        <v>0.99</v>
      </c>
      <c r="AO774" s="75">
        <v>1</v>
      </c>
      <c r="AP774" s="75">
        <v>1</v>
      </c>
      <c r="AQ774" s="75">
        <v>1</v>
      </c>
      <c r="AR774" s="75">
        <v>1</v>
      </c>
      <c r="AS774" s="95">
        <v>8.1059522893420499E-2</v>
      </c>
      <c r="AT774" s="79">
        <v>0.05</v>
      </c>
      <c r="AU774" s="79">
        <v>4.1666666666666699E-2</v>
      </c>
      <c r="AV774" s="79">
        <v>9.0909090909090898E-2</v>
      </c>
      <c r="AW774" s="79">
        <v>4.9773755656108601E-2</v>
      </c>
      <c r="AX774" s="56"/>
      <c r="AY774" s="54"/>
    </row>
    <row r="775" spans="1:51">
      <c r="A775" s="53"/>
      <c r="B775" s="56"/>
      <c r="C775" s="90" t="s">
        <v>663</v>
      </c>
      <c r="D775" s="230" t="s">
        <v>1757</v>
      </c>
      <c r="E775" s="68" t="s">
        <v>664</v>
      </c>
      <c r="F775" s="113" t="s">
        <v>797</v>
      </c>
      <c r="G775" s="113" t="s">
        <v>797</v>
      </c>
      <c r="H775" s="113" t="s">
        <v>797</v>
      </c>
      <c r="I775" s="113" t="s">
        <v>797</v>
      </c>
      <c r="J775" s="70">
        <v>0.9</v>
      </c>
      <c r="K775" s="71">
        <v>1</v>
      </c>
      <c r="L775" s="71">
        <v>0.92307692307692302</v>
      </c>
      <c r="M775" s="72">
        <v>1</v>
      </c>
      <c r="N775" s="71">
        <v>0.94029850746268695</v>
      </c>
      <c r="O775" s="73">
        <v>0.9</v>
      </c>
      <c r="P775" s="71">
        <v>0.98298429319371705</v>
      </c>
      <c r="Q775" s="71">
        <v>0.95</v>
      </c>
      <c r="R775" s="71">
        <v>0.96923076923076901</v>
      </c>
      <c r="S775" s="71">
        <v>0.98195060164661196</v>
      </c>
      <c r="T775" s="73">
        <v>0.9</v>
      </c>
      <c r="U775" s="71">
        <v>0.95484293193717296</v>
      </c>
      <c r="V775" s="71">
        <v>0.93949579831932795</v>
      </c>
      <c r="W775" s="71">
        <v>0.89502262443438896</v>
      </c>
      <c r="X775" s="71">
        <v>0.95036415452818201</v>
      </c>
      <c r="Y775" s="73">
        <v>0.92</v>
      </c>
      <c r="Z775" s="73">
        <v>0.93668831168831201</v>
      </c>
      <c r="AA775" s="73">
        <v>0.96350364963503699</v>
      </c>
      <c r="AB775" s="73">
        <v>0.83277027027026995</v>
      </c>
      <c r="AC775" s="73">
        <v>0.93858947705101503</v>
      </c>
      <c r="AD775" s="73">
        <v>0.92</v>
      </c>
      <c r="AE775" s="71">
        <v>0.99010477299185096</v>
      </c>
      <c r="AF775" s="71">
        <v>0.99869302401568405</v>
      </c>
      <c r="AG775" s="71">
        <v>0.98373983739837401</v>
      </c>
      <c r="AH775" s="71">
        <v>0.99605266643706802</v>
      </c>
      <c r="AI775" s="73">
        <v>0.92</v>
      </c>
      <c r="AJ775" s="71">
        <v>0.95804195804195802</v>
      </c>
      <c r="AK775" s="71">
        <v>0.98156996587030698</v>
      </c>
      <c r="AL775" s="71">
        <v>0.901142041399001</v>
      </c>
      <c r="AM775" s="71">
        <v>0.96543194215400197</v>
      </c>
      <c r="AN775" s="70">
        <v>0.99</v>
      </c>
      <c r="AO775" s="75">
        <v>1</v>
      </c>
      <c r="AP775" s="75">
        <v>1</v>
      </c>
      <c r="AQ775" s="75">
        <v>1</v>
      </c>
      <c r="AR775" s="75">
        <v>1</v>
      </c>
      <c r="AS775" s="95">
        <v>8.1059522893420499E-2</v>
      </c>
      <c r="AT775" s="79">
        <v>0.13043478260869601</v>
      </c>
      <c r="AU775" s="79">
        <v>0.11764705882352899</v>
      </c>
      <c r="AV775" s="79">
        <v>0.16666666666666699</v>
      </c>
      <c r="AW775" s="79">
        <v>7.18232044198895E-2</v>
      </c>
      <c r="AX775" s="56"/>
      <c r="AY775" s="54"/>
    </row>
    <row r="776" spans="1:51">
      <c r="A776" s="53"/>
      <c r="B776" s="56"/>
      <c r="C776" s="90" t="s">
        <v>663</v>
      </c>
      <c r="D776" s="230" t="s">
        <v>1757</v>
      </c>
      <c r="E776" s="68" t="s">
        <v>664</v>
      </c>
      <c r="F776" s="113" t="s">
        <v>798</v>
      </c>
      <c r="G776" s="113" t="s">
        <v>798</v>
      </c>
      <c r="H776" s="113" t="s">
        <v>798</v>
      </c>
      <c r="I776" s="113" t="s">
        <v>798</v>
      </c>
      <c r="J776" s="70">
        <v>0.9</v>
      </c>
      <c r="K776" s="71">
        <v>1</v>
      </c>
      <c r="L776" s="71">
        <v>1</v>
      </c>
      <c r="M776" s="72">
        <v>0.96296296296296302</v>
      </c>
      <c r="N776" s="71">
        <v>0.972727272727273</v>
      </c>
      <c r="O776" s="73">
        <v>0.9</v>
      </c>
      <c r="P776" s="71">
        <v>0.97895844292477596</v>
      </c>
      <c r="Q776" s="71">
        <v>0.98493754592211602</v>
      </c>
      <c r="R776" s="71">
        <v>0.95768204346168495</v>
      </c>
      <c r="S776" s="71">
        <v>0.978333107283331</v>
      </c>
      <c r="T776" s="73">
        <v>0.9</v>
      </c>
      <c r="U776" s="71">
        <v>0.94844818516570195</v>
      </c>
      <c r="V776" s="71">
        <v>0.95444526083761905</v>
      </c>
      <c r="W776" s="71">
        <v>0.90278307281738501</v>
      </c>
      <c r="X776" s="71">
        <v>0.945035941950359</v>
      </c>
      <c r="Y776" s="73">
        <v>0.92</v>
      </c>
      <c r="Z776" s="73">
        <v>0.96846254927726705</v>
      </c>
      <c r="AA776" s="73">
        <v>0.94776119402985104</v>
      </c>
      <c r="AB776" s="73">
        <v>0.92721979621542905</v>
      </c>
      <c r="AC776" s="73">
        <v>0.95508658008657998</v>
      </c>
      <c r="AD776" s="73">
        <v>0.92</v>
      </c>
      <c r="AE776" s="71">
        <v>1</v>
      </c>
      <c r="AF776" s="71">
        <v>0.99786096256684498</v>
      </c>
      <c r="AG776" s="71">
        <v>0.98873239436619698</v>
      </c>
      <c r="AH776" s="71">
        <v>0.99773792211988999</v>
      </c>
      <c r="AI776" s="73">
        <v>0.92</v>
      </c>
      <c r="AJ776" s="71">
        <v>0.97484984984985001</v>
      </c>
      <c r="AK776" s="71">
        <v>0.97269100951211995</v>
      </c>
      <c r="AL776" s="71">
        <v>0.95075528700906298</v>
      </c>
      <c r="AM776" s="71">
        <v>0.973082865739611</v>
      </c>
      <c r="AN776" s="70">
        <v>0.99</v>
      </c>
      <c r="AO776" s="75">
        <v>1</v>
      </c>
      <c r="AP776" s="75">
        <v>1</v>
      </c>
      <c r="AQ776" s="75">
        <v>1</v>
      </c>
      <c r="AR776" s="75">
        <v>1</v>
      </c>
      <c r="AS776" s="95">
        <v>8.1059522893420499E-2</v>
      </c>
      <c r="AT776" s="79">
        <v>0</v>
      </c>
      <c r="AU776" s="79">
        <v>5.8823529411764698E-2</v>
      </c>
      <c r="AV776" s="79">
        <v>0</v>
      </c>
      <c r="AW776" s="79">
        <v>1.55440414507772E-2</v>
      </c>
      <c r="AX776" s="56"/>
      <c r="AY776" s="54"/>
    </row>
    <row r="777" spans="1:51">
      <c r="A777" s="53"/>
      <c r="B777" s="56"/>
      <c r="C777" s="90" t="s">
        <v>663</v>
      </c>
      <c r="D777" s="230" t="s">
        <v>1757</v>
      </c>
      <c r="E777" s="68" t="s">
        <v>664</v>
      </c>
      <c r="F777" s="113" t="s">
        <v>799</v>
      </c>
      <c r="G777" s="113" t="s">
        <v>799</v>
      </c>
      <c r="H777" s="113" t="s">
        <v>799</v>
      </c>
      <c r="I777" s="113" t="s">
        <v>799</v>
      </c>
      <c r="J777" s="70">
        <v>0.9</v>
      </c>
      <c r="K777" s="71">
        <v>0.47058823529411797</v>
      </c>
      <c r="L777" s="71">
        <v>0.5</v>
      </c>
      <c r="M777" s="72">
        <v>0.625</v>
      </c>
      <c r="N777" s="71">
        <v>0.470046082949309</v>
      </c>
      <c r="O777" s="73">
        <v>0.9</v>
      </c>
      <c r="P777" s="71">
        <v>0.89689857502095605</v>
      </c>
      <c r="Q777" s="71">
        <v>0.90653669724770602</v>
      </c>
      <c r="R777" s="71">
        <v>0.65892857142857097</v>
      </c>
      <c r="S777" s="71">
        <v>0.85177718832891203</v>
      </c>
      <c r="T777" s="73">
        <v>0.9</v>
      </c>
      <c r="U777" s="71">
        <v>0.77200335289186905</v>
      </c>
      <c r="V777" s="71">
        <v>0.74885321100917401</v>
      </c>
      <c r="W777" s="71">
        <v>0.577380952380952</v>
      </c>
      <c r="X777" s="71">
        <v>0.73103448275862104</v>
      </c>
      <c r="Y777" s="73">
        <v>0.92</v>
      </c>
      <c r="Z777" s="73">
        <v>0.88641425389755002</v>
      </c>
      <c r="AA777" s="73">
        <v>0.9</v>
      </c>
      <c r="AB777" s="73">
        <v>0.719128329297821</v>
      </c>
      <c r="AC777" s="73">
        <v>0.81982556902786596</v>
      </c>
      <c r="AD777" s="73">
        <v>0.92</v>
      </c>
      <c r="AE777" s="71">
        <v>0.99544179523141696</v>
      </c>
      <c r="AF777" s="71">
        <v>0.98731988472622501</v>
      </c>
      <c r="AG777" s="71">
        <v>0.95427728613569296</v>
      </c>
      <c r="AH777" s="71">
        <v>0.97377892030848301</v>
      </c>
      <c r="AI777" s="73">
        <v>0.92</v>
      </c>
      <c r="AJ777" s="71">
        <v>0.88800973828362795</v>
      </c>
      <c r="AK777" s="71">
        <v>0.91366906474820098</v>
      </c>
      <c r="AL777" s="71">
        <v>0.75656324582338896</v>
      </c>
      <c r="AM777" s="71">
        <v>0.87803014222033504</v>
      </c>
      <c r="AN777" s="70">
        <v>0.99</v>
      </c>
      <c r="AO777" s="75">
        <v>1</v>
      </c>
      <c r="AP777" s="75">
        <v>1</v>
      </c>
      <c r="AQ777" s="75">
        <v>1</v>
      </c>
      <c r="AR777" s="75">
        <v>1</v>
      </c>
      <c r="AS777" s="95">
        <v>8.1059522893420499E-2</v>
      </c>
      <c r="AT777" s="79">
        <v>9.0909090909090898E-2</v>
      </c>
      <c r="AU777" s="79">
        <v>-4.5454545454545497E-2</v>
      </c>
      <c r="AV777" s="79">
        <v>0.11111111111111099</v>
      </c>
      <c r="AW777" s="79">
        <v>2.1739130434782601E-2</v>
      </c>
      <c r="AX777" s="56"/>
      <c r="AY777" s="54"/>
    </row>
    <row r="778" spans="1:51">
      <c r="A778" s="53"/>
      <c r="B778" s="56"/>
      <c r="C778" s="90" t="s">
        <v>663</v>
      </c>
      <c r="D778" s="230" t="s">
        <v>1757</v>
      </c>
      <c r="E778" s="68" t="s">
        <v>664</v>
      </c>
      <c r="F778" s="113" t="s">
        <v>800</v>
      </c>
      <c r="G778" s="113" t="s">
        <v>800</v>
      </c>
      <c r="H778" s="113" t="s">
        <v>800</v>
      </c>
      <c r="I778" s="113" t="s">
        <v>800</v>
      </c>
      <c r="J778" s="70">
        <v>0.9</v>
      </c>
      <c r="K778" s="71">
        <v>0.9</v>
      </c>
      <c r="L778" s="71">
        <v>0.9</v>
      </c>
      <c r="M778" s="72">
        <v>0.82758620689655205</v>
      </c>
      <c r="N778" s="71">
        <v>0.889880952380952</v>
      </c>
      <c r="O778" s="73">
        <v>0.9</v>
      </c>
      <c r="P778" s="71">
        <v>0.93799567411679896</v>
      </c>
      <c r="Q778" s="71">
        <v>0.96304254404813106</v>
      </c>
      <c r="R778" s="71">
        <v>0.89675383228133498</v>
      </c>
      <c r="S778" s="71">
        <v>0.96218121336923801</v>
      </c>
      <c r="T778" s="73">
        <v>0.9</v>
      </c>
      <c r="U778" s="71">
        <v>0.92934390771449205</v>
      </c>
      <c r="V778" s="71">
        <v>0.92565535023635603</v>
      </c>
      <c r="W778" s="71">
        <v>0.86744815148782695</v>
      </c>
      <c r="X778" s="71">
        <v>0.92677807698400105</v>
      </c>
      <c r="Y778" s="73">
        <v>0.92</v>
      </c>
      <c r="Z778" s="73">
        <v>0.91282051282051302</v>
      </c>
      <c r="AA778" s="73">
        <v>0.91569086651053899</v>
      </c>
      <c r="AB778" s="73">
        <v>0.81399631675874795</v>
      </c>
      <c r="AC778" s="73">
        <v>0.91158033652259995</v>
      </c>
      <c r="AD778" s="73">
        <v>0.92</v>
      </c>
      <c r="AE778" s="71">
        <v>0.99626028421839896</v>
      </c>
      <c r="AF778" s="71">
        <v>0.98425735797399005</v>
      </c>
      <c r="AG778" s="71">
        <v>0.99752781211372099</v>
      </c>
      <c r="AH778" s="71">
        <v>0.99098474341192799</v>
      </c>
      <c r="AI778" s="73">
        <v>0.92</v>
      </c>
      <c r="AJ778" s="71">
        <v>0.93765838824125702</v>
      </c>
      <c r="AK778" s="71">
        <v>0.94916485112563498</v>
      </c>
      <c r="AL778" s="71">
        <v>0.89025715320536003</v>
      </c>
      <c r="AM778" s="71">
        <v>0.95012452902484201</v>
      </c>
      <c r="AN778" s="70">
        <v>0.99</v>
      </c>
      <c r="AO778" s="75">
        <v>1</v>
      </c>
      <c r="AP778" s="75">
        <v>1</v>
      </c>
      <c r="AQ778" s="75">
        <v>1</v>
      </c>
      <c r="AR778" s="75">
        <v>1</v>
      </c>
      <c r="AS778" s="95">
        <v>8.1059522893420499E-2</v>
      </c>
      <c r="AT778" s="79">
        <v>0</v>
      </c>
      <c r="AU778" s="79">
        <v>0.11111111111111099</v>
      </c>
      <c r="AV778" s="79">
        <v>0</v>
      </c>
      <c r="AW778" s="79">
        <v>3.91644908616188E-2</v>
      </c>
      <c r="AX778" s="56"/>
      <c r="AY778" s="54"/>
    </row>
    <row r="779" spans="1:51">
      <c r="A779" s="53"/>
      <c r="B779" s="56"/>
      <c r="C779" s="90" t="s">
        <v>663</v>
      </c>
      <c r="D779" s="230" t="s">
        <v>1757</v>
      </c>
      <c r="E779" s="68" t="s">
        <v>664</v>
      </c>
      <c r="F779" s="113" t="s">
        <v>801</v>
      </c>
      <c r="G779" s="113" t="s">
        <v>801</v>
      </c>
      <c r="H779" s="113" t="s">
        <v>801</v>
      </c>
      <c r="I779" s="113" t="s">
        <v>801</v>
      </c>
      <c r="J779" s="70">
        <v>0.9</v>
      </c>
      <c r="K779" s="71">
        <v>0.65217391304347805</v>
      </c>
      <c r="L779" s="71">
        <v>0.60869565217391297</v>
      </c>
      <c r="M779" s="72">
        <v>0.65</v>
      </c>
      <c r="N779" s="71">
        <v>0.59523809523809501</v>
      </c>
      <c r="O779" s="73">
        <v>0.9</v>
      </c>
      <c r="P779" s="71">
        <v>0.95225464190981401</v>
      </c>
      <c r="Q779" s="71">
        <v>0.88705583756345197</v>
      </c>
      <c r="R779" s="71">
        <v>0.841628959276018</v>
      </c>
      <c r="S779" s="71">
        <v>0.91538948701709899</v>
      </c>
      <c r="T779" s="73">
        <v>0.9</v>
      </c>
      <c r="U779" s="71">
        <v>0.87798408488063695</v>
      </c>
      <c r="V779" s="71">
        <v>0.87309644670050801</v>
      </c>
      <c r="W779" s="71">
        <v>0.75716440422322795</v>
      </c>
      <c r="X779" s="71">
        <v>0.878784040531982</v>
      </c>
      <c r="Y779" s="73">
        <v>0.92</v>
      </c>
      <c r="Z779" s="73">
        <v>0.93734939759036096</v>
      </c>
      <c r="AA779" s="73">
        <v>0.95316159250585497</v>
      </c>
      <c r="AB779" s="73">
        <v>0.83842794759825301</v>
      </c>
      <c r="AC779" s="73">
        <v>0.93412533785907303</v>
      </c>
      <c r="AD779" s="73">
        <v>0.92</v>
      </c>
      <c r="AE779" s="71">
        <v>0.99490835030549896</v>
      </c>
      <c r="AF779" s="71">
        <v>0.99529190207156304</v>
      </c>
      <c r="AG779" s="71">
        <v>0.99068322981366497</v>
      </c>
      <c r="AH779" s="71">
        <v>0.97688375194487698</v>
      </c>
      <c r="AI779" s="73">
        <v>0.92</v>
      </c>
      <c r="AJ779" s="71">
        <v>0.93773119605425403</v>
      </c>
      <c r="AK779" s="71">
        <v>0.95118414693088404</v>
      </c>
      <c r="AL779" s="71">
        <v>0.84437898870888595</v>
      </c>
      <c r="AM779" s="71">
        <v>0.93611659456508001</v>
      </c>
      <c r="AN779" s="70">
        <v>0.99</v>
      </c>
      <c r="AO779" s="75">
        <v>1</v>
      </c>
      <c r="AP779" s="75">
        <v>1</v>
      </c>
      <c r="AQ779" s="75" t="s">
        <v>1710</v>
      </c>
      <c r="AR779" s="75">
        <v>1</v>
      </c>
      <c r="AS779" s="95">
        <v>8.1059522893420499E-2</v>
      </c>
      <c r="AT779" s="79">
        <v>0.11111111111111099</v>
      </c>
      <c r="AU779" s="79">
        <v>5.8823529411764698E-2</v>
      </c>
      <c r="AV779" s="79">
        <v>7.69230769230769E-2</v>
      </c>
      <c r="AW779" s="79">
        <v>4.6242774566474E-2</v>
      </c>
      <c r="AX779" s="56"/>
      <c r="AY779" s="54"/>
    </row>
    <row r="780" spans="1:51">
      <c r="A780" s="53"/>
      <c r="B780" s="56"/>
      <c r="C780" s="90" t="s">
        <v>663</v>
      </c>
      <c r="D780" s="230" t="s">
        <v>1757</v>
      </c>
      <c r="E780" s="68" t="s">
        <v>664</v>
      </c>
      <c r="F780" s="113" t="s">
        <v>802</v>
      </c>
      <c r="G780" s="113" t="s">
        <v>802</v>
      </c>
      <c r="H780" s="113" t="s">
        <v>802</v>
      </c>
      <c r="I780" s="113" t="s">
        <v>802</v>
      </c>
      <c r="J780" s="70">
        <v>0.9</v>
      </c>
      <c r="K780" s="71">
        <v>0.7</v>
      </c>
      <c r="L780" s="71">
        <v>0.76923076923076905</v>
      </c>
      <c r="M780" s="72">
        <v>0.75</v>
      </c>
      <c r="N780" s="71">
        <v>0.70149253731343297</v>
      </c>
      <c r="O780" s="73">
        <v>0.9</v>
      </c>
      <c r="P780" s="71">
        <v>0.89226519337016597</v>
      </c>
      <c r="Q780" s="71">
        <v>0.97163769441903003</v>
      </c>
      <c r="R780" s="71">
        <v>0.97435897435897401</v>
      </c>
      <c r="S780" s="71">
        <v>0.93815853460852605</v>
      </c>
      <c r="T780" s="73">
        <v>0.9</v>
      </c>
      <c r="U780" s="71">
        <v>0.81215469613259705</v>
      </c>
      <c r="V780" s="71">
        <v>0.81976212259835302</v>
      </c>
      <c r="W780" s="71">
        <v>0.79395604395604402</v>
      </c>
      <c r="X780" s="71">
        <v>0.81828497325336402</v>
      </c>
      <c r="Y780" s="73">
        <v>0.92</v>
      </c>
      <c r="Z780" s="73">
        <v>0.90158730158730205</v>
      </c>
      <c r="AA780" s="73">
        <v>0.92346938775510201</v>
      </c>
      <c r="AB780" s="73">
        <v>0.84039087947882696</v>
      </c>
      <c r="AC780" s="73">
        <v>0.89970208540218499</v>
      </c>
      <c r="AD780" s="73">
        <v>0.92</v>
      </c>
      <c r="AE780" s="71">
        <v>1</v>
      </c>
      <c r="AF780" s="71">
        <v>0.99613402061855705</v>
      </c>
      <c r="AG780" s="71">
        <v>1</v>
      </c>
      <c r="AH780" s="71">
        <v>0.99826086956521698</v>
      </c>
      <c r="AI780" s="73">
        <v>0.92</v>
      </c>
      <c r="AJ780" s="71">
        <v>0.91337824831568803</v>
      </c>
      <c r="AK780" s="71">
        <v>0.93017843289371605</v>
      </c>
      <c r="AL780" s="71">
        <v>0.90493209435310895</v>
      </c>
      <c r="AM780" s="71">
        <v>0.93516047132348201</v>
      </c>
      <c r="AN780" s="70">
        <v>0.99</v>
      </c>
      <c r="AO780" s="75">
        <v>1</v>
      </c>
      <c r="AP780" s="75">
        <v>1</v>
      </c>
      <c r="AQ780" s="75">
        <v>1</v>
      </c>
      <c r="AR780" s="75">
        <v>1</v>
      </c>
      <c r="AS780" s="95">
        <v>8.1059522893420499E-2</v>
      </c>
      <c r="AT780" s="79">
        <v>0.133333333333333</v>
      </c>
      <c r="AU780" s="79">
        <v>5.2631578947368397E-2</v>
      </c>
      <c r="AV780" s="79">
        <v>0</v>
      </c>
      <c r="AW780" s="79">
        <v>2.3809523809523801E-2</v>
      </c>
      <c r="AX780" s="56"/>
      <c r="AY780" s="54"/>
    </row>
    <row r="781" spans="1:51">
      <c r="A781" s="53"/>
      <c r="B781" s="56"/>
      <c r="C781" s="90" t="s">
        <v>663</v>
      </c>
      <c r="D781" s="230" t="s">
        <v>1757</v>
      </c>
      <c r="E781" s="68" t="s">
        <v>664</v>
      </c>
      <c r="F781" s="113" t="s">
        <v>803</v>
      </c>
      <c r="G781" s="113" t="s">
        <v>803</v>
      </c>
      <c r="H781" s="113" t="s">
        <v>803</v>
      </c>
      <c r="I781" s="113" t="s">
        <v>803</v>
      </c>
      <c r="J781" s="70">
        <v>0.9</v>
      </c>
      <c r="K781" s="71">
        <v>0.84</v>
      </c>
      <c r="L781" s="71">
        <v>0.88461538461538503</v>
      </c>
      <c r="M781" s="72">
        <v>0.93617021276595702</v>
      </c>
      <c r="N781" s="71">
        <v>0.89236111111111105</v>
      </c>
      <c r="O781" s="73">
        <v>0.9</v>
      </c>
      <c r="P781" s="71">
        <v>0.94957659738260203</v>
      </c>
      <c r="Q781" s="71">
        <v>0.92986676535899304</v>
      </c>
      <c r="R781" s="71">
        <v>0.95062462819750104</v>
      </c>
      <c r="S781" s="71">
        <v>0.95120089368832605</v>
      </c>
      <c r="T781" s="73">
        <v>0.9</v>
      </c>
      <c r="U781" s="71">
        <v>0.88799076212471095</v>
      </c>
      <c r="V781" s="71">
        <v>0.90951147298297597</v>
      </c>
      <c r="W781" s="71">
        <v>0.87527265516557595</v>
      </c>
      <c r="X781" s="71">
        <v>0.910500837832806</v>
      </c>
      <c r="Y781" s="73">
        <v>0.92</v>
      </c>
      <c r="Z781" s="73">
        <v>0.92393736017897099</v>
      </c>
      <c r="AA781" s="73">
        <v>0.87456647398843901</v>
      </c>
      <c r="AB781" s="73">
        <v>0.90476190476190499</v>
      </c>
      <c r="AC781" s="73">
        <v>0.91617996277517499</v>
      </c>
      <c r="AD781" s="73">
        <v>0.92</v>
      </c>
      <c r="AE781" s="71">
        <v>0.99696707105719196</v>
      </c>
      <c r="AF781" s="71">
        <v>0.99486652977412704</v>
      </c>
      <c r="AG781" s="71">
        <v>0.99554140127388502</v>
      </c>
      <c r="AH781" s="71">
        <v>0.99150409062303302</v>
      </c>
      <c r="AI781" s="73">
        <v>0.92</v>
      </c>
      <c r="AJ781" s="71">
        <v>0.93886352105530202</v>
      </c>
      <c r="AK781" s="71">
        <v>0.92961097117268399</v>
      </c>
      <c r="AL781" s="71">
        <v>0.93181112146629397</v>
      </c>
      <c r="AM781" s="71">
        <v>0.94538505912893001</v>
      </c>
      <c r="AN781" s="70">
        <v>0.99</v>
      </c>
      <c r="AO781" s="75">
        <v>1</v>
      </c>
      <c r="AP781" s="75">
        <v>1</v>
      </c>
      <c r="AQ781" s="75">
        <v>1</v>
      </c>
      <c r="AR781" s="75">
        <v>1</v>
      </c>
      <c r="AS781" s="95">
        <v>8.1059522893420499E-2</v>
      </c>
      <c r="AT781" s="79">
        <v>6.8965517241379296E-2</v>
      </c>
      <c r="AU781" s="79">
        <v>0</v>
      </c>
      <c r="AV781" s="79">
        <v>0</v>
      </c>
      <c r="AW781" s="79">
        <v>5.1282051282051301E-2</v>
      </c>
      <c r="AX781" s="56"/>
      <c r="AY781" s="54"/>
    </row>
    <row r="782" spans="1:51">
      <c r="A782" s="53"/>
      <c r="B782" s="56"/>
      <c r="C782" s="90" t="s">
        <v>663</v>
      </c>
      <c r="D782" s="230" t="s">
        <v>1757</v>
      </c>
      <c r="E782" s="68" t="s">
        <v>664</v>
      </c>
      <c r="F782" s="113" t="s">
        <v>804</v>
      </c>
      <c r="G782" s="113" t="s">
        <v>804</v>
      </c>
      <c r="H782" s="113" t="s">
        <v>804</v>
      </c>
      <c r="I782" s="113" t="s">
        <v>804</v>
      </c>
      <c r="J782" s="70">
        <v>0.9</v>
      </c>
      <c r="K782" s="71">
        <v>0.875</v>
      </c>
      <c r="L782" s="71">
        <v>0.92857142857142905</v>
      </c>
      <c r="M782" s="72">
        <v>0.84615384615384603</v>
      </c>
      <c r="N782" s="71">
        <v>0.85669781931464195</v>
      </c>
      <c r="O782" s="73">
        <v>0.9</v>
      </c>
      <c r="P782" s="71">
        <v>0.94309507286606498</v>
      </c>
      <c r="Q782" s="71">
        <v>0.953369763205829</v>
      </c>
      <c r="R782" s="71">
        <v>0.95809739524348803</v>
      </c>
      <c r="S782" s="71">
        <v>0.95196586184258503</v>
      </c>
      <c r="T782" s="73">
        <v>0.9</v>
      </c>
      <c r="U782" s="71">
        <v>0.90006939625260196</v>
      </c>
      <c r="V782" s="71">
        <v>0.92204007285974499</v>
      </c>
      <c r="W782" s="71">
        <v>0.90939977349943402</v>
      </c>
      <c r="X782" s="71">
        <v>0.92588810270625099</v>
      </c>
      <c r="Y782" s="73">
        <v>0.92</v>
      </c>
      <c r="Z782" s="73">
        <v>0.90331890331890297</v>
      </c>
      <c r="AA782" s="73">
        <v>0.91008771929824595</v>
      </c>
      <c r="AB782" s="73">
        <v>0.90042674253200605</v>
      </c>
      <c r="AC782" s="73">
        <v>0.92226836231507903</v>
      </c>
      <c r="AD782" s="73">
        <v>0.92</v>
      </c>
      <c r="AE782" s="71">
        <v>0.993209200438116</v>
      </c>
      <c r="AF782" s="71">
        <v>0.99552071668533004</v>
      </c>
      <c r="AG782" s="71">
        <v>0.99618902439024404</v>
      </c>
      <c r="AH782" s="71">
        <v>0.99342976882519896</v>
      </c>
      <c r="AI782" s="73">
        <v>0.92</v>
      </c>
      <c r="AJ782" s="71">
        <v>0.93117977528089901</v>
      </c>
      <c r="AK782" s="71">
        <v>0.94455066921606101</v>
      </c>
      <c r="AL782" s="71">
        <v>0.93146603098927305</v>
      </c>
      <c r="AM782" s="71">
        <v>0.94900624645088005</v>
      </c>
      <c r="AN782" s="70">
        <v>0.99</v>
      </c>
      <c r="AO782" s="75">
        <v>1</v>
      </c>
      <c r="AP782" s="75">
        <v>1</v>
      </c>
      <c r="AQ782" s="75">
        <v>1</v>
      </c>
      <c r="AR782" s="75">
        <v>1</v>
      </c>
      <c r="AS782" s="95">
        <v>8.1059522893420499E-2</v>
      </c>
      <c r="AT782" s="79">
        <v>0</v>
      </c>
      <c r="AU782" s="79">
        <v>5.8823529411764698E-2</v>
      </c>
      <c r="AV782" s="79">
        <v>0</v>
      </c>
      <c r="AW782" s="79">
        <v>4.2253521126760597E-2</v>
      </c>
      <c r="AX782" s="56"/>
      <c r="AY782" s="54"/>
    </row>
    <row r="783" spans="1:51">
      <c r="A783" s="53"/>
      <c r="B783" s="56"/>
      <c r="C783" s="90" t="s">
        <v>663</v>
      </c>
      <c r="D783" s="230" t="s">
        <v>1757</v>
      </c>
      <c r="E783" s="68" t="s">
        <v>664</v>
      </c>
      <c r="F783" s="113" t="s">
        <v>805</v>
      </c>
      <c r="G783" s="113" t="s">
        <v>805</v>
      </c>
      <c r="H783" s="113" t="s">
        <v>805</v>
      </c>
      <c r="I783" s="113" t="s">
        <v>805</v>
      </c>
      <c r="J783" s="70">
        <v>0.9</v>
      </c>
      <c r="K783" s="71">
        <v>0.88888888888888895</v>
      </c>
      <c r="L783" s="71">
        <v>0.95652173913043503</v>
      </c>
      <c r="M783" s="72">
        <v>0.82608695652173902</v>
      </c>
      <c r="N783" s="71">
        <v>0.78838174273858896</v>
      </c>
      <c r="O783" s="73">
        <v>0.9</v>
      </c>
      <c r="P783" s="71">
        <v>0.88246268656716398</v>
      </c>
      <c r="Q783" s="71">
        <v>0.90602752728998603</v>
      </c>
      <c r="R783" s="71">
        <v>0.91342664593053402</v>
      </c>
      <c r="S783" s="71">
        <v>0.91021536670547099</v>
      </c>
      <c r="T783" s="73">
        <v>0.9</v>
      </c>
      <c r="U783" s="71">
        <v>0.93470149253731305</v>
      </c>
      <c r="V783" s="71">
        <v>0.91362126245847197</v>
      </c>
      <c r="W783" s="71">
        <v>0.92742353551062695</v>
      </c>
      <c r="X783" s="71">
        <v>0.92476717112922002</v>
      </c>
      <c r="Y783" s="73">
        <v>0.92</v>
      </c>
      <c r="Z783" s="73">
        <v>0.91962616822429899</v>
      </c>
      <c r="AA783" s="73">
        <v>0.93422818791946305</v>
      </c>
      <c r="AB783" s="73">
        <v>0.95045871559632999</v>
      </c>
      <c r="AC783" s="73">
        <v>0.94132109490247495</v>
      </c>
      <c r="AD783" s="73">
        <v>0.92</v>
      </c>
      <c r="AE783" s="71">
        <v>0.99477806788511702</v>
      </c>
      <c r="AF783" s="71">
        <v>0.99223416965352496</v>
      </c>
      <c r="AG783" s="71">
        <v>0.99406968124536699</v>
      </c>
      <c r="AH783" s="71">
        <v>0.96856910491317005</v>
      </c>
      <c r="AI783" s="73">
        <v>0.92</v>
      </c>
      <c r="AJ783" s="71">
        <v>0.95646766169154196</v>
      </c>
      <c r="AK783" s="71">
        <v>0.95722300140252503</v>
      </c>
      <c r="AL783" s="71">
        <v>0.96402586903799503</v>
      </c>
      <c r="AM783" s="71">
        <v>0.96575060759020404</v>
      </c>
      <c r="AN783" s="70">
        <v>0.99</v>
      </c>
      <c r="AO783" s="75">
        <v>1</v>
      </c>
      <c r="AP783" s="75">
        <v>1</v>
      </c>
      <c r="AQ783" s="75">
        <v>1</v>
      </c>
      <c r="AR783" s="75">
        <v>1</v>
      </c>
      <c r="AS783" s="95">
        <v>8.1059522893420499E-2</v>
      </c>
      <c r="AT783" s="79">
        <v>0.16666666666666699</v>
      </c>
      <c r="AU783" s="79">
        <v>8.3333333333333301E-2</v>
      </c>
      <c r="AV783" s="79">
        <v>0.11111111111111099</v>
      </c>
      <c r="AW783" s="79">
        <v>0.10126582278481</v>
      </c>
      <c r="AX783" s="56"/>
      <c r="AY783" s="54"/>
    </row>
    <row r="784" spans="1:51">
      <c r="A784" s="53"/>
      <c r="B784" s="56"/>
      <c r="C784" s="90" t="s">
        <v>663</v>
      </c>
      <c r="D784" s="230" t="s">
        <v>1757</v>
      </c>
      <c r="E784" s="68" t="s">
        <v>664</v>
      </c>
      <c r="F784" s="113" t="s">
        <v>806</v>
      </c>
      <c r="G784" s="113" t="s">
        <v>806</v>
      </c>
      <c r="H784" s="113" t="s">
        <v>806</v>
      </c>
      <c r="I784" s="113" t="s">
        <v>806</v>
      </c>
      <c r="J784" s="70">
        <v>0.9</v>
      </c>
      <c r="K784" s="71">
        <v>0.82352941176470595</v>
      </c>
      <c r="L784" s="71">
        <v>0.85714285714285698</v>
      </c>
      <c r="M784" s="72">
        <v>0.875</v>
      </c>
      <c r="N784" s="71">
        <v>0.85242290748898697</v>
      </c>
      <c r="O784" s="73">
        <v>0.9</v>
      </c>
      <c r="P784" s="71">
        <v>0.96288088642659297</v>
      </c>
      <c r="Q784" s="71">
        <v>0.94257212186573203</v>
      </c>
      <c r="R784" s="71">
        <v>0.91638608305275004</v>
      </c>
      <c r="S784" s="71">
        <v>0.94136291600633903</v>
      </c>
      <c r="T784" s="73">
        <v>0.9</v>
      </c>
      <c r="U784" s="71">
        <v>0.92243767313019398</v>
      </c>
      <c r="V784" s="71">
        <v>0.91210568886492305</v>
      </c>
      <c r="W784" s="71">
        <v>0.91722783389450102</v>
      </c>
      <c r="X784" s="71">
        <v>0.91802830755778997</v>
      </c>
      <c r="Y784" s="73">
        <v>0.92</v>
      </c>
      <c r="Z784" s="73">
        <v>0.92600896860986504</v>
      </c>
      <c r="AA784" s="73">
        <v>0.91603053435114501</v>
      </c>
      <c r="AB784" s="73">
        <v>0.90595611285266497</v>
      </c>
      <c r="AC784" s="73">
        <v>0.92682024239060001</v>
      </c>
      <c r="AD784" s="73">
        <v>0.92</v>
      </c>
      <c r="AE784" s="71">
        <v>1</v>
      </c>
      <c r="AF784" s="71">
        <v>0.99793601651186803</v>
      </c>
      <c r="AG784" s="71">
        <v>1</v>
      </c>
      <c r="AH784" s="71">
        <v>0.99884153909805495</v>
      </c>
      <c r="AI784" s="73">
        <v>0.92</v>
      </c>
      <c r="AJ784" s="71">
        <v>0.954814814814815</v>
      </c>
      <c r="AK784" s="71">
        <v>0.95500102270402898</v>
      </c>
      <c r="AL784" s="71">
        <v>0.95335985853227201</v>
      </c>
      <c r="AM784" s="71">
        <v>0.96115420284967501</v>
      </c>
      <c r="AN784" s="70">
        <v>0.99</v>
      </c>
      <c r="AO784" s="75">
        <v>1</v>
      </c>
      <c r="AP784" s="75">
        <v>1</v>
      </c>
      <c r="AQ784" s="75">
        <v>1</v>
      </c>
      <c r="AR784" s="75">
        <v>1</v>
      </c>
      <c r="AS784" s="95">
        <v>8.1059522893420499E-2</v>
      </c>
      <c r="AT784" s="79">
        <v>5.8823529411764698E-2</v>
      </c>
      <c r="AU784" s="79">
        <v>0</v>
      </c>
      <c r="AV784" s="79">
        <v>0.14285714285714299</v>
      </c>
      <c r="AW784" s="79">
        <v>3.6842105263157898E-2</v>
      </c>
      <c r="AX784" s="56"/>
      <c r="AY784" s="54"/>
    </row>
    <row r="785" spans="1:51">
      <c r="A785" s="53"/>
      <c r="B785" s="56"/>
      <c r="C785" s="90" t="s">
        <v>663</v>
      </c>
      <c r="D785" s="230" t="s">
        <v>1757</v>
      </c>
      <c r="E785" s="68" t="s">
        <v>664</v>
      </c>
      <c r="F785" s="113" t="s">
        <v>807</v>
      </c>
      <c r="G785" s="113" t="s">
        <v>807</v>
      </c>
      <c r="H785" s="113" t="s">
        <v>807</v>
      </c>
      <c r="I785" s="113" t="s">
        <v>807</v>
      </c>
      <c r="J785" s="70">
        <v>0.9</v>
      </c>
      <c r="K785" s="71">
        <v>0.7</v>
      </c>
      <c r="L785" s="71">
        <v>0.73913043478260898</v>
      </c>
      <c r="M785" s="72">
        <v>0.72727272727272696</v>
      </c>
      <c r="N785" s="71">
        <v>0.76679841897233203</v>
      </c>
      <c r="O785" s="73">
        <v>0.9</v>
      </c>
      <c r="P785" s="71">
        <v>0.95390070921985803</v>
      </c>
      <c r="Q785" s="71">
        <v>0.96358183376178197</v>
      </c>
      <c r="R785" s="71">
        <v>0.95151789759854999</v>
      </c>
      <c r="S785" s="71">
        <v>0.95098874872144601</v>
      </c>
      <c r="T785" s="73">
        <v>0.9</v>
      </c>
      <c r="U785" s="71">
        <v>0.91932624113475203</v>
      </c>
      <c r="V785" s="71">
        <v>0.91216795201371004</v>
      </c>
      <c r="W785" s="71">
        <v>0.90666062528319002</v>
      </c>
      <c r="X785" s="71">
        <v>0.90773099215819997</v>
      </c>
      <c r="Y785" s="73">
        <v>0.92</v>
      </c>
      <c r="Z785" s="73">
        <v>0.93706293706293697</v>
      </c>
      <c r="AA785" s="73">
        <v>0.92222222222222205</v>
      </c>
      <c r="AB785" s="73">
        <v>0.87112561174551395</v>
      </c>
      <c r="AC785" s="73">
        <v>0.905258583224685</v>
      </c>
      <c r="AD785" s="73">
        <v>0.92</v>
      </c>
      <c r="AE785" s="71">
        <v>0.97270615563298501</v>
      </c>
      <c r="AF785" s="71">
        <v>0.97684674751929401</v>
      </c>
      <c r="AG785" s="71">
        <v>0.99085564990202502</v>
      </c>
      <c r="AH785" s="71">
        <v>0.98672303322544397</v>
      </c>
      <c r="AI785" s="73">
        <v>0.92</v>
      </c>
      <c r="AJ785" s="71">
        <v>0.95117647058823496</v>
      </c>
      <c r="AK785" s="71">
        <v>0.96305982347172303</v>
      </c>
      <c r="AL785" s="71">
        <v>0.93123006026231803</v>
      </c>
      <c r="AM785" s="71">
        <v>0.95088492663991098</v>
      </c>
      <c r="AN785" s="70">
        <v>0.99</v>
      </c>
      <c r="AO785" s="75">
        <v>1</v>
      </c>
      <c r="AP785" s="75">
        <v>1</v>
      </c>
      <c r="AQ785" s="75">
        <v>1</v>
      </c>
      <c r="AR785" s="75">
        <v>1</v>
      </c>
      <c r="AS785" s="95">
        <v>8.1059522893420499E-2</v>
      </c>
      <c r="AT785" s="79">
        <v>0.1</v>
      </c>
      <c r="AU785" s="79">
        <v>0</v>
      </c>
      <c r="AV785" s="79">
        <v>0</v>
      </c>
      <c r="AW785" s="79">
        <v>5.46875E-2</v>
      </c>
      <c r="AX785" s="56"/>
      <c r="AY785" s="54"/>
    </row>
    <row r="786" spans="1:51">
      <c r="A786" s="53"/>
      <c r="B786" s="56"/>
      <c r="C786" s="90" t="s">
        <v>663</v>
      </c>
      <c r="D786" s="230" t="s">
        <v>1757</v>
      </c>
      <c r="E786" s="68" t="s">
        <v>664</v>
      </c>
      <c r="F786" s="113" t="s">
        <v>808</v>
      </c>
      <c r="G786" s="113" t="s">
        <v>808</v>
      </c>
      <c r="H786" s="113" t="s">
        <v>808</v>
      </c>
      <c r="I786" s="113" t="s">
        <v>808</v>
      </c>
      <c r="J786" s="70">
        <v>0.9</v>
      </c>
      <c r="K786" s="71">
        <v>0.85185185185185197</v>
      </c>
      <c r="L786" s="71">
        <v>0.9375</v>
      </c>
      <c r="M786" s="72">
        <v>0.96428571428571397</v>
      </c>
      <c r="N786" s="71">
        <v>0.92581602373887195</v>
      </c>
      <c r="O786" s="73">
        <v>0.9</v>
      </c>
      <c r="P786" s="71">
        <v>0.94008264462809898</v>
      </c>
      <c r="Q786" s="71">
        <v>0.94992927864215004</v>
      </c>
      <c r="R786" s="71">
        <v>0.919426048565121</v>
      </c>
      <c r="S786" s="71">
        <v>0.94699280405105302</v>
      </c>
      <c r="T786" s="73">
        <v>0.9</v>
      </c>
      <c r="U786" s="71">
        <v>0.92871900826446296</v>
      </c>
      <c r="V786" s="71">
        <v>0.91371994342291396</v>
      </c>
      <c r="W786" s="71">
        <v>0.91887417218542999</v>
      </c>
      <c r="X786" s="71">
        <v>0.92439811661583104</v>
      </c>
      <c r="Y786" s="73">
        <v>0.92</v>
      </c>
      <c r="Z786" s="73">
        <v>0.92725030826140598</v>
      </c>
      <c r="AA786" s="73">
        <v>0.930755395683453</v>
      </c>
      <c r="AB786" s="73">
        <v>0.91033623910336203</v>
      </c>
      <c r="AC786" s="73">
        <v>0.92115238817285805</v>
      </c>
      <c r="AD786" s="73">
        <v>0.92</v>
      </c>
      <c r="AE786" s="71">
        <v>0.99624060150375904</v>
      </c>
      <c r="AF786" s="71">
        <v>1</v>
      </c>
      <c r="AG786" s="71">
        <v>0.99043977055449295</v>
      </c>
      <c r="AH786" s="71">
        <v>0.99332061068702304</v>
      </c>
      <c r="AI786" s="73">
        <v>0.92</v>
      </c>
      <c r="AJ786" s="71">
        <v>0.96106259097525504</v>
      </c>
      <c r="AK786" s="71">
        <v>0.96196002578981299</v>
      </c>
      <c r="AL786" s="71">
        <v>0.95802301963439396</v>
      </c>
      <c r="AM786" s="71">
        <v>0.95964240102171094</v>
      </c>
      <c r="AN786" s="70">
        <v>0.99</v>
      </c>
      <c r="AO786" s="75">
        <v>1</v>
      </c>
      <c r="AP786" s="75">
        <v>1</v>
      </c>
      <c r="AQ786" s="75">
        <v>1</v>
      </c>
      <c r="AR786" s="75">
        <v>1</v>
      </c>
      <c r="AS786" s="95">
        <v>8.1059522893420499E-2</v>
      </c>
      <c r="AT786" s="79">
        <v>8.3333333333333301E-2</v>
      </c>
      <c r="AU786" s="79">
        <v>0.157894736842105</v>
      </c>
      <c r="AV786" s="79">
        <v>0</v>
      </c>
      <c r="AW786" s="79">
        <v>5.34351145038168E-2</v>
      </c>
      <c r="AX786" s="56"/>
      <c r="AY786" s="54"/>
    </row>
    <row r="787" spans="1:51">
      <c r="A787" s="53"/>
      <c r="B787" s="56"/>
      <c r="C787" s="90" t="s">
        <v>663</v>
      </c>
      <c r="D787" s="230" t="s">
        <v>1757</v>
      </c>
      <c r="E787" s="68" t="s">
        <v>664</v>
      </c>
      <c r="F787" s="113" t="s">
        <v>809</v>
      </c>
      <c r="G787" s="113" t="s">
        <v>809</v>
      </c>
      <c r="H787" s="113" t="s">
        <v>809</v>
      </c>
      <c r="I787" s="113" t="s">
        <v>809</v>
      </c>
      <c r="J787" s="70">
        <v>0.9</v>
      </c>
      <c r="K787" s="71">
        <v>0.75862068965517204</v>
      </c>
      <c r="L787" s="71">
        <v>0.76666666666666705</v>
      </c>
      <c r="M787" s="72">
        <v>0.75862068965517204</v>
      </c>
      <c r="N787" s="71">
        <v>0.79878048780487798</v>
      </c>
      <c r="O787" s="73">
        <v>0.9</v>
      </c>
      <c r="P787" s="71">
        <v>0.94856722997795695</v>
      </c>
      <c r="Q787" s="71">
        <v>0.95792880258899704</v>
      </c>
      <c r="R787" s="71">
        <v>0.94115308151093402</v>
      </c>
      <c r="S787" s="71">
        <v>0.95068066012624497</v>
      </c>
      <c r="T787" s="73">
        <v>0.9</v>
      </c>
      <c r="U787" s="71">
        <v>0.93240264511388704</v>
      </c>
      <c r="V787" s="71">
        <v>0.93563466379000404</v>
      </c>
      <c r="W787" s="71">
        <v>0.936779324055666</v>
      </c>
      <c r="X787" s="71">
        <v>0.93463381245722099</v>
      </c>
      <c r="Y787" s="73">
        <v>0.92</v>
      </c>
      <c r="Z787" s="73">
        <v>0.92763157894736803</v>
      </c>
      <c r="AA787" s="73">
        <v>0.90961761297798405</v>
      </c>
      <c r="AB787" s="73">
        <v>0.93900481540931002</v>
      </c>
      <c r="AC787" s="73">
        <v>0.93938618925831197</v>
      </c>
      <c r="AD787" s="73">
        <v>0.92</v>
      </c>
      <c r="AE787" s="71">
        <v>0.99803343166174996</v>
      </c>
      <c r="AF787" s="71">
        <v>0.981739130434783</v>
      </c>
      <c r="AG787" s="71">
        <v>0.992497320471597</v>
      </c>
      <c r="AH787" s="71">
        <v>0.99342318059299195</v>
      </c>
      <c r="AI787" s="73">
        <v>0.92</v>
      </c>
      <c r="AJ787" s="71">
        <v>0.94915254237288105</v>
      </c>
      <c r="AK787" s="71">
        <v>0.94930117840504202</v>
      </c>
      <c r="AL787" s="71">
        <v>0.95541401273885396</v>
      </c>
      <c r="AM787" s="71">
        <v>0.95670881629785698</v>
      </c>
      <c r="AN787" s="70">
        <v>0.99</v>
      </c>
      <c r="AO787" s="75">
        <v>1</v>
      </c>
      <c r="AP787" s="75">
        <v>1</v>
      </c>
      <c r="AQ787" s="75">
        <v>1</v>
      </c>
      <c r="AR787" s="75">
        <v>1</v>
      </c>
      <c r="AS787" s="95">
        <v>8.1059522893420499E-2</v>
      </c>
      <c r="AT787" s="79">
        <v>9.0909090909090898E-2</v>
      </c>
      <c r="AU787" s="79">
        <v>7.1428571428571397E-2</v>
      </c>
      <c r="AV787" s="79">
        <v>0</v>
      </c>
      <c r="AW787" s="79">
        <v>5.7324840764331197E-2</v>
      </c>
      <c r="AX787" s="56"/>
      <c r="AY787" s="54"/>
    </row>
    <row r="788" spans="1:51">
      <c r="A788" s="53"/>
      <c r="B788" s="56"/>
      <c r="C788" s="90" t="s">
        <v>663</v>
      </c>
      <c r="D788" s="230" t="s">
        <v>1757</v>
      </c>
      <c r="E788" s="68" t="s">
        <v>664</v>
      </c>
      <c r="F788" s="113" t="s">
        <v>810</v>
      </c>
      <c r="G788" s="113" t="s">
        <v>810</v>
      </c>
      <c r="H788" s="113" t="s">
        <v>810</v>
      </c>
      <c r="I788" s="113" t="s">
        <v>810</v>
      </c>
      <c r="J788" s="70">
        <v>0.9</v>
      </c>
      <c r="K788" s="71">
        <v>0.92857142857142905</v>
      </c>
      <c r="L788" s="71">
        <v>0.93548387096774199</v>
      </c>
      <c r="M788" s="72">
        <v>0.96428571428571397</v>
      </c>
      <c r="N788" s="71">
        <v>0.932721712538226</v>
      </c>
      <c r="O788" s="73">
        <v>0.9</v>
      </c>
      <c r="P788" s="71">
        <v>0.93621621621621598</v>
      </c>
      <c r="Q788" s="71">
        <v>0.95251798561151102</v>
      </c>
      <c r="R788" s="71">
        <v>0.93435897435897397</v>
      </c>
      <c r="S788" s="71">
        <v>0.93827661408936402</v>
      </c>
      <c r="T788" s="73">
        <v>0.9</v>
      </c>
      <c r="U788" s="71">
        <v>0.87459459459459499</v>
      </c>
      <c r="V788" s="71">
        <v>0.88537170263789</v>
      </c>
      <c r="W788" s="71">
        <v>0.89333333333333298</v>
      </c>
      <c r="X788" s="71">
        <v>0.88187858193437096</v>
      </c>
      <c r="Y788" s="73">
        <v>0.92</v>
      </c>
      <c r="Z788" s="73">
        <v>0.92975206611570205</v>
      </c>
      <c r="AA788" s="73">
        <v>0.91344667697063398</v>
      </c>
      <c r="AB788" s="73">
        <v>0.91493383742911105</v>
      </c>
      <c r="AC788" s="73">
        <v>0.91597674828254405</v>
      </c>
      <c r="AD788" s="73">
        <v>0.92</v>
      </c>
      <c r="AE788" s="71">
        <v>0.994354838709677</v>
      </c>
      <c r="AF788" s="71">
        <v>0.99337748344370902</v>
      </c>
      <c r="AG788" s="71">
        <v>0.99175824175824201</v>
      </c>
      <c r="AH788" s="71">
        <v>0.99423631123919298</v>
      </c>
      <c r="AI788" s="73">
        <v>0.92</v>
      </c>
      <c r="AJ788" s="71">
        <v>0.94539007092198601</v>
      </c>
      <c r="AK788" s="71">
        <v>0.95076586433260402</v>
      </c>
      <c r="AL788" s="71">
        <v>0.95241935483870999</v>
      </c>
      <c r="AM788" s="71">
        <v>0.95521566468761099</v>
      </c>
      <c r="AN788" s="70">
        <v>0.99</v>
      </c>
      <c r="AO788" s="75">
        <v>1</v>
      </c>
      <c r="AP788" s="75">
        <v>1</v>
      </c>
      <c r="AQ788" s="75">
        <v>1</v>
      </c>
      <c r="AR788" s="75">
        <v>1</v>
      </c>
      <c r="AS788" s="95">
        <v>8.1059522893420499E-2</v>
      </c>
      <c r="AT788" s="79">
        <v>0.11111111111111099</v>
      </c>
      <c r="AU788" s="79">
        <v>7.69230769230769E-2</v>
      </c>
      <c r="AV788" s="79">
        <v>0.14285714285714299</v>
      </c>
      <c r="AW788" s="79">
        <v>6.4516129032258104E-2</v>
      </c>
      <c r="AX788" s="56"/>
      <c r="AY788" s="54"/>
    </row>
    <row r="789" spans="1:51">
      <c r="A789" s="53"/>
      <c r="B789" s="56"/>
      <c r="C789" s="90" t="s">
        <v>663</v>
      </c>
      <c r="D789" s="230" t="s">
        <v>1757</v>
      </c>
      <c r="E789" s="68" t="s">
        <v>664</v>
      </c>
      <c r="F789" s="113" t="s">
        <v>811</v>
      </c>
      <c r="G789" s="113" t="s">
        <v>811</v>
      </c>
      <c r="H789" s="113" t="s">
        <v>811</v>
      </c>
      <c r="I789" s="113" t="s">
        <v>811</v>
      </c>
      <c r="J789" s="70">
        <v>0.9</v>
      </c>
      <c r="K789" s="71">
        <v>0.86666666666666703</v>
      </c>
      <c r="L789" s="71">
        <v>0.91666666666666696</v>
      </c>
      <c r="M789" s="72">
        <v>0.78125</v>
      </c>
      <c r="N789" s="71">
        <v>0.88493150684931499</v>
      </c>
      <c r="O789" s="73">
        <v>0.9</v>
      </c>
      <c r="P789" s="71">
        <v>0.95229468599033795</v>
      </c>
      <c r="Q789" s="71">
        <v>0.962093421374419</v>
      </c>
      <c r="R789" s="71">
        <v>0.94869109947644004</v>
      </c>
      <c r="S789" s="71">
        <v>0.94905048633626699</v>
      </c>
      <c r="T789" s="73">
        <v>0.9</v>
      </c>
      <c r="U789" s="71">
        <v>0.94142512077294704</v>
      </c>
      <c r="V789" s="71">
        <v>0.93641477133773499</v>
      </c>
      <c r="W789" s="71">
        <v>0.94171029668411899</v>
      </c>
      <c r="X789" s="71">
        <v>0.93963254593175805</v>
      </c>
      <c r="Y789" s="73">
        <v>0.92</v>
      </c>
      <c r="Z789" s="73">
        <v>0.90263157894736801</v>
      </c>
      <c r="AA789" s="73">
        <v>0.94840525328330205</v>
      </c>
      <c r="AB789" s="73">
        <v>0.951159951159951</v>
      </c>
      <c r="AC789" s="73">
        <v>0.94125745754933499</v>
      </c>
      <c r="AD789" s="73">
        <v>0.92</v>
      </c>
      <c r="AE789" s="71">
        <v>0.99719101123595499</v>
      </c>
      <c r="AF789" s="71">
        <v>0.99184339314845005</v>
      </c>
      <c r="AG789" s="71">
        <v>0.99519807923169301</v>
      </c>
      <c r="AH789" s="71">
        <v>0.99582850521436805</v>
      </c>
      <c r="AI789" s="73">
        <v>0.92</v>
      </c>
      <c r="AJ789" s="71">
        <v>0.95281456953642396</v>
      </c>
      <c r="AK789" s="71">
        <v>0.98079534432589699</v>
      </c>
      <c r="AL789" s="71">
        <v>0.97284822155851203</v>
      </c>
      <c r="AM789" s="71">
        <v>0.97276198351127197</v>
      </c>
      <c r="AN789" s="70">
        <v>0.99</v>
      </c>
      <c r="AO789" s="75">
        <v>1</v>
      </c>
      <c r="AP789" s="75">
        <v>1</v>
      </c>
      <c r="AQ789" s="75">
        <v>1</v>
      </c>
      <c r="AR789" s="75">
        <v>1</v>
      </c>
      <c r="AS789" s="95">
        <v>8.1059522893420499E-2</v>
      </c>
      <c r="AT789" s="79">
        <v>0</v>
      </c>
      <c r="AU789" s="79">
        <v>0</v>
      </c>
      <c r="AV789" s="79">
        <v>0</v>
      </c>
      <c r="AW789" s="79">
        <v>1.21951219512195E-2</v>
      </c>
      <c r="AX789" s="56"/>
      <c r="AY789" s="54"/>
    </row>
    <row r="790" spans="1:51">
      <c r="A790" s="53"/>
      <c r="B790" s="56"/>
      <c r="C790" s="90" t="s">
        <v>663</v>
      </c>
      <c r="D790" s="230" t="s">
        <v>1757</v>
      </c>
      <c r="E790" s="68" t="s">
        <v>664</v>
      </c>
      <c r="F790" s="113" t="s">
        <v>812</v>
      </c>
      <c r="G790" s="113" t="s">
        <v>812</v>
      </c>
      <c r="H790" s="113" t="s">
        <v>812</v>
      </c>
      <c r="I790" s="113" t="s">
        <v>812</v>
      </c>
      <c r="J790" s="70">
        <v>0.9</v>
      </c>
      <c r="K790" s="71">
        <v>0.78571428571428603</v>
      </c>
      <c r="L790" s="71">
        <v>0.75</v>
      </c>
      <c r="M790" s="72">
        <v>0.76666666666666705</v>
      </c>
      <c r="N790" s="71">
        <v>0.74928774928774899</v>
      </c>
      <c r="O790" s="73">
        <v>0.9</v>
      </c>
      <c r="P790" s="71">
        <v>0.95569188820722595</v>
      </c>
      <c r="Q790" s="71">
        <v>0.93423896264279105</v>
      </c>
      <c r="R790" s="71">
        <v>0.90134961439588701</v>
      </c>
      <c r="S790" s="71">
        <v>0.93911643035336501</v>
      </c>
      <c r="T790" s="73">
        <v>0.9</v>
      </c>
      <c r="U790" s="71">
        <v>0.91070211315610095</v>
      </c>
      <c r="V790" s="71">
        <v>0.86199444272923698</v>
      </c>
      <c r="W790" s="71">
        <v>0.838046272493573</v>
      </c>
      <c r="X790" s="71">
        <v>0.90197997915811401</v>
      </c>
      <c r="Y790" s="73">
        <v>0.92</v>
      </c>
      <c r="Z790" s="73">
        <v>0.92866242038216595</v>
      </c>
      <c r="AA790" s="73">
        <v>0.87588294651866805</v>
      </c>
      <c r="AB790" s="73">
        <v>0.87649880095923305</v>
      </c>
      <c r="AC790" s="73">
        <v>0.91137322800562703</v>
      </c>
      <c r="AD790" s="73">
        <v>0.92</v>
      </c>
      <c r="AE790" s="71">
        <v>0.99652777777777801</v>
      </c>
      <c r="AF790" s="71">
        <v>0.98348348348348302</v>
      </c>
      <c r="AG790" s="71">
        <v>0.99722991689750695</v>
      </c>
      <c r="AH790" s="71">
        <v>0.97281776416539001</v>
      </c>
      <c r="AI790" s="73">
        <v>0.92</v>
      </c>
      <c r="AJ790" s="71">
        <v>0.95115452930728195</v>
      </c>
      <c r="AK790" s="71">
        <v>0.94405099150141603</v>
      </c>
      <c r="AL790" s="71">
        <v>0.94251709293492003</v>
      </c>
      <c r="AM790" s="71">
        <v>0.95153291804079598</v>
      </c>
      <c r="AN790" s="70">
        <v>0.99</v>
      </c>
      <c r="AO790" s="75">
        <v>1</v>
      </c>
      <c r="AP790" s="75" t="s">
        <v>1710</v>
      </c>
      <c r="AQ790" s="75">
        <v>1</v>
      </c>
      <c r="AR790" s="75">
        <v>1</v>
      </c>
      <c r="AS790" s="95">
        <v>8.1059522893420499E-2</v>
      </c>
      <c r="AT790" s="79">
        <v>0</v>
      </c>
      <c r="AU790" s="79">
        <v>0</v>
      </c>
      <c r="AV790" s="79">
        <v>0</v>
      </c>
      <c r="AW790" s="79">
        <v>3.4965034965035002E-2</v>
      </c>
      <c r="AX790" s="56"/>
      <c r="AY790" s="54"/>
    </row>
    <row r="791" spans="1:51">
      <c r="A791" s="53"/>
      <c r="B791" s="56"/>
      <c r="C791" s="90" t="s">
        <v>663</v>
      </c>
      <c r="D791" s="230" t="s">
        <v>1757</v>
      </c>
      <c r="E791" s="68" t="s">
        <v>664</v>
      </c>
      <c r="F791" s="113" t="s">
        <v>813</v>
      </c>
      <c r="G791" s="113" t="s">
        <v>813</v>
      </c>
      <c r="H791" s="113" t="s">
        <v>813</v>
      </c>
      <c r="I791" s="113" t="s">
        <v>813</v>
      </c>
      <c r="J791" s="70">
        <v>0.9</v>
      </c>
      <c r="K791" s="71">
        <v>0.84210526315789502</v>
      </c>
      <c r="L791" s="71">
        <v>0.75</v>
      </c>
      <c r="M791" s="72">
        <v>0.8</v>
      </c>
      <c r="N791" s="71">
        <v>0.724444444444444</v>
      </c>
      <c r="O791" s="73">
        <v>0.9</v>
      </c>
      <c r="P791" s="71">
        <v>0.93213728549142005</v>
      </c>
      <c r="Q791" s="71">
        <v>0.94297260889088497</v>
      </c>
      <c r="R791" s="71">
        <v>0.93777777777777804</v>
      </c>
      <c r="S791" s="71">
        <v>0.93396759608138702</v>
      </c>
      <c r="T791" s="73">
        <v>0.9</v>
      </c>
      <c r="U791" s="71">
        <v>0.95163806552262098</v>
      </c>
      <c r="V791" s="71">
        <v>0.94521778176919602</v>
      </c>
      <c r="W791" s="71">
        <v>0.94469135802469095</v>
      </c>
      <c r="X791" s="71">
        <v>0.93561605124340597</v>
      </c>
      <c r="Y791" s="73">
        <v>0.92</v>
      </c>
      <c r="Z791" s="73">
        <v>0.93796992481203001</v>
      </c>
      <c r="AA791" s="73">
        <v>0.94489247311827995</v>
      </c>
      <c r="AB791" s="73">
        <v>0.93513513513513502</v>
      </c>
      <c r="AC791" s="73">
        <v>0.93276085547634502</v>
      </c>
      <c r="AD791" s="73">
        <v>0.92</v>
      </c>
      <c r="AE791" s="71">
        <v>1</v>
      </c>
      <c r="AF791" s="71">
        <v>0.99047619047619095</v>
      </c>
      <c r="AG791" s="71">
        <v>0.99928673323823103</v>
      </c>
      <c r="AH791" s="71">
        <v>0.99844468009897502</v>
      </c>
      <c r="AI791" s="73">
        <v>0.92</v>
      </c>
      <c r="AJ791" s="71">
        <v>0.96692392502756297</v>
      </c>
      <c r="AK791" s="71">
        <v>0.97241843255970395</v>
      </c>
      <c r="AL791" s="71">
        <v>0.96512979465323501</v>
      </c>
      <c r="AM791" s="71">
        <v>0.96468442174388902</v>
      </c>
      <c r="AN791" s="70">
        <v>0.99</v>
      </c>
      <c r="AO791" s="75">
        <v>1</v>
      </c>
      <c r="AP791" s="75">
        <v>1</v>
      </c>
      <c r="AQ791" s="75">
        <v>1</v>
      </c>
      <c r="AR791" s="75">
        <v>1</v>
      </c>
      <c r="AS791" s="95">
        <v>8.1059522893420499E-2</v>
      </c>
      <c r="AT791" s="79">
        <v>0.16666666666666699</v>
      </c>
      <c r="AU791" s="79">
        <v>0.25</v>
      </c>
      <c r="AV791" s="79">
        <v>0</v>
      </c>
      <c r="AW791" s="79">
        <v>1.35135135135135E-2</v>
      </c>
      <c r="AX791" s="56"/>
      <c r="AY791" s="54"/>
    </row>
    <row r="792" spans="1:51">
      <c r="A792" s="53"/>
      <c r="B792" s="56"/>
      <c r="C792" s="90" t="s">
        <v>663</v>
      </c>
      <c r="D792" s="230" t="s">
        <v>1757</v>
      </c>
      <c r="E792" s="68" t="s">
        <v>664</v>
      </c>
      <c r="F792" s="113" t="s">
        <v>814</v>
      </c>
      <c r="G792" s="113" t="s">
        <v>814</v>
      </c>
      <c r="H792" s="113" t="s">
        <v>814</v>
      </c>
      <c r="I792" s="113" t="s">
        <v>814</v>
      </c>
      <c r="J792" s="70">
        <v>0.9</v>
      </c>
      <c r="K792" s="71">
        <v>0.875</v>
      </c>
      <c r="L792" s="71">
        <v>0.90909090909090895</v>
      </c>
      <c r="M792" s="72">
        <v>0.85714285714285698</v>
      </c>
      <c r="N792" s="71">
        <v>0.86425339366515797</v>
      </c>
      <c r="O792" s="73">
        <v>0.9</v>
      </c>
      <c r="P792" s="71">
        <v>0.96167664670658703</v>
      </c>
      <c r="Q792" s="71">
        <v>0.95254921756688504</v>
      </c>
      <c r="R792" s="71">
        <v>0.94852135815991201</v>
      </c>
      <c r="S792" s="71">
        <v>0.95497803806735004</v>
      </c>
      <c r="T792" s="73">
        <v>0.9</v>
      </c>
      <c r="U792" s="71">
        <v>0.93293413173652695</v>
      </c>
      <c r="V792" s="71">
        <v>0.946491670873296</v>
      </c>
      <c r="W792" s="71">
        <v>0.92825848849945203</v>
      </c>
      <c r="X792" s="71">
        <v>0.93970926584396597</v>
      </c>
      <c r="Y792" s="73">
        <v>0.92</v>
      </c>
      <c r="Z792" s="73">
        <v>0.88174273858921204</v>
      </c>
      <c r="AA792" s="73">
        <v>0.92227979274611405</v>
      </c>
      <c r="AB792" s="73">
        <v>0.81944444444444398</v>
      </c>
      <c r="AC792" s="73">
        <v>0.90185120502968896</v>
      </c>
      <c r="AD792" s="73">
        <v>0.92</v>
      </c>
      <c r="AE792" s="71">
        <v>0.99895068205666304</v>
      </c>
      <c r="AF792" s="71">
        <v>1</v>
      </c>
      <c r="AG792" s="71">
        <v>0.99691833590138701</v>
      </c>
      <c r="AH792" s="71">
        <v>0.99726526891522305</v>
      </c>
      <c r="AI792" s="73">
        <v>0.92</v>
      </c>
      <c r="AJ792" s="71">
        <v>0.93470007593014404</v>
      </c>
      <c r="AK792" s="71">
        <v>0.95781249999999996</v>
      </c>
      <c r="AL792" s="71">
        <v>0.92789699570815498</v>
      </c>
      <c r="AM792" s="71">
        <v>0.95378675139765901</v>
      </c>
      <c r="AN792" s="70">
        <v>0.99</v>
      </c>
      <c r="AO792" s="75">
        <v>1</v>
      </c>
      <c r="AP792" s="75">
        <v>1</v>
      </c>
      <c r="AQ792" s="75">
        <v>1</v>
      </c>
      <c r="AR792" s="75">
        <v>1</v>
      </c>
      <c r="AS792" s="95">
        <v>8.1059522893420499E-2</v>
      </c>
      <c r="AT792" s="79">
        <v>0</v>
      </c>
      <c r="AU792" s="79">
        <v>0</v>
      </c>
      <c r="AV792" s="79">
        <v>0</v>
      </c>
      <c r="AW792" s="79">
        <v>4.7058823529411799E-2</v>
      </c>
      <c r="AX792" s="56"/>
      <c r="AY792" s="54"/>
    </row>
    <row r="793" spans="1:51">
      <c r="A793" s="53"/>
      <c r="B793" s="56"/>
      <c r="C793" s="90" t="s">
        <v>663</v>
      </c>
      <c r="D793" s="230" t="s">
        <v>1757</v>
      </c>
      <c r="E793" s="68" t="s">
        <v>664</v>
      </c>
      <c r="F793" s="113" t="s">
        <v>815</v>
      </c>
      <c r="G793" s="113" t="s">
        <v>815</v>
      </c>
      <c r="H793" s="113" t="s">
        <v>815</v>
      </c>
      <c r="I793" s="113" t="s">
        <v>815</v>
      </c>
      <c r="J793" s="70">
        <v>0.9</v>
      </c>
      <c r="K793" s="71">
        <v>0.94117647058823495</v>
      </c>
      <c r="L793" s="71">
        <v>0.95833333333333304</v>
      </c>
      <c r="M793" s="72">
        <v>0.76190476190476197</v>
      </c>
      <c r="N793" s="71">
        <v>0.91093117408906898</v>
      </c>
      <c r="O793" s="73">
        <v>0.9</v>
      </c>
      <c r="P793" s="71">
        <v>0.93955461293743403</v>
      </c>
      <c r="Q793" s="71">
        <v>0.93641912512716197</v>
      </c>
      <c r="R793" s="71">
        <v>0.91932168550873605</v>
      </c>
      <c r="S793" s="71">
        <v>0.93546102877952597</v>
      </c>
      <c r="T793" s="73">
        <v>0.9</v>
      </c>
      <c r="U793" s="71">
        <v>0.91092258748674404</v>
      </c>
      <c r="V793" s="71">
        <v>0.91912512716174999</v>
      </c>
      <c r="W793" s="71">
        <v>0.89516957862281599</v>
      </c>
      <c r="X793" s="71">
        <v>0.91654443376662798</v>
      </c>
      <c r="Y793" s="73">
        <v>0.92</v>
      </c>
      <c r="Z793" s="73">
        <v>0.90928270042194104</v>
      </c>
      <c r="AA793" s="73">
        <v>0.89285714285714302</v>
      </c>
      <c r="AB793" s="73">
        <v>0.88659793814432997</v>
      </c>
      <c r="AC793" s="73">
        <v>0.90874458874458897</v>
      </c>
      <c r="AD793" s="73">
        <v>0.92</v>
      </c>
      <c r="AE793" s="71">
        <v>0.99479979199168</v>
      </c>
      <c r="AF793" s="71">
        <v>0.99732620320855603</v>
      </c>
      <c r="AG793" s="71">
        <v>0.99773242630385495</v>
      </c>
      <c r="AH793" s="71">
        <v>0.99392948867616204</v>
      </c>
      <c r="AI793" s="73">
        <v>0.92</v>
      </c>
      <c r="AJ793" s="71">
        <v>0.93653032440056405</v>
      </c>
      <c r="AK793" s="71">
        <v>0.93318060328369601</v>
      </c>
      <c r="AL793" s="71">
        <v>0.92320328542094499</v>
      </c>
      <c r="AM793" s="71">
        <v>0.94225506294471795</v>
      </c>
      <c r="AN793" s="70">
        <v>0.99</v>
      </c>
      <c r="AO793" s="75">
        <v>1</v>
      </c>
      <c r="AP793" s="75">
        <v>1</v>
      </c>
      <c r="AQ793" s="75">
        <v>1</v>
      </c>
      <c r="AR793" s="75">
        <v>1</v>
      </c>
      <c r="AS793" s="95">
        <v>8.1059522893420499E-2</v>
      </c>
      <c r="AT793" s="79">
        <v>0</v>
      </c>
      <c r="AU793" s="79">
        <v>0</v>
      </c>
      <c r="AV793" s="79">
        <v>6.25E-2</v>
      </c>
      <c r="AW793" s="79">
        <v>2.4271844660194199E-2</v>
      </c>
      <c r="AX793" s="56"/>
      <c r="AY793" s="54"/>
    </row>
    <row r="794" spans="1:51">
      <c r="A794" s="53"/>
      <c r="B794" s="56"/>
      <c r="C794" s="90" t="s">
        <v>663</v>
      </c>
      <c r="D794" s="230" t="s">
        <v>1757</v>
      </c>
      <c r="E794" s="68" t="s">
        <v>664</v>
      </c>
      <c r="F794" s="113" t="s">
        <v>816</v>
      </c>
      <c r="G794" s="113" t="s">
        <v>816</v>
      </c>
      <c r="H794" s="113" t="s">
        <v>816</v>
      </c>
      <c r="I794" s="113" t="s">
        <v>816</v>
      </c>
      <c r="J794" s="70">
        <v>0.9</v>
      </c>
      <c r="K794" s="71">
        <v>0.71428571428571397</v>
      </c>
      <c r="L794" s="71">
        <v>0.86206896551724099</v>
      </c>
      <c r="M794" s="72">
        <v>0.75862068965517204</v>
      </c>
      <c r="N794" s="71">
        <v>0.79245283018867896</v>
      </c>
      <c r="O794" s="73">
        <v>0.9</v>
      </c>
      <c r="P794" s="71">
        <v>0.94354215003867004</v>
      </c>
      <c r="Q794" s="71">
        <v>0.95488721804511301</v>
      </c>
      <c r="R794" s="71">
        <v>0.92932728647014395</v>
      </c>
      <c r="S794" s="71">
        <v>0.95446597697799795</v>
      </c>
      <c r="T794" s="73">
        <v>0.9</v>
      </c>
      <c r="U794" s="71">
        <v>0.88089713843774198</v>
      </c>
      <c r="V794" s="71">
        <v>0.90691013247404195</v>
      </c>
      <c r="W794" s="71">
        <v>0.91043083900226796</v>
      </c>
      <c r="X794" s="71">
        <v>0.91902229345767195</v>
      </c>
      <c r="Y794" s="73">
        <v>0.92</v>
      </c>
      <c r="Z794" s="73">
        <v>0.87983425414364602</v>
      </c>
      <c r="AA794" s="73">
        <v>0.91409691629955903</v>
      </c>
      <c r="AB794" s="73">
        <v>0.88888888888888895</v>
      </c>
      <c r="AC794" s="73">
        <v>0.90023693727397402</v>
      </c>
      <c r="AD794" s="73">
        <v>0.92</v>
      </c>
      <c r="AE794" s="71">
        <v>0.9979633401222</v>
      </c>
      <c r="AF794" s="71">
        <v>0.993670886075949</v>
      </c>
      <c r="AG794" s="71">
        <v>0.99014778325123198</v>
      </c>
      <c r="AH794" s="71">
        <v>0.995212323064113</v>
      </c>
      <c r="AI794" s="73">
        <v>0.92</v>
      </c>
      <c r="AJ794" s="71">
        <v>0.93951412989588501</v>
      </c>
      <c r="AK794" s="71">
        <v>0.96301295896328298</v>
      </c>
      <c r="AL794" s="71">
        <v>0.95334136062612895</v>
      </c>
      <c r="AM794" s="71">
        <v>0.95944422524096695</v>
      </c>
      <c r="AN794" s="70">
        <v>0.99</v>
      </c>
      <c r="AO794" s="75">
        <v>1</v>
      </c>
      <c r="AP794" s="75">
        <v>1</v>
      </c>
      <c r="AQ794" s="75">
        <v>1</v>
      </c>
      <c r="AR794" s="75">
        <v>1</v>
      </c>
      <c r="AS794" s="95">
        <v>8.1059522893420499E-2</v>
      </c>
      <c r="AT794" s="79">
        <v>0.18181818181818199</v>
      </c>
      <c r="AU794" s="79">
        <v>4.7619047619047603E-2</v>
      </c>
      <c r="AV794" s="79">
        <v>0</v>
      </c>
      <c r="AW794" s="79">
        <v>8.6092715231788103E-2</v>
      </c>
      <c r="AX794" s="56"/>
      <c r="AY794" s="54"/>
    </row>
    <row r="795" spans="1:51">
      <c r="A795" s="53"/>
      <c r="B795" s="56"/>
      <c r="C795" s="90" t="s">
        <v>663</v>
      </c>
      <c r="D795" s="230" t="s">
        <v>1757</v>
      </c>
      <c r="E795" s="68" t="s">
        <v>664</v>
      </c>
      <c r="F795" s="113" t="s">
        <v>817</v>
      </c>
      <c r="G795" s="113" t="s">
        <v>817</v>
      </c>
      <c r="H795" s="113" t="s">
        <v>817</v>
      </c>
      <c r="I795" s="113" t="s">
        <v>817</v>
      </c>
      <c r="J795" s="70">
        <v>0.9</v>
      </c>
      <c r="K795" s="71">
        <v>0.9</v>
      </c>
      <c r="L795" s="71">
        <v>0.95652173913043503</v>
      </c>
      <c r="M795" s="72">
        <v>0.81818181818181801</v>
      </c>
      <c r="N795" s="71">
        <v>0.87603305785123997</v>
      </c>
      <c r="O795" s="73">
        <v>0.9</v>
      </c>
      <c r="P795" s="71">
        <v>0.93437499999999996</v>
      </c>
      <c r="Q795" s="71">
        <v>0.93956043956044</v>
      </c>
      <c r="R795" s="71">
        <v>0.86652653704676796</v>
      </c>
      <c r="S795" s="71">
        <v>0.92347195649984903</v>
      </c>
      <c r="T795" s="73">
        <v>0.9</v>
      </c>
      <c r="U795" s="71">
        <v>0.91249999999999998</v>
      </c>
      <c r="V795" s="71">
        <v>0.91908091908091905</v>
      </c>
      <c r="W795" s="71">
        <v>0.90803993694167096</v>
      </c>
      <c r="X795" s="71">
        <v>0.91425838284160699</v>
      </c>
      <c r="Y795" s="73">
        <v>0.92</v>
      </c>
      <c r="Z795" s="73">
        <v>0.84939759036144602</v>
      </c>
      <c r="AA795" s="73">
        <v>0.88209606986899602</v>
      </c>
      <c r="AB795" s="73">
        <v>0.88293650793650802</v>
      </c>
      <c r="AC795" s="73">
        <v>0.890072721122949</v>
      </c>
      <c r="AD795" s="73">
        <v>0.92</v>
      </c>
      <c r="AE795" s="71">
        <v>1</v>
      </c>
      <c r="AF795" s="71">
        <v>1</v>
      </c>
      <c r="AG795" s="71">
        <v>0.99662162162162204</v>
      </c>
      <c r="AH795" s="71">
        <v>0.99411225958393301</v>
      </c>
      <c r="AI795" s="73">
        <v>0.92</v>
      </c>
      <c r="AJ795" s="71">
        <v>0.926611796982167</v>
      </c>
      <c r="AK795" s="71">
        <v>0.94727070181953199</v>
      </c>
      <c r="AL795" s="71">
        <v>0.94760914760914805</v>
      </c>
      <c r="AM795" s="71">
        <v>0.94792959057072002</v>
      </c>
      <c r="AN795" s="70">
        <v>0.99</v>
      </c>
      <c r="AO795" s="75">
        <v>1</v>
      </c>
      <c r="AP795" s="75">
        <v>1</v>
      </c>
      <c r="AQ795" s="75">
        <v>1</v>
      </c>
      <c r="AR795" s="75">
        <v>1</v>
      </c>
      <c r="AS795" s="95">
        <v>8.1059522893420499E-2</v>
      </c>
      <c r="AT795" s="79">
        <v>0</v>
      </c>
      <c r="AU795" s="79">
        <v>0</v>
      </c>
      <c r="AV795" s="79">
        <v>0.14285714285714299</v>
      </c>
      <c r="AW795" s="79">
        <v>3.8834951456310697E-2</v>
      </c>
      <c r="AX795" s="56"/>
      <c r="AY795" s="54"/>
    </row>
    <row r="796" spans="1:51">
      <c r="A796" s="53"/>
      <c r="B796" s="56"/>
      <c r="C796" s="90" t="s">
        <v>663</v>
      </c>
      <c r="D796" s="230" t="s">
        <v>1757</v>
      </c>
      <c r="E796" s="68" t="s">
        <v>664</v>
      </c>
      <c r="F796" s="113" t="s">
        <v>818</v>
      </c>
      <c r="G796" s="113" t="s">
        <v>818</v>
      </c>
      <c r="H796" s="113" t="s">
        <v>818</v>
      </c>
      <c r="I796" s="113" t="s">
        <v>818</v>
      </c>
      <c r="J796" s="70">
        <v>0.9</v>
      </c>
      <c r="K796" s="71">
        <v>0.84210526315789502</v>
      </c>
      <c r="L796" s="71">
        <v>0.80952380952380998</v>
      </c>
      <c r="M796" s="72">
        <v>0.66666666666666696</v>
      </c>
      <c r="N796" s="71">
        <v>0.75336322869955197</v>
      </c>
      <c r="O796" s="73">
        <v>0.9</v>
      </c>
      <c r="P796" s="71">
        <v>0.92300556586270899</v>
      </c>
      <c r="Q796" s="71">
        <v>0.92715827338129497</v>
      </c>
      <c r="R796" s="71">
        <v>0.91620672353236299</v>
      </c>
      <c r="S796" s="71">
        <v>0.92503922660322901</v>
      </c>
      <c r="T796" s="73">
        <v>0.9</v>
      </c>
      <c r="U796" s="71">
        <v>0.91929499072356202</v>
      </c>
      <c r="V796" s="71">
        <v>0.91726618705036</v>
      </c>
      <c r="W796" s="71">
        <v>0.90868038133467099</v>
      </c>
      <c r="X796" s="71">
        <v>0.92078756896289904</v>
      </c>
      <c r="Y796" s="73">
        <v>0.92</v>
      </c>
      <c r="Z796" s="73">
        <v>0.91061452513966501</v>
      </c>
      <c r="AA796" s="73">
        <v>0.92182410423452799</v>
      </c>
      <c r="AB796" s="73">
        <v>0.834215167548501</v>
      </c>
      <c r="AC796" s="73">
        <v>0.91611280761630998</v>
      </c>
      <c r="AD796" s="73">
        <v>0.92</v>
      </c>
      <c r="AE796" s="71">
        <v>0.99518845228548503</v>
      </c>
      <c r="AF796" s="71">
        <v>0.99287894201424198</v>
      </c>
      <c r="AG796" s="71">
        <v>0.99289700659563696</v>
      </c>
      <c r="AH796" s="71">
        <v>0.99388960205391497</v>
      </c>
      <c r="AI796" s="73">
        <v>0.92</v>
      </c>
      <c r="AJ796" s="71">
        <v>0.93931888544891595</v>
      </c>
      <c r="AK796" s="71">
        <v>0.96371961958436103</v>
      </c>
      <c r="AL796" s="71">
        <v>0.93869582194455303</v>
      </c>
      <c r="AM796" s="71">
        <v>0.95910956741395603</v>
      </c>
      <c r="AN796" s="70">
        <v>0.99</v>
      </c>
      <c r="AO796" s="75">
        <v>1</v>
      </c>
      <c r="AP796" s="75">
        <v>1</v>
      </c>
      <c r="AQ796" s="75">
        <v>1</v>
      </c>
      <c r="AR796" s="75">
        <v>1</v>
      </c>
      <c r="AS796" s="95">
        <v>8.1059522893420499E-2</v>
      </c>
      <c r="AT796" s="79">
        <v>0.33333333333333298</v>
      </c>
      <c r="AU796" s="79">
        <v>0</v>
      </c>
      <c r="AV796" s="79">
        <v>0</v>
      </c>
      <c r="AW796" s="79">
        <v>5.1948051948052E-2</v>
      </c>
      <c r="AX796" s="56"/>
      <c r="AY796" s="54"/>
    </row>
    <row r="797" spans="1:51">
      <c r="A797" s="53"/>
      <c r="B797" s="56"/>
      <c r="C797" s="90" t="s">
        <v>663</v>
      </c>
      <c r="D797" s="230" t="s">
        <v>1757</v>
      </c>
      <c r="E797" s="68" t="s">
        <v>664</v>
      </c>
      <c r="F797" s="113" t="s">
        <v>819</v>
      </c>
      <c r="G797" s="113" t="s">
        <v>819</v>
      </c>
      <c r="H797" s="113" t="s">
        <v>819</v>
      </c>
      <c r="I797" s="113" t="s">
        <v>819</v>
      </c>
      <c r="J797" s="70">
        <v>0.9</v>
      </c>
      <c r="K797" s="71">
        <v>0.72727272727272696</v>
      </c>
      <c r="L797" s="71">
        <v>0.92307692307692302</v>
      </c>
      <c r="M797" s="72">
        <v>0.84615384615384603</v>
      </c>
      <c r="N797" s="71">
        <v>0.86394557823129203</v>
      </c>
      <c r="O797" s="73">
        <v>0.9</v>
      </c>
      <c r="P797" s="71">
        <v>0.96172248803827798</v>
      </c>
      <c r="Q797" s="71">
        <v>0.95740072202166104</v>
      </c>
      <c r="R797" s="71">
        <v>0.89697406340057595</v>
      </c>
      <c r="S797" s="71">
        <v>0.94192706445298302</v>
      </c>
      <c r="T797" s="73">
        <v>0.9</v>
      </c>
      <c r="U797" s="71">
        <v>0.93779904306220097</v>
      </c>
      <c r="V797" s="71">
        <v>0.91552346570397103</v>
      </c>
      <c r="W797" s="71">
        <v>0.92723342939481301</v>
      </c>
      <c r="X797" s="71">
        <v>0.92423693177698796</v>
      </c>
      <c r="Y797" s="73">
        <v>0.92</v>
      </c>
      <c r="Z797" s="73">
        <v>0.88529411764705901</v>
      </c>
      <c r="AA797" s="73">
        <v>0.90995260663507105</v>
      </c>
      <c r="AB797" s="73">
        <v>0.94301994301994296</v>
      </c>
      <c r="AC797" s="73">
        <v>0.92251202836161095</v>
      </c>
      <c r="AD797" s="73">
        <v>0.92</v>
      </c>
      <c r="AE797" s="71">
        <v>1</v>
      </c>
      <c r="AF797" s="71">
        <v>0.994871794871795</v>
      </c>
      <c r="AG797" s="71">
        <v>0.99069767441860501</v>
      </c>
      <c r="AH797" s="71">
        <v>0.99663402692778502</v>
      </c>
      <c r="AI797" s="73">
        <v>0.92</v>
      </c>
      <c r="AJ797" s="71">
        <v>0.937952430196484</v>
      </c>
      <c r="AK797" s="71">
        <v>0.96070835639180996</v>
      </c>
      <c r="AL797" s="71">
        <v>0.96668581275129195</v>
      </c>
      <c r="AM797" s="71">
        <v>0.95865254619197804</v>
      </c>
      <c r="AN797" s="70">
        <v>0.99</v>
      </c>
      <c r="AO797" s="75">
        <v>1</v>
      </c>
      <c r="AP797" s="75">
        <v>1</v>
      </c>
      <c r="AQ797" s="75">
        <v>1</v>
      </c>
      <c r="AR797" s="75">
        <v>1</v>
      </c>
      <c r="AS797" s="95">
        <v>8.1059522893420499E-2</v>
      </c>
      <c r="AT797" s="79">
        <v>0</v>
      </c>
      <c r="AU797" s="79">
        <v>0</v>
      </c>
      <c r="AV797" s="79">
        <v>0</v>
      </c>
      <c r="AW797" s="79">
        <v>0.114754098360656</v>
      </c>
      <c r="AX797" s="56"/>
      <c r="AY797" s="54"/>
    </row>
    <row r="798" spans="1:51">
      <c r="A798" s="53"/>
      <c r="B798" s="56"/>
      <c r="C798" s="90" t="s">
        <v>663</v>
      </c>
      <c r="D798" s="230" t="s">
        <v>1757</v>
      </c>
      <c r="E798" s="68" t="s">
        <v>664</v>
      </c>
      <c r="F798" s="113" t="s">
        <v>820</v>
      </c>
      <c r="G798" s="113" t="s">
        <v>820</v>
      </c>
      <c r="H798" s="113" t="s">
        <v>820</v>
      </c>
      <c r="I798" s="113" t="s">
        <v>820</v>
      </c>
      <c r="J798" s="70">
        <v>0.9</v>
      </c>
      <c r="K798" s="71">
        <v>0.83333333333333304</v>
      </c>
      <c r="L798" s="71">
        <v>0.89473684210526305</v>
      </c>
      <c r="M798" s="72">
        <v>0.94444444444444398</v>
      </c>
      <c r="N798" s="71">
        <v>0.886010362694301</v>
      </c>
      <c r="O798" s="73">
        <v>0.9</v>
      </c>
      <c r="P798" s="71">
        <v>0.94052558782849205</v>
      </c>
      <c r="Q798" s="71">
        <v>0.95760945100764405</v>
      </c>
      <c r="R798" s="71">
        <v>0.961566352429297</v>
      </c>
      <c r="S798" s="71">
        <v>0.95541760722347602</v>
      </c>
      <c r="T798" s="73">
        <v>0.9</v>
      </c>
      <c r="U798" s="71">
        <v>0.91977869986168703</v>
      </c>
      <c r="V798" s="71">
        <v>0.94232105628909002</v>
      </c>
      <c r="W798" s="71">
        <v>0.94561276287164597</v>
      </c>
      <c r="X798" s="71">
        <v>0.94504796839729099</v>
      </c>
      <c r="Y798" s="73">
        <v>0.92</v>
      </c>
      <c r="Z798" s="73">
        <v>0.92233009708737901</v>
      </c>
      <c r="AA798" s="73">
        <v>0.944567627494457</v>
      </c>
      <c r="AB798" s="73">
        <v>0.94430379746835402</v>
      </c>
      <c r="AC798" s="73">
        <v>0.949470644850818</v>
      </c>
      <c r="AD798" s="73">
        <v>0.92</v>
      </c>
      <c r="AE798" s="71">
        <v>0.99949290060851903</v>
      </c>
      <c r="AF798" s="71">
        <v>0.99922118380062297</v>
      </c>
      <c r="AG798" s="71">
        <v>0.99834299917150005</v>
      </c>
      <c r="AH798" s="71">
        <v>0.99531488711593996</v>
      </c>
      <c r="AI798" s="73">
        <v>0.92</v>
      </c>
      <c r="AJ798" s="71">
        <v>0.94476744186046502</v>
      </c>
      <c r="AK798" s="71">
        <v>0.96566296883254099</v>
      </c>
      <c r="AL798" s="71">
        <v>0.96229600450196995</v>
      </c>
      <c r="AM798" s="71">
        <v>0.96713717368793894</v>
      </c>
      <c r="AN798" s="70">
        <v>0.99</v>
      </c>
      <c r="AO798" s="75">
        <v>1</v>
      </c>
      <c r="AP798" s="75">
        <v>1</v>
      </c>
      <c r="AQ798" s="75">
        <v>1</v>
      </c>
      <c r="AR798" s="75">
        <v>1</v>
      </c>
      <c r="AS798" s="95">
        <v>8.1059522893420499E-2</v>
      </c>
      <c r="AT798" s="79">
        <v>0</v>
      </c>
      <c r="AU798" s="79">
        <v>0</v>
      </c>
      <c r="AV798" s="79">
        <v>0</v>
      </c>
      <c r="AW798" s="79">
        <v>3.5714285714285698E-2</v>
      </c>
      <c r="AX798" s="56"/>
      <c r="AY798" s="54"/>
    </row>
    <row r="799" spans="1:51">
      <c r="A799" s="53"/>
      <c r="B799" s="56"/>
      <c r="C799" s="90" t="s">
        <v>663</v>
      </c>
      <c r="D799" s="230" t="s">
        <v>1757</v>
      </c>
      <c r="E799" s="68" t="s">
        <v>664</v>
      </c>
      <c r="F799" s="113" t="s">
        <v>821</v>
      </c>
      <c r="G799" s="113" t="s">
        <v>821</v>
      </c>
      <c r="H799" s="113" t="s">
        <v>821</v>
      </c>
      <c r="I799" s="113" t="s">
        <v>821</v>
      </c>
      <c r="J799" s="70">
        <v>0.9</v>
      </c>
      <c r="K799" s="71">
        <v>0.76470588235294101</v>
      </c>
      <c r="L799" s="71">
        <v>0.85245901639344301</v>
      </c>
      <c r="M799" s="72">
        <v>0.78947368421052599</v>
      </c>
      <c r="N799" s="71">
        <v>0.84090909090909105</v>
      </c>
      <c r="O799" s="73">
        <v>0.9</v>
      </c>
      <c r="P799" s="71">
        <v>0.90878063915606599</v>
      </c>
      <c r="Q799" s="71">
        <v>0.94977908689248902</v>
      </c>
      <c r="R799" s="71">
        <v>0.915488431876607</v>
      </c>
      <c r="S799" s="71">
        <v>0.92378171081978799</v>
      </c>
      <c r="T799" s="73">
        <v>0.9</v>
      </c>
      <c r="U799" s="71">
        <v>0.920881166614955</v>
      </c>
      <c r="V799" s="71">
        <v>0.92061855670103099</v>
      </c>
      <c r="W799" s="71">
        <v>0.906973007712082</v>
      </c>
      <c r="X799" s="71">
        <v>0.91152260072848601</v>
      </c>
      <c r="Y799" s="73">
        <v>0.92</v>
      </c>
      <c r="Z799" s="73">
        <v>0.93287037037037002</v>
      </c>
      <c r="AA799" s="73">
        <v>0.93117893476959901</v>
      </c>
      <c r="AB799" s="73">
        <v>0.92661135928525895</v>
      </c>
      <c r="AC799" s="73">
        <v>0.93661340505194302</v>
      </c>
      <c r="AD799" s="73">
        <v>0.92</v>
      </c>
      <c r="AE799" s="71">
        <v>0.99839486356340301</v>
      </c>
      <c r="AF799" s="71">
        <v>0.95190713101160895</v>
      </c>
      <c r="AG799" s="71">
        <v>0.98611111111111105</v>
      </c>
      <c r="AH799" s="71">
        <v>0.97622282608695699</v>
      </c>
      <c r="AI799" s="73">
        <v>0.92</v>
      </c>
      <c r="AJ799" s="71">
        <v>0.94708139769743505</v>
      </c>
      <c r="AK799" s="71">
        <v>0.95875192057676395</v>
      </c>
      <c r="AL799" s="71">
        <v>0.95367043121149897</v>
      </c>
      <c r="AM799" s="71">
        <v>0.958468654659974</v>
      </c>
      <c r="AN799" s="70">
        <v>0.99</v>
      </c>
      <c r="AO799" s="75">
        <v>1</v>
      </c>
      <c r="AP799" s="75">
        <v>1</v>
      </c>
      <c r="AQ799" s="75">
        <v>1</v>
      </c>
      <c r="AR799" s="75">
        <v>1</v>
      </c>
      <c r="AS799" s="95">
        <v>8.1059522893420499E-2</v>
      </c>
      <c r="AT799" s="79">
        <v>0</v>
      </c>
      <c r="AU799" s="79">
        <v>0</v>
      </c>
      <c r="AV799" s="79">
        <v>0</v>
      </c>
      <c r="AW799" s="79">
        <v>2.6086956521739101E-2</v>
      </c>
      <c r="AX799" s="56"/>
      <c r="AY799" s="54"/>
    </row>
    <row r="800" spans="1:51">
      <c r="A800" s="53"/>
      <c r="B800" s="56"/>
      <c r="C800" s="90" t="s">
        <v>663</v>
      </c>
      <c r="D800" s="230" t="s">
        <v>1757</v>
      </c>
      <c r="E800" s="68" t="s">
        <v>664</v>
      </c>
      <c r="F800" s="113" t="s">
        <v>822</v>
      </c>
      <c r="G800" s="113" t="s">
        <v>822</v>
      </c>
      <c r="H800" s="113" t="s">
        <v>822</v>
      </c>
      <c r="I800" s="113" t="s">
        <v>822</v>
      </c>
      <c r="J800" s="70">
        <v>0.9</v>
      </c>
      <c r="K800" s="71">
        <v>0.94117647058823495</v>
      </c>
      <c r="L800" s="71">
        <v>0.84210526315789502</v>
      </c>
      <c r="M800" s="72">
        <v>0.88888888888888895</v>
      </c>
      <c r="N800" s="71">
        <v>0.89150943396226401</v>
      </c>
      <c r="O800" s="73">
        <v>0.9</v>
      </c>
      <c r="P800" s="71">
        <v>0.97419354838709704</v>
      </c>
      <c r="Q800" s="71">
        <v>0.87862137862137901</v>
      </c>
      <c r="R800" s="71">
        <v>0.95311667554608404</v>
      </c>
      <c r="S800" s="71">
        <v>0.92471194822960001</v>
      </c>
      <c r="T800" s="73">
        <v>0.9</v>
      </c>
      <c r="U800" s="71">
        <v>0.92473118279569899</v>
      </c>
      <c r="V800" s="71">
        <v>0.91508491508491496</v>
      </c>
      <c r="W800" s="71">
        <v>0.90729888119339397</v>
      </c>
      <c r="X800" s="71">
        <v>0.90845477981796197</v>
      </c>
      <c r="Y800" s="73">
        <v>0.92</v>
      </c>
      <c r="Z800" s="73">
        <v>0.93702290076335903</v>
      </c>
      <c r="AA800" s="73">
        <v>0.93432203389830504</v>
      </c>
      <c r="AB800" s="73">
        <v>0.94572025052192099</v>
      </c>
      <c r="AC800" s="73">
        <v>0.92620376831821305</v>
      </c>
      <c r="AD800" s="73">
        <v>0.92</v>
      </c>
      <c r="AE800" s="71">
        <v>1</v>
      </c>
      <c r="AF800" s="71">
        <v>1</v>
      </c>
      <c r="AG800" s="71">
        <v>1</v>
      </c>
      <c r="AH800" s="71">
        <v>0.99242163279366202</v>
      </c>
      <c r="AI800" s="73">
        <v>0.92</v>
      </c>
      <c r="AJ800" s="71">
        <v>0.95804676753782703</v>
      </c>
      <c r="AK800" s="71">
        <v>0.96038803556992702</v>
      </c>
      <c r="AL800" s="71">
        <v>0.96519524617996599</v>
      </c>
      <c r="AM800" s="71">
        <v>0.95654985651348001</v>
      </c>
      <c r="AN800" s="70">
        <v>0.99</v>
      </c>
      <c r="AO800" s="75">
        <v>1</v>
      </c>
      <c r="AP800" s="75">
        <v>1</v>
      </c>
      <c r="AQ800" s="75">
        <v>1</v>
      </c>
      <c r="AR800" s="75">
        <v>1</v>
      </c>
      <c r="AS800" s="95">
        <v>8.1059522893420499E-2</v>
      </c>
      <c r="AT800" s="79">
        <v>0</v>
      </c>
      <c r="AU800" s="79">
        <v>0</v>
      </c>
      <c r="AV800" s="79">
        <v>0</v>
      </c>
      <c r="AW800" s="79">
        <v>3.8961038961039002E-2</v>
      </c>
      <c r="AX800" s="56"/>
      <c r="AY800" s="54"/>
    </row>
    <row r="801" spans="1:51">
      <c r="A801" s="53"/>
      <c r="B801" s="56"/>
      <c r="C801" s="90" t="s">
        <v>663</v>
      </c>
      <c r="D801" s="230" t="s">
        <v>1757</v>
      </c>
      <c r="E801" s="68" t="s">
        <v>664</v>
      </c>
      <c r="F801" s="113" t="s">
        <v>823</v>
      </c>
      <c r="G801" s="113" t="s">
        <v>823</v>
      </c>
      <c r="H801" s="113" t="s">
        <v>823</v>
      </c>
      <c r="I801" s="113" t="s">
        <v>823</v>
      </c>
      <c r="J801" s="70">
        <v>0.9</v>
      </c>
      <c r="K801" s="71">
        <v>0.92307692307692302</v>
      </c>
      <c r="L801" s="71">
        <v>1</v>
      </c>
      <c r="M801" s="72">
        <v>0.9375</v>
      </c>
      <c r="N801" s="71">
        <v>0.94680851063829796</v>
      </c>
      <c r="O801" s="73">
        <v>0.9</v>
      </c>
      <c r="P801" s="71">
        <v>0.88640429338103799</v>
      </c>
      <c r="Q801" s="71">
        <v>0.92292332268370603</v>
      </c>
      <c r="R801" s="71">
        <v>0.91018478727975904</v>
      </c>
      <c r="S801" s="71">
        <v>0.9151560048806</v>
      </c>
      <c r="T801" s="73">
        <v>0.9</v>
      </c>
      <c r="U801" s="71">
        <v>0.87835420393559904</v>
      </c>
      <c r="V801" s="71">
        <v>0.89297124600639</v>
      </c>
      <c r="W801" s="71">
        <v>0.91920928233777399</v>
      </c>
      <c r="X801" s="71">
        <v>0.91254139794317601</v>
      </c>
      <c r="Y801" s="73">
        <v>0.92</v>
      </c>
      <c r="Z801" s="73">
        <v>0.85568760611205397</v>
      </c>
      <c r="AA801" s="73">
        <v>0.88632619439868199</v>
      </c>
      <c r="AB801" s="73">
        <v>0.80656934306569295</v>
      </c>
      <c r="AC801" s="73">
        <v>0.89288928892889297</v>
      </c>
      <c r="AD801" s="73">
        <v>0.92</v>
      </c>
      <c r="AE801" s="71">
        <v>0.99833222148098699</v>
      </c>
      <c r="AF801" s="71">
        <v>0.922012578616352</v>
      </c>
      <c r="AG801" s="71">
        <v>0.89051749925216905</v>
      </c>
      <c r="AH801" s="71">
        <v>0.95477654578027404</v>
      </c>
      <c r="AI801" s="73">
        <v>0.92</v>
      </c>
      <c r="AJ801" s="71">
        <v>0.90626830697129501</v>
      </c>
      <c r="AK801" s="71">
        <v>0.93185470909675305</v>
      </c>
      <c r="AL801" s="71">
        <v>0.93113043478260904</v>
      </c>
      <c r="AM801" s="71">
        <v>0.94280118854673101</v>
      </c>
      <c r="AN801" s="70">
        <v>0.99</v>
      </c>
      <c r="AO801" s="75">
        <v>1</v>
      </c>
      <c r="AP801" s="75">
        <v>1</v>
      </c>
      <c r="AQ801" s="75">
        <v>1</v>
      </c>
      <c r="AR801" s="75">
        <v>1</v>
      </c>
      <c r="AS801" s="95">
        <v>8.1059522893420499E-2</v>
      </c>
      <c r="AT801" s="79">
        <v>0</v>
      </c>
      <c r="AU801" s="79">
        <v>0</v>
      </c>
      <c r="AV801" s="79">
        <v>0</v>
      </c>
      <c r="AW801" s="79">
        <v>4.1666666666666699E-2</v>
      </c>
      <c r="AX801" s="56"/>
      <c r="AY801" s="54"/>
    </row>
    <row r="802" spans="1:51">
      <c r="A802" s="53"/>
      <c r="B802" s="56"/>
      <c r="C802" s="90" t="s">
        <v>663</v>
      </c>
      <c r="D802" s="230" t="s">
        <v>1757</v>
      </c>
      <c r="E802" s="68" t="s">
        <v>664</v>
      </c>
      <c r="F802" s="113" t="s">
        <v>824</v>
      </c>
      <c r="G802" s="113" t="s">
        <v>824</v>
      </c>
      <c r="H802" s="113" t="s">
        <v>824</v>
      </c>
      <c r="I802" s="113" t="s">
        <v>824</v>
      </c>
      <c r="J802" s="70">
        <v>0.9</v>
      </c>
      <c r="K802" s="71">
        <v>0.88888888888888895</v>
      </c>
      <c r="L802" s="71">
        <v>0.83333333333333304</v>
      </c>
      <c r="M802" s="72">
        <v>0.90909090909090895</v>
      </c>
      <c r="N802" s="71">
        <v>0.84426229508196704</v>
      </c>
      <c r="O802" s="73">
        <v>0.9</v>
      </c>
      <c r="P802" s="71">
        <v>0.928181818181818</v>
      </c>
      <c r="Q802" s="71">
        <v>0.81400870597546504</v>
      </c>
      <c r="R802" s="71">
        <v>0.89150546677880604</v>
      </c>
      <c r="S802" s="71">
        <v>0.90071382219338103</v>
      </c>
      <c r="T802" s="73">
        <v>0.9</v>
      </c>
      <c r="U802" s="71">
        <v>0.86545454545454503</v>
      </c>
      <c r="V802" s="71">
        <v>0.88444796201028897</v>
      </c>
      <c r="W802" s="71">
        <v>0.89066442388561795</v>
      </c>
      <c r="X802" s="71">
        <v>0.86528228423101905</v>
      </c>
      <c r="Y802" s="73">
        <v>0.92</v>
      </c>
      <c r="Z802" s="73">
        <v>0.90514469453376201</v>
      </c>
      <c r="AA802" s="73">
        <v>0.91157556270096496</v>
      </c>
      <c r="AB802" s="73">
        <v>0.91268533772652405</v>
      </c>
      <c r="AC802" s="73">
        <v>0.91226292167366396</v>
      </c>
      <c r="AD802" s="73">
        <v>0.92</v>
      </c>
      <c r="AE802" s="71">
        <v>0.99744245524296704</v>
      </c>
      <c r="AF802" s="71">
        <v>0.98442367601246095</v>
      </c>
      <c r="AG802" s="71">
        <v>0.98630136986301398</v>
      </c>
      <c r="AH802" s="71">
        <v>0.98329901624342297</v>
      </c>
      <c r="AI802" s="73">
        <v>0.92</v>
      </c>
      <c r="AJ802" s="71">
        <v>0.91062100986651195</v>
      </c>
      <c r="AK802" s="71">
        <v>0.94001904157410299</v>
      </c>
      <c r="AL802" s="71">
        <v>0.93703951774949801</v>
      </c>
      <c r="AM802" s="71">
        <v>0.93214808895991497</v>
      </c>
      <c r="AN802" s="70">
        <v>0.99</v>
      </c>
      <c r="AO802" s="75">
        <v>1</v>
      </c>
      <c r="AP802" s="75">
        <v>1</v>
      </c>
      <c r="AQ802" s="75">
        <v>1</v>
      </c>
      <c r="AR802" s="75">
        <v>1</v>
      </c>
      <c r="AS802" s="95">
        <v>8.1059522893420499E-2</v>
      </c>
      <c r="AT802" s="79">
        <v>0</v>
      </c>
      <c r="AU802" s="79">
        <v>0.14285714285714299</v>
      </c>
      <c r="AV802" s="79">
        <v>0</v>
      </c>
      <c r="AW802" s="79">
        <v>3.3898305084745797E-2</v>
      </c>
      <c r="AX802" s="56"/>
      <c r="AY802" s="54"/>
    </row>
    <row r="803" spans="1:51">
      <c r="A803" s="53"/>
      <c r="B803" s="56"/>
      <c r="C803" s="90" t="s">
        <v>663</v>
      </c>
      <c r="D803" s="230" t="s">
        <v>1757</v>
      </c>
      <c r="E803" s="68" t="s">
        <v>664</v>
      </c>
      <c r="F803" s="113" t="s">
        <v>825</v>
      </c>
      <c r="G803" s="113" t="s">
        <v>825</v>
      </c>
      <c r="H803" s="113" t="s">
        <v>825</v>
      </c>
      <c r="I803" s="113" t="s">
        <v>825</v>
      </c>
      <c r="J803" s="70">
        <v>0.9</v>
      </c>
      <c r="K803" s="71">
        <v>0.94736842105263197</v>
      </c>
      <c r="L803" s="71">
        <v>0.92</v>
      </c>
      <c r="M803" s="72">
        <v>1</v>
      </c>
      <c r="N803" s="71">
        <v>0.94223826714801395</v>
      </c>
      <c r="O803" s="73">
        <v>0.9</v>
      </c>
      <c r="P803" s="71">
        <v>0.93128536782538396</v>
      </c>
      <c r="Q803" s="71">
        <v>0.94478527607361995</v>
      </c>
      <c r="R803" s="71">
        <v>0.95661301609517102</v>
      </c>
      <c r="S803" s="71">
        <v>0.94525455005970305</v>
      </c>
      <c r="T803" s="73">
        <v>0.9</v>
      </c>
      <c r="U803" s="71">
        <v>0.93856103476151997</v>
      </c>
      <c r="V803" s="71">
        <v>0.92399454669393299</v>
      </c>
      <c r="W803" s="71">
        <v>0.94331700489852999</v>
      </c>
      <c r="X803" s="71">
        <v>0.93515938777725505</v>
      </c>
      <c r="Y803" s="73">
        <v>0.92</v>
      </c>
      <c r="Z803" s="73">
        <v>0.92619392185238802</v>
      </c>
      <c r="AA803" s="73">
        <v>0.92613636363636398</v>
      </c>
      <c r="AB803" s="73">
        <v>0.91063829787233996</v>
      </c>
      <c r="AC803" s="73">
        <v>0.92002934702861305</v>
      </c>
      <c r="AD803" s="73">
        <v>0.92</v>
      </c>
      <c r="AE803" s="71">
        <v>0.99885233358837</v>
      </c>
      <c r="AF803" s="71">
        <v>0.99444281953787705</v>
      </c>
      <c r="AG803" s="71">
        <v>0.99238227146814395</v>
      </c>
      <c r="AH803" s="71">
        <v>0.99170273093568095</v>
      </c>
      <c r="AI803" s="73">
        <v>0.92</v>
      </c>
      <c r="AJ803" s="71">
        <v>0.95798755186721996</v>
      </c>
      <c r="AK803" s="71">
        <v>0.96592470458917301</v>
      </c>
      <c r="AL803" s="71">
        <v>0.96043771043770998</v>
      </c>
      <c r="AM803" s="71">
        <v>0.96337855188968902</v>
      </c>
      <c r="AN803" s="70">
        <v>0.99</v>
      </c>
      <c r="AO803" s="75">
        <v>1</v>
      </c>
      <c r="AP803" s="75">
        <v>1</v>
      </c>
      <c r="AQ803" s="75">
        <v>1</v>
      </c>
      <c r="AR803" s="75">
        <v>1</v>
      </c>
      <c r="AS803" s="95">
        <v>8.1059522893420499E-2</v>
      </c>
      <c r="AT803" s="79">
        <v>0</v>
      </c>
      <c r="AU803" s="79">
        <v>0.125</v>
      </c>
      <c r="AV803" s="79">
        <v>0</v>
      </c>
      <c r="AW803" s="79">
        <v>3.7383177570093497E-2</v>
      </c>
      <c r="AX803" s="56"/>
      <c r="AY803" s="54"/>
    </row>
    <row r="804" spans="1:51">
      <c r="A804" s="53"/>
      <c r="B804" s="56"/>
      <c r="C804" s="90" t="s">
        <v>663</v>
      </c>
      <c r="D804" s="230" t="s">
        <v>1757</v>
      </c>
      <c r="E804" s="68" t="s">
        <v>664</v>
      </c>
      <c r="F804" s="113" t="s">
        <v>826</v>
      </c>
      <c r="G804" s="113" t="s">
        <v>826</v>
      </c>
      <c r="H804" s="113" t="s">
        <v>826</v>
      </c>
      <c r="I804" s="113" t="s">
        <v>826</v>
      </c>
      <c r="J804" s="70">
        <v>0.9</v>
      </c>
      <c r="K804" s="71">
        <v>0.61111111111111105</v>
      </c>
      <c r="L804" s="71">
        <v>0.75</v>
      </c>
      <c r="M804" s="72">
        <v>0.6</v>
      </c>
      <c r="N804" s="71">
        <v>0.66063348416289602</v>
      </c>
      <c r="O804" s="73">
        <v>0.9</v>
      </c>
      <c r="P804" s="71">
        <v>0.91686746987951795</v>
      </c>
      <c r="Q804" s="71">
        <v>0.92881192881192898</v>
      </c>
      <c r="R804" s="71">
        <v>0.92426666666666701</v>
      </c>
      <c r="S804" s="71">
        <v>0.89814464218099199</v>
      </c>
      <c r="T804" s="73">
        <v>0.9</v>
      </c>
      <c r="U804" s="71">
        <v>0.85542168674698804</v>
      </c>
      <c r="V804" s="71">
        <v>0.90909090909090895</v>
      </c>
      <c r="W804" s="71">
        <v>0.908266666666667</v>
      </c>
      <c r="X804" s="71">
        <v>0.89219451506463998</v>
      </c>
      <c r="Y804" s="73">
        <v>0.92</v>
      </c>
      <c r="Z804" s="73">
        <v>0.91170431211499003</v>
      </c>
      <c r="AA804" s="73">
        <v>0.88686868686868703</v>
      </c>
      <c r="AB804" s="73">
        <v>0.819105691056911</v>
      </c>
      <c r="AC804" s="73">
        <v>0.87788259958071302</v>
      </c>
      <c r="AD804" s="73">
        <v>0.92</v>
      </c>
      <c r="AE804" s="71">
        <v>1</v>
      </c>
      <c r="AF804" s="71">
        <v>0.94117647058823495</v>
      </c>
      <c r="AG804" s="71">
        <v>0.98529411764705899</v>
      </c>
      <c r="AH804" s="71">
        <v>0.97740963855421703</v>
      </c>
      <c r="AI804" s="73">
        <v>0.92</v>
      </c>
      <c r="AJ804" s="71">
        <v>0.92255125284738004</v>
      </c>
      <c r="AK804" s="71">
        <v>0.93084693084693104</v>
      </c>
      <c r="AL804" s="71">
        <v>0.91089527027026995</v>
      </c>
      <c r="AM804" s="71">
        <v>0.92619971917072796</v>
      </c>
      <c r="AN804" s="70">
        <v>0.99</v>
      </c>
      <c r="AO804" s="75">
        <v>1</v>
      </c>
      <c r="AP804" s="75">
        <v>1</v>
      </c>
      <c r="AQ804" s="75">
        <v>1</v>
      </c>
      <c r="AR804" s="75">
        <v>1</v>
      </c>
      <c r="AS804" s="95">
        <v>8.1059522893420499E-2</v>
      </c>
      <c r="AT804" s="79">
        <v>0</v>
      </c>
      <c r="AU804" s="79">
        <v>0</v>
      </c>
      <c r="AV804" s="79">
        <v>0</v>
      </c>
      <c r="AW804" s="79">
        <v>5.8823529411764698E-2</v>
      </c>
      <c r="AX804" s="56"/>
      <c r="AY804" s="54"/>
    </row>
    <row r="805" spans="1:51">
      <c r="A805" s="53"/>
      <c r="B805" s="56"/>
      <c r="C805" s="90" t="s">
        <v>663</v>
      </c>
      <c r="D805" s="230" t="s">
        <v>1757</v>
      </c>
      <c r="E805" s="68" t="s">
        <v>664</v>
      </c>
      <c r="F805" s="113" t="s">
        <v>827</v>
      </c>
      <c r="G805" s="113" t="s">
        <v>827</v>
      </c>
      <c r="H805" s="113" t="s">
        <v>827</v>
      </c>
      <c r="I805" s="113" t="s">
        <v>827</v>
      </c>
      <c r="J805" s="70">
        <v>0.9</v>
      </c>
      <c r="K805" s="71">
        <v>0.88888888888888895</v>
      </c>
      <c r="L805" s="71">
        <v>0.88888888888888895</v>
      </c>
      <c r="M805" s="72">
        <v>0.88888888888888895</v>
      </c>
      <c r="N805" s="71">
        <v>0.84848484848484895</v>
      </c>
      <c r="O805" s="73">
        <v>0.9</v>
      </c>
      <c r="P805" s="71">
        <v>0.96951219512195097</v>
      </c>
      <c r="Q805" s="71">
        <v>0.97514340344168304</v>
      </c>
      <c r="R805" s="71">
        <v>0.96827021494370502</v>
      </c>
      <c r="S805" s="71">
        <v>0.96901466639124101</v>
      </c>
      <c r="T805" s="73">
        <v>0.9</v>
      </c>
      <c r="U805" s="71">
        <v>0.94105691056910601</v>
      </c>
      <c r="V805" s="71">
        <v>0.93212237093690298</v>
      </c>
      <c r="W805" s="71">
        <v>0.92528147389969295</v>
      </c>
      <c r="X805" s="71">
        <v>0.92398264821317899</v>
      </c>
      <c r="Y805" s="73">
        <v>0.92</v>
      </c>
      <c r="Z805" s="73">
        <v>0.93884892086330896</v>
      </c>
      <c r="AA805" s="73">
        <v>0.94092827004219404</v>
      </c>
      <c r="AB805" s="73">
        <v>0.93469387755101996</v>
      </c>
      <c r="AC805" s="73">
        <v>0.93754361479413795</v>
      </c>
      <c r="AD805" s="73">
        <v>0.92</v>
      </c>
      <c r="AE805" s="71">
        <v>1</v>
      </c>
      <c r="AF805" s="71">
        <v>0.97471910112359506</v>
      </c>
      <c r="AG805" s="71">
        <v>0.99524940617577196</v>
      </c>
      <c r="AH805" s="71">
        <v>0.98871687221201798</v>
      </c>
      <c r="AI805" s="73">
        <v>0.92</v>
      </c>
      <c r="AJ805" s="71">
        <v>0.96883116883116904</v>
      </c>
      <c r="AK805" s="71">
        <v>0.96962616822429903</v>
      </c>
      <c r="AL805" s="71">
        <v>0.96890343698854298</v>
      </c>
      <c r="AM805" s="71">
        <v>0.96677820267686398</v>
      </c>
      <c r="AN805" s="70">
        <v>0.99</v>
      </c>
      <c r="AO805" s="75">
        <v>1</v>
      </c>
      <c r="AP805" s="75">
        <v>1</v>
      </c>
      <c r="AQ805" s="75">
        <v>1</v>
      </c>
      <c r="AR805" s="75">
        <v>1</v>
      </c>
      <c r="AS805" s="95">
        <v>8.1059522893420499E-2</v>
      </c>
      <c r="AT805" s="79" t="s">
        <v>1710</v>
      </c>
      <c r="AU805" s="79">
        <v>0</v>
      </c>
      <c r="AV805" s="79">
        <v>0</v>
      </c>
      <c r="AW805" s="79">
        <v>0.04</v>
      </c>
      <c r="AX805" s="56"/>
      <c r="AY805" s="54"/>
    </row>
    <row r="806" spans="1:51">
      <c r="A806" s="53"/>
      <c r="B806" s="56"/>
      <c r="C806" s="90" t="s">
        <v>663</v>
      </c>
      <c r="D806" s="230" t="s">
        <v>1757</v>
      </c>
      <c r="E806" s="68" t="s">
        <v>664</v>
      </c>
      <c r="F806" s="113" t="s">
        <v>828</v>
      </c>
      <c r="G806" s="113" t="s">
        <v>828</v>
      </c>
      <c r="H806" s="113" t="s">
        <v>828</v>
      </c>
      <c r="I806" s="113" t="s">
        <v>828</v>
      </c>
      <c r="J806" s="70">
        <v>0.9</v>
      </c>
      <c r="K806" s="71">
        <v>0.85714285714285698</v>
      </c>
      <c r="L806" s="71">
        <v>0.84210526315789502</v>
      </c>
      <c r="M806" s="72">
        <v>0.85714285714285698</v>
      </c>
      <c r="N806" s="71">
        <v>0.79908675799086804</v>
      </c>
      <c r="O806" s="73">
        <v>0.9</v>
      </c>
      <c r="P806" s="71">
        <v>0.964622641509434</v>
      </c>
      <c r="Q806" s="71">
        <v>0.96481876332622596</v>
      </c>
      <c r="R806" s="71">
        <v>0.95222758990874901</v>
      </c>
      <c r="S806" s="71">
        <v>0.95673566338649496</v>
      </c>
      <c r="T806" s="73">
        <v>0.9</v>
      </c>
      <c r="U806" s="71">
        <v>0.91509433962264197</v>
      </c>
      <c r="V806" s="71">
        <v>0.91311300639658799</v>
      </c>
      <c r="W806" s="71">
        <v>0.91196994095544803</v>
      </c>
      <c r="X806" s="71">
        <v>0.91743015495984603</v>
      </c>
      <c r="Y806" s="73">
        <v>0.92</v>
      </c>
      <c r="Z806" s="73">
        <v>0.86497890295358604</v>
      </c>
      <c r="AA806" s="73">
        <v>0.89309576837416504</v>
      </c>
      <c r="AB806" s="73">
        <v>0.91008771929824595</v>
      </c>
      <c r="AC806" s="73">
        <v>0.89706435829883302</v>
      </c>
      <c r="AD806" s="73">
        <v>0.92</v>
      </c>
      <c r="AE806" s="71">
        <v>1</v>
      </c>
      <c r="AF806" s="71">
        <v>1</v>
      </c>
      <c r="AG806" s="71">
        <v>0.97794117647058798</v>
      </c>
      <c r="AH806" s="71">
        <v>0.97965571205007795</v>
      </c>
      <c r="AI806" s="73">
        <v>0.92</v>
      </c>
      <c r="AJ806" s="71">
        <v>0.91830559757942498</v>
      </c>
      <c r="AK806" s="71">
        <v>0.94236559139784903</v>
      </c>
      <c r="AL806" s="71">
        <v>0.93620689655172395</v>
      </c>
      <c r="AM806" s="71">
        <v>0.94379727027731897</v>
      </c>
      <c r="AN806" s="70">
        <v>0.99</v>
      </c>
      <c r="AO806" s="75">
        <v>1</v>
      </c>
      <c r="AP806" s="75">
        <v>1</v>
      </c>
      <c r="AQ806" s="75">
        <v>1</v>
      </c>
      <c r="AR806" s="75">
        <v>1</v>
      </c>
      <c r="AS806" s="95">
        <v>8.1059522893420499E-2</v>
      </c>
      <c r="AT806" s="79">
        <v>0</v>
      </c>
      <c r="AU806" s="79">
        <v>0.11111111111111099</v>
      </c>
      <c r="AV806" s="79">
        <v>0</v>
      </c>
      <c r="AW806" s="79">
        <v>2.3529411764705899E-2</v>
      </c>
      <c r="AX806" s="56"/>
      <c r="AY806" s="54"/>
    </row>
    <row r="807" spans="1:51">
      <c r="A807" s="53"/>
      <c r="B807" s="56"/>
      <c r="C807" s="90" t="s">
        <v>663</v>
      </c>
      <c r="D807" s="230" t="s">
        <v>1757</v>
      </c>
      <c r="E807" s="68" t="s">
        <v>664</v>
      </c>
      <c r="F807" s="113" t="s">
        <v>829</v>
      </c>
      <c r="G807" s="113" t="s">
        <v>829</v>
      </c>
      <c r="H807" s="113" t="s">
        <v>829</v>
      </c>
      <c r="I807" s="113" t="s">
        <v>829</v>
      </c>
      <c r="J807" s="70">
        <v>0.9</v>
      </c>
      <c r="K807" s="71">
        <v>1</v>
      </c>
      <c r="L807" s="71">
        <v>1</v>
      </c>
      <c r="M807" s="72">
        <v>0.88888888888888895</v>
      </c>
      <c r="N807" s="71">
        <v>0.97029702970297005</v>
      </c>
      <c r="O807" s="73">
        <v>0.9</v>
      </c>
      <c r="P807" s="71">
        <v>0.94324853228962802</v>
      </c>
      <c r="Q807" s="71">
        <v>0.95171773444753904</v>
      </c>
      <c r="R807" s="71">
        <v>0.96011673151750998</v>
      </c>
      <c r="S807" s="71">
        <v>0.95815127682299295</v>
      </c>
      <c r="T807" s="73">
        <v>0.9</v>
      </c>
      <c r="U807" s="71">
        <v>0.94324853228962802</v>
      </c>
      <c r="V807" s="71">
        <v>0.94986072423398304</v>
      </c>
      <c r="W807" s="71">
        <v>0.95136186770428</v>
      </c>
      <c r="X807" s="71">
        <v>0.954073210991358</v>
      </c>
      <c r="Y807" s="73">
        <v>0.92</v>
      </c>
      <c r="Z807" s="73">
        <v>0.97627118644067801</v>
      </c>
      <c r="AA807" s="73">
        <v>0.96108949416342404</v>
      </c>
      <c r="AB807" s="73">
        <v>0.97718631178707205</v>
      </c>
      <c r="AC807" s="73">
        <v>0.97066408768536405</v>
      </c>
      <c r="AD807" s="73">
        <v>0.92</v>
      </c>
      <c r="AE807" s="71">
        <v>1</v>
      </c>
      <c r="AF807" s="71">
        <v>0.76415094339622602</v>
      </c>
      <c r="AG807" s="71">
        <v>0.88888888888888895</v>
      </c>
      <c r="AH807" s="71">
        <v>0.95242914979757098</v>
      </c>
      <c r="AI807" s="73">
        <v>0.92</v>
      </c>
      <c r="AJ807" s="71">
        <v>0.97766749379652595</v>
      </c>
      <c r="AK807" s="71">
        <v>0.96851574212893599</v>
      </c>
      <c r="AL807" s="71">
        <v>0.975987606506584</v>
      </c>
      <c r="AM807" s="71">
        <v>0.97769655378188902</v>
      </c>
      <c r="AN807" s="70">
        <v>0.99</v>
      </c>
      <c r="AO807" s="75">
        <v>1</v>
      </c>
      <c r="AP807" s="75">
        <v>1</v>
      </c>
      <c r="AQ807" s="75">
        <v>1</v>
      </c>
      <c r="AR807" s="75">
        <v>1</v>
      </c>
      <c r="AS807" s="95">
        <v>8.1059522893420499E-2</v>
      </c>
      <c r="AT807" s="79">
        <v>0</v>
      </c>
      <c r="AU807" s="79">
        <v>0</v>
      </c>
      <c r="AV807" s="79">
        <v>0</v>
      </c>
      <c r="AW807" s="79">
        <v>2.2222222222222199E-2</v>
      </c>
      <c r="AX807" s="56"/>
      <c r="AY807" s="54"/>
    </row>
    <row r="808" spans="1:51">
      <c r="A808" s="53"/>
      <c r="B808" s="56"/>
      <c r="C808" s="90" t="s">
        <v>663</v>
      </c>
      <c r="D808" s="230" t="s">
        <v>1757</v>
      </c>
      <c r="E808" s="68" t="s">
        <v>664</v>
      </c>
      <c r="F808" s="113" t="s">
        <v>830</v>
      </c>
      <c r="G808" s="113" t="s">
        <v>830</v>
      </c>
      <c r="H808" s="113" t="s">
        <v>830</v>
      </c>
      <c r="I808" s="113" t="s">
        <v>830</v>
      </c>
      <c r="J808" s="70">
        <v>0.9</v>
      </c>
      <c r="K808" s="71">
        <v>0.95555555555555605</v>
      </c>
      <c r="L808" s="71">
        <v>0.92727272727272703</v>
      </c>
      <c r="M808" s="72">
        <v>0.96363636363636396</v>
      </c>
      <c r="N808" s="71">
        <v>0.95253682487725</v>
      </c>
      <c r="O808" s="73">
        <v>0.9</v>
      </c>
      <c r="P808" s="71">
        <v>0.97008130081300803</v>
      </c>
      <c r="Q808" s="71">
        <v>0.96179063983721502</v>
      </c>
      <c r="R808" s="71">
        <v>0.97206572769953004</v>
      </c>
      <c r="S808" s="71">
        <v>0.96893400210146496</v>
      </c>
      <c r="T808" s="73">
        <v>0.9</v>
      </c>
      <c r="U808" s="71">
        <v>0.94211382113821096</v>
      </c>
      <c r="V808" s="71">
        <v>0.94867736830205696</v>
      </c>
      <c r="W808" s="71">
        <v>0.93568075117370897</v>
      </c>
      <c r="X808" s="71">
        <v>0.94843480501972599</v>
      </c>
      <c r="Y808" s="73">
        <v>0.92</v>
      </c>
      <c r="Z808" s="73">
        <v>0.94217207334273601</v>
      </c>
      <c r="AA808" s="73">
        <v>0.96111111111111103</v>
      </c>
      <c r="AB808" s="73">
        <v>0.93562874251496997</v>
      </c>
      <c r="AC808" s="73">
        <v>0.95041810963763795</v>
      </c>
      <c r="AD808" s="73">
        <v>0.92</v>
      </c>
      <c r="AE808" s="71">
        <v>0.99899899899899902</v>
      </c>
      <c r="AF808" s="71">
        <v>0.99962476547842405</v>
      </c>
      <c r="AG808" s="71">
        <v>0.99792099792099798</v>
      </c>
      <c r="AH808" s="71">
        <v>0.99928914906962196</v>
      </c>
      <c r="AI808" s="73">
        <v>0.92</v>
      </c>
      <c r="AJ808" s="71">
        <v>0.96194079679501399</v>
      </c>
      <c r="AK808" s="71">
        <v>0.97163253804245697</v>
      </c>
      <c r="AL808" s="71">
        <v>0.96015722708593898</v>
      </c>
      <c r="AM808" s="71">
        <v>0.975162160426434</v>
      </c>
      <c r="AN808" s="70">
        <v>0.99</v>
      </c>
      <c r="AO808" s="75">
        <v>1</v>
      </c>
      <c r="AP808" s="75">
        <v>1</v>
      </c>
      <c r="AQ808" s="75">
        <v>1</v>
      </c>
      <c r="AR808" s="75">
        <v>1</v>
      </c>
      <c r="AS808" s="95">
        <v>8.1059522893420499E-2</v>
      </c>
      <c r="AT808" s="79">
        <v>9.6153846153846201E-2</v>
      </c>
      <c r="AU808" s="79">
        <v>7.1428571428571397E-2</v>
      </c>
      <c r="AV808" s="79">
        <v>0</v>
      </c>
      <c r="AW808" s="79">
        <v>2.0654044750430301E-2</v>
      </c>
      <c r="AX808" s="56"/>
      <c r="AY808" s="54"/>
    </row>
    <row r="809" spans="1:51">
      <c r="A809" s="53"/>
      <c r="B809" s="56"/>
      <c r="C809" s="90" t="s">
        <v>663</v>
      </c>
      <c r="D809" s="230" t="s">
        <v>1757</v>
      </c>
      <c r="E809" s="68" t="s">
        <v>664</v>
      </c>
      <c r="F809" s="113" t="s">
        <v>831</v>
      </c>
      <c r="G809" s="113" t="s">
        <v>831</v>
      </c>
      <c r="H809" s="113" t="s">
        <v>831</v>
      </c>
      <c r="I809" s="113" t="s">
        <v>831</v>
      </c>
      <c r="J809" s="70">
        <v>0.9</v>
      </c>
      <c r="K809" s="71">
        <v>1</v>
      </c>
      <c r="L809" s="71">
        <v>1</v>
      </c>
      <c r="M809" s="72">
        <v>0.95652173913043503</v>
      </c>
      <c r="N809" s="71">
        <v>0.96808510638297895</v>
      </c>
      <c r="O809" s="73">
        <v>0.9</v>
      </c>
      <c r="P809" s="71">
        <v>0.97812773403324604</v>
      </c>
      <c r="Q809" s="71">
        <v>0.97813638729828201</v>
      </c>
      <c r="R809" s="71">
        <v>0.98532494758909805</v>
      </c>
      <c r="S809" s="71">
        <v>0.97808399567323501</v>
      </c>
      <c r="T809" s="73">
        <v>0.9</v>
      </c>
      <c r="U809" s="71">
        <v>0.92563429571303601</v>
      </c>
      <c r="V809" s="71">
        <v>0.94742321707443999</v>
      </c>
      <c r="W809" s="71">
        <v>0.88522012578616305</v>
      </c>
      <c r="X809" s="71">
        <v>0.92113060245496903</v>
      </c>
      <c r="Y809" s="73">
        <v>0.92</v>
      </c>
      <c r="Z809" s="73">
        <v>0.91721854304635797</v>
      </c>
      <c r="AA809" s="73">
        <v>0.93139841688654401</v>
      </c>
      <c r="AB809" s="73">
        <v>0.91235059760956205</v>
      </c>
      <c r="AC809" s="73">
        <v>0.93485632696769605</v>
      </c>
      <c r="AD809" s="73">
        <v>0.92</v>
      </c>
      <c r="AE809" s="71">
        <v>1</v>
      </c>
      <c r="AF809" s="71">
        <v>1</v>
      </c>
      <c r="AG809" s="71">
        <v>1</v>
      </c>
      <c r="AH809" s="71">
        <v>0.9993352537115</v>
      </c>
      <c r="AI809" s="73">
        <v>0.92</v>
      </c>
      <c r="AJ809" s="71">
        <v>0.945621064682313</v>
      </c>
      <c r="AK809" s="71">
        <v>0.96307558644656799</v>
      </c>
      <c r="AL809" s="71">
        <v>0.93195020746888002</v>
      </c>
      <c r="AM809" s="71">
        <v>0.95854112393003399</v>
      </c>
      <c r="AN809" s="70">
        <v>0.99</v>
      </c>
      <c r="AO809" s="75">
        <v>1</v>
      </c>
      <c r="AP809" s="75">
        <v>1</v>
      </c>
      <c r="AQ809" s="75">
        <v>1</v>
      </c>
      <c r="AR809" s="75">
        <v>1</v>
      </c>
      <c r="AS809" s="95">
        <v>8.1059522893420499E-2</v>
      </c>
      <c r="AT809" s="79">
        <v>8.3333333333333301E-2</v>
      </c>
      <c r="AU809" s="79">
        <v>0</v>
      </c>
      <c r="AV809" s="79">
        <v>3.8461538461538498E-2</v>
      </c>
      <c r="AW809" s="79">
        <v>2.5641025641025599E-2</v>
      </c>
      <c r="AX809" s="56"/>
      <c r="AY809" s="54"/>
    </row>
    <row r="810" spans="1:51">
      <c r="A810" s="53"/>
      <c r="B810" s="56"/>
      <c r="C810" s="90" t="s">
        <v>663</v>
      </c>
      <c r="D810" s="230" t="s">
        <v>1757</v>
      </c>
      <c r="E810" s="68" t="s">
        <v>664</v>
      </c>
      <c r="F810" s="113" t="s">
        <v>832</v>
      </c>
      <c r="G810" s="113" t="s">
        <v>832</v>
      </c>
      <c r="H810" s="113" t="s">
        <v>832</v>
      </c>
      <c r="I810" s="113" t="s">
        <v>832</v>
      </c>
      <c r="J810" s="70">
        <v>0.9</v>
      </c>
      <c r="K810" s="71">
        <v>1</v>
      </c>
      <c r="L810" s="71">
        <v>0.92592592592592604</v>
      </c>
      <c r="M810" s="72">
        <v>0.95652173913043503</v>
      </c>
      <c r="N810" s="71">
        <v>0.97009966777408596</v>
      </c>
      <c r="O810" s="73">
        <v>0.9</v>
      </c>
      <c r="P810" s="71">
        <v>0.95691609977324299</v>
      </c>
      <c r="Q810" s="71">
        <v>0.95841300191204604</v>
      </c>
      <c r="R810" s="71">
        <v>0.836220472440945</v>
      </c>
      <c r="S810" s="71">
        <v>0.952721742630943</v>
      </c>
      <c r="T810" s="73">
        <v>0.9</v>
      </c>
      <c r="U810" s="71">
        <v>0.91005291005291</v>
      </c>
      <c r="V810" s="71">
        <v>0.92160611854684504</v>
      </c>
      <c r="W810" s="71">
        <v>0.84146981627296602</v>
      </c>
      <c r="X810" s="71">
        <v>0.91966721832088405</v>
      </c>
      <c r="Y810" s="73">
        <v>0.92</v>
      </c>
      <c r="Z810" s="73">
        <v>0.92432432432432399</v>
      </c>
      <c r="AA810" s="73">
        <v>0.93062200956937802</v>
      </c>
      <c r="AB810" s="73">
        <v>0.89429175475687095</v>
      </c>
      <c r="AC810" s="73">
        <v>0.93361656930430204</v>
      </c>
      <c r="AD810" s="73">
        <v>0.92</v>
      </c>
      <c r="AE810" s="71">
        <v>0.99612403100775204</v>
      </c>
      <c r="AF810" s="71">
        <v>0.98979591836734704</v>
      </c>
      <c r="AG810" s="71">
        <v>0.97368421052631604</v>
      </c>
      <c r="AH810" s="71">
        <v>0.98873653281096996</v>
      </c>
      <c r="AI810" s="73">
        <v>0.92</v>
      </c>
      <c r="AJ810" s="71">
        <v>0.94145822245875499</v>
      </c>
      <c r="AK810" s="71">
        <v>0.96533864541832703</v>
      </c>
      <c r="AL810" s="71">
        <v>0.93145500420521399</v>
      </c>
      <c r="AM810" s="71">
        <v>0.96315338474721501</v>
      </c>
      <c r="AN810" s="70">
        <v>0.99</v>
      </c>
      <c r="AO810" s="75">
        <v>1</v>
      </c>
      <c r="AP810" s="75">
        <v>1</v>
      </c>
      <c r="AQ810" s="75">
        <v>1</v>
      </c>
      <c r="AR810" s="75">
        <v>1</v>
      </c>
      <c r="AS810" s="95">
        <v>8.1059522893420499E-2</v>
      </c>
      <c r="AT810" s="79">
        <v>3.7037037037037E-2</v>
      </c>
      <c r="AU810" s="79">
        <v>5.5555555555555601E-2</v>
      </c>
      <c r="AV810" s="79">
        <v>5.5555555555555601E-2</v>
      </c>
      <c r="AW810" s="79">
        <v>4.3668122270742397E-2</v>
      </c>
      <c r="AX810" s="56"/>
      <c r="AY810" s="54"/>
    </row>
    <row r="811" spans="1:51">
      <c r="A811" s="53"/>
      <c r="B811" s="56"/>
      <c r="C811" s="90" t="s">
        <v>663</v>
      </c>
      <c r="D811" s="230" t="s">
        <v>1757</v>
      </c>
      <c r="E811" s="68" t="s">
        <v>664</v>
      </c>
      <c r="F811" s="113" t="s">
        <v>833</v>
      </c>
      <c r="G811" s="113" t="s">
        <v>833</v>
      </c>
      <c r="H811" s="113" t="s">
        <v>833</v>
      </c>
      <c r="I811" s="113" t="s">
        <v>833</v>
      </c>
      <c r="J811" s="70">
        <v>0.9</v>
      </c>
      <c r="K811" s="71">
        <v>0.95744680851063801</v>
      </c>
      <c r="L811" s="71">
        <v>0.9375</v>
      </c>
      <c r="M811" s="72">
        <v>1</v>
      </c>
      <c r="N811" s="71">
        <v>0.97490347490347495</v>
      </c>
      <c r="O811" s="73">
        <v>0.9</v>
      </c>
      <c r="P811" s="71">
        <v>0.97479954180985096</v>
      </c>
      <c r="Q811" s="71">
        <v>0.97529691211401404</v>
      </c>
      <c r="R811" s="71">
        <v>0.97810026385224302</v>
      </c>
      <c r="S811" s="71">
        <v>0.97147781739191996</v>
      </c>
      <c r="T811" s="73">
        <v>0.9</v>
      </c>
      <c r="U811" s="71">
        <v>0.94768995799923605</v>
      </c>
      <c r="V811" s="71">
        <v>0.95249406175772</v>
      </c>
      <c r="W811" s="71">
        <v>0.94749340369393098</v>
      </c>
      <c r="X811" s="71">
        <v>0.95353339787028102</v>
      </c>
      <c r="Y811" s="73">
        <v>0.92</v>
      </c>
      <c r="Z811" s="73">
        <v>0.95546218487394996</v>
      </c>
      <c r="AA811" s="73">
        <v>0.96878363832077496</v>
      </c>
      <c r="AB811" s="73">
        <v>0.94934333958724204</v>
      </c>
      <c r="AC811" s="73">
        <v>0.96487716105550503</v>
      </c>
      <c r="AD811" s="73">
        <v>0.92</v>
      </c>
      <c r="AE811" s="71">
        <v>0.99965397923875399</v>
      </c>
      <c r="AF811" s="71">
        <v>0.99931802682427795</v>
      </c>
      <c r="AG811" s="71">
        <v>0.99850074962518698</v>
      </c>
      <c r="AH811" s="71">
        <v>0.99890461246965501</v>
      </c>
      <c r="AI811" s="73">
        <v>0.92</v>
      </c>
      <c r="AJ811" s="71">
        <v>0.96482016277238103</v>
      </c>
      <c r="AK811" s="71">
        <v>0.98229227476162695</v>
      </c>
      <c r="AL811" s="71">
        <v>0.97467051070840205</v>
      </c>
      <c r="AM811" s="71">
        <v>0.98046713905447502</v>
      </c>
      <c r="AN811" s="70">
        <v>0.99</v>
      </c>
      <c r="AO811" s="75">
        <v>1</v>
      </c>
      <c r="AP811" s="75">
        <v>1</v>
      </c>
      <c r="AQ811" s="75">
        <v>1</v>
      </c>
      <c r="AR811" s="75">
        <v>1</v>
      </c>
      <c r="AS811" s="95">
        <v>8.1059522893420499E-2</v>
      </c>
      <c r="AT811" s="79">
        <v>3.125E-2</v>
      </c>
      <c r="AU811" s="79">
        <v>3.8461538461538498E-2</v>
      </c>
      <c r="AV811" s="79">
        <v>3.2258064516128997E-2</v>
      </c>
      <c r="AW811" s="79">
        <v>-3.21543408360129E-3</v>
      </c>
      <c r="AX811" s="56"/>
      <c r="AY811" s="54"/>
    </row>
    <row r="812" spans="1:51">
      <c r="A812" s="53"/>
      <c r="B812" s="56"/>
      <c r="C812" s="90" t="s">
        <v>663</v>
      </c>
      <c r="D812" s="230" t="s">
        <v>1757</v>
      </c>
      <c r="E812" s="68" t="s">
        <v>664</v>
      </c>
      <c r="F812" s="113" t="s">
        <v>834</v>
      </c>
      <c r="G812" s="113" t="s">
        <v>834</v>
      </c>
      <c r="H812" s="113" t="s">
        <v>834</v>
      </c>
      <c r="I812" s="113" t="s">
        <v>834</v>
      </c>
      <c r="J812" s="70">
        <v>0.9</v>
      </c>
      <c r="K812" s="71">
        <v>0.97435897435897401</v>
      </c>
      <c r="L812" s="71">
        <v>1</v>
      </c>
      <c r="M812" s="72">
        <v>1</v>
      </c>
      <c r="N812" s="71">
        <v>0.99785867237687398</v>
      </c>
      <c r="O812" s="73">
        <v>0.9</v>
      </c>
      <c r="P812" s="71">
        <v>0.98699891657638095</v>
      </c>
      <c r="Q812" s="71">
        <v>0.98521008403361299</v>
      </c>
      <c r="R812" s="71">
        <v>0.95227843559382896</v>
      </c>
      <c r="S812" s="71">
        <v>0.97939586052582495</v>
      </c>
      <c r="T812" s="73">
        <v>0.9</v>
      </c>
      <c r="U812" s="71">
        <v>0.92686890574214498</v>
      </c>
      <c r="V812" s="71">
        <v>0.94218487394957995</v>
      </c>
      <c r="W812" s="71">
        <v>0.93146752780767805</v>
      </c>
      <c r="X812" s="71">
        <v>0.94235191745913405</v>
      </c>
      <c r="Y812" s="73">
        <v>0.92</v>
      </c>
      <c r="Z812" s="73">
        <v>0.90568319226118499</v>
      </c>
      <c r="AA812" s="73">
        <v>0.94463087248322197</v>
      </c>
      <c r="AB812" s="73">
        <v>0.93765903307887999</v>
      </c>
      <c r="AC812" s="73">
        <v>0.93529339402140499</v>
      </c>
      <c r="AD812" s="73">
        <v>0.92</v>
      </c>
      <c r="AE812" s="71">
        <v>0.99848942598187296</v>
      </c>
      <c r="AF812" s="71">
        <v>0.99604519774011302</v>
      </c>
      <c r="AG812" s="71">
        <v>0.97222222222222199</v>
      </c>
      <c r="AH812" s="71">
        <v>0.99608805706834402</v>
      </c>
      <c r="AI812" s="73">
        <v>0.92</v>
      </c>
      <c r="AJ812" s="71">
        <v>0.93792071802542998</v>
      </c>
      <c r="AK812" s="71">
        <v>0.96252796420581699</v>
      </c>
      <c r="AL812" s="71">
        <v>0.95443108750349503</v>
      </c>
      <c r="AM812" s="71">
        <v>0.96374727236659397</v>
      </c>
      <c r="AN812" s="70">
        <v>0.99</v>
      </c>
      <c r="AO812" s="75">
        <v>1</v>
      </c>
      <c r="AP812" s="75">
        <v>1</v>
      </c>
      <c r="AQ812" s="75">
        <v>1</v>
      </c>
      <c r="AR812" s="75">
        <v>1</v>
      </c>
      <c r="AS812" s="95">
        <v>8.1059522893420499E-2</v>
      </c>
      <c r="AT812" s="79">
        <v>3.2258064516128997E-2</v>
      </c>
      <c r="AU812" s="79">
        <v>0</v>
      </c>
      <c r="AV812" s="79">
        <v>3.5714285714285698E-2</v>
      </c>
      <c r="AW812" s="79">
        <v>3.1055900621118002E-2</v>
      </c>
      <c r="AX812" s="56"/>
      <c r="AY812" s="54"/>
    </row>
    <row r="813" spans="1:51">
      <c r="A813" s="53"/>
      <c r="B813" s="56"/>
      <c r="C813" s="90" t="s">
        <v>663</v>
      </c>
      <c r="D813" s="230" t="s">
        <v>1757</v>
      </c>
      <c r="E813" s="68" t="s">
        <v>664</v>
      </c>
      <c r="F813" s="113" t="s">
        <v>835</v>
      </c>
      <c r="G813" s="113" t="s">
        <v>835</v>
      </c>
      <c r="H813" s="113" t="s">
        <v>835</v>
      </c>
      <c r="I813" s="113" t="s">
        <v>835</v>
      </c>
      <c r="J813" s="70">
        <v>0.9</v>
      </c>
      <c r="K813" s="71">
        <v>0.96666666666666701</v>
      </c>
      <c r="L813" s="71">
        <v>0.94285714285714295</v>
      </c>
      <c r="M813" s="72">
        <v>0.93333333333333302</v>
      </c>
      <c r="N813" s="71">
        <v>0.90616621983914203</v>
      </c>
      <c r="O813" s="73">
        <v>0.9</v>
      </c>
      <c r="P813" s="71">
        <v>0.95048439181916</v>
      </c>
      <c r="Q813" s="71">
        <v>0.96240601503759404</v>
      </c>
      <c r="R813" s="71">
        <v>0.878818737270876</v>
      </c>
      <c r="S813" s="71">
        <v>0.94729697115964795</v>
      </c>
      <c r="T813" s="73">
        <v>0.9</v>
      </c>
      <c r="U813" s="71">
        <v>0.92393254395407198</v>
      </c>
      <c r="V813" s="71">
        <v>0.935926773455378</v>
      </c>
      <c r="W813" s="71">
        <v>0.80006788866259304</v>
      </c>
      <c r="X813" s="71">
        <v>0.90590684204175198</v>
      </c>
      <c r="Y813" s="73">
        <v>0.92</v>
      </c>
      <c r="Z813" s="73">
        <v>0.93237704918032804</v>
      </c>
      <c r="AA813" s="73">
        <v>0.98888888888888904</v>
      </c>
      <c r="AB813" s="73">
        <v>0.86635944700460799</v>
      </c>
      <c r="AC813" s="73">
        <v>0.93623958459123302</v>
      </c>
      <c r="AD813" s="73">
        <v>0.92</v>
      </c>
      <c r="AE813" s="71">
        <v>0.97062453715132102</v>
      </c>
      <c r="AF813" s="71">
        <v>0.99533146591970101</v>
      </c>
      <c r="AG813" s="71">
        <v>0.99695694978967198</v>
      </c>
      <c r="AH813" s="71">
        <v>0.99312800085758901</v>
      </c>
      <c r="AI813" s="73">
        <v>0.92</v>
      </c>
      <c r="AJ813" s="71">
        <v>0.941660037125431</v>
      </c>
      <c r="AK813" s="71">
        <v>0.967363751584284</v>
      </c>
      <c r="AL813" s="71">
        <v>0.88033516627389397</v>
      </c>
      <c r="AM813" s="71">
        <v>0.95197011688155198</v>
      </c>
      <c r="AN813" s="70">
        <v>0.99</v>
      </c>
      <c r="AO813" s="75">
        <v>1</v>
      </c>
      <c r="AP813" s="75">
        <v>1</v>
      </c>
      <c r="AQ813" s="75">
        <v>1</v>
      </c>
      <c r="AR813" s="75">
        <v>1</v>
      </c>
      <c r="AS813" s="95">
        <v>8.1059522893420499E-2</v>
      </c>
      <c r="AT813" s="79">
        <v>0</v>
      </c>
      <c r="AU813" s="79">
        <v>0</v>
      </c>
      <c r="AV813" s="79">
        <v>4.3478260869565202E-2</v>
      </c>
      <c r="AW813" s="79">
        <v>2.20820189274448E-2</v>
      </c>
      <c r="AX813" s="56"/>
      <c r="AY813" s="54"/>
    </row>
    <row r="814" spans="1:51">
      <c r="A814" s="53"/>
      <c r="B814" s="56"/>
      <c r="C814" s="90" t="s">
        <v>663</v>
      </c>
      <c r="D814" s="230" t="s">
        <v>1757</v>
      </c>
      <c r="E814" s="68" t="s">
        <v>664</v>
      </c>
      <c r="F814" s="113" t="s">
        <v>836</v>
      </c>
      <c r="G814" s="113" t="s">
        <v>836</v>
      </c>
      <c r="H814" s="113" t="s">
        <v>836</v>
      </c>
      <c r="I814" s="113" t="s">
        <v>836</v>
      </c>
      <c r="J814" s="70">
        <v>0.9</v>
      </c>
      <c r="K814" s="71">
        <v>0.86956521739130399</v>
      </c>
      <c r="L814" s="71">
        <v>0.92</v>
      </c>
      <c r="M814" s="72">
        <v>0.95454545454545503</v>
      </c>
      <c r="N814" s="71">
        <v>0.88888888888888895</v>
      </c>
      <c r="O814" s="73">
        <v>0.9</v>
      </c>
      <c r="P814" s="71">
        <v>0.98199819981998204</v>
      </c>
      <c r="Q814" s="71">
        <v>0.97684923771880305</v>
      </c>
      <c r="R814" s="71">
        <v>0.96926859250153696</v>
      </c>
      <c r="S814" s="71">
        <v>0.97858805275407301</v>
      </c>
      <c r="T814" s="73">
        <v>0.9</v>
      </c>
      <c r="U814" s="71">
        <v>0.90999099909990999</v>
      </c>
      <c r="V814" s="71">
        <v>0.92546583850931696</v>
      </c>
      <c r="W814" s="71">
        <v>0.89858635525507102</v>
      </c>
      <c r="X814" s="71">
        <v>0.933953969485389</v>
      </c>
      <c r="Y814" s="73">
        <v>0.92</v>
      </c>
      <c r="Z814" s="73">
        <v>0.94534412955465597</v>
      </c>
      <c r="AA814" s="73">
        <v>0.96388888888888902</v>
      </c>
      <c r="AB814" s="73">
        <v>0.93302540415704405</v>
      </c>
      <c r="AC814" s="73">
        <v>0.951315789473684</v>
      </c>
      <c r="AD814" s="73">
        <v>0.92</v>
      </c>
      <c r="AE814" s="71">
        <v>0.99683042789223497</v>
      </c>
      <c r="AF814" s="71">
        <v>0.99785637727759902</v>
      </c>
      <c r="AG814" s="71">
        <v>1</v>
      </c>
      <c r="AH814" s="71">
        <v>0.99628192693178097</v>
      </c>
      <c r="AI814" s="73">
        <v>0.92</v>
      </c>
      <c r="AJ814" s="71">
        <v>0.94831880448318795</v>
      </c>
      <c r="AK814" s="71">
        <v>0.959643359924918</v>
      </c>
      <c r="AL814" s="71">
        <v>0.938349514563107</v>
      </c>
      <c r="AM814" s="71">
        <v>0.96443217005607196</v>
      </c>
      <c r="AN814" s="70">
        <v>0.99</v>
      </c>
      <c r="AO814" s="75">
        <v>1</v>
      </c>
      <c r="AP814" s="75">
        <v>1</v>
      </c>
      <c r="AQ814" s="75">
        <v>1</v>
      </c>
      <c r="AR814" s="75">
        <v>1</v>
      </c>
      <c r="AS814" s="95">
        <v>8.1059522893420499E-2</v>
      </c>
      <c r="AT814" s="79">
        <v>0</v>
      </c>
      <c r="AU814" s="79">
        <v>0</v>
      </c>
      <c r="AV814" s="79">
        <v>5.2631578947368397E-2</v>
      </c>
      <c r="AW814" s="79">
        <v>2.80373831775701E-2</v>
      </c>
      <c r="AX814" s="56"/>
      <c r="AY814" s="54"/>
    </row>
    <row r="815" spans="1:51">
      <c r="A815" s="53"/>
      <c r="B815" s="56"/>
      <c r="C815" s="90" t="s">
        <v>663</v>
      </c>
      <c r="D815" s="230" t="s">
        <v>1757</v>
      </c>
      <c r="E815" s="68" t="s">
        <v>664</v>
      </c>
      <c r="F815" s="113" t="s">
        <v>837</v>
      </c>
      <c r="G815" s="113" t="s">
        <v>837</v>
      </c>
      <c r="H815" s="113" t="s">
        <v>837</v>
      </c>
      <c r="I815" s="113" t="s">
        <v>837</v>
      </c>
      <c r="J815" s="70">
        <v>0.9</v>
      </c>
      <c r="K815" s="71">
        <v>1</v>
      </c>
      <c r="L815" s="71">
        <v>0.91666666666666696</v>
      </c>
      <c r="M815" s="72">
        <v>0.91666666666666696</v>
      </c>
      <c r="N815" s="71">
        <v>0.92424242424242398</v>
      </c>
      <c r="O815" s="73">
        <v>0.9</v>
      </c>
      <c r="P815" s="71">
        <v>0.88418079096045199</v>
      </c>
      <c r="Q815" s="71">
        <v>0.94717330861909199</v>
      </c>
      <c r="R815" s="71">
        <v>0.96030977734753098</v>
      </c>
      <c r="S815" s="71">
        <v>0.93544489514110596</v>
      </c>
      <c r="T815" s="73">
        <v>0.9</v>
      </c>
      <c r="U815" s="71">
        <v>0.92937853107344603</v>
      </c>
      <c r="V815" s="71">
        <v>0.90917516218720995</v>
      </c>
      <c r="W815" s="71">
        <v>0.90900290416263296</v>
      </c>
      <c r="X815" s="71">
        <v>0.91896090446189704</v>
      </c>
      <c r="Y815" s="73">
        <v>0.92</v>
      </c>
      <c r="Z815" s="73">
        <v>0.87878787878787901</v>
      </c>
      <c r="AA815" s="73">
        <v>0.94036697247706402</v>
      </c>
      <c r="AB815" s="73">
        <v>0.90728476821192106</v>
      </c>
      <c r="AC815" s="73">
        <v>0.92176128093158705</v>
      </c>
      <c r="AD815" s="73">
        <v>0.92</v>
      </c>
      <c r="AE815" s="71">
        <v>0.99869451697127898</v>
      </c>
      <c r="AF815" s="71">
        <v>0.99720149253731305</v>
      </c>
      <c r="AG815" s="71">
        <v>1</v>
      </c>
      <c r="AH815" s="71">
        <v>0.99765576804441702</v>
      </c>
      <c r="AI815" s="73">
        <v>0.92</v>
      </c>
      <c r="AJ815" s="71">
        <v>0.92039800995024901</v>
      </c>
      <c r="AK815" s="71">
        <v>0.960678488820355</v>
      </c>
      <c r="AL815" s="71">
        <v>0.93183520599250902</v>
      </c>
      <c r="AM815" s="71">
        <v>0.94875906302286706</v>
      </c>
      <c r="AN815" s="70">
        <v>0.99</v>
      </c>
      <c r="AO815" s="75">
        <v>1</v>
      </c>
      <c r="AP815" s="75">
        <v>1</v>
      </c>
      <c r="AQ815" s="75">
        <v>1</v>
      </c>
      <c r="AR815" s="75">
        <v>1</v>
      </c>
      <c r="AS815" s="95">
        <v>8.1059522893420499E-2</v>
      </c>
      <c r="AT815" s="79">
        <v>0</v>
      </c>
      <c r="AU815" s="79">
        <v>0</v>
      </c>
      <c r="AV815" s="79">
        <v>0.22222222222222199</v>
      </c>
      <c r="AW815" s="79">
        <v>4.5454545454545497E-2</v>
      </c>
      <c r="AX815" s="56"/>
      <c r="AY815" s="54"/>
    </row>
    <row r="816" spans="1:51">
      <c r="A816" s="53"/>
      <c r="B816" s="56"/>
      <c r="C816" s="90" t="s">
        <v>663</v>
      </c>
      <c r="D816" s="230" t="s">
        <v>1757</v>
      </c>
      <c r="E816" s="68" t="s">
        <v>664</v>
      </c>
      <c r="F816" s="113" t="s">
        <v>838</v>
      </c>
      <c r="G816" s="113" t="s">
        <v>838</v>
      </c>
      <c r="H816" s="113" t="s">
        <v>838</v>
      </c>
      <c r="I816" s="113" t="s">
        <v>838</v>
      </c>
      <c r="J816" s="70">
        <v>0.9</v>
      </c>
      <c r="K816" s="71">
        <v>0.91666666666666696</v>
      </c>
      <c r="L816" s="71">
        <v>1</v>
      </c>
      <c r="M816" s="72">
        <v>0.93181818181818199</v>
      </c>
      <c r="N816" s="71">
        <v>0.95414462081128704</v>
      </c>
      <c r="O816" s="73">
        <v>0.9</v>
      </c>
      <c r="P816" s="71">
        <v>0.97637130801687799</v>
      </c>
      <c r="Q816" s="71">
        <v>0.98502586441600903</v>
      </c>
      <c r="R816" s="71">
        <v>0.96439414849572203</v>
      </c>
      <c r="S816" s="71">
        <v>0.97697559009496904</v>
      </c>
      <c r="T816" s="73">
        <v>0.9</v>
      </c>
      <c r="U816" s="71">
        <v>0.93417721518987296</v>
      </c>
      <c r="V816" s="71">
        <v>0.94282602777021496</v>
      </c>
      <c r="W816" s="71">
        <v>0.87137731162020404</v>
      </c>
      <c r="X816" s="71">
        <v>0.92765196362445501</v>
      </c>
      <c r="Y816" s="73">
        <v>0.92</v>
      </c>
      <c r="Z816" s="73">
        <v>0.93702290076335903</v>
      </c>
      <c r="AA816" s="73">
        <v>0.95634379263301506</v>
      </c>
      <c r="AB816" s="73">
        <v>0.90179414542020797</v>
      </c>
      <c r="AC816" s="73">
        <v>0.93796646311912402</v>
      </c>
      <c r="AD816" s="73">
        <v>0.92</v>
      </c>
      <c r="AE816" s="71">
        <v>0.99883449883449904</v>
      </c>
      <c r="AF816" s="71">
        <v>0.99408033826638498</v>
      </c>
      <c r="AG816" s="71">
        <v>1</v>
      </c>
      <c r="AH816" s="71">
        <v>0.99777901166018901</v>
      </c>
      <c r="AI816" s="73">
        <v>0.92</v>
      </c>
      <c r="AJ816" s="71">
        <v>0.95874780573434804</v>
      </c>
      <c r="AK816" s="71">
        <v>0.97458011802088096</v>
      </c>
      <c r="AL816" s="71">
        <v>0.91712943186672402</v>
      </c>
      <c r="AM816" s="71">
        <v>0.963433895119854</v>
      </c>
      <c r="AN816" s="70">
        <v>0.99</v>
      </c>
      <c r="AO816" s="75">
        <v>1</v>
      </c>
      <c r="AP816" s="75">
        <v>1</v>
      </c>
      <c r="AQ816" s="75">
        <v>1</v>
      </c>
      <c r="AR816" s="75">
        <v>1</v>
      </c>
      <c r="AS816" s="95">
        <v>8.1059522893420499E-2</v>
      </c>
      <c r="AT816" s="79">
        <v>7.4074074074074098E-2</v>
      </c>
      <c r="AU816" s="79">
        <v>0.125</v>
      </c>
      <c r="AV816" s="79">
        <v>0</v>
      </c>
      <c r="AW816" s="79">
        <v>6.3613231552162794E-2</v>
      </c>
      <c r="AX816" s="56"/>
      <c r="AY816" s="54"/>
    </row>
    <row r="817" spans="1:51">
      <c r="A817" s="53"/>
      <c r="B817" s="56"/>
      <c r="C817" s="90" t="s">
        <v>663</v>
      </c>
      <c r="D817" s="230" t="s">
        <v>1757</v>
      </c>
      <c r="E817" s="68" t="s">
        <v>664</v>
      </c>
      <c r="F817" s="113" t="s">
        <v>839</v>
      </c>
      <c r="G817" s="113" t="s">
        <v>839</v>
      </c>
      <c r="H817" s="113" t="s">
        <v>839</v>
      </c>
      <c r="I817" s="113" t="s">
        <v>839</v>
      </c>
      <c r="J817" s="70">
        <v>0.9</v>
      </c>
      <c r="K817" s="71">
        <v>1</v>
      </c>
      <c r="L817" s="71">
        <v>0.984375</v>
      </c>
      <c r="M817" s="72">
        <v>0.96296296296296302</v>
      </c>
      <c r="N817" s="71">
        <v>0.95894428152492694</v>
      </c>
      <c r="O817" s="73">
        <v>0.9</v>
      </c>
      <c r="P817" s="71">
        <v>0.95975997176138395</v>
      </c>
      <c r="Q817" s="71">
        <v>0.97933884297520701</v>
      </c>
      <c r="R817" s="71">
        <v>0.97718865598027105</v>
      </c>
      <c r="S817" s="71">
        <v>0.97538164484402301</v>
      </c>
      <c r="T817" s="73">
        <v>0.9</v>
      </c>
      <c r="U817" s="71">
        <v>0.93187433815743004</v>
      </c>
      <c r="V817" s="71">
        <v>0.93595041322314099</v>
      </c>
      <c r="W817" s="71">
        <v>0.89046444718454598</v>
      </c>
      <c r="X817" s="71">
        <v>0.93960055511977303</v>
      </c>
      <c r="Y817" s="73">
        <v>0.92</v>
      </c>
      <c r="Z817" s="73">
        <v>0.899166666666667</v>
      </c>
      <c r="AA817" s="73">
        <v>0.93559322033898296</v>
      </c>
      <c r="AB817" s="73">
        <v>0.85795918367346902</v>
      </c>
      <c r="AC817" s="73">
        <v>0.90282523543628601</v>
      </c>
      <c r="AD817" s="73">
        <v>0.92</v>
      </c>
      <c r="AE817" s="71">
        <v>0.99809765377298698</v>
      </c>
      <c r="AF817" s="71">
        <v>0.99229357798165096</v>
      </c>
      <c r="AG817" s="71">
        <v>0.99673202614379097</v>
      </c>
      <c r="AH817" s="71">
        <v>0.99688091220534802</v>
      </c>
      <c r="AI817" s="73">
        <v>0.92</v>
      </c>
      <c r="AJ817" s="71">
        <v>0.93478799900818299</v>
      </c>
      <c r="AK817" s="71">
        <v>0.9559902200489</v>
      </c>
      <c r="AL817" s="71">
        <v>0.91397143326218999</v>
      </c>
      <c r="AM817" s="71">
        <v>0.95233852285061604</v>
      </c>
      <c r="AN817" s="70">
        <v>0.99</v>
      </c>
      <c r="AO817" s="75">
        <v>1</v>
      </c>
      <c r="AP817" s="75">
        <v>1</v>
      </c>
      <c r="AQ817" s="75">
        <v>1</v>
      </c>
      <c r="AR817" s="75">
        <v>1</v>
      </c>
      <c r="AS817" s="95">
        <v>8.1059522893420499E-2</v>
      </c>
      <c r="AT817" s="79">
        <v>-2.8571428571428598E-2</v>
      </c>
      <c r="AU817" s="79">
        <v>5.8823529411764698E-2</v>
      </c>
      <c r="AV817" s="79">
        <v>0</v>
      </c>
      <c r="AW817" s="79">
        <v>3.17919075144509E-2</v>
      </c>
      <c r="AX817" s="56"/>
      <c r="AY817" s="54"/>
    </row>
    <row r="818" spans="1:51">
      <c r="A818" s="53"/>
      <c r="B818" s="56"/>
      <c r="C818" s="90" t="s">
        <v>663</v>
      </c>
      <c r="D818" s="230" t="s">
        <v>1757</v>
      </c>
      <c r="E818" s="68" t="s">
        <v>664</v>
      </c>
      <c r="F818" s="113" t="s">
        <v>840</v>
      </c>
      <c r="G818" s="113" t="s">
        <v>840</v>
      </c>
      <c r="H818" s="113" t="s">
        <v>840</v>
      </c>
      <c r="I818" s="113" t="s">
        <v>840</v>
      </c>
      <c r="J818" s="70">
        <v>0.9</v>
      </c>
      <c r="K818" s="71">
        <v>0.875</v>
      </c>
      <c r="L818" s="71">
        <v>0.96153846153846201</v>
      </c>
      <c r="M818" s="72">
        <v>0.84615384615384603</v>
      </c>
      <c r="N818" s="71">
        <v>0.9</v>
      </c>
      <c r="O818" s="73">
        <v>0.9</v>
      </c>
      <c r="P818" s="71">
        <v>0.99221991701244805</v>
      </c>
      <c r="Q818" s="71">
        <v>0.98662092624356801</v>
      </c>
      <c r="R818" s="71">
        <v>0.992637644046095</v>
      </c>
      <c r="S818" s="71">
        <v>0.98980438238750301</v>
      </c>
      <c r="T818" s="73">
        <v>0.9</v>
      </c>
      <c r="U818" s="71">
        <v>0.95435684647302899</v>
      </c>
      <c r="V818" s="71">
        <v>0.96226415094339601</v>
      </c>
      <c r="W818" s="71">
        <v>0.97215108834827102</v>
      </c>
      <c r="X818" s="71">
        <v>0.96637174258657599</v>
      </c>
      <c r="Y818" s="73">
        <v>0.92</v>
      </c>
      <c r="Z818" s="73">
        <v>0.93726937269372701</v>
      </c>
      <c r="AA818" s="73">
        <v>0.94666666666666699</v>
      </c>
      <c r="AB818" s="73">
        <v>0.94536585365853698</v>
      </c>
      <c r="AC818" s="73">
        <v>0.94950591812357499</v>
      </c>
      <c r="AD818" s="73">
        <v>0.92</v>
      </c>
      <c r="AE818" s="71">
        <v>0.99887351142581304</v>
      </c>
      <c r="AF818" s="71">
        <v>0.991137241137241</v>
      </c>
      <c r="AG818" s="71">
        <v>0.99184149184149195</v>
      </c>
      <c r="AH818" s="71">
        <v>0.99413383545770595</v>
      </c>
      <c r="AI818" s="73">
        <v>0.92</v>
      </c>
      <c r="AJ818" s="71">
        <v>0.96317900109369303</v>
      </c>
      <c r="AK818" s="71">
        <v>0.97824377457404998</v>
      </c>
      <c r="AL818" s="71">
        <v>0.97373493975903602</v>
      </c>
      <c r="AM818" s="71">
        <v>0.97837767003013998</v>
      </c>
      <c r="AN818" s="70">
        <v>0.99</v>
      </c>
      <c r="AO818" s="75">
        <v>1</v>
      </c>
      <c r="AP818" s="75">
        <v>1</v>
      </c>
      <c r="AQ818" s="75">
        <v>1</v>
      </c>
      <c r="AR818" s="75">
        <v>1</v>
      </c>
      <c r="AS818" s="95">
        <v>8.1059522893420499E-2</v>
      </c>
      <c r="AT818" s="79">
        <v>0</v>
      </c>
      <c r="AU818" s="79">
        <v>0</v>
      </c>
      <c r="AV818" s="79">
        <v>0</v>
      </c>
      <c r="AW818" s="79">
        <v>5.9405940594059403E-2</v>
      </c>
      <c r="AX818" s="56"/>
      <c r="AY818" s="54"/>
    </row>
    <row r="819" spans="1:51">
      <c r="A819" s="53"/>
      <c r="B819" s="56"/>
      <c r="C819" s="90" t="s">
        <v>663</v>
      </c>
      <c r="D819" s="230" t="s">
        <v>1757</v>
      </c>
      <c r="E819" s="68" t="s">
        <v>664</v>
      </c>
      <c r="F819" s="113" t="s">
        <v>841</v>
      </c>
      <c r="G819" s="113" t="s">
        <v>841</v>
      </c>
      <c r="H819" s="113" t="s">
        <v>841</v>
      </c>
      <c r="I819" s="113" t="s">
        <v>841</v>
      </c>
      <c r="J819" s="70">
        <v>0.9</v>
      </c>
      <c r="K819" s="71">
        <v>0.96</v>
      </c>
      <c r="L819" s="71">
        <v>1</v>
      </c>
      <c r="M819" s="72">
        <v>0.96153846153846201</v>
      </c>
      <c r="N819" s="71">
        <v>0.969387755102041</v>
      </c>
      <c r="O819" s="73">
        <v>0.9</v>
      </c>
      <c r="P819" s="71">
        <v>0.95515151515151497</v>
      </c>
      <c r="Q819" s="71">
        <v>0.95187165775401095</v>
      </c>
      <c r="R819" s="71">
        <v>0.92102137767220904</v>
      </c>
      <c r="S819" s="71">
        <v>0.95778539065090096</v>
      </c>
      <c r="T819" s="73">
        <v>0.9</v>
      </c>
      <c r="U819" s="71">
        <v>0.94545454545454499</v>
      </c>
      <c r="V819" s="71">
        <v>0.95187165775401095</v>
      </c>
      <c r="W819" s="71">
        <v>0.94299287410926402</v>
      </c>
      <c r="X819" s="71">
        <v>0.94933141783622499</v>
      </c>
      <c r="Y819" s="73">
        <v>0.92</v>
      </c>
      <c r="Z819" s="73">
        <v>0.91696750902527102</v>
      </c>
      <c r="AA819" s="73">
        <v>0.92432432432432399</v>
      </c>
      <c r="AB819" s="73">
        <v>0.92134831460674205</v>
      </c>
      <c r="AC819" s="73">
        <v>0.92551854179761195</v>
      </c>
      <c r="AD819" s="73">
        <v>0.92</v>
      </c>
      <c r="AE819" s="71">
        <v>1</v>
      </c>
      <c r="AF819" s="71">
        <v>0.99495374264087499</v>
      </c>
      <c r="AG819" s="71">
        <v>0.99004975124378103</v>
      </c>
      <c r="AH819" s="71">
        <v>0.995817328211694</v>
      </c>
      <c r="AI819" s="73">
        <v>0.92</v>
      </c>
      <c r="AJ819" s="71">
        <v>0.948513415518492</v>
      </c>
      <c r="AK819" s="71">
        <v>0.96123711340206197</v>
      </c>
      <c r="AL819" s="71">
        <v>0.95576756287944498</v>
      </c>
      <c r="AM819" s="71">
        <v>0.96140795552103397</v>
      </c>
      <c r="AN819" s="70">
        <v>0.99</v>
      </c>
      <c r="AO819" s="75">
        <v>1</v>
      </c>
      <c r="AP819" s="75">
        <v>1</v>
      </c>
      <c r="AQ819" s="75">
        <v>1</v>
      </c>
      <c r="AR819" s="75">
        <v>1</v>
      </c>
      <c r="AS819" s="95">
        <v>8.1059522893420499E-2</v>
      </c>
      <c r="AT819" s="79">
        <v>0.15384615384615399</v>
      </c>
      <c r="AU819" s="79">
        <v>0</v>
      </c>
      <c r="AV819" s="79">
        <v>0</v>
      </c>
      <c r="AW819" s="79">
        <v>5.7377049180327898E-2</v>
      </c>
      <c r="AX819" s="56"/>
      <c r="AY819" s="54"/>
    </row>
    <row r="820" spans="1:51">
      <c r="A820" s="53"/>
      <c r="B820" s="56"/>
      <c r="C820" s="90" t="s">
        <v>663</v>
      </c>
      <c r="D820" s="230" t="s">
        <v>1757</v>
      </c>
      <c r="E820" s="68" t="s">
        <v>664</v>
      </c>
      <c r="F820" s="113" t="s">
        <v>842</v>
      </c>
      <c r="G820" s="113" t="s">
        <v>842</v>
      </c>
      <c r="H820" s="113" t="s">
        <v>842</v>
      </c>
      <c r="I820" s="113" t="s">
        <v>842</v>
      </c>
      <c r="J820" s="70">
        <v>0.9</v>
      </c>
      <c r="K820" s="71">
        <v>0.96666666666666701</v>
      </c>
      <c r="L820" s="71">
        <v>1</v>
      </c>
      <c r="M820" s="72">
        <v>1</v>
      </c>
      <c r="N820" s="71">
        <v>0.98044009779951102</v>
      </c>
      <c r="O820" s="73">
        <v>0.9</v>
      </c>
      <c r="P820" s="71">
        <v>0.93944538766270502</v>
      </c>
      <c r="Q820" s="71">
        <v>0.95984274080314502</v>
      </c>
      <c r="R820" s="71">
        <v>0.93493367024636798</v>
      </c>
      <c r="S820" s="71">
        <v>0.95668871346276896</v>
      </c>
      <c r="T820" s="73">
        <v>0.9</v>
      </c>
      <c r="U820" s="71">
        <v>0.90775325410299901</v>
      </c>
      <c r="V820" s="71">
        <v>0.93541140129177203</v>
      </c>
      <c r="W820" s="71">
        <v>0.92893240682248901</v>
      </c>
      <c r="X820" s="71">
        <v>0.93251851626078197</v>
      </c>
      <c r="Y820" s="73">
        <v>0.92</v>
      </c>
      <c r="Z820" s="73">
        <v>0.89026915113871596</v>
      </c>
      <c r="AA820" s="73">
        <v>0.91255411255411301</v>
      </c>
      <c r="AB820" s="73">
        <v>0.90505226480836198</v>
      </c>
      <c r="AC820" s="73">
        <v>0.91314305849189603</v>
      </c>
      <c r="AD820" s="73">
        <v>0.92</v>
      </c>
      <c r="AE820" s="71">
        <v>0.99580712788259995</v>
      </c>
      <c r="AF820" s="71">
        <v>0.985033173892918</v>
      </c>
      <c r="AG820" s="71">
        <v>0.98953662182361701</v>
      </c>
      <c r="AH820" s="71">
        <v>0.98560351756418096</v>
      </c>
      <c r="AI820" s="73">
        <v>0.92</v>
      </c>
      <c r="AJ820" s="71">
        <v>0.93267471642883304</v>
      </c>
      <c r="AK820" s="71">
        <v>0.95695504664970299</v>
      </c>
      <c r="AL820" s="71">
        <v>0.95341830822711504</v>
      </c>
      <c r="AM820" s="71">
        <v>0.96078253781360401</v>
      </c>
      <c r="AN820" s="70">
        <v>0.99</v>
      </c>
      <c r="AO820" s="75">
        <v>1</v>
      </c>
      <c r="AP820" s="75">
        <v>1</v>
      </c>
      <c r="AQ820" s="75">
        <v>1</v>
      </c>
      <c r="AR820" s="75">
        <v>1</v>
      </c>
      <c r="AS820" s="95">
        <v>8.1059522893420499E-2</v>
      </c>
      <c r="AT820" s="79">
        <v>0</v>
      </c>
      <c r="AU820" s="79">
        <v>0</v>
      </c>
      <c r="AV820" s="79">
        <v>0.33333333333333298</v>
      </c>
      <c r="AW820" s="79">
        <v>8.7837837837837801E-2</v>
      </c>
      <c r="AX820" s="56"/>
      <c r="AY820" s="54"/>
    </row>
    <row r="821" spans="1:51">
      <c r="A821" s="53"/>
      <c r="B821" s="56"/>
      <c r="C821" s="90" t="s">
        <v>663</v>
      </c>
      <c r="D821" s="230" t="s">
        <v>1757</v>
      </c>
      <c r="E821" s="68" t="s">
        <v>664</v>
      </c>
      <c r="F821" s="113" t="s">
        <v>843</v>
      </c>
      <c r="G821" s="113" t="s">
        <v>843</v>
      </c>
      <c r="H821" s="113" t="s">
        <v>843</v>
      </c>
      <c r="I821" s="113" t="s">
        <v>843</v>
      </c>
      <c r="J821" s="70">
        <v>0.9</v>
      </c>
      <c r="K821" s="71">
        <v>0.96551724137931005</v>
      </c>
      <c r="L821" s="71">
        <v>1</v>
      </c>
      <c r="M821" s="72">
        <v>1</v>
      </c>
      <c r="N821" s="71">
        <v>0.968847352024922</v>
      </c>
      <c r="O821" s="73">
        <v>0.9</v>
      </c>
      <c r="P821" s="71">
        <v>0.99440646364201402</v>
      </c>
      <c r="Q821" s="71">
        <v>0.994668443852049</v>
      </c>
      <c r="R821" s="71">
        <v>0.996057347670251</v>
      </c>
      <c r="S821" s="71">
        <v>0.99367326698813296</v>
      </c>
      <c r="T821" s="73">
        <v>0.9</v>
      </c>
      <c r="U821" s="71">
        <v>0.95898073337476697</v>
      </c>
      <c r="V821" s="71">
        <v>0.96301232922359203</v>
      </c>
      <c r="W821" s="71">
        <v>0.96630824372759905</v>
      </c>
      <c r="X821" s="71">
        <v>0.96751137102014295</v>
      </c>
      <c r="Y821" s="73">
        <v>0.92</v>
      </c>
      <c r="Z821" s="73">
        <v>0.92941176470588205</v>
      </c>
      <c r="AA821" s="73">
        <v>0.938271604938272</v>
      </c>
      <c r="AB821" s="73">
        <v>0.94575045207956598</v>
      </c>
      <c r="AC821" s="73">
        <v>0.94397183924904704</v>
      </c>
      <c r="AD821" s="73">
        <v>0.92</v>
      </c>
      <c r="AE821" s="71">
        <v>0.99895755770662698</v>
      </c>
      <c r="AF821" s="71">
        <v>0.98734460745884201</v>
      </c>
      <c r="AG821" s="71">
        <v>0.98806682577565597</v>
      </c>
      <c r="AH821" s="71">
        <v>0.99574529807087897</v>
      </c>
      <c r="AI821" s="73">
        <v>0.92</v>
      </c>
      <c r="AJ821" s="71">
        <v>0.96095973973159798</v>
      </c>
      <c r="AK821" s="71">
        <v>0.97282335178661306</v>
      </c>
      <c r="AL821" s="71">
        <v>0.97228637413394903</v>
      </c>
      <c r="AM821" s="71">
        <v>0.97502279866247799</v>
      </c>
      <c r="AN821" s="70">
        <v>0.99</v>
      </c>
      <c r="AO821" s="75">
        <v>1</v>
      </c>
      <c r="AP821" s="75">
        <v>1</v>
      </c>
      <c r="AQ821" s="75">
        <v>1</v>
      </c>
      <c r="AR821" s="75">
        <v>1</v>
      </c>
      <c r="AS821" s="95">
        <v>8.1059522893420499E-2</v>
      </c>
      <c r="AT821" s="79">
        <v>7.69230769230769E-2</v>
      </c>
      <c r="AU821" s="79">
        <v>0</v>
      </c>
      <c r="AV821" s="79">
        <v>0.1</v>
      </c>
      <c r="AW821" s="79">
        <v>3.6809815950920199E-2</v>
      </c>
      <c r="AX821" s="56"/>
      <c r="AY821" s="54"/>
    </row>
    <row r="822" spans="1:51">
      <c r="A822" s="53"/>
      <c r="B822" s="56"/>
      <c r="C822" s="90" t="s">
        <v>663</v>
      </c>
      <c r="D822" s="230" t="s">
        <v>1757</v>
      </c>
      <c r="E822" s="68" t="s">
        <v>664</v>
      </c>
      <c r="F822" s="113" t="s">
        <v>844</v>
      </c>
      <c r="G822" s="113" t="s">
        <v>844</v>
      </c>
      <c r="H822" s="113" t="s">
        <v>844</v>
      </c>
      <c r="I822" s="113" t="s">
        <v>844</v>
      </c>
      <c r="J822" s="70">
        <v>0.9</v>
      </c>
      <c r="K822" s="71">
        <v>1</v>
      </c>
      <c r="L822" s="71">
        <v>1</v>
      </c>
      <c r="M822" s="72">
        <v>1</v>
      </c>
      <c r="N822" s="71">
        <v>1</v>
      </c>
      <c r="O822" s="73">
        <v>0.9</v>
      </c>
      <c r="P822" s="71">
        <v>0.99069767441860501</v>
      </c>
      <c r="Q822" s="71">
        <v>0.99449541284403697</v>
      </c>
      <c r="R822" s="71">
        <v>0.99455040871934597</v>
      </c>
      <c r="S822" s="71">
        <v>0.994519488055708</v>
      </c>
      <c r="T822" s="73">
        <v>0.9</v>
      </c>
      <c r="U822" s="71">
        <v>0.97275747508305599</v>
      </c>
      <c r="V822" s="71">
        <v>0.97889908256880698</v>
      </c>
      <c r="W822" s="71">
        <v>0.980926430517711</v>
      </c>
      <c r="X822" s="71">
        <v>0.97910957800057996</v>
      </c>
      <c r="Y822" s="73">
        <v>0.92</v>
      </c>
      <c r="Z822" s="73">
        <v>0.92601156069364199</v>
      </c>
      <c r="AA822" s="73">
        <v>0.92272727272727295</v>
      </c>
      <c r="AB822" s="73">
        <v>0.94732370433305002</v>
      </c>
      <c r="AC822" s="73">
        <v>0.93887190886357297</v>
      </c>
      <c r="AD822" s="73">
        <v>0.92</v>
      </c>
      <c r="AE822" s="71">
        <v>0.99741602067183499</v>
      </c>
      <c r="AF822" s="71">
        <v>0.99669421487603305</v>
      </c>
      <c r="AG822" s="71">
        <v>0.99378109452736296</v>
      </c>
      <c r="AH822" s="71">
        <v>0.99671281370503795</v>
      </c>
      <c r="AI822" s="73">
        <v>0.92</v>
      </c>
      <c r="AJ822" s="71">
        <v>0.96836777730915202</v>
      </c>
      <c r="AK822" s="71">
        <v>0.975978037062457</v>
      </c>
      <c r="AL822" s="71">
        <v>0.98054474708171202</v>
      </c>
      <c r="AM822" s="71">
        <v>0.98012817447032397</v>
      </c>
      <c r="AN822" s="70">
        <v>0.99</v>
      </c>
      <c r="AO822" s="75">
        <v>1</v>
      </c>
      <c r="AP822" s="75">
        <v>1</v>
      </c>
      <c r="AQ822" s="75">
        <v>1</v>
      </c>
      <c r="AR822" s="75">
        <v>1</v>
      </c>
      <c r="AS822" s="95">
        <v>8.1059522893420499E-2</v>
      </c>
      <c r="AT822" s="79">
        <v>0</v>
      </c>
      <c r="AU822" s="79">
        <v>7.69230769230769E-2</v>
      </c>
      <c r="AV822" s="79">
        <v>0</v>
      </c>
      <c r="AW822" s="79">
        <v>1.88679245283019E-2</v>
      </c>
      <c r="AX822" s="56"/>
      <c r="AY822" s="54"/>
    </row>
    <row r="823" spans="1:51">
      <c r="A823" s="53"/>
      <c r="B823" s="56"/>
      <c r="C823" s="90" t="s">
        <v>663</v>
      </c>
      <c r="D823" s="230" t="s">
        <v>1757</v>
      </c>
      <c r="E823" s="68" t="s">
        <v>664</v>
      </c>
      <c r="F823" s="113" t="s">
        <v>845</v>
      </c>
      <c r="G823" s="113" t="s">
        <v>845</v>
      </c>
      <c r="H823" s="113" t="s">
        <v>845</v>
      </c>
      <c r="I823" s="113" t="s">
        <v>845</v>
      </c>
      <c r="J823" s="70">
        <v>0.9</v>
      </c>
      <c r="K823" s="71">
        <v>0.93548387096774199</v>
      </c>
      <c r="L823" s="71">
        <v>0.94871794871794901</v>
      </c>
      <c r="M823" s="72">
        <v>0.94285714285714295</v>
      </c>
      <c r="N823" s="71">
        <v>0.93203883495145601</v>
      </c>
      <c r="O823" s="73">
        <v>0.9</v>
      </c>
      <c r="P823" s="71">
        <v>0.973355084284937</v>
      </c>
      <c r="Q823" s="71">
        <v>0.97892609699769095</v>
      </c>
      <c r="R823" s="71">
        <v>0.97855392156862697</v>
      </c>
      <c r="S823" s="71">
        <v>0.97603447773798102</v>
      </c>
      <c r="T823" s="73">
        <v>0.9</v>
      </c>
      <c r="U823" s="71">
        <v>0.90701468189233303</v>
      </c>
      <c r="V823" s="71">
        <v>0.91137413394919198</v>
      </c>
      <c r="W823" s="71">
        <v>0.90931372549019596</v>
      </c>
      <c r="X823" s="71">
        <v>0.91916368189627595</v>
      </c>
      <c r="Y823" s="73">
        <v>0.92</v>
      </c>
      <c r="Z823" s="73">
        <v>0.92578125</v>
      </c>
      <c r="AA823" s="73">
        <v>0.93655303030303005</v>
      </c>
      <c r="AB823" s="73">
        <v>0.93216080402010004</v>
      </c>
      <c r="AC823" s="73">
        <v>0.94244479221004995</v>
      </c>
      <c r="AD823" s="73">
        <v>0.92</v>
      </c>
      <c r="AE823" s="71">
        <v>0.99900571712652297</v>
      </c>
      <c r="AF823" s="71">
        <v>0.99333587204874296</v>
      </c>
      <c r="AG823" s="71">
        <v>0.99569892473118304</v>
      </c>
      <c r="AH823" s="71">
        <v>0.99512144217474097</v>
      </c>
      <c r="AI823" s="73">
        <v>0.92</v>
      </c>
      <c r="AJ823" s="71">
        <v>0.94760740482011896</v>
      </c>
      <c r="AK823" s="71">
        <v>0.95929203539823005</v>
      </c>
      <c r="AL823" s="71">
        <v>0.95357703520968795</v>
      </c>
      <c r="AM823" s="71">
        <v>0.96560373407782196</v>
      </c>
      <c r="AN823" s="70">
        <v>0.99</v>
      </c>
      <c r="AO823" s="75">
        <v>1</v>
      </c>
      <c r="AP823" s="75">
        <v>1</v>
      </c>
      <c r="AQ823" s="75">
        <v>1</v>
      </c>
      <c r="AR823" s="75">
        <v>1</v>
      </c>
      <c r="AS823" s="95">
        <v>8.1059522893420499E-2</v>
      </c>
      <c r="AT823" s="79">
        <v>3.125E-2</v>
      </c>
      <c r="AU823" s="79">
        <v>0</v>
      </c>
      <c r="AV823" s="79">
        <v>0</v>
      </c>
      <c r="AW823" s="79">
        <v>2.7667984189723299E-2</v>
      </c>
      <c r="AX823" s="56"/>
      <c r="AY823" s="54"/>
    </row>
    <row r="824" spans="1:51">
      <c r="A824" s="53"/>
      <c r="B824" s="56"/>
      <c r="C824" s="90" t="s">
        <v>663</v>
      </c>
      <c r="D824" s="230" t="s">
        <v>1757</v>
      </c>
      <c r="E824" s="68" t="s">
        <v>664</v>
      </c>
      <c r="F824" s="113" t="s">
        <v>846</v>
      </c>
      <c r="G824" s="113" t="s">
        <v>846</v>
      </c>
      <c r="H824" s="113" t="s">
        <v>846</v>
      </c>
      <c r="I824" s="113" t="s">
        <v>846</v>
      </c>
      <c r="J824" s="70">
        <v>0.9</v>
      </c>
      <c r="K824" s="71">
        <v>0.96296296296296302</v>
      </c>
      <c r="L824" s="71">
        <v>1</v>
      </c>
      <c r="M824" s="72">
        <v>1</v>
      </c>
      <c r="N824" s="71">
        <v>0.98192771084337305</v>
      </c>
      <c r="O824" s="73">
        <v>0.9</v>
      </c>
      <c r="P824" s="71">
        <v>0.935693215339233</v>
      </c>
      <c r="Q824" s="71">
        <v>0.939450108124807</v>
      </c>
      <c r="R824" s="71">
        <v>0.93978102189780999</v>
      </c>
      <c r="S824" s="71">
        <v>0.93783666231724006</v>
      </c>
      <c r="T824" s="73">
        <v>0.9</v>
      </c>
      <c r="U824" s="71">
        <v>0.93687315634218304</v>
      </c>
      <c r="V824" s="71">
        <v>0.94192153228297804</v>
      </c>
      <c r="W824" s="71">
        <v>0.92627737226277396</v>
      </c>
      <c r="X824" s="71">
        <v>0.93766937669376704</v>
      </c>
      <c r="Y824" s="73">
        <v>0.92</v>
      </c>
      <c r="Z824" s="73">
        <v>0.82010582010582</v>
      </c>
      <c r="AA824" s="73">
        <v>0.90804597701149403</v>
      </c>
      <c r="AB824" s="73">
        <v>0.77565849227974604</v>
      </c>
      <c r="AC824" s="73">
        <v>0.87607338017174097</v>
      </c>
      <c r="AD824" s="73">
        <v>0.92</v>
      </c>
      <c r="AE824" s="71">
        <v>0.99925233644859801</v>
      </c>
      <c r="AF824" s="71">
        <v>0.99349139934913999</v>
      </c>
      <c r="AG824" s="71">
        <v>0.98285714285714298</v>
      </c>
      <c r="AH824" s="71">
        <v>0.99297370806890295</v>
      </c>
      <c r="AI824" s="73">
        <v>0.92</v>
      </c>
      <c r="AJ824" s="71">
        <v>0.91249999999999998</v>
      </c>
      <c r="AK824" s="71">
        <v>0.95491707544966098</v>
      </c>
      <c r="AL824" s="71">
        <v>0.91124414367516904</v>
      </c>
      <c r="AM824" s="71">
        <v>0.94845283770990096</v>
      </c>
      <c r="AN824" s="70">
        <v>0.99</v>
      </c>
      <c r="AO824" s="75">
        <v>1</v>
      </c>
      <c r="AP824" s="75">
        <v>1</v>
      </c>
      <c r="AQ824" s="75">
        <v>1</v>
      </c>
      <c r="AR824" s="75">
        <v>1</v>
      </c>
      <c r="AS824" s="95">
        <v>8.1059522893420499E-2</v>
      </c>
      <c r="AT824" s="79">
        <v>0</v>
      </c>
      <c r="AU824" s="79">
        <v>0.27272727272727298</v>
      </c>
      <c r="AV824" s="79">
        <v>0</v>
      </c>
      <c r="AW824" s="79">
        <v>6.02409638554217E-2</v>
      </c>
      <c r="AX824" s="56"/>
      <c r="AY824" s="54"/>
    </row>
    <row r="825" spans="1:51">
      <c r="A825" s="53"/>
      <c r="B825" s="56"/>
      <c r="C825" s="90" t="s">
        <v>663</v>
      </c>
      <c r="D825" s="230" t="s">
        <v>1757</v>
      </c>
      <c r="E825" s="68" t="s">
        <v>664</v>
      </c>
      <c r="F825" s="113" t="s">
        <v>847</v>
      </c>
      <c r="G825" s="113" t="s">
        <v>847</v>
      </c>
      <c r="H825" s="113" t="s">
        <v>847</v>
      </c>
      <c r="I825" s="113" t="s">
        <v>847</v>
      </c>
      <c r="J825" s="70">
        <v>0.9</v>
      </c>
      <c r="K825" s="71">
        <v>0.75</v>
      </c>
      <c r="L825" s="71">
        <v>0.85714285714285698</v>
      </c>
      <c r="M825" s="72">
        <v>0.90476190476190499</v>
      </c>
      <c r="N825" s="71">
        <v>0.83555555555555605</v>
      </c>
      <c r="O825" s="73">
        <v>0.9</v>
      </c>
      <c r="P825" s="71">
        <v>0.95838020247469102</v>
      </c>
      <c r="Q825" s="71">
        <v>0.96233078281341999</v>
      </c>
      <c r="R825" s="71">
        <v>0.97723187537447598</v>
      </c>
      <c r="S825" s="71">
        <v>0.93961111437467004</v>
      </c>
      <c r="T825" s="73">
        <v>0.9</v>
      </c>
      <c r="U825" s="71">
        <v>0.92013498312710895</v>
      </c>
      <c r="V825" s="71">
        <v>0.91818716892289598</v>
      </c>
      <c r="W825" s="71">
        <v>0.95386458957459597</v>
      </c>
      <c r="X825" s="71">
        <v>0.937790048757563</v>
      </c>
      <c r="Y825" s="73">
        <v>0.92</v>
      </c>
      <c r="Z825" s="73">
        <v>0.91213389121338895</v>
      </c>
      <c r="AA825" s="73">
        <v>0.90697674418604601</v>
      </c>
      <c r="AB825" s="73">
        <v>0.922442244224422</v>
      </c>
      <c r="AC825" s="73">
        <v>0.92622116689280898</v>
      </c>
      <c r="AD825" s="73">
        <v>0.92</v>
      </c>
      <c r="AE825" s="71">
        <v>0.99393939393939401</v>
      </c>
      <c r="AF825" s="71">
        <v>0.98412698412698396</v>
      </c>
      <c r="AG825" s="71">
        <v>1</v>
      </c>
      <c r="AH825" s="71">
        <v>0.98938223938223901</v>
      </c>
      <c r="AI825" s="73">
        <v>0.92</v>
      </c>
      <c r="AJ825" s="71">
        <v>0.94440380395025603</v>
      </c>
      <c r="AK825" s="71">
        <v>0.94508414526129303</v>
      </c>
      <c r="AL825" s="71">
        <v>0.96615384615384603</v>
      </c>
      <c r="AM825" s="71">
        <v>0.962520179763515</v>
      </c>
      <c r="AN825" s="70">
        <v>0.99</v>
      </c>
      <c r="AO825" s="75">
        <v>1</v>
      </c>
      <c r="AP825" s="75">
        <v>1</v>
      </c>
      <c r="AQ825" s="75">
        <v>1</v>
      </c>
      <c r="AR825" s="75">
        <v>1</v>
      </c>
      <c r="AS825" s="95">
        <v>8.1059522893420499E-2</v>
      </c>
      <c r="AT825" s="79">
        <v>0</v>
      </c>
      <c r="AU825" s="79">
        <v>0.11111111111111099</v>
      </c>
      <c r="AV825" s="79">
        <v>0</v>
      </c>
      <c r="AW825" s="79">
        <v>6.1728395061728399E-2</v>
      </c>
      <c r="AX825" s="56"/>
      <c r="AY825" s="54"/>
    </row>
    <row r="826" spans="1:51">
      <c r="A826" s="53"/>
      <c r="B826" s="56"/>
      <c r="C826" s="90" t="s">
        <v>663</v>
      </c>
      <c r="D826" s="230" t="s">
        <v>1757</v>
      </c>
      <c r="E826" s="68" t="s">
        <v>664</v>
      </c>
      <c r="F826" s="113" t="s">
        <v>848</v>
      </c>
      <c r="G826" s="113" t="s">
        <v>848</v>
      </c>
      <c r="H826" s="113" t="s">
        <v>848</v>
      </c>
      <c r="I826" s="113" t="s">
        <v>848</v>
      </c>
      <c r="J826" s="70">
        <v>0.9</v>
      </c>
      <c r="K826" s="71">
        <v>0.86666666666666703</v>
      </c>
      <c r="L826" s="71">
        <v>0.93333333333333302</v>
      </c>
      <c r="M826" s="72">
        <v>0.89285714285714302</v>
      </c>
      <c r="N826" s="71">
        <v>0.93015873015872996</v>
      </c>
      <c r="O826" s="73">
        <v>0.9</v>
      </c>
      <c r="P826" s="71">
        <v>0.92454632282712501</v>
      </c>
      <c r="Q826" s="71">
        <v>0.905652358691033</v>
      </c>
      <c r="R826" s="71">
        <v>0.87321505841627001</v>
      </c>
      <c r="S826" s="71">
        <v>0.91025587510957096</v>
      </c>
      <c r="T826" s="73">
        <v>0.9</v>
      </c>
      <c r="U826" s="71">
        <v>0.93505253104107</v>
      </c>
      <c r="V826" s="71">
        <v>0.90352741181470497</v>
      </c>
      <c r="W826" s="71">
        <v>0.92211163998269197</v>
      </c>
      <c r="X826" s="71">
        <v>0.91856242434361601</v>
      </c>
      <c r="Y826" s="73">
        <v>0.92</v>
      </c>
      <c r="Z826" s="73">
        <v>0.912552891396333</v>
      </c>
      <c r="AA826" s="73">
        <v>0.90564373897707195</v>
      </c>
      <c r="AB826" s="73">
        <v>0.93975903614457801</v>
      </c>
      <c r="AC826" s="73">
        <v>0.91254200345109404</v>
      </c>
      <c r="AD826" s="73">
        <v>0.92</v>
      </c>
      <c r="AE826" s="71">
        <v>0.99099526066350696</v>
      </c>
      <c r="AF826" s="71">
        <v>0.98836168307967798</v>
      </c>
      <c r="AG826" s="71">
        <v>0.98766954377312</v>
      </c>
      <c r="AH826" s="71">
        <v>0.98638194150063596</v>
      </c>
      <c r="AI826" s="73">
        <v>0.92</v>
      </c>
      <c r="AJ826" s="71">
        <v>0.94703872437357595</v>
      </c>
      <c r="AK826" s="71">
        <v>0.95100286532951295</v>
      </c>
      <c r="AL826" s="71">
        <v>0.96528973034997101</v>
      </c>
      <c r="AM826" s="71">
        <v>0.95655651081088799</v>
      </c>
      <c r="AN826" s="70">
        <v>0.99</v>
      </c>
      <c r="AO826" s="75">
        <v>1</v>
      </c>
      <c r="AP826" s="75">
        <v>1</v>
      </c>
      <c r="AQ826" s="75">
        <v>1</v>
      </c>
      <c r="AR826" s="75">
        <v>1</v>
      </c>
      <c r="AS826" s="95">
        <v>8.1059522893420499E-2</v>
      </c>
      <c r="AT826" s="79">
        <v>0</v>
      </c>
      <c r="AU826" s="79">
        <v>0.15384615384615399</v>
      </c>
      <c r="AV826" s="79">
        <v>0</v>
      </c>
      <c r="AW826" s="79">
        <v>4.6875E-2</v>
      </c>
      <c r="AX826" s="56"/>
      <c r="AY826" s="54"/>
    </row>
    <row r="827" spans="1:51">
      <c r="A827" s="53"/>
      <c r="B827" s="56"/>
      <c r="C827" s="90" t="s">
        <v>663</v>
      </c>
      <c r="D827" s="230" t="s">
        <v>1757</v>
      </c>
      <c r="E827" s="68" t="s">
        <v>664</v>
      </c>
      <c r="F827" s="113" t="s">
        <v>849</v>
      </c>
      <c r="G827" s="113" t="s">
        <v>849</v>
      </c>
      <c r="H827" s="113" t="s">
        <v>849</v>
      </c>
      <c r="I827" s="113" t="s">
        <v>849</v>
      </c>
      <c r="J827" s="70">
        <v>0.9</v>
      </c>
      <c r="K827" s="71">
        <v>0.80952380952380998</v>
      </c>
      <c r="L827" s="71">
        <v>0.78571428571428603</v>
      </c>
      <c r="M827" s="72">
        <v>0.875</v>
      </c>
      <c r="N827" s="71">
        <v>0.85401459854014605</v>
      </c>
      <c r="O827" s="73">
        <v>0.9</v>
      </c>
      <c r="P827" s="71">
        <v>0.90552325581395399</v>
      </c>
      <c r="Q827" s="71">
        <v>0.91645885286783002</v>
      </c>
      <c r="R827" s="71">
        <v>0.95927051671732499</v>
      </c>
      <c r="S827" s="71">
        <v>0.89451401311866396</v>
      </c>
      <c r="T827" s="73">
        <v>0.9</v>
      </c>
      <c r="U827" s="71">
        <v>0.86773255813953498</v>
      </c>
      <c r="V827" s="71">
        <v>0.89900249376558605</v>
      </c>
      <c r="W827" s="71">
        <v>0.93556231003039503</v>
      </c>
      <c r="X827" s="71">
        <v>0.92325581395348799</v>
      </c>
      <c r="Y827" s="73">
        <v>0.92</v>
      </c>
      <c r="Z827" s="73">
        <v>0.87206823027718505</v>
      </c>
      <c r="AA827" s="73">
        <v>0.91994572591587498</v>
      </c>
      <c r="AB827" s="73">
        <v>0.88388625592417103</v>
      </c>
      <c r="AC827" s="73">
        <v>0.91461199065663101</v>
      </c>
      <c r="AD827" s="73">
        <v>0.92</v>
      </c>
      <c r="AE827" s="71">
        <v>0.99061433447099001</v>
      </c>
      <c r="AF827" s="71">
        <v>0.98817966903073295</v>
      </c>
      <c r="AG827" s="71">
        <v>0.982926829268293</v>
      </c>
      <c r="AH827" s="71">
        <v>0.98253155295408801</v>
      </c>
      <c r="AI827" s="73">
        <v>0.92</v>
      </c>
      <c r="AJ827" s="71">
        <v>0.91702679343128801</v>
      </c>
      <c r="AK827" s="71">
        <v>0.95219803670507897</v>
      </c>
      <c r="AL827" s="71">
        <v>0.94261637239165297</v>
      </c>
      <c r="AM827" s="71">
        <v>0.95654659805603204</v>
      </c>
      <c r="AN827" s="70">
        <v>0.99</v>
      </c>
      <c r="AO827" s="75">
        <v>1</v>
      </c>
      <c r="AP827" s="75">
        <v>1</v>
      </c>
      <c r="AQ827" s="75">
        <v>1</v>
      </c>
      <c r="AR827" s="75">
        <v>1</v>
      </c>
      <c r="AS827" s="95">
        <v>8.1059522893420499E-2</v>
      </c>
      <c r="AT827" s="79">
        <v>0</v>
      </c>
      <c r="AU827" s="79">
        <v>0.125</v>
      </c>
      <c r="AV827" s="79">
        <v>9.0909090909090898E-2</v>
      </c>
      <c r="AW827" s="79">
        <v>6.5693430656934296E-2</v>
      </c>
      <c r="AX827" s="56"/>
      <c r="AY827" s="54"/>
    </row>
    <row r="828" spans="1:51">
      <c r="A828" s="53"/>
      <c r="B828" s="56"/>
      <c r="C828" s="90" t="s">
        <v>663</v>
      </c>
      <c r="D828" s="230" t="s">
        <v>1757</v>
      </c>
      <c r="E828" s="68" t="s">
        <v>664</v>
      </c>
      <c r="F828" s="113" t="s">
        <v>850</v>
      </c>
      <c r="G828" s="113" t="s">
        <v>850</v>
      </c>
      <c r="H828" s="113" t="s">
        <v>850</v>
      </c>
      <c r="I828" s="113" t="s">
        <v>850</v>
      </c>
      <c r="J828" s="70">
        <v>0.9</v>
      </c>
      <c r="K828" s="71">
        <v>0.95454545454545503</v>
      </c>
      <c r="L828" s="71">
        <v>1</v>
      </c>
      <c r="M828" s="72">
        <v>0.96551724137931005</v>
      </c>
      <c r="N828" s="71">
        <v>0.97484276729559705</v>
      </c>
      <c r="O828" s="73">
        <v>0.9</v>
      </c>
      <c r="P828" s="71">
        <v>0.94371727748691103</v>
      </c>
      <c r="Q828" s="71">
        <v>0.934782608695652</v>
      </c>
      <c r="R828" s="71">
        <v>0.906036745406824</v>
      </c>
      <c r="S828" s="71">
        <v>0.93233082706766901</v>
      </c>
      <c r="T828" s="73">
        <v>0.9</v>
      </c>
      <c r="U828" s="71">
        <v>0.89659685863874306</v>
      </c>
      <c r="V828" s="71">
        <v>0.90331807780320394</v>
      </c>
      <c r="W828" s="71">
        <v>0.89921259842519696</v>
      </c>
      <c r="X828" s="71">
        <v>0.913074052036566</v>
      </c>
      <c r="Y828" s="73">
        <v>0.92</v>
      </c>
      <c r="Z828" s="73">
        <v>0.74762808349146104</v>
      </c>
      <c r="AA828" s="73">
        <v>0.83259423503325902</v>
      </c>
      <c r="AB828" s="73">
        <v>0.83807439824945296</v>
      </c>
      <c r="AC828" s="73">
        <v>0.82134897360703796</v>
      </c>
      <c r="AD828" s="73">
        <v>0.92</v>
      </c>
      <c r="AE828" s="71">
        <v>0.86333333333333295</v>
      </c>
      <c r="AF828" s="71">
        <v>0.98120300751879697</v>
      </c>
      <c r="AG828" s="71">
        <v>0.99363057324840798</v>
      </c>
      <c r="AH828" s="71">
        <v>0.96416610850636297</v>
      </c>
      <c r="AI828" s="73">
        <v>0.92</v>
      </c>
      <c r="AJ828" s="71">
        <v>0.859133126934985</v>
      </c>
      <c r="AK828" s="71">
        <v>0.913994718973972</v>
      </c>
      <c r="AL828" s="71">
        <v>0.91937765205091904</v>
      </c>
      <c r="AM828" s="71">
        <v>0.91672518942894099</v>
      </c>
      <c r="AN828" s="70">
        <v>0.99</v>
      </c>
      <c r="AO828" s="75">
        <v>1</v>
      </c>
      <c r="AP828" s="75">
        <v>1</v>
      </c>
      <c r="AQ828" s="75">
        <v>1</v>
      </c>
      <c r="AR828" s="75">
        <v>1</v>
      </c>
      <c r="AS828" s="95">
        <v>8.1059522893420499E-2</v>
      </c>
      <c r="AT828" s="79">
        <v>0.25</v>
      </c>
      <c r="AU828" s="79">
        <v>0.11111111111111099</v>
      </c>
      <c r="AV828" s="79">
        <v>9.0909090909090898E-2</v>
      </c>
      <c r="AW828" s="79">
        <v>7.4468085106383003E-2</v>
      </c>
      <c r="AX828" s="56"/>
      <c r="AY828" s="54"/>
    </row>
    <row r="829" spans="1:51">
      <c r="A829" s="53"/>
      <c r="B829" s="56"/>
      <c r="C829" s="90" t="s">
        <v>663</v>
      </c>
      <c r="D829" s="230" t="s">
        <v>1757</v>
      </c>
      <c r="E829" s="68" t="s">
        <v>664</v>
      </c>
      <c r="F829" s="113" t="s">
        <v>851</v>
      </c>
      <c r="G829" s="113" t="s">
        <v>851</v>
      </c>
      <c r="H829" s="113" t="s">
        <v>851</v>
      </c>
      <c r="I829" s="113" t="s">
        <v>851</v>
      </c>
      <c r="J829" s="70">
        <v>0.9</v>
      </c>
      <c r="K829" s="71">
        <v>0.94117647058823495</v>
      </c>
      <c r="L829" s="71">
        <v>0.88636363636363602</v>
      </c>
      <c r="M829" s="72">
        <v>0.92682926829268297</v>
      </c>
      <c r="N829" s="71">
        <v>0.92436974789916004</v>
      </c>
      <c r="O829" s="73">
        <v>0.9</v>
      </c>
      <c r="P829" s="71">
        <v>0.90771812080536896</v>
      </c>
      <c r="Q829" s="71">
        <v>0.81461249573233196</v>
      </c>
      <c r="R829" s="71">
        <v>0.75960866526904303</v>
      </c>
      <c r="S829" s="71">
        <v>0.82412675310928796</v>
      </c>
      <c r="T829" s="73">
        <v>0.9</v>
      </c>
      <c r="U829" s="71">
        <v>0.88171140939597303</v>
      </c>
      <c r="V829" s="71">
        <v>0.88801638784568104</v>
      </c>
      <c r="W829" s="71">
        <v>0.85883997204751905</v>
      </c>
      <c r="X829" s="71">
        <v>0.89716194760518697</v>
      </c>
      <c r="Y829" s="73">
        <v>0.92</v>
      </c>
      <c r="Z829" s="73">
        <v>0.79474940334128896</v>
      </c>
      <c r="AA829" s="73">
        <v>0.86879169755374397</v>
      </c>
      <c r="AB829" s="73">
        <v>0.81890909090909103</v>
      </c>
      <c r="AC829" s="73">
        <v>0.82994426871516802</v>
      </c>
      <c r="AD829" s="73">
        <v>0.92</v>
      </c>
      <c r="AE829" s="71">
        <v>0.98209718670076696</v>
      </c>
      <c r="AF829" s="71">
        <v>0.96</v>
      </c>
      <c r="AG829" s="71">
        <v>0.98438095238095202</v>
      </c>
      <c r="AH829" s="71">
        <v>0.97011498509452498</v>
      </c>
      <c r="AI829" s="73">
        <v>0.92</v>
      </c>
      <c r="AJ829" s="71">
        <v>0.87481590574374102</v>
      </c>
      <c r="AK829" s="71">
        <v>0.92733644859813102</v>
      </c>
      <c r="AL829" s="71">
        <v>0.89054022175041303</v>
      </c>
      <c r="AM829" s="71">
        <v>0.91364742618358796</v>
      </c>
      <c r="AN829" s="70">
        <v>0.99</v>
      </c>
      <c r="AO829" s="75">
        <v>1</v>
      </c>
      <c r="AP829" s="75">
        <v>1</v>
      </c>
      <c r="AQ829" s="75">
        <v>1</v>
      </c>
      <c r="AR829" s="75">
        <v>1</v>
      </c>
      <c r="AS829" s="95">
        <v>8.1059522893420499E-2</v>
      </c>
      <c r="AT829" s="79">
        <v>4.1666666666666699E-2</v>
      </c>
      <c r="AU829" s="79">
        <v>7.4074074074074098E-2</v>
      </c>
      <c r="AV829" s="79">
        <v>0.2</v>
      </c>
      <c r="AW829" s="79">
        <v>8.5106382978723402E-2</v>
      </c>
      <c r="AX829" s="56"/>
      <c r="AY829" s="54"/>
    </row>
    <row r="830" spans="1:51">
      <c r="A830" s="53"/>
      <c r="B830" s="56"/>
      <c r="C830" s="90" t="s">
        <v>663</v>
      </c>
      <c r="D830" s="230" t="s">
        <v>1757</v>
      </c>
      <c r="E830" s="68" t="s">
        <v>664</v>
      </c>
      <c r="F830" s="113" t="s">
        <v>852</v>
      </c>
      <c r="G830" s="113" t="s">
        <v>852</v>
      </c>
      <c r="H830" s="113" t="s">
        <v>852</v>
      </c>
      <c r="I830" s="113" t="s">
        <v>852</v>
      </c>
      <c r="J830" s="70">
        <v>0.9</v>
      </c>
      <c r="K830" s="71">
        <v>0.952380952380952</v>
      </c>
      <c r="L830" s="71">
        <v>1</v>
      </c>
      <c r="M830" s="72">
        <v>1</v>
      </c>
      <c r="N830" s="71">
        <v>0.98013245033112595</v>
      </c>
      <c r="O830" s="73">
        <v>0.9</v>
      </c>
      <c r="P830" s="71">
        <v>0.94806629834254097</v>
      </c>
      <c r="Q830" s="71">
        <v>0.95774647887323905</v>
      </c>
      <c r="R830" s="71">
        <v>0.95275207014125696</v>
      </c>
      <c r="S830" s="71">
        <v>0.95367808415227595</v>
      </c>
      <c r="T830" s="73">
        <v>0.9</v>
      </c>
      <c r="U830" s="71">
        <v>0.93149171270718201</v>
      </c>
      <c r="V830" s="71">
        <v>0.92034968431277298</v>
      </c>
      <c r="W830" s="71">
        <v>0.93326838772527998</v>
      </c>
      <c r="X830" s="71">
        <v>0.93111344337372404</v>
      </c>
      <c r="Y830" s="73">
        <v>0.92</v>
      </c>
      <c r="Z830" s="73">
        <v>0.85087719298245601</v>
      </c>
      <c r="AA830" s="73">
        <v>0.917874396135266</v>
      </c>
      <c r="AB830" s="73">
        <v>0.84845559845559804</v>
      </c>
      <c r="AC830" s="73">
        <v>0.887308998302207</v>
      </c>
      <c r="AD830" s="73">
        <v>0.92</v>
      </c>
      <c r="AE830" s="71">
        <v>0.98014773776546604</v>
      </c>
      <c r="AF830" s="71">
        <v>0.891184573002755</v>
      </c>
      <c r="AG830" s="71">
        <v>0.98153034300791597</v>
      </c>
      <c r="AH830" s="71">
        <v>0.95339700193423604</v>
      </c>
      <c r="AI830" s="73">
        <v>0.92</v>
      </c>
      <c r="AJ830" s="71">
        <v>0.91932203389830502</v>
      </c>
      <c r="AK830" s="71">
        <v>0.95640942847917298</v>
      </c>
      <c r="AL830" s="71">
        <v>0.931090262051116</v>
      </c>
      <c r="AM830" s="71">
        <v>0.945195121149357</v>
      </c>
      <c r="AN830" s="70">
        <v>0.99</v>
      </c>
      <c r="AO830" s="75">
        <v>1</v>
      </c>
      <c r="AP830" s="75">
        <v>1</v>
      </c>
      <c r="AQ830" s="75">
        <v>1</v>
      </c>
      <c r="AR830" s="75">
        <v>1</v>
      </c>
      <c r="AS830" s="95">
        <v>8.1059522893420499E-2</v>
      </c>
      <c r="AT830" s="79">
        <v>0</v>
      </c>
      <c r="AU830" s="79">
        <v>9.0909090909090898E-2</v>
      </c>
      <c r="AV830" s="79">
        <v>0.30769230769230799</v>
      </c>
      <c r="AW830" s="79">
        <v>6.2893081761006303E-2</v>
      </c>
      <c r="AX830" s="56"/>
      <c r="AY830" s="54"/>
    </row>
    <row r="831" spans="1:51">
      <c r="A831" s="53"/>
      <c r="B831" s="56"/>
      <c r="C831" s="90" t="s">
        <v>663</v>
      </c>
      <c r="D831" s="230" t="s">
        <v>1757</v>
      </c>
      <c r="E831" s="68" t="s">
        <v>664</v>
      </c>
      <c r="F831" s="113" t="s">
        <v>853</v>
      </c>
      <c r="G831" s="113" t="s">
        <v>853</v>
      </c>
      <c r="H831" s="113" t="s">
        <v>853</v>
      </c>
      <c r="I831" s="113" t="s">
        <v>853</v>
      </c>
      <c r="J831" s="70">
        <v>0.9</v>
      </c>
      <c r="K831" s="71">
        <v>0.86486486486486502</v>
      </c>
      <c r="L831" s="71">
        <v>0.97619047619047605</v>
      </c>
      <c r="M831" s="72">
        <v>0.87179487179487203</v>
      </c>
      <c r="N831" s="71">
        <v>0.955654101995565</v>
      </c>
      <c r="O831" s="73">
        <v>0.9</v>
      </c>
      <c r="P831" s="71">
        <v>0.98560354374307901</v>
      </c>
      <c r="Q831" s="71">
        <v>0.96173120728929395</v>
      </c>
      <c r="R831" s="71">
        <v>0.95103324348607399</v>
      </c>
      <c r="S831" s="71">
        <v>0.91108895636017595</v>
      </c>
      <c r="T831" s="73">
        <v>0.9</v>
      </c>
      <c r="U831" s="71">
        <v>0.93466223698781803</v>
      </c>
      <c r="V831" s="71">
        <v>0.92984054669703897</v>
      </c>
      <c r="W831" s="71">
        <v>0.92497753818508499</v>
      </c>
      <c r="X831" s="71">
        <v>0.93080164952191102</v>
      </c>
      <c r="Y831" s="73">
        <v>0.92</v>
      </c>
      <c r="Z831" s="73">
        <v>0.85714285714285698</v>
      </c>
      <c r="AA831" s="73">
        <v>0.91727272727272702</v>
      </c>
      <c r="AB831" s="73">
        <v>0.91173950299914297</v>
      </c>
      <c r="AC831" s="73">
        <v>0.90764484719946004</v>
      </c>
      <c r="AD831" s="73">
        <v>0.92</v>
      </c>
      <c r="AE831" s="71">
        <v>0.97932425617750896</v>
      </c>
      <c r="AF831" s="71">
        <v>0.97446808510638305</v>
      </c>
      <c r="AG831" s="71">
        <v>0.96931137724550898</v>
      </c>
      <c r="AH831" s="71">
        <v>0.97483281800532096</v>
      </c>
      <c r="AI831" s="73">
        <v>0.92</v>
      </c>
      <c r="AJ831" s="71">
        <v>0.91287878787878796</v>
      </c>
      <c r="AK831" s="71">
        <v>0.953016065474386</v>
      </c>
      <c r="AL831" s="71">
        <v>0.94702766333137101</v>
      </c>
      <c r="AM831" s="71">
        <v>0.95077321175528295</v>
      </c>
      <c r="AN831" s="70">
        <v>0.99</v>
      </c>
      <c r="AO831" s="75">
        <v>1</v>
      </c>
      <c r="AP831" s="75">
        <v>1</v>
      </c>
      <c r="AQ831" s="75">
        <v>1</v>
      </c>
      <c r="AR831" s="75">
        <v>1</v>
      </c>
      <c r="AS831" s="95">
        <v>8.1059522893420499E-2</v>
      </c>
      <c r="AT831" s="79">
        <v>6.6666666666666693E-2</v>
      </c>
      <c r="AU831" s="79">
        <v>0</v>
      </c>
      <c r="AV831" s="79">
        <v>0</v>
      </c>
      <c r="AW831" s="79">
        <v>7.4829931972789102E-2</v>
      </c>
      <c r="AX831" s="56"/>
      <c r="AY831" s="54"/>
    </row>
    <row r="832" spans="1:51">
      <c r="A832" s="53"/>
      <c r="B832" s="56"/>
      <c r="C832" s="90" t="s">
        <v>663</v>
      </c>
      <c r="D832" s="230" t="s">
        <v>1757</v>
      </c>
      <c r="E832" s="68" t="s">
        <v>664</v>
      </c>
      <c r="F832" s="113" t="s">
        <v>854</v>
      </c>
      <c r="G832" s="113" t="s">
        <v>854</v>
      </c>
      <c r="H832" s="113" t="s">
        <v>854</v>
      </c>
      <c r="I832" s="113" t="s">
        <v>854</v>
      </c>
      <c r="J832" s="70">
        <v>0.9</v>
      </c>
      <c r="K832" s="71">
        <v>0.83783783783783805</v>
      </c>
      <c r="L832" s="71">
        <v>0.90243902439024404</v>
      </c>
      <c r="M832" s="72">
        <v>0.92500000000000004</v>
      </c>
      <c r="N832" s="71">
        <v>0.92156862745098</v>
      </c>
      <c r="O832" s="73">
        <v>0.9</v>
      </c>
      <c r="P832" s="71">
        <v>0.956148713060057</v>
      </c>
      <c r="Q832" s="71">
        <v>0.93925805136567497</v>
      </c>
      <c r="R832" s="71">
        <v>0.93634496919917898</v>
      </c>
      <c r="S832" s="71">
        <v>0.90231084008665696</v>
      </c>
      <c r="T832" s="73">
        <v>0.9</v>
      </c>
      <c r="U832" s="71">
        <v>0.93040991420400398</v>
      </c>
      <c r="V832" s="71">
        <v>0.91439054219323301</v>
      </c>
      <c r="W832" s="71">
        <v>0.90554414784394299</v>
      </c>
      <c r="X832" s="71">
        <v>0.90808794030329798</v>
      </c>
      <c r="Y832" s="73">
        <v>0.92</v>
      </c>
      <c r="Z832" s="73">
        <v>0.82643524699599502</v>
      </c>
      <c r="AA832" s="73">
        <v>0.90180032733224202</v>
      </c>
      <c r="AB832" s="73">
        <v>0.89095315024232602</v>
      </c>
      <c r="AC832" s="73">
        <v>0.873029546041864</v>
      </c>
      <c r="AD832" s="73">
        <v>0.92</v>
      </c>
      <c r="AE832" s="71">
        <v>0.97433096668487196</v>
      </c>
      <c r="AF832" s="71">
        <v>0.95257903494176399</v>
      </c>
      <c r="AG832" s="71">
        <v>0.98585209003215402</v>
      </c>
      <c r="AH832" s="71">
        <v>0.97491399082568797</v>
      </c>
      <c r="AI832" s="73">
        <v>0.92</v>
      </c>
      <c r="AJ832" s="71">
        <v>0.908231368186874</v>
      </c>
      <c r="AK832" s="71">
        <v>0.94749727965179498</v>
      </c>
      <c r="AL832" s="71">
        <v>0.93962469404405802</v>
      </c>
      <c r="AM832" s="71">
        <v>0.93501202974628195</v>
      </c>
      <c r="AN832" s="70">
        <v>0.99</v>
      </c>
      <c r="AO832" s="75">
        <v>1</v>
      </c>
      <c r="AP832" s="75">
        <v>1</v>
      </c>
      <c r="AQ832" s="75">
        <v>1</v>
      </c>
      <c r="AR832" s="75">
        <v>1</v>
      </c>
      <c r="AS832" s="95">
        <v>8.1059522893420499E-2</v>
      </c>
      <c r="AT832" s="79">
        <v>0</v>
      </c>
      <c r="AU832" s="79">
        <v>0</v>
      </c>
      <c r="AV832" s="79">
        <v>0</v>
      </c>
      <c r="AW832" s="79">
        <v>1.7341040462427699E-2</v>
      </c>
      <c r="AX832" s="56"/>
      <c r="AY832" s="54"/>
    </row>
    <row r="833" spans="1:51">
      <c r="A833" s="53"/>
      <c r="B833" s="56"/>
      <c r="C833" s="90" t="s">
        <v>663</v>
      </c>
      <c r="D833" s="230" t="s">
        <v>1757</v>
      </c>
      <c r="E833" s="68" t="s">
        <v>664</v>
      </c>
      <c r="F833" s="113" t="s">
        <v>855</v>
      </c>
      <c r="G833" s="113" t="s">
        <v>855</v>
      </c>
      <c r="H833" s="113" t="s">
        <v>855</v>
      </c>
      <c r="I833" s="113" t="s">
        <v>855</v>
      </c>
      <c r="J833" s="70">
        <v>0.9</v>
      </c>
      <c r="K833" s="71">
        <v>0.93243243243243201</v>
      </c>
      <c r="L833" s="71">
        <v>0.92307692307692302</v>
      </c>
      <c r="M833" s="72">
        <v>0.9</v>
      </c>
      <c r="N833" s="71">
        <v>0.94062500000000004</v>
      </c>
      <c r="O833" s="73">
        <v>0.9</v>
      </c>
      <c r="P833" s="71">
        <v>0.96028708133971297</v>
      </c>
      <c r="Q833" s="71">
        <v>0.96097076355378896</v>
      </c>
      <c r="R833" s="71">
        <v>0.86682845442135603</v>
      </c>
      <c r="S833" s="71">
        <v>0.91418242332080502</v>
      </c>
      <c r="T833" s="73">
        <v>0.9</v>
      </c>
      <c r="U833" s="71">
        <v>0.910765550239234</v>
      </c>
      <c r="V833" s="71">
        <v>0.917116094237865</v>
      </c>
      <c r="W833" s="71">
        <v>0.88882147732443495</v>
      </c>
      <c r="X833" s="71">
        <v>0.91723811436605196</v>
      </c>
      <c r="Y833" s="73">
        <v>0.92</v>
      </c>
      <c r="Z833" s="73">
        <v>0.93105950653120495</v>
      </c>
      <c r="AA833" s="73">
        <v>0.94294294294294301</v>
      </c>
      <c r="AB833" s="73">
        <v>0.91735537190082606</v>
      </c>
      <c r="AC833" s="73">
        <v>0.92686053032123705</v>
      </c>
      <c r="AD833" s="73">
        <v>0.92</v>
      </c>
      <c r="AE833" s="71">
        <v>0.98955908758396005</v>
      </c>
      <c r="AF833" s="71">
        <v>0.98863115430457504</v>
      </c>
      <c r="AG833" s="71">
        <v>0.99301297590189697</v>
      </c>
      <c r="AH833" s="71">
        <v>0.98841177908572897</v>
      </c>
      <c r="AI833" s="73">
        <v>0.92</v>
      </c>
      <c r="AJ833" s="71">
        <v>0.95557553956834496</v>
      </c>
      <c r="AK833" s="71">
        <v>0.97179072946439704</v>
      </c>
      <c r="AL833" s="71">
        <v>0.943483275663206</v>
      </c>
      <c r="AM833" s="71">
        <v>0.96536538484933299</v>
      </c>
      <c r="AN833" s="70">
        <v>0.99</v>
      </c>
      <c r="AO833" s="75">
        <v>1</v>
      </c>
      <c r="AP833" s="75">
        <v>1</v>
      </c>
      <c r="AQ833" s="75">
        <v>1</v>
      </c>
      <c r="AR833" s="75">
        <v>1</v>
      </c>
      <c r="AS833" s="95">
        <v>8.1059522893420499E-2</v>
      </c>
      <c r="AT833" s="79">
        <v>3.8461538461538498E-2</v>
      </c>
      <c r="AU833" s="79">
        <v>8.1081081081081099E-2</v>
      </c>
      <c r="AV833" s="79">
        <v>0</v>
      </c>
      <c r="AW833" s="79">
        <v>5.8823529411764698E-2</v>
      </c>
      <c r="AX833" s="56"/>
      <c r="AY833" s="54"/>
    </row>
    <row r="834" spans="1:51">
      <c r="A834" s="53"/>
      <c r="B834" s="56"/>
      <c r="C834" s="90" t="s">
        <v>663</v>
      </c>
      <c r="D834" s="230" t="s">
        <v>1757</v>
      </c>
      <c r="E834" s="68" t="s">
        <v>664</v>
      </c>
      <c r="F834" s="113" t="s">
        <v>856</v>
      </c>
      <c r="G834" s="113" t="s">
        <v>856</v>
      </c>
      <c r="H834" s="113" t="s">
        <v>856</v>
      </c>
      <c r="I834" s="113" t="s">
        <v>856</v>
      </c>
      <c r="J834" s="70">
        <v>0.9</v>
      </c>
      <c r="K834" s="71">
        <v>0.95</v>
      </c>
      <c r="L834" s="71">
        <v>0.96</v>
      </c>
      <c r="M834" s="72">
        <v>0.95918367346938804</v>
      </c>
      <c r="N834" s="71">
        <v>0.96992481203007497</v>
      </c>
      <c r="O834" s="73">
        <v>0.9</v>
      </c>
      <c r="P834" s="71">
        <v>0.93987458502397603</v>
      </c>
      <c r="Q834" s="71">
        <v>0.91305245766212295</v>
      </c>
      <c r="R834" s="71">
        <v>0.92728429086283704</v>
      </c>
      <c r="S834" s="71">
        <v>0.91664555893279298</v>
      </c>
      <c r="T834" s="73">
        <v>0.9</v>
      </c>
      <c r="U834" s="71">
        <v>0.86536333456289205</v>
      </c>
      <c r="V834" s="71">
        <v>0.86555142503097904</v>
      </c>
      <c r="W834" s="71">
        <v>0.87873648505405999</v>
      </c>
      <c r="X834" s="71">
        <v>0.87605538669368499</v>
      </c>
      <c r="Y834" s="73">
        <v>0.92</v>
      </c>
      <c r="Z834" s="73">
        <v>0.910532276330691</v>
      </c>
      <c r="AA834" s="73">
        <v>0.92463768115942002</v>
      </c>
      <c r="AB834" s="73">
        <v>0.91508238276299103</v>
      </c>
      <c r="AC834" s="73">
        <v>0.92226328533197399</v>
      </c>
      <c r="AD834" s="73">
        <v>0.92</v>
      </c>
      <c r="AE834" s="71">
        <v>1</v>
      </c>
      <c r="AF834" s="71">
        <v>0.982222222222222</v>
      </c>
      <c r="AG834" s="71">
        <v>0.99558498896247205</v>
      </c>
      <c r="AH834" s="71">
        <v>0.99341212943228097</v>
      </c>
      <c r="AI834" s="73">
        <v>0.92</v>
      </c>
      <c r="AJ834" s="71">
        <v>0.95130773511407896</v>
      </c>
      <c r="AK834" s="71">
        <v>0.96782357194504698</v>
      </c>
      <c r="AL834" s="71">
        <v>0.96514161220043604</v>
      </c>
      <c r="AM834" s="71">
        <v>0.96751588896735297</v>
      </c>
      <c r="AN834" s="70">
        <v>0.99</v>
      </c>
      <c r="AO834" s="75">
        <v>1</v>
      </c>
      <c r="AP834" s="75">
        <v>1</v>
      </c>
      <c r="AQ834" s="75">
        <v>1</v>
      </c>
      <c r="AR834" s="75">
        <v>1</v>
      </c>
      <c r="AS834" s="95">
        <v>8.1059522893420499E-2</v>
      </c>
      <c r="AT834" s="79">
        <v>0.15384615384615399</v>
      </c>
      <c r="AU834" s="79">
        <v>4.7619047619047603E-2</v>
      </c>
      <c r="AV834" s="79">
        <v>0.2</v>
      </c>
      <c r="AW834" s="79">
        <v>0.101123595505618</v>
      </c>
      <c r="AX834" s="56"/>
      <c r="AY834" s="54"/>
    </row>
    <row r="835" spans="1:51">
      <c r="A835" s="53"/>
      <c r="B835" s="56"/>
      <c r="C835" s="90" t="s">
        <v>663</v>
      </c>
      <c r="D835" s="230" t="s">
        <v>1757</v>
      </c>
      <c r="E835" s="68" t="s">
        <v>664</v>
      </c>
      <c r="F835" s="113" t="s">
        <v>857</v>
      </c>
      <c r="G835" s="113" t="s">
        <v>857</v>
      </c>
      <c r="H835" s="113" t="s">
        <v>857</v>
      </c>
      <c r="I835" s="113" t="s">
        <v>857</v>
      </c>
      <c r="J835" s="70">
        <v>0.9</v>
      </c>
      <c r="K835" s="71">
        <v>1</v>
      </c>
      <c r="L835" s="71">
        <v>0.952380952380952</v>
      </c>
      <c r="M835" s="72">
        <v>1</v>
      </c>
      <c r="N835" s="71">
        <v>0.95833333333333304</v>
      </c>
      <c r="O835" s="73">
        <v>0.9</v>
      </c>
      <c r="P835" s="71">
        <v>0.98770851624231804</v>
      </c>
      <c r="Q835" s="71">
        <v>0.99246987951807197</v>
      </c>
      <c r="R835" s="71">
        <v>0.99221032132424503</v>
      </c>
      <c r="S835" s="71">
        <v>0.992064982627477</v>
      </c>
      <c r="T835" s="73">
        <v>0.9</v>
      </c>
      <c r="U835" s="71">
        <v>0.94117647058823495</v>
      </c>
      <c r="V835" s="71">
        <v>0.92369477911646602</v>
      </c>
      <c r="W835" s="71">
        <v>0.95666991236611498</v>
      </c>
      <c r="X835" s="71">
        <v>0.95501925063386195</v>
      </c>
      <c r="Y835" s="73">
        <v>0.92</v>
      </c>
      <c r="Z835" s="73">
        <v>0.94039735099337796</v>
      </c>
      <c r="AA835" s="73">
        <v>0.959514170040486</v>
      </c>
      <c r="AB835" s="73">
        <v>0.95015576323987505</v>
      </c>
      <c r="AC835" s="73">
        <v>0.95814977973568305</v>
      </c>
      <c r="AD835" s="73">
        <v>0.92</v>
      </c>
      <c r="AE835" s="71">
        <v>0.99601593625497997</v>
      </c>
      <c r="AF835" s="71">
        <v>0.92727272727272703</v>
      </c>
      <c r="AG835" s="71">
        <v>0.98863636363636398</v>
      </c>
      <c r="AH835" s="71">
        <v>0.98940149625935203</v>
      </c>
      <c r="AI835" s="73">
        <v>0.92</v>
      </c>
      <c r="AJ835" s="71">
        <v>0.95905621096460802</v>
      </c>
      <c r="AK835" s="71">
        <v>0.98124162572577001</v>
      </c>
      <c r="AL835" s="71">
        <v>0.98231578947368403</v>
      </c>
      <c r="AM835" s="71">
        <v>0.983289753227652</v>
      </c>
      <c r="AN835" s="70">
        <v>0.99</v>
      </c>
      <c r="AO835" s="75">
        <v>1</v>
      </c>
      <c r="AP835" s="75">
        <v>1</v>
      </c>
      <c r="AQ835" s="75">
        <v>1</v>
      </c>
      <c r="AR835" s="75">
        <v>1</v>
      </c>
      <c r="AS835" s="95">
        <v>8.1059522893420499E-2</v>
      </c>
      <c r="AT835" s="79">
        <v>0</v>
      </c>
      <c r="AU835" s="79">
        <v>0</v>
      </c>
      <c r="AV835" s="79">
        <v>0</v>
      </c>
      <c r="AW835" s="79">
        <v>7.0175438596491196E-2</v>
      </c>
      <c r="AX835" s="56"/>
      <c r="AY835" s="54"/>
    </row>
    <row r="836" spans="1:51">
      <c r="A836" s="53"/>
      <c r="B836" s="56"/>
      <c r="C836" s="90" t="s">
        <v>663</v>
      </c>
      <c r="D836" s="230" t="s">
        <v>1757</v>
      </c>
      <c r="E836" s="68" t="s">
        <v>664</v>
      </c>
      <c r="F836" s="113" t="s">
        <v>858</v>
      </c>
      <c r="G836" s="113" t="s">
        <v>858</v>
      </c>
      <c r="H836" s="113" t="s">
        <v>858</v>
      </c>
      <c r="I836" s="113" t="s">
        <v>858</v>
      </c>
      <c r="J836" s="70">
        <v>0.9</v>
      </c>
      <c r="K836" s="71">
        <v>0.91891891891891897</v>
      </c>
      <c r="L836" s="71">
        <v>0.97826086956521696</v>
      </c>
      <c r="M836" s="72">
        <v>0.837209302325581</v>
      </c>
      <c r="N836" s="71">
        <v>0.93814432989690699</v>
      </c>
      <c r="O836" s="73">
        <v>0.9</v>
      </c>
      <c r="P836" s="71">
        <v>0.98166368515205704</v>
      </c>
      <c r="Q836" s="71">
        <v>0.97634961439588697</v>
      </c>
      <c r="R836" s="71">
        <v>0.97396386822529202</v>
      </c>
      <c r="S836" s="71">
        <v>0.97460392034035404</v>
      </c>
      <c r="T836" s="73">
        <v>0.9</v>
      </c>
      <c r="U836" s="71">
        <v>0.93336314847942803</v>
      </c>
      <c r="V836" s="71">
        <v>0.93650385604113096</v>
      </c>
      <c r="W836" s="71">
        <v>0.93358129649309196</v>
      </c>
      <c r="X836" s="71">
        <v>0.93388667032077899</v>
      </c>
      <c r="Y836" s="73">
        <v>0.92</v>
      </c>
      <c r="Z836" s="73">
        <v>0.92145015105740202</v>
      </c>
      <c r="AA836" s="73">
        <v>0.94680851063829796</v>
      </c>
      <c r="AB836" s="73">
        <v>0.91600633914421503</v>
      </c>
      <c r="AC836" s="73">
        <v>0.93784872907625505</v>
      </c>
      <c r="AD836" s="73">
        <v>0.92</v>
      </c>
      <c r="AE836" s="71">
        <v>0.99147507104107502</v>
      </c>
      <c r="AF836" s="71">
        <v>0.99871465295629802</v>
      </c>
      <c r="AG836" s="71">
        <v>0.98990602158023</v>
      </c>
      <c r="AH836" s="71">
        <v>0.99496021220159103</v>
      </c>
      <c r="AI836" s="73">
        <v>0.92</v>
      </c>
      <c r="AJ836" s="71">
        <v>0.95997239475500296</v>
      </c>
      <c r="AK836" s="71">
        <v>0.98226313426133804</v>
      </c>
      <c r="AL836" s="71">
        <v>0.97111010009099197</v>
      </c>
      <c r="AM836" s="71">
        <v>0.97759510353608703</v>
      </c>
      <c r="AN836" s="70">
        <v>0.99</v>
      </c>
      <c r="AO836" s="75">
        <v>1</v>
      </c>
      <c r="AP836" s="75">
        <v>1</v>
      </c>
      <c r="AQ836" s="75">
        <v>1</v>
      </c>
      <c r="AR836" s="75">
        <v>1</v>
      </c>
      <c r="AS836" s="95">
        <v>8.1059522893420499E-2</v>
      </c>
      <c r="AT836" s="79">
        <v>0</v>
      </c>
      <c r="AU836" s="79">
        <v>7.1428571428571397E-2</v>
      </c>
      <c r="AV836" s="79">
        <v>0.1</v>
      </c>
      <c r="AW836" s="79">
        <v>5.0314465408804999E-2</v>
      </c>
      <c r="AX836" s="56"/>
      <c r="AY836" s="54"/>
    </row>
    <row r="837" spans="1:51">
      <c r="A837" s="53"/>
      <c r="B837" s="56"/>
      <c r="C837" s="90" t="s">
        <v>663</v>
      </c>
      <c r="D837" s="230" t="s">
        <v>1757</v>
      </c>
      <c r="E837" s="68" t="s">
        <v>664</v>
      </c>
      <c r="F837" s="113" t="s">
        <v>859</v>
      </c>
      <c r="G837" s="113" t="s">
        <v>859</v>
      </c>
      <c r="H837" s="113" t="s">
        <v>859</v>
      </c>
      <c r="I837" s="113" t="s">
        <v>859</v>
      </c>
      <c r="J837" s="70">
        <v>0.9</v>
      </c>
      <c r="K837" s="71">
        <v>0.875</v>
      </c>
      <c r="L837" s="71">
        <v>0.87272727272727302</v>
      </c>
      <c r="M837" s="72">
        <v>0.81632653061224503</v>
      </c>
      <c r="N837" s="71">
        <v>0.85989492119089295</v>
      </c>
      <c r="O837" s="73">
        <v>0.9</v>
      </c>
      <c r="P837" s="71">
        <v>0.90293742017879997</v>
      </c>
      <c r="Q837" s="71">
        <v>0.91783007578779396</v>
      </c>
      <c r="R837" s="71">
        <v>0.87279380111924199</v>
      </c>
      <c r="S837" s="71">
        <v>0.89981605851905699</v>
      </c>
      <c r="T837" s="73">
        <v>0.9</v>
      </c>
      <c r="U837" s="71">
        <v>0.85185185185185197</v>
      </c>
      <c r="V837" s="71">
        <v>0.87953729557239702</v>
      </c>
      <c r="W837" s="71">
        <v>0.83017649591046105</v>
      </c>
      <c r="X837" s="71">
        <v>0.87622449416092696</v>
      </c>
      <c r="Y837" s="73">
        <v>0.92</v>
      </c>
      <c r="Z837" s="73">
        <v>0.84407484407484401</v>
      </c>
      <c r="AA837" s="73">
        <v>0.90198511166253104</v>
      </c>
      <c r="AB837" s="73">
        <v>0.82587064676616895</v>
      </c>
      <c r="AC837" s="73">
        <v>0.88089360651690896</v>
      </c>
      <c r="AD837" s="73">
        <v>0.92</v>
      </c>
      <c r="AE837" s="71">
        <v>0.99442462087421901</v>
      </c>
      <c r="AF837" s="71">
        <v>0.97253787878787901</v>
      </c>
      <c r="AG837" s="71">
        <v>0.98471300836457998</v>
      </c>
      <c r="AH837" s="71">
        <v>0.98812797461660495</v>
      </c>
      <c r="AI837" s="73">
        <v>0.92</v>
      </c>
      <c r="AJ837" s="71">
        <v>0.93160723009281898</v>
      </c>
      <c r="AK837" s="71">
        <v>0.96632302405498305</v>
      </c>
      <c r="AL837" s="71">
        <v>0.95211887727022604</v>
      </c>
      <c r="AM837" s="71">
        <v>0.96334171861897999</v>
      </c>
      <c r="AN837" s="70">
        <v>0.99</v>
      </c>
      <c r="AO837" s="75">
        <v>1</v>
      </c>
      <c r="AP837" s="75">
        <v>1</v>
      </c>
      <c r="AQ837" s="75">
        <v>1</v>
      </c>
      <c r="AR837" s="75">
        <v>1</v>
      </c>
      <c r="AS837" s="95">
        <v>8.1059522893420499E-2</v>
      </c>
      <c r="AT837" s="79">
        <v>5.8823529411764698E-2</v>
      </c>
      <c r="AU837" s="79">
        <v>0.05</v>
      </c>
      <c r="AV837" s="79">
        <v>0</v>
      </c>
      <c r="AW837" s="79">
        <v>6.7164179104477598E-2</v>
      </c>
      <c r="AX837" s="56"/>
      <c r="AY837" s="54"/>
    </row>
    <row r="838" spans="1:51">
      <c r="A838" s="53"/>
      <c r="B838" s="56"/>
      <c r="C838" s="90" t="s">
        <v>663</v>
      </c>
      <c r="D838" s="230" t="s">
        <v>1757</v>
      </c>
      <c r="E838" s="68" t="s">
        <v>664</v>
      </c>
      <c r="F838" s="113" t="s">
        <v>860</v>
      </c>
      <c r="G838" s="113" t="s">
        <v>860</v>
      </c>
      <c r="H838" s="113" t="s">
        <v>860</v>
      </c>
      <c r="I838" s="113" t="s">
        <v>860</v>
      </c>
      <c r="J838" s="70">
        <v>0.9</v>
      </c>
      <c r="K838" s="71">
        <v>0.79545454545454497</v>
      </c>
      <c r="L838" s="71">
        <v>0.85714285714285698</v>
      </c>
      <c r="M838" s="72">
        <v>0.84</v>
      </c>
      <c r="N838" s="71">
        <v>0.81952117863720098</v>
      </c>
      <c r="O838" s="73">
        <v>0.9</v>
      </c>
      <c r="P838" s="71">
        <v>0.96125116713351999</v>
      </c>
      <c r="Q838" s="71">
        <v>0.95914349003199595</v>
      </c>
      <c r="R838" s="71">
        <v>0.96218286261369101</v>
      </c>
      <c r="S838" s="71">
        <v>0.95735161815838699</v>
      </c>
      <c r="T838" s="73">
        <v>0.9</v>
      </c>
      <c r="U838" s="71">
        <v>0.93837535014005602</v>
      </c>
      <c r="V838" s="71">
        <v>0.92985478710312597</v>
      </c>
      <c r="W838" s="71">
        <v>0.93130684538056496</v>
      </c>
      <c r="X838" s="71">
        <v>0.92114669195419097</v>
      </c>
      <c r="Y838" s="73">
        <v>0.92</v>
      </c>
      <c r="Z838" s="73">
        <v>0.92094861660079097</v>
      </c>
      <c r="AA838" s="73">
        <v>0.91791044776119401</v>
      </c>
      <c r="AB838" s="73">
        <v>0.91612903225806497</v>
      </c>
      <c r="AC838" s="73">
        <v>0.91526894158473104</v>
      </c>
      <c r="AD838" s="73">
        <v>0.92</v>
      </c>
      <c r="AE838" s="71">
        <v>0.99870801033591705</v>
      </c>
      <c r="AF838" s="71">
        <v>1</v>
      </c>
      <c r="AG838" s="71">
        <v>0.99821109123434704</v>
      </c>
      <c r="AH838" s="71">
        <v>0.99695756605284203</v>
      </c>
      <c r="AI838" s="73">
        <v>0.92</v>
      </c>
      <c r="AJ838" s="71">
        <v>0.95105136159944803</v>
      </c>
      <c r="AK838" s="71">
        <v>0.96156282998943998</v>
      </c>
      <c r="AL838" s="71">
        <v>0.96561067111296395</v>
      </c>
      <c r="AM838" s="71">
        <v>0.96199712793190295</v>
      </c>
      <c r="AN838" s="70">
        <v>0.99</v>
      </c>
      <c r="AO838" s="75">
        <v>1</v>
      </c>
      <c r="AP838" s="75">
        <v>1</v>
      </c>
      <c r="AQ838" s="75">
        <v>1</v>
      </c>
      <c r="AR838" s="75">
        <v>1</v>
      </c>
      <c r="AS838" s="95">
        <v>8.1059522893420499E-2</v>
      </c>
      <c r="AT838" s="79">
        <v>0</v>
      </c>
      <c r="AU838" s="79">
        <v>6.6666666666666693E-2</v>
      </c>
      <c r="AV838" s="79">
        <v>0</v>
      </c>
      <c r="AW838" s="79">
        <v>3.4682080924855502E-2</v>
      </c>
      <c r="AX838" s="56"/>
      <c r="AY838" s="54"/>
    </row>
    <row r="839" spans="1:51">
      <c r="A839" s="53"/>
      <c r="B839" s="56"/>
      <c r="C839" s="90" t="s">
        <v>663</v>
      </c>
      <c r="D839" s="230" t="s">
        <v>1757</v>
      </c>
      <c r="E839" s="68" t="s">
        <v>664</v>
      </c>
      <c r="F839" s="113" t="s">
        <v>861</v>
      </c>
      <c r="G839" s="113" t="s">
        <v>861</v>
      </c>
      <c r="H839" s="113" t="s">
        <v>861</v>
      </c>
      <c r="I839" s="113" t="s">
        <v>861</v>
      </c>
      <c r="J839" s="70">
        <v>0.9</v>
      </c>
      <c r="K839" s="71">
        <v>1</v>
      </c>
      <c r="L839" s="71">
        <v>1</v>
      </c>
      <c r="M839" s="72">
        <v>0.97959183673469397</v>
      </c>
      <c r="N839" s="71">
        <v>0.98281786941580795</v>
      </c>
      <c r="O839" s="73">
        <v>0.9</v>
      </c>
      <c r="P839" s="71">
        <v>0.96915077989601395</v>
      </c>
      <c r="Q839" s="71">
        <v>0.97569892473118303</v>
      </c>
      <c r="R839" s="71">
        <v>0.96740876750057403</v>
      </c>
      <c r="S839" s="71">
        <v>0.97657038055937595</v>
      </c>
      <c r="T839" s="73">
        <v>0.9</v>
      </c>
      <c r="U839" s="71">
        <v>0.90987868284228801</v>
      </c>
      <c r="V839" s="71">
        <v>0.923440860215054</v>
      </c>
      <c r="W839" s="71">
        <v>0.85747073674546703</v>
      </c>
      <c r="X839" s="71">
        <v>0.915841357175608</v>
      </c>
      <c r="Y839" s="73">
        <v>0.92</v>
      </c>
      <c r="Z839" s="73">
        <v>0.93042452830188704</v>
      </c>
      <c r="AA839" s="73">
        <v>0.88772845953002599</v>
      </c>
      <c r="AB839" s="73">
        <v>0.80898876404494402</v>
      </c>
      <c r="AC839" s="73">
        <v>0.90807235421166299</v>
      </c>
      <c r="AD839" s="73">
        <v>0.92</v>
      </c>
      <c r="AE839" s="71">
        <v>1</v>
      </c>
      <c r="AF839" s="71">
        <v>0.94339622641509402</v>
      </c>
      <c r="AG839" s="71">
        <v>0.99452054794520595</v>
      </c>
      <c r="AH839" s="71">
        <v>0.98974977389207097</v>
      </c>
      <c r="AI839" s="73">
        <v>0.92</v>
      </c>
      <c r="AJ839" s="71">
        <v>0.96357793251205104</v>
      </c>
      <c r="AK839" s="71">
        <v>0.96381093057607103</v>
      </c>
      <c r="AL839" s="71">
        <v>0.93726573288617099</v>
      </c>
      <c r="AM839" s="71">
        <v>0.96703964257020203</v>
      </c>
      <c r="AN839" s="70">
        <v>0.99</v>
      </c>
      <c r="AO839" s="75">
        <v>1</v>
      </c>
      <c r="AP839" s="75">
        <v>1</v>
      </c>
      <c r="AQ839" s="75">
        <v>1</v>
      </c>
      <c r="AR839" s="75">
        <v>1</v>
      </c>
      <c r="AS839" s="95">
        <v>8.1059522893420499E-2</v>
      </c>
      <c r="AT839" s="79">
        <v>0</v>
      </c>
      <c r="AU839" s="79">
        <v>0</v>
      </c>
      <c r="AV839" s="79">
        <v>0</v>
      </c>
      <c r="AW839" s="79">
        <v>1.2987012987013E-2</v>
      </c>
      <c r="AX839" s="56"/>
      <c r="AY839" s="54"/>
    </row>
    <row r="840" spans="1:51">
      <c r="A840" s="53"/>
      <c r="B840" s="56"/>
      <c r="C840" s="90" t="s">
        <v>663</v>
      </c>
      <c r="D840" s="230" t="s">
        <v>1757</v>
      </c>
      <c r="E840" s="68" t="s">
        <v>664</v>
      </c>
      <c r="F840" s="113" t="s">
        <v>862</v>
      </c>
      <c r="G840" s="113" t="s">
        <v>862</v>
      </c>
      <c r="H840" s="113" t="s">
        <v>862</v>
      </c>
      <c r="I840" s="113" t="s">
        <v>862</v>
      </c>
      <c r="J840" s="70">
        <v>0.9</v>
      </c>
      <c r="K840" s="71">
        <v>0.96296296296296302</v>
      </c>
      <c r="L840" s="71">
        <v>0.88235294117647101</v>
      </c>
      <c r="M840" s="72">
        <v>0.84848484848484895</v>
      </c>
      <c r="N840" s="71">
        <v>0.93352601156069404</v>
      </c>
      <c r="O840" s="73">
        <v>0.9</v>
      </c>
      <c r="P840" s="71">
        <v>0.97323340471092101</v>
      </c>
      <c r="Q840" s="71">
        <v>0.98308392973324699</v>
      </c>
      <c r="R840" s="71">
        <v>0.96313517103952195</v>
      </c>
      <c r="S840" s="71">
        <v>0.96148564921799096</v>
      </c>
      <c r="T840" s="73">
        <v>0.9</v>
      </c>
      <c r="U840" s="71">
        <v>0.93308351177730198</v>
      </c>
      <c r="V840" s="71">
        <v>0.95901106050748197</v>
      </c>
      <c r="W840" s="71">
        <v>0.94752573895715697</v>
      </c>
      <c r="X840" s="71">
        <v>0.95646203824642495</v>
      </c>
      <c r="Y840" s="73">
        <v>0.92</v>
      </c>
      <c r="Z840" s="73">
        <v>0.91764705882352904</v>
      </c>
      <c r="AA840" s="73">
        <v>0.94756554307116103</v>
      </c>
      <c r="AB840" s="73">
        <v>0.90662139219015303</v>
      </c>
      <c r="AC840" s="73">
        <v>0.93335571596441202</v>
      </c>
      <c r="AD840" s="73">
        <v>0.92</v>
      </c>
      <c r="AE840" s="71">
        <v>0.98912526337252804</v>
      </c>
      <c r="AF840" s="71">
        <v>0.99561403508771895</v>
      </c>
      <c r="AG840" s="71">
        <v>0.99519115171916295</v>
      </c>
      <c r="AH840" s="71">
        <v>0.99151987462295599</v>
      </c>
      <c r="AI840" s="73">
        <v>0.92</v>
      </c>
      <c r="AJ840" s="71">
        <v>0.95452699959399101</v>
      </c>
      <c r="AK840" s="71">
        <v>0.98115821557218097</v>
      </c>
      <c r="AL840" s="71">
        <v>0.96694444444444405</v>
      </c>
      <c r="AM840" s="71">
        <v>0.97641180247327097</v>
      </c>
      <c r="AN840" s="70">
        <v>0.99</v>
      </c>
      <c r="AO840" s="75">
        <v>1</v>
      </c>
      <c r="AP840" s="75">
        <v>1</v>
      </c>
      <c r="AQ840" s="75">
        <v>1</v>
      </c>
      <c r="AR840" s="75">
        <v>1</v>
      </c>
      <c r="AS840" s="95">
        <v>8.1059522893420499E-2</v>
      </c>
      <c r="AT840" s="79">
        <v>0</v>
      </c>
      <c r="AU840" s="79">
        <v>6.25E-2</v>
      </c>
      <c r="AV840" s="79">
        <v>0</v>
      </c>
      <c r="AW840" s="79">
        <v>4.8780487804878099E-2</v>
      </c>
      <c r="AX840" s="56"/>
      <c r="AY840" s="54"/>
    </row>
    <row r="841" spans="1:51">
      <c r="A841" s="53"/>
      <c r="B841" s="56"/>
      <c r="C841" s="90" t="s">
        <v>663</v>
      </c>
      <c r="D841" s="230" t="s">
        <v>1757</v>
      </c>
      <c r="E841" s="68" t="s">
        <v>664</v>
      </c>
      <c r="F841" s="113" t="s">
        <v>863</v>
      </c>
      <c r="G841" s="113" t="s">
        <v>863</v>
      </c>
      <c r="H841" s="113" t="s">
        <v>863</v>
      </c>
      <c r="I841" s="113" t="s">
        <v>863</v>
      </c>
      <c r="J841" s="70">
        <v>0.9</v>
      </c>
      <c r="K841" s="71">
        <v>0.84615384615384603</v>
      </c>
      <c r="L841" s="71">
        <v>0.85185185185185197</v>
      </c>
      <c r="M841" s="72">
        <v>0.84615384615384603</v>
      </c>
      <c r="N841" s="71">
        <v>0.92222222222222205</v>
      </c>
      <c r="O841" s="73">
        <v>0.9</v>
      </c>
      <c r="P841" s="71">
        <v>0.978278358809332</v>
      </c>
      <c r="Q841" s="71">
        <v>0.97459165154265004</v>
      </c>
      <c r="R841" s="71">
        <v>0.97879207007837699</v>
      </c>
      <c r="S841" s="71">
        <v>0.96345358887636201</v>
      </c>
      <c r="T841" s="73">
        <v>0.9</v>
      </c>
      <c r="U841" s="71">
        <v>0.93885760257441697</v>
      </c>
      <c r="V841" s="71">
        <v>0.95372050816696896</v>
      </c>
      <c r="W841" s="71">
        <v>0.94651913324112502</v>
      </c>
      <c r="X841" s="71">
        <v>0.93559751972942495</v>
      </c>
      <c r="Y841" s="73">
        <v>0.92</v>
      </c>
      <c r="Z841" s="73">
        <v>0.92243767313019398</v>
      </c>
      <c r="AA841" s="73">
        <v>0.96696696696696705</v>
      </c>
      <c r="AB841" s="73">
        <v>0.92875318066157797</v>
      </c>
      <c r="AC841" s="73">
        <v>0.94677798069397301</v>
      </c>
      <c r="AD841" s="73">
        <v>0.92</v>
      </c>
      <c r="AE841" s="71">
        <v>0.99897645854657102</v>
      </c>
      <c r="AF841" s="71">
        <v>0.994285714285714</v>
      </c>
      <c r="AG841" s="71">
        <v>0.98005319148936199</v>
      </c>
      <c r="AH841" s="71">
        <v>0.99458458030497399</v>
      </c>
      <c r="AI841" s="73">
        <v>0.92</v>
      </c>
      <c r="AJ841" s="71">
        <v>0.97132169576059801</v>
      </c>
      <c r="AK841" s="71">
        <v>0.98817500985415796</v>
      </c>
      <c r="AL841" s="71">
        <v>0.981654957064793</v>
      </c>
      <c r="AM841" s="71">
        <v>0.98320197436509804</v>
      </c>
      <c r="AN841" s="70">
        <v>0.99</v>
      </c>
      <c r="AO841" s="75">
        <v>1</v>
      </c>
      <c r="AP841" s="75">
        <v>1</v>
      </c>
      <c r="AQ841" s="75">
        <v>1</v>
      </c>
      <c r="AR841" s="75">
        <v>1</v>
      </c>
      <c r="AS841" s="95">
        <v>8.1059522893420499E-2</v>
      </c>
      <c r="AT841" s="79">
        <v>0</v>
      </c>
      <c r="AU841" s="79">
        <v>0</v>
      </c>
      <c r="AV841" s="79">
        <v>0.11111111111111099</v>
      </c>
      <c r="AW841" s="79">
        <v>-1.3157894736842099E-2</v>
      </c>
      <c r="AX841" s="56"/>
      <c r="AY841" s="54"/>
    </row>
    <row r="842" spans="1:51">
      <c r="A842" s="53"/>
      <c r="B842" s="56"/>
      <c r="C842" s="90" t="s">
        <v>663</v>
      </c>
      <c r="D842" s="230" t="s">
        <v>1757</v>
      </c>
      <c r="E842" s="68" t="s">
        <v>664</v>
      </c>
      <c r="F842" s="113" t="s">
        <v>864</v>
      </c>
      <c r="G842" s="113" t="s">
        <v>864</v>
      </c>
      <c r="H842" s="113" t="s">
        <v>864</v>
      </c>
      <c r="I842" s="113" t="s">
        <v>864</v>
      </c>
      <c r="J842" s="70">
        <v>0.9</v>
      </c>
      <c r="K842" s="71">
        <v>0.9375</v>
      </c>
      <c r="L842" s="71">
        <v>1</v>
      </c>
      <c r="M842" s="72">
        <v>1</v>
      </c>
      <c r="N842" s="71">
        <v>0.977168949771689</v>
      </c>
      <c r="O842" s="73">
        <v>0.9</v>
      </c>
      <c r="P842" s="71">
        <v>0.97433460076045597</v>
      </c>
      <c r="Q842" s="71">
        <v>0.96469968387776595</v>
      </c>
      <c r="R842" s="71">
        <v>0.92068595927116803</v>
      </c>
      <c r="S842" s="71">
        <v>0.96110219368646299</v>
      </c>
      <c r="T842" s="73">
        <v>0.9</v>
      </c>
      <c r="U842" s="71">
        <v>0.93250950570342195</v>
      </c>
      <c r="V842" s="71">
        <v>0.91253951527924104</v>
      </c>
      <c r="W842" s="71">
        <v>0.87674169346195097</v>
      </c>
      <c r="X842" s="71">
        <v>0.92536115569823396</v>
      </c>
      <c r="Y842" s="73">
        <v>0.92</v>
      </c>
      <c r="Z842" s="73">
        <v>0.94339622641509402</v>
      </c>
      <c r="AA842" s="73">
        <v>0.93454545454545501</v>
      </c>
      <c r="AB842" s="73">
        <v>0.92579505300353404</v>
      </c>
      <c r="AC842" s="73">
        <v>0.94043786220218895</v>
      </c>
      <c r="AD842" s="73">
        <v>0.92</v>
      </c>
      <c r="AE842" s="71">
        <v>1</v>
      </c>
      <c r="AF842" s="71">
        <v>0.997674418604651</v>
      </c>
      <c r="AG842" s="71">
        <v>0.99510603588906998</v>
      </c>
      <c r="AH842" s="71">
        <v>0.99763162689014395</v>
      </c>
      <c r="AI842" s="73">
        <v>0.92</v>
      </c>
      <c r="AJ842" s="71">
        <v>0.96058394160583904</v>
      </c>
      <c r="AK842" s="71">
        <v>0.96640589047399905</v>
      </c>
      <c r="AL842" s="71">
        <v>0.96603071195905099</v>
      </c>
      <c r="AM842" s="71">
        <v>0.97045329418241899</v>
      </c>
      <c r="AN842" s="70">
        <v>0.99</v>
      </c>
      <c r="AO842" s="75">
        <v>1</v>
      </c>
      <c r="AP842" s="75">
        <v>1</v>
      </c>
      <c r="AQ842" s="75">
        <v>1</v>
      </c>
      <c r="AR842" s="75">
        <v>1</v>
      </c>
      <c r="AS842" s="95">
        <v>8.1059522893420499E-2</v>
      </c>
      <c r="AT842" s="79">
        <v>0.5</v>
      </c>
      <c r="AU842" s="79">
        <v>0</v>
      </c>
      <c r="AV842" s="79">
        <v>0</v>
      </c>
      <c r="AW842" s="79">
        <v>4.47761194029851E-2</v>
      </c>
      <c r="AX842" s="56"/>
      <c r="AY842" s="54"/>
    </row>
    <row r="843" spans="1:51">
      <c r="A843" s="53"/>
      <c r="B843" s="56"/>
      <c r="C843" s="90" t="s">
        <v>663</v>
      </c>
      <c r="D843" s="230" t="s">
        <v>1757</v>
      </c>
      <c r="E843" s="68" t="s">
        <v>664</v>
      </c>
      <c r="F843" s="113" t="s">
        <v>865</v>
      </c>
      <c r="G843" s="113" t="s">
        <v>865</v>
      </c>
      <c r="H843" s="113" t="s">
        <v>865</v>
      </c>
      <c r="I843" s="113" t="s">
        <v>865</v>
      </c>
      <c r="J843" s="70">
        <v>0.9</v>
      </c>
      <c r="K843" s="71">
        <v>0.84615384615384603</v>
      </c>
      <c r="L843" s="71">
        <v>0.93333333333333302</v>
      </c>
      <c r="M843" s="72">
        <v>0.92307692307692302</v>
      </c>
      <c r="N843" s="71">
        <v>0.84705882352941197</v>
      </c>
      <c r="O843" s="73">
        <v>0.9</v>
      </c>
      <c r="P843" s="71">
        <v>0.94791666666666696</v>
      </c>
      <c r="Q843" s="71">
        <v>0.97256097560975596</v>
      </c>
      <c r="R843" s="71">
        <v>0.79839883551673896</v>
      </c>
      <c r="S843" s="71">
        <v>0.92795984647180396</v>
      </c>
      <c r="T843" s="73">
        <v>0.9</v>
      </c>
      <c r="U843" s="71">
        <v>0.53515625</v>
      </c>
      <c r="V843" s="71">
        <v>0.68292682926829296</v>
      </c>
      <c r="W843" s="71">
        <v>0.50436681222707402</v>
      </c>
      <c r="X843" s="71">
        <v>0.684307646885149</v>
      </c>
      <c r="Y843" s="73">
        <v>0.92</v>
      </c>
      <c r="Z843" s="73">
        <v>0.86899563318777295</v>
      </c>
      <c r="AA843" s="73">
        <v>0.63888888888888895</v>
      </c>
      <c r="AB843" s="73">
        <v>0.34806629834254099</v>
      </c>
      <c r="AC843" s="73">
        <v>0.69919849127769895</v>
      </c>
      <c r="AD843" s="73">
        <v>0.92</v>
      </c>
      <c r="AE843" s="71">
        <v>0.907407407407407</v>
      </c>
      <c r="AF843" s="71">
        <v>0.97297297297297303</v>
      </c>
      <c r="AG843" s="71">
        <v>0.98214285714285698</v>
      </c>
      <c r="AH843" s="71">
        <v>0.96092362344582605</v>
      </c>
      <c r="AI843" s="73">
        <v>0.92</v>
      </c>
      <c r="AJ843" s="71">
        <v>0.90772316950852605</v>
      </c>
      <c r="AK843" s="71">
        <v>0.92560321715817695</v>
      </c>
      <c r="AL843" s="71">
        <v>0.88360128617363298</v>
      </c>
      <c r="AM843" s="71">
        <v>0.93030825196247402</v>
      </c>
      <c r="AN843" s="70">
        <v>0.99</v>
      </c>
      <c r="AO843" s="75">
        <v>1</v>
      </c>
      <c r="AP843" s="75" t="s">
        <v>1710</v>
      </c>
      <c r="AQ843" s="75">
        <v>1</v>
      </c>
      <c r="AR843" s="75">
        <v>1</v>
      </c>
      <c r="AS843" s="95">
        <v>8.1059522893420499E-2</v>
      </c>
      <c r="AT843" s="79">
        <v>0</v>
      </c>
      <c r="AU843" s="79">
        <v>0</v>
      </c>
      <c r="AV843" s="79">
        <v>0.5</v>
      </c>
      <c r="AW843" s="79">
        <v>6.8493150684931503E-2</v>
      </c>
      <c r="AX843" s="56"/>
      <c r="AY843" s="54"/>
    </row>
    <row r="844" spans="1:51">
      <c r="A844" s="53"/>
      <c r="B844" s="56"/>
      <c r="C844" s="90" t="s">
        <v>663</v>
      </c>
      <c r="D844" s="230" t="s">
        <v>1757</v>
      </c>
      <c r="E844" s="68" t="s">
        <v>664</v>
      </c>
      <c r="F844" s="113" t="s">
        <v>866</v>
      </c>
      <c r="G844" s="113" t="s">
        <v>866</v>
      </c>
      <c r="H844" s="113" t="s">
        <v>866</v>
      </c>
      <c r="I844" s="113" t="s">
        <v>866</v>
      </c>
      <c r="J844" s="70">
        <v>0.9</v>
      </c>
      <c r="K844" s="71">
        <v>0.95652173913043503</v>
      </c>
      <c r="L844" s="71">
        <v>0.89655172413793105</v>
      </c>
      <c r="M844" s="72">
        <v>0.89285714285714302</v>
      </c>
      <c r="N844" s="71">
        <v>0.91475409836065602</v>
      </c>
      <c r="O844" s="73">
        <v>0.9</v>
      </c>
      <c r="P844" s="71">
        <v>0.95317220543806602</v>
      </c>
      <c r="Q844" s="71">
        <v>0.96782496782496796</v>
      </c>
      <c r="R844" s="71">
        <v>0.90965346534653502</v>
      </c>
      <c r="S844" s="71">
        <v>0.95282199710564397</v>
      </c>
      <c r="T844" s="73">
        <v>0.9</v>
      </c>
      <c r="U844" s="71">
        <v>0.88141993957703901</v>
      </c>
      <c r="V844" s="71">
        <v>0.94251394251394205</v>
      </c>
      <c r="W844" s="71">
        <v>0.92326732673267298</v>
      </c>
      <c r="X844" s="71">
        <v>0.92189373578664502</v>
      </c>
      <c r="Y844" s="73">
        <v>0.92</v>
      </c>
      <c r="Z844" s="73">
        <v>0.84478371501272298</v>
      </c>
      <c r="AA844" s="73">
        <v>0.81767955801104997</v>
      </c>
      <c r="AB844" s="73">
        <v>0.77685950413223104</v>
      </c>
      <c r="AC844" s="73">
        <v>0.81906851987320195</v>
      </c>
      <c r="AD844" s="73">
        <v>0.92</v>
      </c>
      <c r="AE844" s="71">
        <v>0.98290598290598297</v>
      </c>
      <c r="AF844" s="71">
        <v>0.99601593625497997</v>
      </c>
      <c r="AG844" s="71">
        <v>0.99036144578313301</v>
      </c>
      <c r="AH844" s="71">
        <v>0.98961204155183402</v>
      </c>
      <c r="AI844" s="73">
        <v>0.92</v>
      </c>
      <c r="AJ844" s="71">
        <v>0.92253931275480505</v>
      </c>
      <c r="AK844" s="71">
        <v>0.95172669884886696</v>
      </c>
      <c r="AL844" s="71">
        <v>0.94689630426982396</v>
      </c>
      <c r="AM844" s="71">
        <v>0.95117726083574905</v>
      </c>
      <c r="AN844" s="70">
        <v>0.99</v>
      </c>
      <c r="AO844" s="75">
        <v>1</v>
      </c>
      <c r="AP844" s="75">
        <v>1</v>
      </c>
      <c r="AQ844" s="75">
        <v>1</v>
      </c>
      <c r="AR844" s="75">
        <v>1</v>
      </c>
      <c r="AS844" s="95">
        <v>8.1059522893420499E-2</v>
      </c>
      <c r="AT844" s="79">
        <v>0</v>
      </c>
      <c r="AU844" s="79">
        <v>0.25</v>
      </c>
      <c r="AV844" s="79">
        <v>0.125</v>
      </c>
      <c r="AW844" s="79">
        <v>9.6385542168674704E-2</v>
      </c>
      <c r="AX844" s="56"/>
      <c r="AY844" s="54"/>
    </row>
    <row r="845" spans="1:51">
      <c r="A845" s="53"/>
      <c r="B845" s="56"/>
      <c r="C845" s="90" t="s">
        <v>663</v>
      </c>
      <c r="D845" s="230" t="s">
        <v>1757</v>
      </c>
      <c r="E845" s="68" t="s">
        <v>664</v>
      </c>
      <c r="F845" s="113" t="s">
        <v>867</v>
      </c>
      <c r="G845" s="113" t="s">
        <v>867</v>
      </c>
      <c r="H845" s="113" t="s">
        <v>867</v>
      </c>
      <c r="I845" s="113" t="s">
        <v>867</v>
      </c>
      <c r="J845" s="70">
        <v>0.9</v>
      </c>
      <c r="K845" s="71">
        <v>0.88636363636363602</v>
      </c>
      <c r="L845" s="71">
        <v>0.86956521739130399</v>
      </c>
      <c r="M845" s="72">
        <v>0.92857142857142905</v>
      </c>
      <c r="N845" s="71">
        <v>0.88080808080808104</v>
      </c>
      <c r="O845" s="73">
        <v>0.9</v>
      </c>
      <c r="P845" s="71">
        <v>0.94845814977973597</v>
      </c>
      <c r="Q845" s="71">
        <v>0.94782192436572499</v>
      </c>
      <c r="R845" s="71">
        <v>0.94065016403221002</v>
      </c>
      <c r="S845" s="71">
        <v>0.94911466391610799</v>
      </c>
      <c r="T845" s="73">
        <v>0.9</v>
      </c>
      <c r="U845" s="71">
        <v>0.903964757709251</v>
      </c>
      <c r="V845" s="71">
        <v>0.90952608903781695</v>
      </c>
      <c r="W845" s="71">
        <v>0.89919475096928103</v>
      </c>
      <c r="X845" s="71">
        <v>0.91567818463125294</v>
      </c>
      <c r="Y845" s="73">
        <v>0.92</v>
      </c>
      <c r="Z845" s="73">
        <v>0.90007686395080699</v>
      </c>
      <c r="AA845" s="73">
        <v>0.90404797601199405</v>
      </c>
      <c r="AB845" s="73">
        <v>0.85223048327137596</v>
      </c>
      <c r="AC845" s="73">
        <v>0.90134786349297402</v>
      </c>
      <c r="AD845" s="73">
        <v>0.92</v>
      </c>
      <c r="AE845" s="71">
        <v>0.99686912961803398</v>
      </c>
      <c r="AF845" s="71">
        <v>0.99395892066049096</v>
      </c>
      <c r="AG845" s="71">
        <v>0.98509052183173595</v>
      </c>
      <c r="AH845" s="71">
        <v>0.99313559756159997</v>
      </c>
      <c r="AI845" s="73">
        <v>0.92</v>
      </c>
      <c r="AJ845" s="71">
        <v>0.937902097902098</v>
      </c>
      <c r="AK845" s="71">
        <v>0.94324045407636703</v>
      </c>
      <c r="AL845" s="71">
        <v>0.93002257336343097</v>
      </c>
      <c r="AM845" s="71">
        <v>0.94787649042382005</v>
      </c>
      <c r="AN845" s="70">
        <v>0.99</v>
      </c>
      <c r="AO845" s="75">
        <v>1</v>
      </c>
      <c r="AP845" s="75">
        <v>1</v>
      </c>
      <c r="AQ845" s="75">
        <v>1</v>
      </c>
      <c r="AR845" s="75">
        <v>1</v>
      </c>
      <c r="AS845" s="95">
        <v>8.1059522893420499E-2</v>
      </c>
      <c r="AT845" s="79">
        <v>0.13636363636363599</v>
      </c>
      <c r="AU845" s="79">
        <v>0</v>
      </c>
      <c r="AV845" s="79">
        <v>2.9411764705882401E-2</v>
      </c>
      <c r="AW845" s="79">
        <v>4.0133779264213999E-2</v>
      </c>
      <c r="AX845" s="56"/>
      <c r="AY845" s="54"/>
    </row>
    <row r="846" spans="1:51">
      <c r="A846" s="53"/>
      <c r="B846" s="56"/>
      <c r="C846" s="90" t="s">
        <v>663</v>
      </c>
      <c r="D846" s="230" t="s">
        <v>1757</v>
      </c>
      <c r="E846" s="68" t="s">
        <v>664</v>
      </c>
      <c r="F846" s="113" t="s">
        <v>868</v>
      </c>
      <c r="G846" s="113" t="s">
        <v>868</v>
      </c>
      <c r="H846" s="113" t="s">
        <v>868</v>
      </c>
      <c r="I846" s="113" t="s">
        <v>868</v>
      </c>
      <c r="J846" s="70">
        <v>0.9</v>
      </c>
      <c r="K846" s="71">
        <v>0.8</v>
      </c>
      <c r="L846" s="71">
        <v>0.92500000000000004</v>
      </c>
      <c r="M846" s="72">
        <v>0.70588235294117696</v>
      </c>
      <c r="N846" s="71">
        <v>0.85783132530120498</v>
      </c>
      <c r="O846" s="73">
        <v>0.9</v>
      </c>
      <c r="P846" s="71">
        <v>0.89770240700218795</v>
      </c>
      <c r="Q846" s="71">
        <v>0.91397849462365599</v>
      </c>
      <c r="R846" s="71">
        <v>0.91003958258366302</v>
      </c>
      <c r="S846" s="71">
        <v>0.92821538774541401</v>
      </c>
      <c r="T846" s="73">
        <v>0.9</v>
      </c>
      <c r="U846" s="71">
        <v>0.86816192560175098</v>
      </c>
      <c r="V846" s="71">
        <v>0.87741935483871003</v>
      </c>
      <c r="W846" s="71">
        <v>0.862180640518172</v>
      </c>
      <c r="X846" s="71">
        <v>0.88372723881862303</v>
      </c>
      <c r="Y846" s="73">
        <v>0.92</v>
      </c>
      <c r="Z846" s="73">
        <v>0.92322456813819598</v>
      </c>
      <c r="AA846" s="73">
        <v>0.91683569979715995</v>
      </c>
      <c r="AB846" s="73">
        <v>0.90307328605200898</v>
      </c>
      <c r="AC846" s="73">
        <v>0.91726576311137298</v>
      </c>
      <c r="AD846" s="73">
        <v>0.92</v>
      </c>
      <c r="AE846" s="71">
        <v>0.99377916018662504</v>
      </c>
      <c r="AF846" s="71">
        <v>0.98394711992445705</v>
      </c>
      <c r="AG846" s="71">
        <v>0.99473067915690905</v>
      </c>
      <c r="AH846" s="71">
        <v>0.98992734478203404</v>
      </c>
      <c r="AI846" s="73">
        <v>0.92</v>
      </c>
      <c r="AJ846" s="71">
        <v>0.93135888501742203</v>
      </c>
      <c r="AK846" s="71">
        <v>0.946919178447586</v>
      </c>
      <c r="AL846" s="71">
        <v>0.93627586206896596</v>
      </c>
      <c r="AM846" s="71">
        <v>0.94337089300758203</v>
      </c>
      <c r="AN846" s="70">
        <v>0.99</v>
      </c>
      <c r="AO846" s="75">
        <v>1</v>
      </c>
      <c r="AP846" s="75">
        <v>1</v>
      </c>
      <c r="AQ846" s="75">
        <v>1</v>
      </c>
      <c r="AR846" s="75">
        <v>1</v>
      </c>
      <c r="AS846" s="95">
        <v>8.1059522893420499E-2</v>
      </c>
      <c r="AT846" s="79">
        <v>0</v>
      </c>
      <c r="AU846" s="79">
        <v>2.6315789473684199E-2</v>
      </c>
      <c r="AV846" s="79">
        <v>0</v>
      </c>
      <c r="AW846" s="79">
        <v>2.42214532871972E-2</v>
      </c>
      <c r="AX846" s="56"/>
      <c r="AY846" s="54"/>
    </row>
    <row r="847" spans="1:51">
      <c r="A847" s="53"/>
      <c r="B847" s="56"/>
      <c r="C847" s="90" t="s">
        <v>663</v>
      </c>
      <c r="D847" s="230" t="s">
        <v>1757</v>
      </c>
      <c r="E847" s="68" t="s">
        <v>664</v>
      </c>
      <c r="F847" s="113" t="s">
        <v>869</v>
      </c>
      <c r="G847" s="113" t="s">
        <v>869</v>
      </c>
      <c r="H847" s="113" t="s">
        <v>869</v>
      </c>
      <c r="I847" s="113" t="s">
        <v>869</v>
      </c>
      <c r="J847" s="70">
        <v>0.9</v>
      </c>
      <c r="K847" s="71">
        <v>0.86486486486486502</v>
      </c>
      <c r="L847" s="71">
        <v>0.89743589743589702</v>
      </c>
      <c r="M847" s="72">
        <v>0.85</v>
      </c>
      <c r="N847" s="71">
        <v>0.86651583710407198</v>
      </c>
      <c r="O847" s="73">
        <v>0.9</v>
      </c>
      <c r="P847" s="71">
        <v>0.92876838235294101</v>
      </c>
      <c r="Q847" s="71">
        <v>0.90271327303837701</v>
      </c>
      <c r="R847" s="71">
        <v>0.81803499327052498</v>
      </c>
      <c r="S847" s="71">
        <v>0.90165726638010302</v>
      </c>
      <c r="T847" s="73">
        <v>0.9</v>
      </c>
      <c r="U847" s="71">
        <v>0.90487132352941202</v>
      </c>
      <c r="V847" s="71">
        <v>0.88780249327792704</v>
      </c>
      <c r="W847" s="71">
        <v>0.89340511440107695</v>
      </c>
      <c r="X847" s="71">
        <v>0.90225358411807099</v>
      </c>
      <c r="Y847" s="73">
        <v>0.92</v>
      </c>
      <c r="Z847" s="73">
        <v>0.94701986754966905</v>
      </c>
      <c r="AA847" s="73">
        <v>0.91905564924114702</v>
      </c>
      <c r="AB847" s="73">
        <v>0.94835680751173701</v>
      </c>
      <c r="AC847" s="73">
        <v>0.94924302091537605</v>
      </c>
      <c r="AD847" s="73">
        <v>0.92</v>
      </c>
      <c r="AE847" s="71">
        <v>0.99890948745910602</v>
      </c>
      <c r="AF847" s="71">
        <v>0.98484848484848497</v>
      </c>
      <c r="AG847" s="71">
        <v>0.985200845665962</v>
      </c>
      <c r="AH847" s="71">
        <v>0.98842271001203996</v>
      </c>
      <c r="AI847" s="73">
        <v>0.92</v>
      </c>
      <c r="AJ847" s="71">
        <v>0.95332390381895304</v>
      </c>
      <c r="AK847" s="71">
        <v>0.93595217762596095</v>
      </c>
      <c r="AL847" s="71">
        <v>0.95461200585651496</v>
      </c>
      <c r="AM847" s="71">
        <v>0.95733276572689097</v>
      </c>
      <c r="AN847" s="70">
        <v>0.99</v>
      </c>
      <c r="AO847" s="75">
        <v>1</v>
      </c>
      <c r="AP847" s="75">
        <v>1</v>
      </c>
      <c r="AQ847" s="75">
        <v>1</v>
      </c>
      <c r="AR847" s="75">
        <v>1</v>
      </c>
      <c r="AS847" s="95">
        <v>8.1059522893420499E-2</v>
      </c>
      <c r="AT847" s="79">
        <v>0</v>
      </c>
      <c r="AU847" s="79">
        <v>2.3809523809523801E-2</v>
      </c>
      <c r="AV847" s="79">
        <v>0</v>
      </c>
      <c r="AW847" s="79">
        <v>3.09477756286267E-2</v>
      </c>
      <c r="AX847" s="56"/>
      <c r="AY847" s="54"/>
    </row>
    <row r="848" spans="1:51">
      <c r="A848" s="53"/>
      <c r="B848" s="56"/>
      <c r="C848" s="90" t="s">
        <v>663</v>
      </c>
      <c r="D848" s="230" t="s">
        <v>1757</v>
      </c>
      <c r="E848" s="68" t="s">
        <v>664</v>
      </c>
      <c r="F848" s="113" t="s">
        <v>870</v>
      </c>
      <c r="G848" s="113" t="s">
        <v>870</v>
      </c>
      <c r="H848" s="113" t="s">
        <v>870</v>
      </c>
      <c r="I848" s="113" t="s">
        <v>870</v>
      </c>
      <c r="J848" s="70">
        <v>0.9</v>
      </c>
      <c r="K848" s="71">
        <v>0.96551724137931005</v>
      </c>
      <c r="L848" s="71">
        <v>0.94117647058823495</v>
      </c>
      <c r="M848" s="72">
        <v>0.96666666666666701</v>
      </c>
      <c r="N848" s="71">
        <v>0.94017094017094005</v>
      </c>
      <c r="O848" s="73">
        <v>0.9</v>
      </c>
      <c r="P848" s="71">
        <v>0.96096440872560296</v>
      </c>
      <c r="Q848" s="71">
        <v>0.971830985915493</v>
      </c>
      <c r="R848" s="71">
        <v>0.97826086956521696</v>
      </c>
      <c r="S848" s="71">
        <v>0.97247677825571999</v>
      </c>
      <c r="T848" s="73">
        <v>0.9</v>
      </c>
      <c r="U848" s="71">
        <v>0.93340987370838102</v>
      </c>
      <c r="V848" s="71">
        <v>0.94</v>
      </c>
      <c r="W848" s="71">
        <v>0.95133030499675497</v>
      </c>
      <c r="X848" s="71">
        <v>0.93990399601022401</v>
      </c>
      <c r="Y848" s="73">
        <v>0.92</v>
      </c>
      <c r="Z848" s="73">
        <v>0.97823936696340297</v>
      </c>
      <c r="AA848" s="73">
        <v>0.98185117967332103</v>
      </c>
      <c r="AB848" s="73">
        <v>0.97465681098204904</v>
      </c>
      <c r="AC848" s="73">
        <v>0.97860082304526796</v>
      </c>
      <c r="AD848" s="73">
        <v>0.92</v>
      </c>
      <c r="AE848" s="71">
        <v>0.99973725696269</v>
      </c>
      <c r="AF848" s="71">
        <v>0.99916107382550301</v>
      </c>
      <c r="AG848" s="71">
        <v>0.99898955877399798</v>
      </c>
      <c r="AH848" s="71">
        <v>0.988437724489447</v>
      </c>
      <c r="AI848" s="73">
        <v>0.92</v>
      </c>
      <c r="AJ848" s="71">
        <v>0.97893207410098104</v>
      </c>
      <c r="AK848" s="71">
        <v>0.98537298878595803</v>
      </c>
      <c r="AL848" s="71">
        <v>0.98312655086848599</v>
      </c>
      <c r="AM848" s="71">
        <v>0.98413441403266699</v>
      </c>
      <c r="AN848" s="70">
        <v>0.99</v>
      </c>
      <c r="AO848" s="75">
        <v>1</v>
      </c>
      <c r="AP848" s="75">
        <v>1</v>
      </c>
      <c r="AQ848" s="75">
        <v>1</v>
      </c>
      <c r="AR848" s="75">
        <v>1</v>
      </c>
      <c r="AS848" s="95">
        <v>8.1059522893420499E-2</v>
      </c>
      <c r="AT848" s="79">
        <v>0</v>
      </c>
      <c r="AU848" s="79">
        <v>9.0909090909090898E-2</v>
      </c>
      <c r="AV848" s="79">
        <v>6.6666666666666693E-2</v>
      </c>
      <c r="AW848" s="79">
        <v>6.2015503875968998E-2</v>
      </c>
      <c r="AX848" s="56"/>
      <c r="AY848" s="54"/>
    </row>
    <row r="849" spans="1:51">
      <c r="A849" s="53"/>
      <c r="B849" s="56"/>
      <c r="C849" s="90" t="s">
        <v>663</v>
      </c>
      <c r="D849" s="230" t="s">
        <v>1757</v>
      </c>
      <c r="E849" s="68" t="s">
        <v>664</v>
      </c>
      <c r="F849" s="113" t="s">
        <v>871</v>
      </c>
      <c r="G849" s="113" t="s">
        <v>871</v>
      </c>
      <c r="H849" s="113" t="s">
        <v>871</v>
      </c>
      <c r="I849" s="113" t="s">
        <v>871</v>
      </c>
      <c r="J849" s="70">
        <v>0.9</v>
      </c>
      <c r="K849" s="71">
        <v>0.76190476190476197</v>
      </c>
      <c r="L849" s="71">
        <v>0.78260869565217395</v>
      </c>
      <c r="M849" s="72">
        <v>0.66666666666666696</v>
      </c>
      <c r="N849" s="71">
        <v>0.74895397489539794</v>
      </c>
      <c r="O849" s="73">
        <v>0.9</v>
      </c>
      <c r="P849" s="71">
        <v>0.95314057826520404</v>
      </c>
      <c r="Q849" s="71">
        <v>0.96453247351450899</v>
      </c>
      <c r="R849" s="71">
        <v>0.94561598224195298</v>
      </c>
      <c r="S849" s="71">
        <v>0.95762114059363002</v>
      </c>
      <c r="T849" s="73">
        <v>0.9</v>
      </c>
      <c r="U849" s="71">
        <v>0.86340977068793601</v>
      </c>
      <c r="V849" s="71">
        <v>0.88300322432058997</v>
      </c>
      <c r="W849" s="71">
        <v>0.90566037735849103</v>
      </c>
      <c r="X849" s="71">
        <v>0.89852949156221196</v>
      </c>
      <c r="Y849" s="73">
        <v>0.92</v>
      </c>
      <c r="Z849" s="73">
        <v>0.92843326885880095</v>
      </c>
      <c r="AA849" s="73">
        <v>0.95622895622895598</v>
      </c>
      <c r="AB849" s="73">
        <v>0.93922651933701695</v>
      </c>
      <c r="AC849" s="73">
        <v>0.93405658370559497</v>
      </c>
      <c r="AD849" s="73">
        <v>0.92</v>
      </c>
      <c r="AE849" s="71">
        <v>0.99802371541502</v>
      </c>
      <c r="AF849" s="71">
        <v>0.97222222222222199</v>
      </c>
      <c r="AG849" s="71">
        <v>0.98475609756097604</v>
      </c>
      <c r="AH849" s="71">
        <v>0.97606550493386501</v>
      </c>
      <c r="AI849" s="73">
        <v>0.92</v>
      </c>
      <c r="AJ849" s="71">
        <v>0.94934210526315799</v>
      </c>
      <c r="AK849" s="71">
        <v>0.96800324017821004</v>
      </c>
      <c r="AL849" s="71">
        <v>0.95863539445628998</v>
      </c>
      <c r="AM849" s="71">
        <v>0.96295816044259996</v>
      </c>
      <c r="AN849" s="70">
        <v>0.99</v>
      </c>
      <c r="AO849" s="75">
        <v>1</v>
      </c>
      <c r="AP849" s="75">
        <v>1</v>
      </c>
      <c r="AQ849" s="75">
        <v>1</v>
      </c>
      <c r="AR849" s="75">
        <v>1</v>
      </c>
      <c r="AS849" s="95">
        <v>8.1059522893420499E-2</v>
      </c>
      <c r="AT849" s="79">
        <v>0.33333333333333298</v>
      </c>
      <c r="AU849" s="79">
        <v>5.8823529411764698E-2</v>
      </c>
      <c r="AV849" s="79">
        <v>0</v>
      </c>
      <c r="AW849" s="79">
        <v>7.1428571428571397E-2</v>
      </c>
      <c r="AX849" s="56"/>
      <c r="AY849" s="54"/>
    </row>
    <row r="850" spans="1:51">
      <c r="A850" s="53"/>
      <c r="B850" s="56"/>
      <c r="C850" s="90" t="s">
        <v>663</v>
      </c>
      <c r="D850" s="230" t="s">
        <v>1757</v>
      </c>
      <c r="E850" s="68" t="s">
        <v>664</v>
      </c>
      <c r="F850" s="113" t="s">
        <v>872</v>
      </c>
      <c r="G850" s="113" t="s">
        <v>872</v>
      </c>
      <c r="H850" s="113" t="s">
        <v>872</v>
      </c>
      <c r="I850" s="113" t="s">
        <v>872</v>
      </c>
      <c r="J850" s="70">
        <v>0.9</v>
      </c>
      <c r="K850" s="71">
        <v>0.95833333333333304</v>
      </c>
      <c r="L850" s="71">
        <v>1</v>
      </c>
      <c r="M850" s="72">
        <v>0.96551724137931005</v>
      </c>
      <c r="N850" s="71">
        <v>0.97523219814241502</v>
      </c>
      <c r="O850" s="73">
        <v>0.9</v>
      </c>
      <c r="P850" s="71">
        <v>0.96355498721227595</v>
      </c>
      <c r="Q850" s="71">
        <v>0.964842555793335</v>
      </c>
      <c r="R850" s="71">
        <v>0.94979784366576803</v>
      </c>
      <c r="S850" s="71">
        <v>0.96469735888823005</v>
      </c>
      <c r="T850" s="73">
        <v>0.9</v>
      </c>
      <c r="U850" s="71">
        <v>0.932864450127877</v>
      </c>
      <c r="V850" s="71">
        <v>0.91317639865484601</v>
      </c>
      <c r="W850" s="71">
        <v>0.94609164420485203</v>
      </c>
      <c r="X850" s="71">
        <v>0.927418823684384</v>
      </c>
      <c r="Y850" s="73">
        <v>0.92</v>
      </c>
      <c r="Z850" s="73">
        <v>0.92879256965944301</v>
      </c>
      <c r="AA850" s="73">
        <v>0.94911504424778803</v>
      </c>
      <c r="AB850" s="73">
        <v>0.92877094972066998</v>
      </c>
      <c r="AC850" s="73">
        <v>0.93292840527267995</v>
      </c>
      <c r="AD850" s="73">
        <v>0.92</v>
      </c>
      <c r="AE850" s="71">
        <v>0.997568881685575</v>
      </c>
      <c r="AF850" s="71">
        <v>0.98441734417344195</v>
      </c>
      <c r="AG850" s="71">
        <v>0.98154362416107399</v>
      </c>
      <c r="AH850" s="71">
        <v>0.99170003640334903</v>
      </c>
      <c r="AI850" s="73">
        <v>0.92</v>
      </c>
      <c r="AJ850" s="71">
        <v>0.95578365574417701</v>
      </c>
      <c r="AK850" s="71">
        <v>0.97152833736234201</v>
      </c>
      <c r="AL850" s="71">
        <v>0.97312703583061899</v>
      </c>
      <c r="AM850" s="71">
        <v>0.96974229780087096</v>
      </c>
      <c r="AN850" s="70">
        <v>0.99</v>
      </c>
      <c r="AO850" s="75">
        <v>1</v>
      </c>
      <c r="AP850" s="75">
        <v>1</v>
      </c>
      <c r="AQ850" s="75">
        <v>1</v>
      </c>
      <c r="AR850" s="75">
        <v>1</v>
      </c>
      <c r="AS850" s="95">
        <v>8.1059522893420499E-2</v>
      </c>
      <c r="AT850" s="79">
        <v>5.5555555555555601E-2</v>
      </c>
      <c r="AU850" s="79">
        <v>0</v>
      </c>
      <c r="AV850" s="79">
        <v>0</v>
      </c>
      <c r="AW850" s="79">
        <v>4.4444444444444398E-2</v>
      </c>
      <c r="AX850" s="56"/>
      <c r="AY850" s="54"/>
    </row>
    <row r="851" spans="1:51">
      <c r="A851" s="53"/>
      <c r="B851" s="56"/>
      <c r="C851" s="90" t="s">
        <v>663</v>
      </c>
      <c r="D851" s="230" t="s">
        <v>1757</v>
      </c>
      <c r="E851" s="68" t="s">
        <v>664</v>
      </c>
      <c r="F851" s="113" t="s">
        <v>873</v>
      </c>
      <c r="G851" s="113" t="s">
        <v>873</v>
      </c>
      <c r="H851" s="113" t="s">
        <v>873</v>
      </c>
      <c r="I851" s="113" t="s">
        <v>873</v>
      </c>
      <c r="J851" s="70">
        <v>0.9</v>
      </c>
      <c r="K851" s="71">
        <v>0.62790697674418605</v>
      </c>
      <c r="L851" s="71">
        <v>0.59523809523809501</v>
      </c>
      <c r="M851" s="72">
        <v>0.60526315789473695</v>
      </c>
      <c r="N851" s="71">
        <v>0.63698630136986301</v>
      </c>
      <c r="O851" s="73">
        <v>0.9</v>
      </c>
      <c r="P851" s="71">
        <v>0.80635551142006001</v>
      </c>
      <c r="Q851" s="71">
        <v>0.68470471954534196</v>
      </c>
      <c r="R851" s="71">
        <v>0.68907103825136595</v>
      </c>
      <c r="S851" s="71">
        <v>0.74968129408765105</v>
      </c>
      <c r="T851" s="73">
        <v>0.9</v>
      </c>
      <c r="U851" s="71">
        <v>0.50248262164846103</v>
      </c>
      <c r="V851" s="71">
        <v>0.389918458117124</v>
      </c>
      <c r="W851" s="71">
        <v>0.41393442622950799</v>
      </c>
      <c r="X851" s="71">
        <v>0.47270460919572799</v>
      </c>
      <c r="Y851" s="73">
        <v>0.92</v>
      </c>
      <c r="Z851" s="73">
        <v>0.60700389105058405</v>
      </c>
      <c r="AA851" s="73">
        <v>0.13736263736263701</v>
      </c>
      <c r="AB851" s="73">
        <v>5.0251256281407003E-2</v>
      </c>
      <c r="AC851" s="73">
        <v>0.43776431592182002</v>
      </c>
      <c r="AD851" s="73">
        <v>0.92</v>
      </c>
      <c r="AE851" s="71">
        <v>0.99728629579375805</v>
      </c>
      <c r="AF851" s="71">
        <v>0.97009102730819197</v>
      </c>
      <c r="AG851" s="71">
        <v>0.98347107438016501</v>
      </c>
      <c r="AH851" s="71">
        <v>0.97709434566714704</v>
      </c>
      <c r="AI851" s="73">
        <v>0.92</v>
      </c>
      <c r="AJ851" s="71">
        <v>0.75936883629191299</v>
      </c>
      <c r="AK851" s="71">
        <v>0.71397474967348695</v>
      </c>
      <c r="AL851" s="71">
        <v>0.61971226111230404</v>
      </c>
      <c r="AM851" s="71">
        <v>0.74813856351584496</v>
      </c>
      <c r="AN851" s="70">
        <v>0.99</v>
      </c>
      <c r="AO851" s="75">
        <v>1</v>
      </c>
      <c r="AP851" s="75">
        <v>1</v>
      </c>
      <c r="AQ851" s="75">
        <v>1</v>
      </c>
      <c r="AR851" s="75">
        <v>1</v>
      </c>
      <c r="AS851" s="95">
        <v>8.1059522893420499E-2</v>
      </c>
      <c r="AT851" s="79">
        <v>7.69230769230769E-2</v>
      </c>
      <c r="AU851" s="79">
        <v>8.6956521739130405E-2</v>
      </c>
      <c r="AV851" s="79">
        <v>3.8461538461538498E-2</v>
      </c>
      <c r="AW851" s="79">
        <v>4.3918918918918901E-2</v>
      </c>
      <c r="AX851" s="56"/>
      <c r="AY851" s="54"/>
    </row>
    <row r="852" spans="1:51">
      <c r="A852" s="53"/>
      <c r="B852" s="56"/>
      <c r="C852" s="90" t="s">
        <v>663</v>
      </c>
      <c r="D852" s="230" t="s">
        <v>1757</v>
      </c>
      <c r="E852" s="68" t="s">
        <v>664</v>
      </c>
      <c r="F852" s="113" t="s">
        <v>874</v>
      </c>
      <c r="G852" s="113" t="s">
        <v>874</v>
      </c>
      <c r="H852" s="113" t="s">
        <v>874</v>
      </c>
      <c r="I852" s="113" t="s">
        <v>874</v>
      </c>
      <c r="J852" s="70">
        <v>0.9</v>
      </c>
      <c r="K852" s="71" t="s">
        <v>1710</v>
      </c>
      <c r="L852" s="71" t="s">
        <v>1710</v>
      </c>
      <c r="M852" s="72" t="s">
        <v>1710</v>
      </c>
      <c r="N852" s="71" t="s">
        <v>1710</v>
      </c>
      <c r="O852" s="73">
        <v>0.9</v>
      </c>
      <c r="P852" s="71">
        <v>0</v>
      </c>
      <c r="Q852" s="71">
        <v>0</v>
      </c>
      <c r="R852" s="71">
        <v>0</v>
      </c>
      <c r="S852" s="71">
        <v>7.14285714285714E-3</v>
      </c>
      <c r="T852" s="73">
        <v>0.9</v>
      </c>
      <c r="U852" s="71">
        <v>1</v>
      </c>
      <c r="V852" s="71">
        <v>1</v>
      </c>
      <c r="W852" s="71">
        <v>1</v>
      </c>
      <c r="X852" s="71">
        <v>0.76428571428571401</v>
      </c>
      <c r="Y852" s="73">
        <v>0.92</v>
      </c>
      <c r="Z852" s="73">
        <v>1</v>
      </c>
      <c r="AA852" s="73">
        <v>1</v>
      </c>
      <c r="AB852" s="73">
        <v>1</v>
      </c>
      <c r="AC852" s="73">
        <v>1</v>
      </c>
      <c r="AD852" s="73">
        <v>0.92</v>
      </c>
      <c r="AE852" s="71" t="s">
        <v>1710</v>
      </c>
      <c r="AF852" s="71" t="s">
        <v>1710</v>
      </c>
      <c r="AG852" s="71" t="s">
        <v>1710</v>
      </c>
      <c r="AH852" s="71">
        <v>0.66666666666666696</v>
      </c>
      <c r="AI852" s="73">
        <v>0.92</v>
      </c>
      <c r="AJ852" s="71">
        <v>1</v>
      </c>
      <c r="AK852" s="71">
        <v>1</v>
      </c>
      <c r="AL852" s="71">
        <v>1</v>
      </c>
      <c r="AM852" s="71">
        <v>1</v>
      </c>
      <c r="AN852" s="70">
        <v>0.99</v>
      </c>
      <c r="AO852" s="75" t="s">
        <v>1710</v>
      </c>
      <c r="AP852" s="75" t="s">
        <v>1710</v>
      </c>
      <c r="AQ852" s="75" t="s">
        <v>1710</v>
      </c>
      <c r="AR852" s="75">
        <v>1</v>
      </c>
      <c r="AS852" s="95">
        <v>8.1059522893420499E-2</v>
      </c>
      <c r="AT852" s="79" t="s">
        <v>1710</v>
      </c>
      <c r="AU852" s="79" t="s">
        <v>1710</v>
      </c>
      <c r="AV852" s="79" t="s">
        <v>1710</v>
      </c>
      <c r="AW852" s="79">
        <v>0</v>
      </c>
      <c r="AX852" s="56"/>
      <c r="AY852" s="54"/>
    </row>
    <row r="853" spans="1:51">
      <c r="A853" s="53"/>
      <c r="B853" s="56"/>
      <c r="C853" s="90" t="s">
        <v>663</v>
      </c>
      <c r="D853" s="230" t="s">
        <v>1757</v>
      </c>
      <c r="E853" s="68" t="s">
        <v>664</v>
      </c>
      <c r="F853" s="113" t="s">
        <v>875</v>
      </c>
      <c r="G853" s="113" t="s">
        <v>875</v>
      </c>
      <c r="H853" s="113" t="s">
        <v>875</v>
      </c>
      <c r="I853" s="113" t="s">
        <v>875</v>
      </c>
      <c r="J853" s="70">
        <v>0.9</v>
      </c>
      <c r="K853" s="71">
        <v>0.95348837209302295</v>
      </c>
      <c r="L853" s="71">
        <v>0.88636363636363602</v>
      </c>
      <c r="M853" s="72">
        <v>0.95918367346938804</v>
      </c>
      <c r="N853" s="71">
        <v>0.91228070175438603</v>
      </c>
      <c r="O853" s="73">
        <v>0.9</v>
      </c>
      <c r="P853" s="71">
        <v>0.96353953297828798</v>
      </c>
      <c r="Q853" s="71">
        <v>0.97100194763038306</v>
      </c>
      <c r="R853" s="71">
        <v>0.97163865546218497</v>
      </c>
      <c r="S853" s="71">
        <v>0.95890797231479097</v>
      </c>
      <c r="T853" s="73">
        <v>0.9</v>
      </c>
      <c r="U853" s="71">
        <v>0.89963129864809499</v>
      </c>
      <c r="V853" s="71">
        <v>0.89374594243670202</v>
      </c>
      <c r="W853" s="71">
        <v>0.92594537815126099</v>
      </c>
      <c r="X853" s="71">
        <v>0.91192002050756205</v>
      </c>
      <c r="Y853" s="73">
        <v>0.92</v>
      </c>
      <c r="Z853" s="73">
        <v>0.927362482369535</v>
      </c>
      <c r="AA853" s="73">
        <v>0.88450292397660801</v>
      </c>
      <c r="AB853" s="73">
        <v>0.91621621621621596</v>
      </c>
      <c r="AC853" s="73">
        <v>0.91669620701878796</v>
      </c>
      <c r="AD853" s="73">
        <v>0.92</v>
      </c>
      <c r="AE853" s="71">
        <v>0.99729729729729699</v>
      </c>
      <c r="AF853" s="71">
        <v>0.98172757475083094</v>
      </c>
      <c r="AG853" s="71">
        <v>1</v>
      </c>
      <c r="AH853" s="71">
        <v>0.98475750577367205</v>
      </c>
      <c r="AI853" s="73">
        <v>0.92</v>
      </c>
      <c r="AJ853" s="71">
        <v>0.95024617776626097</v>
      </c>
      <c r="AK853" s="71">
        <v>0.95193213949104605</v>
      </c>
      <c r="AL853" s="71">
        <v>0.96563643757625095</v>
      </c>
      <c r="AM853" s="71">
        <v>0.95862576296796997</v>
      </c>
      <c r="AN853" s="70">
        <v>0.99</v>
      </c>
      <c r="AO853" s="75">
        <v>1</v>
      </c>
      <c r="AP853" s="75">
        <v>1</v>
      </c>
      <c r="AQ853" s="75">
        <v>1</v>
      </c>
      <c r="AR853" s="75">
        <v>1</v>
      </c>
      <c r="AS853" s="95">
        <v>8.1059522893420499E-2</v>
      </c>
      <c r="AT853" s="79">
        <v>3.2258064516128997E-2</v>
      </c>
      <c r="AU853" s="79">
        <v>-3.125E-2</v>
      </c>
      <c r="AV853" s="79">
        <v>2.9411764705882401E-2</v>
      </c>
      <c r="AW853" s="79">
        <v>4.17827298050139E-2</v>
      </c>
      <c r="AX853" s="56"/>
      <c r="AY853" s="54"/>
    </row>
    <row r="854" spans="1:51">
      <c r="A854" s="53"/>
      <c r="B854" s="56"/>
      <c r="C854" s="90" t="s">
        <v>663</v>
      </c>
      <c r="D854" s="230" t="s">
        <v>1757</v>
      </c>
      <c r="E854" s="68" t="s">
        <v>664</v>
      </c>
      <c r="F854" s="113" t="s">
        <v>876</v>
      </c>
      <c r="G854" s="113" t="s">
        <v>876</v>
      </c>
      <c r="H854" s="113" t="s">
        <v>876</v>
      </c>
      <c r="I854" s="113" t="s">
        <v>876</v>
      </c>
      <c r="J854" s="70">
        <v>0.9</v>
      </c>
      <c r="K854" s="71">
        <v>1</v>
      </c>
      <c r="L854" s="71">
        <v>1</v>
      </c>
      <c r="M854" s="72">
        <v>0.96969696969696995</v>
      </c>
      <c r="N854" s="71">
        <v>0.96969696969696995</v>
      </c>
      <c r="O854" s="73">
        <v>0.9</v>
      </c>
      <c r="P854" s="71">
        <v>0.96238466997870797</v>
      </c>
      <c r="Q854" s="71">
        <v>0.932830705962988</v>
      </c>
      <c r="R854" s="71">
        <v>0.94628403237674796</v>
      </c>
      <c r="S854" s="71">
        <v>0.95710592290817897</v>
      </c>
      <c r="T854" s="73">
        <v>0.9</v>
      </c>
      <c r="U854" s="71">
        <v>0.90418736692689805</v>
      </c>
      <c r="V854" s="71">
        <v>0.92289239204934903</v>
      </c>
      <c r="W854" s="71">
        <v>0.91795437821927905</v>
      </c>
      <c r="X854" s="71">
        <v>0.92161548104042601</v>
      </c>
      <c r="Y854" s="73">
        <v>0.92</v>
      </c>
      <c r="Z854" s="73">
        <v>0.897018970189702</v>
      </c>
      <c r="AA854" s="73">
        <v>0.90792838874680304</v>
      </c>
      <c r="AB854" s="73">
        <v>0.92358803986711002</v>
      </c>
      <c r="AC854" s="73">
        <v>0.91267068910765303</v>
      </c>
      <c r="AD854" s="73">
        <v>0.92</v>
      </c>
      <c r="AE854" s="71">
        <v>1</v>
      </c>
      <c r="AF854" s="71">
        <v>0.986175115207373</v>
      </c>
      <c r="AG854" s="71">
        <v>1</v>
      </c>
      <c r="AH854" s="71">
        <v>0.99451553930530201</v>
      </c>
      <c r="AI854" s="73">
        <v>0.92</v>
      </c>
      <c r="AJ854" s="71">
        <v>0.945039590125757</v>
      </c>
      <c r="AK854" s="71">
        <v>0.97038380175279504</v>
      </c>
      <c r="AL854" s="71">
        <v>0.97289156626506001</v>
      </c>
      <c r="AM854" s="71">
        <v>0.96568950890753102</v>
      </c>
      <c r="AN854" s="70">
        <v>0.99</v>
      </c>
      <c r="AO854" s="75">
        <v>1</v>
      </c>
      <c r="AP854" s="75">
        <v>1</v>
      </c>
      <c r="AQ854" s="75">
        <v>1</v>
      </c>
      <c r="AR854" s="75">
        <v>1</v>
      </c>
      <c r="AS854" s="95">
        <v>8.1059522893420499E-2</v>
      </c>
      <c r="AT854" s="79">
        <v>0.125</v>
      </c>
      <c r="AU854" s="79">
        <v>6.6666666666666693E-2</v>
      </c>
      <c r="AV854" s="79">
        <v>0.15384615384615399</v>
      </c>
      <c r="AW854" s="79">
        <v>8.7591240875912399E-2</v>
      </c>
      <c r="AX854" s="56"/>
      <c r="AY854" s="54"/>
    </row>
    <row r="855" spans="1:51">
      <c r="A855" s="53"/>
      <c r="B855" s="56"/>
      <c r="C855" s="90" t="s">
        <v>663</v>
      </c>
      <c r="D855" s="230" t="s">
        <v>1757</v>
      </c>
      <c r="E855" s="68" t="s">
        <v>664</v>
      </c>
      <c r="F855" s="113" t="s">
        <v>877</v>
      </c>
      <c r="G855" s="113" t="s">
        <v>877</v>
      </c>
      <c r="H855" s="113" t="s">
        <v>877</v>
      </c>
      <c r="I855" s="113" t="s">
        <v>877</v>
      </c>
      <c r="J855" s="70">
        <v>0.9</v>
      </c>
      <c r="K855" s="71">
        <v>0.92592592592592604</v>
      </c>
      <c r="L855" s="71">
        <v>0.96296296296296302</v>
      </c>
      <c r="M855" s="72">
        <v>1</v>
      </c>
      <c r="N855" s="71">
        <v>0.93708609271523202</v>
      </c>
      <c r="O855" s="73">
        <v>0.9</v>
      </c>
      <c r="P855" s="71">
        <v>0.95255212077642004</v>
      </c>
      <c r="Q855" s="71">
        <v>0.96020445418035805</v>
      </c>
      <c r="R855" s="71">
        <v>0.97120315581854</v>
      </c>
      <c r="S855" s="71">
        <v>0.96874394074533698</v>
      </c>
      <c r="T855" s="73">
        <v>0.9</v>
      </c>
      <c r="U855" s="71">
        <v>0.89863407620417002</v>
      </c>
      <c r="V855" s="71">
        <v>0.90617013508579802</v>
      </c>
      <c r="W855" s="71">
        <v>0.91952662721893497</v>
      </c>
      <c r="X855" s="71">
        <v>0.92224764416178695</v>
      </c>
      <c r="Y855" s="73">
        <v>0.92</v>
      </c>
      <c r="Z855" s="73">
        <v>0.91347517730496497</v>
      </c>
      <c r="AA855" s="73">
        <v>0.93016759776536295</v>
      </c>
      <c r="AB855" s="73">
        <v>0.91981845688351005</v>
      </c>
      <c r="AC855" s="73">
        <v>0.92673704112179001</v>
      </c>
      <c r="AD855" s="73">
        <v>0.92</v>
      </c>
      <c r="AE855" s="71">
        <v>1</v>
      </c>
      <c r="AF855" s="71">
        <v>0.99477221807318905</v>
      </c>
      <c r="AG855" s="71">
        <v>0.99246704331450097</v>
      </c>
      <c r="AH855" s="71">
        <v>0.99549756500964803</v>
      </c>
      <c r="AI855" s="73">
        <v>0.92</v>
      </c>
      <c r="AJ855" s="71">
        <v>0.94227099236641199</v>
      </c>
      <c r="AK855" s="71">
        <v>0.96157571843719702</v>
      </c>
      <c r="AL855" s="71">
        <v>0.95869837296620797</v>
      </c>
      <c r="AM855" s="71">
        <v>0.95948216841974199</v>
      </c>
      <c r="AN855" s="70">
        <v>0.99</v>
      </c>
      <c r="AO855" s="75">
        <v>1</v>
      </c>
      <c r="AP855" s="75">
        <v>1</v>
      </c>
      <c r="AQ855" s="75">
        <v>1</v>
      </c>
      <c r="AR855" s="75">
        <v>1</v>
      </c>
      <c r="AS855" s="95">
        <v>8.1059522893420499E-2</v>
      </c>
      <c r="AT855" s="79">
        <v>9.0909090909090898E-2</v>
      </c>
      <c r="AU855" s="79">
        <v>0</v>
      </c>
      <c r="AV855" s="79">
        <v>0.125</v>
      </c>
      <c r="AW855" s="79">
        <v>3.1446540880503103E-2</v>
      </c>
      <c r="AX855" s="56"/>
      <c r="AY855" s="54"/>
    </row>
    <row r="856" spans="1:51">
      <c r="A856" s="53"/>
      <c r="B856" s="56"/>
      <c r="C856" s="90" t="s">
        <v>663</v>
      </c>
      <c r="D856" s="230" t="s">
        <v>1757</v>
      </c>
      <c r="E856" s="68" t="s">
        <v>664</v>
      </c>
      <c r="F856" s="113" t="s">
        <v>878</v>
      </c>
      <c r="G856" s="113" t="s">
        <v>878</v>
      </c>
      <c r="H856" s="113" t="s">
        <v>878</v>
      </c>
      <c r="I856" s="113" t="s">
        <v>878</v>
      </c>
      <c r="J856" s="70">
        <v>0.9</v>
      </c>
      <c r="K856" s="71">
        <v>0.98039215686274495</v>
      </c>
      <c r="L856" s="71">
        <v>0.952380952380952</v>
      </c>
      <c r="M856" s="72">
        <v>0.90322580645161299</v>
      </c>
      <c r="N856" s="71">
        <v>0.94368340943683404</v>
      </c>
      <c r="O856" s="73">
        <v>0.9</v>
      </c>
      <c r="P856" s="71">
        <v>0.94663231505336798</v>
      </c>
      <c r="Q856" s="71">
        <v>0.89150579150579101</v>
      </c>
      <c r="R856" s="71">
        <v>0.76194921583271102</v>
      </c>
      <c r="S856" s="71">
        <v>0.88414851132813999</v>
      </c>
      <c r="T856" s="73">
        <v>0.9</v>
      </c>
      <c r="U856" s="71">
        <v>0.89731321310268697</v>
      </c>
      <c r="V856" s="71">
        <v>0.90540540540540504</v>
      </c>
      <c r="W856" s="71">
        <v>0.90048543689320404</v>
      </c>
      <c r="X856" s="71">
        <v>0.91350678106836403</v>
      </c>
      <c r="Y856" s="73">
        <v>0.92</v>
      </c>
      <c r="Z856" s="73">
        <v>0.89090909090909098</v>
      </c>
      <c r="AA856" s="73">
        <v>0.87635869565217395</v>
      </c>
      <c r="AB856" s="73">
        <v>0.85471055618615199</v>
      </c>
      <c r="AC856" s="73">
        <v>0.88400172488141404</v>
      </c>
      <c r="AD856" s="73">
        <v>0.92</v>
      </c>
      <c r="AE856" s="71">
        <v>0.99859221022993905</v>
      </c>
      <c r="AF856" s="71">
        <v>0.96431577175559702</v>
      </c>
      <c r="AG856" s="71">
        <v>0.98958683238159195</v>
      </c>
      <c r="AH856" s="71">
        <v>0.98017957243129505</v>
      </c>
      <c r="AI856" s="73">
        <v>0.92</v>
      </c>
      <c r="AJ856" s="71">
        <v>0.93229026166711604</v>
      </c>
      <c r="AK856" s="71">
        <v>0.94793779580797799</v>
      </c>
      <c r="AL856" s="71">
        <v>0.94035594035593995</v>
      </c>
      <c r="AM856" s="71">
        <v>0.95208740540269599</v>
      </c>
      <c r="AN856" s="70">
        <v>0.99</v>
      </c>
      <c r="AO856" s="75">
        <v>1</v>
      </c>
      <c r="AP856" s="75">
        <v>1</v>
      </c>
      <c r="AQ856" s="75">
        <v>1</v>
      </c>
      <c r="AR856" s="75">
        <v>1</v>
      </c>
      <c r="AS856" s="95">
        <v>8.1059522893420499E-2</v>
      </c>
      <c r="AT856" s="79">
        <v>6.6666666666666693E-2</v>
      </c>
      <c r="AU856" s="79">
        <v>7.8947368421052599E-2</v>
      </c>
      <c r="AV856" s="79">
        <v>0.16666666666666699</v>
      </c>
      <c r="AW856" s="79">
        <v>6.4981949458483707E-2</v>
      </c>
      <c r="AX856" s="56"/>
      <c r="AY856" s="54"/>
    </row>
    <row r="857" spans="1:51">
      <c r="A857" s="53"/>
      <c r="B857" s="56"/>
      <c r="C857" s="90" t="s">
        <v>663</v>
      </c>
      <c r="D857" s="230" t="s">
        <v>1757</v>
      </c>
      <c r="E857" s="68" t="s">
        <v>664</v>
      </c>
      <c r="F857" s="113" t="s">
        <v>879</v>
      </c>
      <c r="G857" s="113" t="s">
        <v>879</v>
      </c>
      <c r="H857" s="113" t="s">
        <v>879</v>
      </c>
      <c r="I857" s="113" t="s">
        <v>879</v>
      </c>
      <c r="J857" s="70">
        <v>0.9</v>
      </c>
      <c r="K857" s="71">
        <v>0.931034482758621</v>
      </c>
      <c r="L857" s="71">
        <v>0.85294117647058798</v>
      </c>
      <c r="M857" s="72">
        <v>0.86666666666666703</v>
      </c>
      <c r="N857" s="71">
        <v>0.90960451977401102</v>
      </c>
      <c r="O857" s="73">
        <v>0.9</v>
      </c>
      <c r="P857" s="71">
        <v>0.97281410727406303</v>
      </c>
      <c r="Q857" s="71">
        <v>0.914976599063963</v>
      </c>
      <c r="R857" s="71">
        <v>0.86300858529302005</v>
      </c>
      <c r="S857" s="71">
        <v>0.79447074417723895</v>
      </c>
      <c r="T857" s="73">
        <v>0.9</v>
      </c>
      <c r="U857" s="71">
        <v>0.93093313739897099</v>
      </c>
      <c r="V857" s="71">
        <v>0.91068642745709805</v>
      </c>
      <c r="W857" s="71">
        <v>0.87980589772303097</v>
      </c>
      <c r="X857" s="71">
        <v>0.92088619579625097</v>
      </c>
      <c r="Y857" s="73">
        <v>0.92</v>
      </c>
      <c r="Z857" s="73">
        <v>0.96385542168674698</v>
      </c>
      <c r="AA857" s="73">
        <v>0.83273381294964</v>
      </c>
      <c r="AB857" s="73">
        <v>0.8125</v>
      </c>
      <c r="AC857" s="73">
        <v>0.85848653270628505</v>
      </c>
      <c r="AD857" s="73">
        <v>0.92</v>
      </c>
      <c r="AE857" s="71">
        <v>0.9979633401222</v>
      </c>
      <c r="AF857" s="71">
        <v>0.98504672897196299</v>
      </c>
      <c r="AG857" s="71">
        <v>0.98039215686274495</v>
      </c>
      <c r="AH857" s="71">
        <v>0.98682008368200802</v>
      </c>
      <c r="AI857" s="73">
        <v>0.92</v>
      </c>
      <c r="AJ857" s="71">
        <v>0.96191135734071997</v>
      </c>
      <c r="AK857" s="71">
        <v>0.94679487179487198</v>
      </c>
      <c r="AL857" s="71">
        <v>0.93542260208926897</v>
      </c>
      <c r="AM857" s="71">
        <v>0.958145669797967</v>
      </c>
      <c r="AN857" s="70">
        <v>0.99</v>
      </c>
      <c r="AO857" s="75">
        <v>1</v>
      </c>
      <c r="AP857" s="75">
        <v>1</v>
      </c>
      <c r="AQ857" s="75">
        <v>1</v>
      </c>
      <c r="AR857" s="75">
        <v>1</v>
      </c>
      <c r="AS857" s="95">
        <v>8.1059522893420499E-2</v>
      </c>
      <c r="AT857" s="79">
        <v>5.8823529411764698E-2</v>
      </c>
      <c r="AU857" s="79">
        <v>0</v>
      </c>
      <c r="AV857" s="79">
        <v>0</v>
      </c>
      <c r="AW857" s="79">
        <v>3.5714285714285698E-2</v>
      </c>
      <c r="AX857" s="56"/>
      <c r="AY857" s="54"/>
    </row>
    <row r="858" spans="1:51">
      <c r="A858" s="53"/>
      <c r="B858" s="56"/>
      <c r="C858" s="90" t="s">
        <v>663</v>
      </c>
      <c r="D858" s="230" t="s">
        <v>1757</v>
      </c>
      <c r="E858" s="68" t="s">
        <v>664</v>
      </c>
      <c r="F858" s="113" t="s">
        <v>880</v>
      </c>
      <c r="G858" s="113" t="s">
        <v>880</v>
      </c>
      <c r="H858" s="113" t="s">
        <v>880</v>
      </c>
      <c r="I858" s="113" t="s">
        <v>880</v>
      </c>
      <c r="J858" s="70">
        <v>0.9</v>
      </c>
      <c r="K858" s="71">
        <v>0.89473684210526305</v>
      </c>
      <c r="L858" s="71">
        <v>0.93023255813953498</v>
      </c>
      <c r="M858" s="72">
        <v>0.97499999999999998</v>
      </c>
      <c r="N858" s="71">
        <v>0.96895787139689604</v>
      </c>
      <c r="O858" s="73">
        <v>0.9</v>
      </c>
      <c r="P858" s="71">
        <v>0.80728504870817497</v>
      </c>
      <c r="Q858" s="71">
        <v>0.79874517374517395</v>
      </c>
      <c r="R858" s="71">
        <v>0.69970533083311004</v>
      </c>
      <c r="S858" s="71">
        <v>0.81041427694934198</v>
      </c>
      <c r="T858" s="73">
        <v>0.9</v>
      </c>
      <c r="U858" s="71">
        <v>0.66327827191867805</v>
      </c>
      <c r="V858" s="71">
        <v>0.62717181467181504</v>
      </c>
      <c r="W858" s="71">
        <v>0.65041521564425397</v>
      </c>
      <c r="X858" s="71">
        <v>0.61922799903966697</v>
      </c>
      <c r="Y858" s="73">
        <v>0.92</v>
      </c>
      <c r="Z858" s="73">
        <v>0.69520103761348895</v>
      </c>
      <c r="AA858" s="73">
        <v>0.66721581548599695</v>
      </c>
      <c r="AB858" s="73">
        <v>0.66080843585237303</v>
      </c>
      <c r="AC858" s="73">
        <v>0.65460981991688505</v>
      </c>
      <c r="AD858" s="73">
        <v>0.92</v>
      </c>
      <c r="AE858" s="71">
        <v>0.99858856739590696</v>
      </c>
      <c r="AF858" s="71">
        <v>0.99736286919831196</v>
      </c>
      <c r="AG858" s="71">
        <v>0.99645390070922002</v>
      </c>
      <c r="AH858" s="71">
        <v>0.99564002997479395</v>
      </c>
      <c r="AI858" s="73">
        <v>0.92</v>
      </c>
      <c r="AJ858" s="71">
        <v>0.85249042145593901</v>
      </c>
      <c r="AK858" s="71">
        <v>0.91896442854135996</v>
      </c>
      <c r="AL858" s="71">
        <v>0.881450488145049</v>
      </c>
      <c r="AM858" s="71">
        <v>0.89779030644721303</v>
      </c>
      <c r="AN858" s="70">
        <v>0.99</v>
      </c>
      <c r="AO858" s="75">
        <v>1</v>
      </c>
      <c r="AP858" s="75">
        <v>1</v>
      </c>
      <c r="AQ858" s="75">
        <v>1</v>
      </c>
      <c r="AR858" s="75">
        <v>1</v>
      </c>
      <c r="AS858" s="95">
        <v>8.1059522893420499E-2</v>
      </c>
      <c r="AT858" s="79">
        <v>0</v>
      </c>
      <c r="AU858" s="79">
        <v>4.5454545454545497E-2</v>
      </c>
      <c r="AV858" s="79">
        <v>0</v>
      </c>
      <c r="AW858" s="79">
        <v>7.3333333333333306E-2</v>
      </c>
      <c r="AX858" s="56"/>
      <c r="AY858" s="54"/>
    </row>
    <row r="859" spans="1:51">
      <c r="A859" s="53"/>
      <c r="B859" s="56"/>
      <c r="C859" s="90" t="s">
        <v>663</v>
      </c>
      <c r="D859" s="230" t="s">
        <v>1757</v>
      </c>
      <c r="E859" s="68" t="s">
        <v>664</v>
      </c>
      <c r="F859" s="113" t="s">
        <v>881</v>
      </c>
      <c r="G859" s="113" t="s">
        <v>881</v>
      </c>
      <c r="H859" s="113" t="s">
        <v>881</v>
      </c>
      <c r="I859" s="113" t="s">
        <v>881</v>
      </c>
      <c r="J859" s="70">
        <v>0.9</v>
      </c>
      <c r="K859" s="71">
        <v>0.96875</v>
      </c>
      <c r="L859" s="71">
        <v>0.97368421052631604</v>
      </c>
      <c r="M859" s="72">
        <v>0.97222222222222199</v>
      </c>
      <c r="N859" s="71">
        <v>0.98594847775175598</v>
      </c>
      <c r="O859" s="73">
        <v>0.9</v>
      </c>
      <c r="P859" s="71">
        <v>0.976086090075727</v>
      </c>
      <c r="Q859" s="71">
        <v>0.91610887996430201</v>
      </c>
      <c r="R859" s="71">
        <v>0.94500128501670499</v>
      </c>
      <c r="S859" s="71">
        <v>0.94307400379506601</v>
      </c>
      <c r="T859" s="73">
        <v>0.9</v>
      </c>
      <c r="U859" s="71">
        <v>0.91430848943802301</v>
      </c>
      <c r="V859" s="71">
        <v>0.920348058902276</v>
      </c>
      <c r="W859" s="71">
        <v>0.890516576715497</v>
      </c>
      <c r="X859" s="71">
        <v>0.92880351433547303</v>
      </c>
      <c r="Y859" s="73">
        <v>0.92</v>
      </c>
      <c r="Z859" s="73">
        <v>0.797833935018051</v>
      </c>
      <c r="AA859" s="73">
        <v>0.79833101529902595</v>
      </c>
      <c r="AB859" s="73">
        <v>0.76970633693972201</v>
      </c>
      <c r="AC859" s="73">
        <v>0.81277404267758002</v>
      </c>
      <c r="AD859" s="73">
        <v>0.92</v>
      </c>
      <c r="AE859" s="71">
        <v>0.99697885196374603</v>
      </c>
      <c r="AF859" s="71">
        <v>0.96470588235294097</v>
      </c>
      <c r="AG859" s="71">
        <v>0.99233716475095801</v>
      </c>
      <c r="AH859" s="71">
        <v>0.98514652749899601</v>
      </c>
      <c r="AI859" s="73">
        <v>0.92</v>
      </c>
      <c r="AJ859" s="71">
        <v>0.92275449101796403</v>
      </c>
      <c r="AK859" s="71">
        <v>0.95404729859642401</v>
      </c>
      <c r="AL859" s="71">
        <v>0.93104207975325004</v>
      </c>
      <c r="AM859" s="71">
        <v>0.95387738888643703</v>
      </c>
      <c r="AN859" s="70">
        <v>0.99</v>
      </c>
      <c r="AO859" s="75">
        <v>1</v>
      </c>
      <c r="AP859" s="75">
        <v>1</v>
      </c>
      <c r="AQ859" s="75">
        <v>1</v>
      </c>
      <c r="AR859" s="75">
        <v>1</v>
      </c>
      <c r="AS859" s="95">
        <v>8.1059522893420499E-2</v>
      </c>
      <c r="AT859" s="79">
        <v>0</v>
      </c>
      <c r="AU859" s="79">
        <v>9.0909090909090898E-2</v>
      </c>
      <c r="AV859" s="79">
        <v>0</v>
      </c>
      <c r="AW859" s="79">
        <v>0.04</v>
      </c>
      <c r="AX859" s="56"/>
      <c r="AY859" s="54"/>
    </row>
    <row r="860" spans="1:51">
      <c r="A860" s="53"/>
      <c r="B860" s="56"/>
      <c r="C860" s="90" t="s">
        <v>663</v>
      </c>
      <c r="D860" s="230" t="s">
        <v>1757</v>
      </c>
      <c r="E860" s="68" t="s">
        <v>664</v>
      </c>
      <c r="F860" s="113" t="s">
        <v>882</v>
      </c>
      <c r="G860" s="113" t="s">
        <v>882</v>
      </c>
      <c r="H860" s="113" t="s">
        <v>882</v>
      </c>
      <c r="I860" s="113" t="s">
        <v>882</v>
      </c>
      <c r="J860" s="70">
        <v>0.9</v>
      </c>
      <c r="K860" s="71">
        <v>0.97727272727272696</v>
      </c>
      <c r="L860" s="71">
        <v>0.9375</v>
      </c>
      <c r="M860" s="72">
        <v>1</v>
      </c>
      <c r="N860" s="71">
        <v>0.92534381139489197</v>
      </c>
      <c r="O860" s="73">
        <v>0.9</v>
      </c>
      <c r="P860" s="71">
        <v>0.89833265555103703</v>
      </c>
      <c r="Q860" s="71">
        <v>0.92005513439007602</v>
      </c>
      <c r="R860" s="71">
        <v>0.90936885782921995</v>
      </c>
      <c r="S860" s="71">
        <v>0.90283465283465303</v>
      </c>
      <c r="T860" s="73">
        <v>0.9</v>
      </c>
      <c r="U860" s="71">
        <v>0.89141927612850802</v>
      </c>
      <c r="V860" s="71">
        <v>0.90213645761543804</v>
      </c>
      <c r="W860" s="71">
        <v>0.89735750163791195</v>
      </c>
      <c r="X860" s="71">
        <v>0.88119938119938102</v>
      </c>
      <c r="Y860" s="73">
        <v>0.92</v>
      </c>
      <c r="Z860" s="73">
        <v>0.91340450771055703</v>
      </c>
      <c r="AA860" s="73">
        <v>0.93355119825708099</v>
      </c>
      <c r="AB860" s="73">
        <v>0.853625170998632</v>
      </c>
      <c r="AC860" s="73">
        <v>0.87786915428992296</v>
      </c>
      <c r="AD860" s="73">
        <v>0.92</v>
      </c>
      <c r="AE860" s="71">
        <v>0.998142989786444</v>
      </c>
      <c r="AF860" s="71">
        <v>0.993114001530222</v>
      </c>
      <c r="AG860" s="71">
        <v>0.99268292682926795</v>
      </c>
      <c r="AH860" s="71">
        <v>0.99334467204022803</v>
      </c>
      <c r="AI860" s="73">
        <v>0.92</v>
      </c>
      <c r="AJ860" s="71">
        <v>0.94064203513022404</v>
      </c>
      <c r="AK860" s="71">
        <v>0.97059381521532895</v>
      </c>
      <c r="AL860" s="71">
        <v>0.95743879472693005</v>
      </c>
      <c r="AM860" s="71">
        <v>0.95576155381544603</v>
      </c>
      <c r="AN860" s="70">
        <v>0.99</v>
      </c>
      <c r="AO860" s="75">
        <v>1</v>
      </c>
      <c r="AP860" s="75">
        <v>1</v>
      </c>
      <c r="AQ860" s="75">
        <v>1</v>
      </c>
      <c r="AR860" s="75">
        <v>1</v>
      </c>
      <c r="AS860" s="95">
        <v>8.1059522893420499E-2</v>
      </c>
      <c r="AT860" s="79">
        <v>3.7037037037037E-2</v>
      </c>
      <c r="AU860" s="79">
        <v>0.14285714285714299</v>
      </c>
      <c r="AV860" s="79">
        <v>0</v>
      </c>
      <c r="AW860" s="79">
        <v>7.9787234042553196E-2</v>
      </c>
      <c r="AX860" s="56"/>
      <c r="AY860" s="54"/>
    </row>
    <row r="861" spans="1:51">
      <c r="A861" s="53"/>
      <c r="B861" s="56"/>
      <c r="C861" s="90" t="s">
        <v>663</v>
      </c>
      <c r="D861" s="230" t="s">
        <v>1757</v>
      </c>
      <c r="E861" s="68" t="s">
        <v>664</v>
      </c>
      <c r="F861" s="113" t="s">
        <v>883</v>
      </c>
      <c r="G861" s="113" t="s">
        <v>883</v>
      </c>
      <c r="H861" s="113" t="s">
        <v>883</v>
      </c>
      <c r="I861" s="113" t="s">
        <v>883</v>
      </c>
      <c r="J861" s="70">
        <v>0.9</v>
      </c>
      <c r="K861" s="71">
        <v>0.96</v>
      </c>
      <c r="L861" s="71">
        <v>0.91935483870967705</v>
      </c>
      <c r="M861" s="72">
        <v>0.90566037735849103</v>
      </c>
      <c r="N861" s="71">
        <v>0.92592592592592604</v>
      </c>
      <c r="O861" s="73">
        <v>0.9</v>
      </c>
      <c r="P861" s="71">
        <v>0.83778234086242298</v>
      </c>
      <c r="Q861" s="71">
        <v>0.35558515065756602</v>
      </c>
      <c r="R861" s="71">
        <v>0.27828054298642502</v>
      </c>
      <c r="S861" s="71">
        <v>0.65088973442484299</v>
      </c>
      <c r="T861" s="73">
        <v>0.9</v>
      </c>
      <c r="U861" s="71">
        <v>0.842475799354649</v>
      </c>
      <c r="V861" s="71">
        <v>0.86848676544032</v>
      </c>
      <c r="W861" s="71">
        <v>0.796206056387052</v>
      </c>
      <c r="X861" s="71">
        <v>0.87395749260155997</v>
      </c>
      <c r="Y861" s="73">
        <v>0.92</v>
      </c>
      <c r="Z861" s="73">
        <v>0.84615384615384603</v>
      </c>
      <c r="AA861" s="73">
        <v>0.90837004405286303</v>
      </c>
      <c r="AB861" s="73">
        <v>0.77631578947368396</v>
      </c>
      <c r="AC861" s="73">
        <v>0.86400078216660103</v>
      </c>
      <c r="AD861" s="73">
        <v>0.92</v>
      </c>
      <c r="AE861" s="71">
        <v>1</v>
      </c>
      <c r="AF861" s="71">
        <v>0.984615384615385</v>
      </c>
      <c r="AG861" s="71">
        <v>0.96808510638297895</v>
      </c>
      <c r="AH861" s="71">
        <v>0.98079978813559299</v>
      </c>
      <c r="AI861" s="73">
        <v>0.92</v>
      </c>
      <c r="AJ861" s="71">
        <v>0.90015462778882305</v>
      </c>
      <c r="AK861" s="71">
        <v>0.95953514421730601</v>
      </c>
      <c r="AL861" s="71">
        <v>0.93119465815067504</v>
      </c>
      <c r="AM861" s="71">
        <v>0.94666688079140504</v>
      </c>
      <c r="AN861" s="70">
        <v>0.99</v>
      </c>
      <c r="AO861" s="75">
        <v>1</v>
      </c>
      <c r="AP861" s="75">
        <v>1</v>
      </c>
      <c r="AQ861" s="75">
        <v>1</v>
      </c>
      <c r="AR861" s="75">
        <v>1</v>
      </c>
      <c r="AS861" s="95">
        <v>8.1059522893420499E-2</v>
      </c>
      <c r="AT861" s="79">
        <v>6.25E-2</v>
      </c>
      <c r="AU861" s="79">
        <v>-0.04</v>
      </c>
      <c r="AV861" s="79">
        <v>5.8823529411764698E-2</v>
      </c>
      <c r="AW861" s="79">
        <v>6.6666666666666693E-2</v>
      </c>
      <c r="AX861" s="56"/>
      <c r="AY861" s="54"/>
    </row>
    <row r="862" spans="1:51">
      <c r="A862" s="53"/>
      <c r="B862" s="56"/>
      <c r="C862" s="90" t="s">
        <v>663</v>
      </c>
      <c r="D862" s="230" t="s">
        <v>1757</v>
      </c>
      <c r="E862" s="68" t="s">
        <v>664</v>
      </c>
      <c r="F862" s="113" t="s">
        <v>884</v>
      </c>
      <c r="G862" s="113" t="s">
        <v>884</v>
      </c>
      <c r="H862" s="113" t="s">
        <v>884</v>
      </c>
      <c r="I862" s="113" t="s">
        <v>884</v>
      </c>
      <c r="J862" s="70">
        <v>0.9</v>
      </c>
      <c r="K862" s="71">
        <v>0.51428571428571401</v>
      </c>
      <c r="L862" s="71">
        <v>0.78723404255319196</v>
      </c>
      <c r="M862" s="72">
        <v>0.74468085106382997</v>
      </c>
      <c r="N862" s="71">
        <v>0.8</v>
      </c>
      <c r="O862" s="73">
        <v>0.9</v>
      </c>
      <c r="P862" s="71">
        <v>0.91225806451612901</v>
      </c>
      <c r="Q862" s="71">
        <v>0.69379310344827605</v>
      </c>
      <c r="R862" s="71">
        <v>0.60785252573617399</v>
      </c>
      <c r="S862" s="71">
        <v>0.83217649975210695</v>
      </c>
      <c r="T862" s="73">
        <v>0.9</v>
      </c>
      <c r="U862" s="71">
        <v>0.87913978494623701</v>
      </c>
      <c r="V862" s="71">
        <v>0.88068965517241404</v>
      </c>
      <c r="W862" s="71">
        <v>0.83385204692362902</v>
      </c>
      <c r="X862" s="71">
        <v>0.89469509172037698</v>
      </c>
      <c r="Y862" s="73">
        <v>0.92</v>
      </c>
      <c r="Z862" s="73">
        <v>0.89818181818181797</v>
      </c>
      <c r="AA862" s="73">
        <v>0.92307692307692302</v>
      </c>
      <c r="AB862" s="73">
        <v>0.92198581560283699</v>
      </c>
      <c r="AC862" s="73">
        <v>0.90819031672945405</v>
      </c>
      <c r="AD862" s="73">
        <v>0.92</v>
      </c>
      <c r="AE862" s="71">
        <v>1</v>
      </c>
      <c r="AF862" s="71">
        <v>0.99632352941176505</v>
      </c>
      <c r="AG862" s="71">
        <v>0.98672566371681403</v>
      </c>
      <c r="AH862" s="71">
        <v>0.99408024556018404</v>
      </c>
      <c r="AI862" s="73">
        <v>0.92</v>
      </c>
      <c r="AJ862" s="71">
        <v>0.94666666666666699</v>
      </c>
      <c r="AK862" s="71">
        <v>0.96327739387956601</v>
      </c>
      <c r="AL862" s="71">
        <v>0.95658406717182098</v>
      </c>
      <c r="AM862" s="71">
        <v>0.96432179843394805</v>
      </c>
      <c r="AN862" s="70">
        <v>0.99</v>
      </c>
      <c r="AO862" s="75">
        <v>1</v>
      </c>
      <c r="AP862" s="75">
        <v>1</v>
      </c>
      <c r="AQ862" s="75">
        <v>1</v>
      </c>
      <c r="AR862" s="75">
        <v>1</v>
      </c>
      <c r="AS862" s="95">
        <v>8.1059522893420499E-2</v>
      </c>
      <c r="AT862" s="79">
        <v>0</v>
      </c>
      <c r="AU862" s="79">
        <v>7.1428571428571397E-2</v>
      </c>
      <c r="AV862" s="79">
        <v>6.6666666666666693E-2</v>
      </c>
      <c r="AW862" s="79">
        <v>7.2164948453608199E-2</v>
      </c>
      <c r="AX862" s="56"/>
      <c r="AY862" s="54"/>
    </row>
    <row r="863" spans="1:51">
      <c r="A863" s="53"/>
      <c r="B863" s="56"/>
      <c r="C863" s="90" t="s">
        <v>663</v>
      </c>
      <c r="D863" s="230" t="s">
        <v>1757</v>
      </c>
      <c r="E863" s="68" t="s">
        <v>664</v>
      </c>
      <c r="F863" s="113" t="s">
        <v>885</v>
      </c>
      <c r="G863" s="113" t="s">
        <v>885</v>
      </c>
      <c r="H863" s="113" t="s">
        <v>885</v>
      </c>
      <c r="I863" s="113" t="s">
        <v>885</v>
      </c>
      <c r="J863" s="70">
        <v>0.9</v>
      </c>
      <c r="K863" s="71">
        <v>0.90476190476190499</v>
      </c>
      <c r="L863" s="71">
        <v>0.90384615384615397</v>
      </c>
      <c r="M863" s="72">
        <v>0.89795918367346905</v>
      </c>
      <c r="N863" s="71">
        <v>0.89463955637707904</v>
      </c>
      <c r="O863" s="73">
        <v>0.9</v>
      </c>
      <c r="P863" s="71">
        <v>0.96455505279034703</v>
      </c>
      <c r="Q863" s="71">
        <v>0.94461778471138802</v>
      </c>
      <c r="R863" s="71">
        <v>0.92836454914076105</v>
      </c>
      <c r="S863" s="71">
        <v>0.95267820752086196</v>
      </c>
      <c r="T863" s="73">
        <v>0.9</v>
      </c>
      <c r="U863" s="71">
        <v>0.907993966817496</v>
      </c>
      <c r="V863" s="71">
        <v>0.92336193447737902</v>
      </c>
      <c r="W863" s="71">
        <v>0.91716547596061004</v>
      </c>
      <c r="X863" s="71">
        <v>0.91953579166398502</v>
      </c>
      <c r="Y863" s="73">
        <v>0.92</v>
      </c>
      <c r="Z863" s="73">
        <v>0.89022919179734605</v>
      </c>
      <c r="AA863" s="73">
        <v>0.929595827900913</v>
      </c>
      <c r="AB863" s="73">
        <v>0.93231162196679396</v>
      </c>
      <c r="AC863" s="73">
        <v>0.92267780308782599</v>
      </c>
      <c r="AD863" s="73">
        <v>0.92</v>
      </c>
      <c r="AE863" s="71">
        <v>0.99518459069020904</v>
      </c>
      <c r="AF863" s="71">
        <v>0.99536178107606699</v>
      </c>
      <c r="AG863" s="71">
        <v>0.963114754098361</v>
      </c>
      <c r="AH863" s="71">
        <v>0.98847631241997402</v>
      </c>
      <c r="AI863" s="73">
        <v>0.92</v>
      </c>
      <c r="AJ863" s="71">
        <v>0.93995978167193295</v>
      </c>
      <c r="AK863" s="71">
        <v>0.96997455470737903</v>
      </c>
      <c r="AL863" s="71">
        <v>0.96108688359610905</v>
      </c>
      <c r="AM863" s="71">
        <v>0.96379376753911306</v>
      </c>
      <c r="AN863" s="70">
        <v>0.99</v>
      </c>
      <c r="AO863" s="75">
        <v>1</v>
      </c>
      <c r="AP863" s="75">
        <v>1</v>
      </c>
      <c r="AQ863" s="75">
        <v>1</v>
      </c>
      <c r="AR863" s="75">
        <v>1</v>
      </c>
      <c r="AS863" s="95">
        <v>8.1059522893420499E-2</v>
      </c>
      <c r="AT863" s="79">
        <v>5.8823529411764698E-2</v>
      </c>
      <c r="AU863" s="79">
        <v>4.1666666666666699E-2</v>
      </c>
      <c r="AV863" s="79">
        <v>4.5454545454545497E-2</v>
      </c>
      <c r="AW863" s="79">
        <v>6.21761658031088E-2</v>
      </c>
      <c r="AX863" s="56"/>
      <c r="AY863" s="54"/>
    </row>
    <row r="864" spans="1:51">
      <c r="A864" s="53"/>
      <c r="B864" s="56"/>
      <c r="C864" s="90" t="s">
        <v>663</v>
      </c>
      <c r="D864" s="230" t="s">
        <v>1757</v>
      </c>
      <c r="E864" s="68" t="s">
        <v>664</v>
      </c>
      <c r="F864" s="113" t="s">
        <v>886</v>
      </c>
      <c r="G864" s="113" t="s">
        <v>886</v>
      </c>
      <c r="H864" s="113" t="s">
        <v>886</v>
      </c>
      <c r="I864" s="113" t="s">
        <v>886</v>
      </c>
      <c r="J864" s="70">
        <v>0.9</v>
      </c>
      <c r="K864" s="71">
        <v>0.93181818181818199</v>
      </c>
      <c r="L864" s="71">
        <v>0.89090909090909098</v>
      </c>
      <c r="M864" s="72">
        <v>0.92592592592592604</v>
      </c>
      <c r="N864" s="71">
        <v>0.93955094991364396</v>
      </c>
      <c r="O864" s="73">
        <v>0.9</v>
      </c>
      <c r="P864" s="71">
        <v>0.91828793774319095</v>
      </c>
      <c r="Q864" s="71">
        <v>0.85142753227859602</v>
      </c>
      <c r="R864" s="71">
        <v>0.80043939948736698</v>
      </c>
      <c r="S864" s="71">
        <v>0.86727060090218899</v>
      </c>
      <c r="T864" s="73">
        <v>0.9</v>
      </c>
      <c r="U864" s="71">
        <v>0.85154145465429498</v>
      </c>
      <c r="V864" s="71">
        <v>0.82924168030551004</v>
      </c>
      <c r="W864" s="71">
        <v>0.83870377151226705</v>
      </c>
      <c r="X864" s="71">
        <v>0.86749336353004503</v>
      </c>
      <c r="Y864" s="73">
        <v>0.92</v>
      </c>
      <c r="Z864" s="73">
        <v>0.87077534791252498</v>
      </c>
      <c r="AA864" s="73">
        <v>0.88019801980197998</v>
      </c>
      <c r="AB864" s="73">
        <v>0.83922462941847198</v>
      </c>
      <c r="AC864" s="73">
        <v>0.86918636314126996</v>
      </c>
      <c r="AD864" s="73">
        <v>0.92</v>
      </c>
      <c r="AE864" s="71">
        <v>0.98039215686274495</v>
      </c>
      <c r="AF864" s="71">
        <v>0.97685185185185197</v>
      </c>
      <c r="AG864" s="71">
        <v>0.96240601503759404</v>
      </c>
      <c r="AH864" s="71">
        <v>0.97619047619047605</v>
      </c>
      <c r="AI864" s="73">
        <v>0.92</v>
      </c>
      <c r="AJ864" s="71">
        <v>0.93765815504945904</v>
      </c>
      <c r="AK864" s="71">
        <v>0.95713627285297298</v>
      </c>
      <c r="AL864" s="71">
        <v>0.94432176656151401</v>
      </c>
      <c r="AM864" s="71">
        <v>0.95568666634946298</v>
      </c>
      <c r="AN864" s="70">
        <v>0.99</v>
      </c>
      <c r="AO864" s="75">
        <v>1</v>
      </c>
      <c r="AP864" s="75">
        <v>1</v>
      </c>
      <c r="AQ864" s="75">
        <v>1</v>
      </c>
      <c r="AR864" s="75">
        <v>1</v>
      </c>
      <c r="AS864" s="95">
        <v>8.1059522893420499E-2</v>
      </c>
      <c r="AT864" s="79">
        <v>3.7037037037037E-2</v>
      </c>
      <c r="AU864" s="79">
        <v>0</v>
      </c>
      <c r="AV864" s="79">
        <v>0</v>
      </c>
      <c r="AW864" s="79">
        <v>4.08163265306122E-2</v>
      </c>
      <c r="AX864" s="56"/>
      <c r="AY864" s="54"/>
    </row>
    <row r="865" spans="1:51">
      <c r="A865" s="53"/>
      <c r="B865" s="56"/>
      <c r="C865" s="90" t="s">
        <v>663</v>
      </c>
      <c r="D865" s="230" t="s">
        <v>1757</v>
      </c>
      <c r="E865" s="68" t="s">
        <v>664</v>
      </c>
      <c r="F865" s="113" t="s">
        <v>887</v>
      </c>
      <c r="G865" s="113" t="s">
        <v>887</v>
      </c>
      <c r="H865" s="113" t="s">
        <v>887</v>
      </c>
      <c r="I865" s="113" t="s">
        <v>887</v>
      </c>
      <c r="J865" s="70">
        <v>0.9</v>
      </c>
      <c r="K865" s="71">
        <v>0.3125</v>
      </c>
      <c r="L865" s="71">
        <v>0.76190476190476197</v>
      </c>
      <c r="M865" s="72">
        <v>0.57142857142857095</v>
      </c>
      <c r="N865" s="71">
        <v>0.71945701357466096</v>
      </c>
      <c r="O865" s="73">
        <v>0.9</v>
      </c>
      <c r="P865" s="71">
        <v>0.93819188191881897</v>
      </c>
      <c r="Q865" s="71">
        <v>0.915445321307779</v>
      </c>
      <c r="R865" s="71">
        <v>0.94090648307515801</v>
      </c>
      <c r="S865" s="71">
        <v>0.93130972456436201</v>
      </c>
      <c r="T865" s="73">
        <v>0.9</v>
      </c>
      <c r="U865" s="71">
        <v>0.90774907749077505</v>
      </c>
      <c r="V865" s="71">
        <v>0.91206313416008999</v>
      </c>
      <c r="W865" s="71">
        <v>0.93975903614457801</v>
      </c>
      <c r="X865" s="71">
        <v>0.93074761101742598</v>
      </c>
      <c r="Y865" s="73">
        <v>0.92</v>
      </c>
      <c r="Z865" s="73">
        <v>0.91304347826086996</v>
      </c>
      <c r="AA865" s="73">
        <v>0.89152542372881405</v>
      </c>
      <c r="AB865" s="73">
        <v>0.88679245283018904</v>
      </c>
      <c r="AC865" s="73">
        <v>0.894689737470167</v>
      </c>
      <c r="AD865" s="73">
        <v>0.92</v>
      </c>
      <c r="AE865" s="71">
        <v>1</v>
      </c>
      <c r="AF865" s="71">
        <v>0.98076923076923095</v>
      </c>
      <c r="AG865" s="71">
        <v>1</v>
      </c>
      <c r="AH865" s="71">
        <v>0.95682210708117399</v>
      </c>
      <c r="AI865" s="73">
        <v>0.92</v>
      </c>
      <c r="AJ865" s="71">
        <v>0.94961511546536004</v>
      </c>
      <c r="AK865" s="71">
        <v>0.95118414693088404</v>
      </c>
      <c r="AL865" s="71">
        <v>0.95536147501212998</v>
      </c>
      <c r="AM865" s="71">
        <v>0.95870973844771301</v>
      </c>
      <c r="AN865" s="70">
        <v>0.99</v>
      </c>
      <c r="AO865" s="75">
        <v>1</v>
      </c>
      <c r="AP865" s="75">
        <v>1</v>
      </c>
      <c r="AQ865" s="75">
        <v>1</v>
      </c>
      <c r="AR865" s="75">
        <v>1</v>
      </c>
      <c r="AS865" s="95">
        <v>8.1059522893420499E-2</v>
      </c>
      <c r="AT865" s="79">
        <v>9.0909090909090898E-2</v>
      </c>
      <c r="AU865" s="79">
        <v>0.125</v>
      </c>
      <c r="AV865" s="79">
        <v>0</v>
      </c>
      <c r="AW865" s="79">
        <v>3.94736842105263E-2</v>
      </c>
      <c r="AX865" s="56"/>
      <c r="AY865" s="54"/>
    </row>
    <row r="866" spans="1:51">
      <c r="A866" s="53"/>
      <c r="B866" s="56"/>
      <c r="C866" s="90" t="s">
        <v>663</v>
      </c>
      <c r="D866" s="230" t="s">
        <v>1757</v>
      </c>
      <c r="E866" s="68" t="s">
        <v>664</v>
      </c>
      <c r="F866" s="113" t="s">
        <v>888</v>
      </c>
      <c r="G866" s="113" t="s">
        <v>888</v>
      </c>
      <c r="H866" s="113" t="s">
        <v>888</v>
      </c>
      <c r="I866" s="113" t="s">
        <v>888</v>
      </c>
      <c r="J866" s="70">
        <v>0.9</v>
      </c>
      <c r="K866" s="71">
        <v>1</v>
      </c>
      <c r="L866" s="71">
        <v>0.952380952380952</v>
      </c>
      <c r="M866" s="72">
        <v>0.952380952380952</v>
      </c>
      <c r="N866" s="71">
        <v>0.98654708520179402</v>
      </c>
      <c r="O866" s="73">
        <v>0.9</v>
      </c>
      <c r="P866" s="71">
        <v>0.98997995991984</v>
      </c>
      <c r="Q866" s="71">
        <v>0.97752247752247801</v>
      </c>
      <c r="R866" s="71">
        <v>0.97423191278493604</v>
      </c>
      <c r="S866" s="71">
        <v>0.88526206794536799</v>
      </c>
      <c r="T866" s="73">
        <v>0.9</v>
      </c>
      <c r="U866" s="71">
        <v>0.96392785571142303</v>
      </c>
      <c r="V866" s="71">
        <v>0.94555444555444601</v>
      </c>
      <c r="W866" s="71">
        <v>0.93359762140733404</v>
      </c>
      <c r="X866" s="71">
        <v>0.91277550416646103</v>
      </c>
      <c r="Y866" s="73">
        <v>0.92</v>
      </c>
      <c r="Z866" s="73">
        <v>0.89523809523809506</v>
      </c>
      <c r="AA866" s="73">
        <v>0.88541666666666696</v>
      </c>
      <c r="AB866" s="73">
        <v>0.81401617250673897</v>
      </c>
      <c r="AC866" s="73">
        <v>0.83181818181818201</v>
      </c>
      <c r="AD866" s="73">
        <v>0.92</v>
      </c>
      <c r="AE866" s="71">
        <v>0.99115044247787598</v>
      </c>
      <c r="AF866" s="71">
        <v>0.98979591836734704</v>
      </c>
      <c r="AG866" s="71">
        <v>0.986784140969163</v>
      </c>
      <c r="AH866" s="71">
        <v>0.98638613861386104</v>
      </c>
      <c r="AI866" s="73">
        <v>0.92</v>
      </c>
      <c r="AJ866" s="71">
        <v>0.96344249809596305</v>
      </c>
      <c r="AK866" s="71">
        <v>0.96899563318777304</v>
      </c>
      <c r="AL866" s="71">
        <v>0.956885726245291</v>
      </c>
      <c r="AM866" s="71">
        <v>0.96016974076719497</v>
      </c>
      <c r="AN866" s="70">
        <v>0.99</v>
      </c>
      <c r="AO866" s="75">
        <v>1</v>
      </c>
      <c r="AP866" s="75">
        <v>1</v>
      </c>
      <c r="AQ866" s="75">
        <v>1</v>
      </c>
      <c r="AR866" s="75">
        <v>1</v>
      </c>
      <c r="AS866" s="95">
        <v>8.1059522893420499E-2</v>
      </c>
      <c r="AT866" s="79">
        <v>0</v>
      </c>
      <c r="AU866" s="79">
        <v>0</v>
      </c>
      <c r="AV866" s="79">
        <v>0.33333333333333298</v>
      </c>
      <c r="AW866" s="79">
        <v>5.9701492537313397E-2</v>
      </c>
      <c r="AX866" s="56"/>
      <c r="AY866" s="54"/>
    </row>
    <row r="867" spans="1:51">
      <c r="A867" s="53"/>
      <c r="B867" s="56"/>
      <c r="C867" s="90" t="s">
        <v>663</v>
      </c>
      <c r="D867" s="230" t="s">
        <v>1757</v>
      </c>
      <c r="E867" s="68" t="s">
        <v>664</v>
      </c>
      <c r="F867" s="113" t="s">
        <v>889</v>
      </c>
      <c r="G867" s="113" t="s">
        <v>889</v>
      </c>
      <c r="H867" s="113" t="s">
        <v>889</v>
      </c>
      <c r="I867" s="113" t="s">
        <v>889</v>
      </c>
      <c r="J867" s="70">
        <v>0.9</v>
      </c>
      <c r="K867" s="71">
        <v>0.86363636363636398</v>
      </c>
      <c r="L867" s="71">
        <v>0.96428571428571397</v>
      </c>
      <c r="M867" s="72">
        <v>0.96296296296296302</v>
      </c>
      <c r="N867" s="71">
        <v>0.95348837209302295</v>
      </c>
      <c r="O867" s="73">
        <v>0.9</v>
      </c>
      <c r="P867" s="71">
        <v>0.98117647058823498</v>
      </c>
      <c r="Q867" s="71">
        <v>0.99203020134228204</v>
      </c>
      <c r="R867" s="71">
        <v>0.97640117994100295</v>
      </c>
      <c r="S867" s="71">
        <v>0.90196328946808102</v>
      </c>
      <c r="T867" s="73">
        <v>0.9</v>
      </c>
      <c r="U867" s="71">
        <v>0.93960784313725498</v>
      </c>
      <c r="V867" s="71">
        <v>0.94966442953020103</v>
      </c>
      <c r="W867" s="71">
        <v>0.92920353982300896</v>
      </c>
      <c r="X867" s="71">
        <v>0.93995145010859804</v>
      </c>
      <c r="Y867" s="73">
        <v>0.92</v>
      </c>
      <c r="Z867" s="73">
        <v>0.91282051282051302</v>
      </c>
      <c r="AA867" s="73">
        <v>0.94488188976377996</v>
      </c>
      <c r="AB867" s="73">
        <v>0.90171990171990202</v>
      </c>
      <c r="AC867" s="73">
        <v>0.91766081871344996</v>
      </c>
      <c r="AD867" s="73">
        <v>0.92</v>
      </c>
      <c r="AE867" s="71">
        <v>1</v>
      </c>
      <c r="AF867" s="71">
        <v>1</v>
      </c>
      <c r="AG867" s="71">
        <v>0.99324324324324298</v>
      </c>
      <c r="AH867" s="71">
        <v>0.98744394618834097</v>
      </c>
      <c r="AI867" s="73">
        <v>0.92</v>
      </c>
      <c r="AJ867" s="71">
        <v>0.97057057057057095</v>
      </c>
      <c r="AK867" s="71">
        <v>0.97359855334538903</v>
      </c>
      <c r="AL867" s="71">
        <v>0.95431654676259003</v>
      </c>
      <c r="AM867" s="71">
        <v>0.97056598335555</v>
      </c>
      <c r="AN867" s="70">
        <v>0.99</v>
      </c>
      <c r="AO867" s="75">
        <v>1</v>
      </c>
      <c r="AP867" s="75">
        <v>1</v>
      </c>
      <c r="AQ867" s="75">
        <v>1</v>
      </c>
      <c r="AR867" s="75">
        <v>1</v>
      </c>
      <c r="AS867" s="95">
        <v>8.1059522893420499E-2</v>
      </c>
      <c r="AT867" s="79">
        <v>0</v>
      </c>
      <c r="AU867" s="79">
        <v>0</v>
      </c>
      <c r="AV867" s="79">
        <v>0</v>
      </c>
      <c r="AW867" s="79">
        <v>4.5977011494252901E-2</v>
      </c>
      <c r="AX867" s="56"/>
      <c r="AY867" s="54"/>
    </row>
    <row r="868" spans="1:51">
      <c r="A868" s="53"/>
      <c r="B868" s="56"/>
      <c r="C868" s="90" t="s">
        <v>663</v>
      </c>
      <c r="D868" s="230" t="s">
        <v>1757</v>
      </c>
      <c r="E868" s="68" t="s">
        <v>664</v>
      </c>
      <c r="F868" s="113" t="s">
        <v>890</v>
      </c>
      <c r="G868" s="113" t="s">
        <v>890</v>
      </c>
      <c r="H868" s="113" t="s">
        <v>890</v>
      </c>
      <c r="I868" s="113" t="s">
        <v>890</v>
      </c>
      <c r="J868" s="70">
        <v>0.9</v>
      </c>
      <c r="K868" s="71">
        <v>0.86666666666666703</v>
      </c>
      <c r="L868" s="71">
        <v>0.77777777777777801</v>
      </c>
      <c r="M868" s="72">
        <v>0.90625</v>
      </c>
      <c r="N868" s="71">
        <v>0.83783783783783805</v>
      </c>
      <c r="O868" s="73">
        <v>0.9</v>
      </c>
      <c r="P868" s="71">
        <v>0.90135542168674698</v>
      </c>
      <c r="Q868" s="71">
        <v>0.88126159554730998</v>
      </c>
      <c r="R868" s="71">
        <v>0.966693744922827</v>
      </c>
      <c r="S868" s="71">
        <v>0.83551379638439605</v>
      </c>
      <c r="T868" s="73">
        <v>0.9</v>
      </c>
      <c r="U868" s="71">
        <v>0.92469879518072295</v>
      </c>
      <c r="V868" s="71">
        <v>0.91048237476808902</v>
      </c>
      <c r="W868" s="71">
        <v>0.90454914703493094</v>
      </c>
      <c r="X868" s="71">
        <v>0.91706311449413302</v>
      </c>
      <c r="Y868" s="73">
        <v>0.92</v>
      </c>
      <c r="Z868" s="73">
        <v>1</v>
      </c>
      <c r="AA868" s="73">
        <v>0.870253164556962</v>
      </c>
      <c r="AB868" s="73">
        <v>0.70459518599562398</v>
      </c>
      <c r="AC868" s="73">
        <v>0.77069922308546102</v>
      </c>
      <c r="AD868" s="73">
        <v>0.92</v>
      </c>
      <c r="AE868" s="71">
        <v>0.95555555555555605</v>
      </c>
      <c r="AF868" s="71">
        <v>0.97619047619047605</v>
      </c>
      <c r="AG868" s="71">
        <v>0.96666666666666701</v>
      </c>
      <c r="AH868" s="71">
        <v>0.98285714285714298</v>
      </c>
      <c r="AI868" s="73">
        <v>0.92</v>
      </c>
      <c r="AJ868" s="71">
        <v>0.95512341062079298</v>
      </c>
      <c r="AK868" s="71">
        <v>0.94763271162123397</v>
      </c>
      <c r="AL868" s="71">
        <v>0.92910958904109597</v>
      </c>
      <c r="AM868" s="71">
        <v>0.94110326269761202</v>
      </c>
      <c r="AN868" s="70">
        <v>0.99</v>
      </c>
      <c r="AO868" s="75">
        <v>1</v>
      </c>
      <c r="AP868" s="75">
        <v>1</v>
      </c>
      <c r="AQ868" s="75">
        <v>1</v>
      </c>
      <c r="AR868" s="75">
        <v>1</v>
      </c>
      <c r="AS868" s="95">
        <v>8.1059522893420499E-2</v>
      </c>
      <c r="AT868" s="79">
        <v>0</v>
      </c>
      <c r="AU868" s="79">
        <v>0.1</v>
      </c>
      <c r="AV868" s="79">
        <v>0.14285714285714299</v>
      </c>
      <c r="AW868" s="79">
        <v>4.08163265306122E-2</v>
      </c>
      <c r="AX868" s="56"/>
      <c r="AY868" s="54"/>
    </row>
    <row r="869" spans="1:51">
      <c r="A869" s="53"/>
      <c r="B869" s="56"/>
      <c r="C869" s="90" t="s">
        <v>663</v>
      </c>
      <c r="D869" s="230" t="s">
        <v>1757</v>
      </c>
      <c r="E869" s="68" t="s">
        <v>664</v>
      </c>
      <c r="F869" s="113" t="s">
        <v>891</v>
      </c>
      <c r="G869" s="113" t="s">
        <v>891</v>
      </c>
      <c r="H869" s="113" t="s">
        <v>891</v>
      </c>
      <c r="I869" s="113" t="s">
        <v>891</v>
      </c>
      <c r="J869" s="70">
        <v>0.9</v>
      </c>
      <c r="K869" s="71">
        <v>1</v>
      </c>
      <c r="L869" s="71">
        <v>1</v>
      </c>
      <c r="M869" s="72">
        <v>0.94736842105263197</v>
      </c>
      <c r="N869" s="71">
        <v>0.98401826484018295</v>
      </c>
      <c r="O869" s="73">
        <v>0.9</v>
      </c>
      <c r="P869" s="71">
        <v>0.98587360594795503</v>
      </c>
      <c r="Q869" s="71">
        <v>0.96063348416289596</v>
      </c>
      <c r="R869" s="71">
        <v>0.941407345107934</v>
      </c>
      <c r="S869" s="71">
        <v>0.96331364291568899</v>
      </c>
      <c r="T869" s="73">
        <v>0.9</v>
      </c>
      <c r="U869" s="71">
        <v>0.93866171003717502</v>
      </c>
      <c r="V869" s="71">
        <v>0.91380090497737598</v>
      </c>
      <c r="W869" s="71">
        <v>0.93467900196243303</v>
      </c>
      <c r="X869" s="71">
        <v>0.92640117577230696</v>
      </c>
      <c r="Y869" s="73">
        <v>0.92</v>
      </c>
      <c r="Z869" s="73">
        <v>0.897497020262217</v>
      </c>
      <c r="AA869" s="73">
        <v>0.93394980184940601</v>
      </c>
      <c r="AB869" s="73">
        <v>0.90760059612518595</v>
      </c>
      <c r="AC869" s="73">
        <v>0.90743382469487999</v>
      </c>
      <c r="AD869" s="73">
        <v>0.92</v>
      </c>
      <c r="AE869" s="71">
        <v>0.99038461538461497</v>
      </c>
      <c r="AF869" s="71">
        <v>0.99173553719008301</v>
      </c>
      <c r="AG869" s="71">
        <v>0.96296296296296302</v>
      </c>
      <c r="AH869" s="71">
        <v>0.98316251830160994</v>
      </c>
      <c r="AI869" s="73">
        <v>0.92</v>
      </c>
      <c r="AJ869" s="71">
        <v>0.95437801076792295</v>
      </c>
      <c r="AK869" s="71">
        <v>0.97624106625458795</v>
      </c>
      <c r="AL869" s="71">
        <v>0.96790939122227504</v>
      </c>
      <c r="AM869" s="71">
        <v>0.96629887263132597</v>
      </c>
      <c r="AN869" s="70">
        <v>0.99</v>
      </c>
      <c r="AO869" s="75">
        <v>1</v>
      </c>
      <c r="AP869" s="75">
        <v>1</v>
      </c>
      <c r="AQ869" s="75">
        <v>1</v>
      </c>
      <c r="AR869" s="75">
        <v>1</v>
      </c>
      <c r="AS869" s="95">
        <v>8.1059522893420499E-2</v>
      </c>
      <c r="AT869" s="79">
        <v>0.28571428571428598</v>
      </c>
      <c r="AU869" s="79">
        <v>0</v>
      </c>
      <c r="AV869" s="79">
        <v>0</v>
      </c>
      <c r="AW869" s="79">
        <v>0.110169491525424</v>
      </c>
      <c r="AX869" s="56"/>
      <c r="AY869" s="54"/>
    </row>
    <row r="870" spans="1:51">
      <c r="A870" s="53"/>
      <c r="B870" s="56"/>
      <c r="C870" s="90" t="s">
        <v>663</v>
      </c>
      <c r="D870" s="230" t="s">
        <v>1757</v>
      </c>
      <c r="E870" s="68" t="s">
        <v>664</v>
      </c>
      <c r="F870" s="113" t="s">
        <v>892</v>
      </c>
      <c r="G870" s="113" t="s">
        <v>892</v>
      </c>
      <c r="H870" s="113" t="s">
        <v>892</v>
      </c>
      <c r="I870" s="113" t="s">
        <v>892</v>
      </c>
      <c r="J870" s="70">
        <v>0.9</v>
      </c>
      <c r="K870" s="71">
        <v>0.73076923076923095</v>
      </c>
      <c r="L870" s="71">
        <v>0.83870967741935498</v>
      </c>
      <c r="M870" s="72">
        <v>0.73333333333333295</v>
      </c>
      <c r="N870" s="71">
        <v>0.77678571428571397</v>
      </c>
      <c r="O870" s="73">
        <v>0.9</v>
      </c>
      <c r="P870" s="71">
        <v>0.99702675916749295</v>
      </c>
      <c r="Q870" s="71">
        <v>0.99523052464228901</v>
      </c>
      <c r="R870" s="71">
        <v>0.97623966942148799</v>
      </c>
      <c r="S870" s="71">
        <v>0.90087479203563603</v>
      </c>
      <c r="T870" s="73">
        <v>0.9</v>
      </c>
      <c r="U870" s="71">
        <v>0.91972249752229895</v>
      </c>
      <c r="V870" s="71">
        <v>0.93375728669846303</v>
      </c>
      <c r="W870" s="71">
        <v>0.88584710743801698</v>
      </c>
      <c r="X870" s="71">
        <v>0.92829925401169999</v>
      </c>
      <c r="Y870" s="73">
        <v>0.92</v>
      </c>
      <c r="Z870" s="73">
        <v>0.91463414634146301</v>
      </c>
      <c r="AA870" s="73">
        <v>0.94509803921568603</v>
      </c>
      <c r="AB870" s="73">
        <v>0.95592286501377399</v>
      </c>
      <c r="AC870" s="73">
        <v>0.93960511033681804</v>
      </c>
      <c r="AD870" s="73">
        <v>0.92</v>
      </c>
      <c r="AE870" s="71">
        <v>1</v>
      </c>
      <c r="AF870" s="71">
        <v>0.97599999999999998</v>
      </c>
      <c r="AG870" s="71">
        <v>0.98666666666666702</v>
      </c>
      <c r="AH870" s="71">
        <v>0.98306188925081395</v>
      </c>
      <c r="AI870" s="73">
        <v>0.92</v>
      </c>
      <c r="AJ870" s="71">
        <v>0.96335078534031404</v>
      </c>
      <c r="AK870" s="71">
        <v>0.97198879551820705</v>
      </c>
      <c r="AL870" s="71">
        <v>0.97085689430187005</v>
      </c>
      <c r="AM870" s="71">
        <v>0.97517778683697998</v>
      </c>
      <c r="AN870" s="70">
        <v>0.99</v>
      </c>
      <c r="AO870" s="75">
        <v>1</v>
      </c>
      <c r="AP870" s="75" t="s">
        <v>1710</v>
      </c>
      <c r="AQ870" s="75">
        <v>1</v>
      </c>
      <c r="AR870" s="75">
        <v>1</v>
      </c>
      <c r="AS870" s="95">
        <v>8.1059522893420499E-2</v>
      </c>
      <c r="AT870" s="79">
        <v>0.25</v>
      </c>
      <c r="AU870" s="79">
        <v>0</v>
      </c>
      <c r="AV870" s="79">
        <v>0.25</v>
      </c>
      <c r="AW870" s="79">
        <v>3.2258064516128997E-2</v>
      </c>
      <c r="AX870" s="56"/>
      <c r="AY870" s="54"/>
    </row>
    <row r="871" spans="1:51">
      <c r="A871" s="53"/>
      <c r="B871" s="56"/>
      <c r="C871" s="90" t="s">
        <v>663</v>
      </c>
      <c r="D871" s="230" t="s">
        <v>1757</v>
      </c>
      <c r="E871" s="68" t="s">
        <v>664</v>
      </c>
      <c r="F871" s="113" t="s">
        <v>893</v>
      </c>
      <c r="G871" s="113" t="s">
        <v>893</v>
      </c>
      <c r="H871" s="113" t="s">
        <v>893</v>
      </c>
      <c r="I871" s="113" t="s">
        <v>893</v>
      </c>
      <c r="J871" s="70">
        <v>0.9</v>
      </c>
      <c r="K871" s="71">
        <v>0.93548387096774199</v>
      </c>
      <c r="L871" s="71">
        <v>0.891891891891892</v>
      </c>
      <c r="M871" s="72">
        <v>0.875</v>
      </c>
      <c r="N871" s="71">
        <v>0.89736842105263204</v>
      </c>
      <c r="O871" s="73">
        <v>0.9</v>
      </c>
      <c r="P871" s="71">
        <v>0.950691521346963</v>
      </c>
      <c r="Q871" s="71">
        <v>0.95967252880533704</v>
      </c>
      <c r="R871" s="71">
        <v>0.94643423137876403</v>
      </c>
      <c r="S871" s="71">
        <v>0.96041563582385003</v>
      </c>
      <c r="T871" s="73">
        <v>0.9</v>
      </c>
      <c r="U871" s="71">
        <v>0.88935658448586896</v>
      </c>
      <c r="V871" s="71">
        <v>0.91146149181322</v>
      </c>
      <c r="W871" s="71">
        <v>0.902694136291601</v>
      </c>
      <c r="X871" s="71">
        <v>0.92046016823354804</v>
      </c>
      <c r="Y871" s="73">
        <v>0.92</v>
      </c>
      <c r="Z871" s="73">
        <v>0.92976939203354303</v>
      </c>
      <c r="AA871" s="73">
        <v>0.93623890234059703</v>
      </c>
      <c r="AB871" s="73">
        <v>0.93303571428571397</v>
      </c>
      <c r="AC871" s="73">
        <v>0.93918918918918903</v>
      </c>
      <c r="AD871" s="73">
        <v>0.92</v>
      </c>
      <c r="AE871" s="71">
        <v>0.97770270270270299</v>
      </c>
      <c r="AF871" s="71">
        <v>0.98899889988998901</v>
      </c>
      <c r="AG871" s="71">
        <v>0.99450549450549497</v>
      </c>
      <c r="AH871" s="71">
        <v>0.98463715383060402</v>
      </c>
      <c r="AI871" s="73">
        <v>0.92</v>
      </c>
      <c r="AJ871" s="71">
        <v>0.94385026737967903</v>
      </c>
      <c r="AK871" s="71">
        <v>0.96914940502423996</v>
      </c>
      <c r="AL871" s="71">
        <v>0.96047708138447196</v>
      </c>
      <c r="AM871" s="71">
        <v>0.96816378066378095</v>
      </c>
      <c r="AN871" s="70">
        <v>0.99</v>
      </c>
      <c r="AO871" s="75">
        <v>1</v>
      </c>
      <c r="AP871" s="75">
        <v>1</v>
      </c>
      <c r="AQ871" s="75">
        <v>1</v>
      </c>
      <c r="AR871" s="75">
        <v>1</v>
      </c>
      <c r="AS871" s="95">
        <v>8.1059522893420499E-2</v>
      </c>
      <c r="AT871" s="79">
        <v>-3.4482758620689703E-2</v>
      </c>
      <c r="AU871" s="79">
        <v>8.3333333333333301E-2</v>
      </c>
      <c r="AV871" s="79">
        <v>0.125</v>
      </c>
      <c r="AW871" s="79">
        <v>5.9859154929577503E-2</v>
      </c>
      <c r="AX871" s="56"/>
      <c r="AY871" s="54"/>
    </row>
    <row r="872" spans="1:51">
      <c r="A872" s="53"/>
      <c r="B872" s="56"/>
      <c r="C872" s="90" t="s">
        <v>663</v>
      </c>
      <c r="D872" s="230" t="s">
        <v>1757</v>
      </c>
      <c r="E872" s="68" t="s">
        <v>664</v>
      </c>
      <c r="F872" s="113" t="s">
        <v>894</v>
      </c>
      <c r="G872" s="113" t="s">
        <v>894</v>
      </c>
      <c r="H872" s="113" t="s">
        <v>894</v>
      </c>
      <c r="I872" s="113" t="s">
        <v>894</v>
      </c>
      <c r="J872" s="70">
        <v>0.9</v>
      </c>
      <c r="K872" s="71">
        <v>0.97142857142857097</v>
      </c>
      <c r="L872" s="71">
        <v>0.92105263157894701</v>
      </c>
      <c r="M872" s="72">
        <v>0.97368421052631604</v>
      </c>
      <c r="N872" s="71">
        <v>0.92413793103448305</v>
      </c>
      <c r="O872" s="73">
        <v>0.9</v>
      </c>
      <c r="P872" s="71">
        <v>0.97457627118644097</v>
      </c>
      <c r="Q872" s="71">
        <v>0.96306818181818199</v>
      </c>
      <c r="R872" s="71">
        <v>0.97222222222222199</v>
      </c>
      <c r="S872" s="71">
        <v>0.97217651897990398</v>
      </c>
      <c r="T872" s="73">
        <v>0.9</v>
      </c>
      <c r="U872" s="71">
        <v>0.95028248587570596</v>
      </c>
      <c r="V872" s="71">
        <v>0.94346590909090899</v>
      </c>
      <c r="W872" s="71">
        <v>0.93986568986568997</v>
      </c>
      <c r="X872" s="71">
        <v>0.95187448583852396</v>
      </c>
      <c r="Y872" s="73">
        <v>0.92</v>
      </c>
      <c r="Z872" s="73">
        <v>0.92561105207226402</v>
      </c>
      <c r="AA872" s="73">
        <v>0.94226498889711297</v>
      </c>
      <c r="AB872" s="73">
        <v>0.91494632535095</v>
      </c>
      <c r="AC872" s="73">
        <v>0.92974423744868995</v>
      </c>
      <c r="AD872" s="73">
        <v>0.92</v>
      </c>
      <c r="AE872" s="71">
        <v>0.99073935772964905</v>
      </c>
      <c r="AF872" s="71">
        <v>0.99398677089597098</v>
      </c>
      <c r="AG872" s="71">
        <v>0.99515972894482096</v>
      </c>
      <c r="AH872" s="71">
        <v>0.99156759301865205</v>
      </c>
      <c r="AI872" s="73">
        <v>0.92</v>
      </c>
      <c r="AJ872" s="71">
        <v>0.962006639616378</v>
      </c>
      <c r="AK872" s="71">
        <v>0.975174394747641</v>
      </c>
      <c r="AL872" s="71">
        <v>0.96278136839759298</v>
      </c>
      <c r="AM872" s="71">
        <v>0.97185359589041098</v>
      </c>
      <c r="AN872" s="70">
        <v>0.99</v>
      </c>
      <c r="AO872" s="75">
        <v>1</v>
      </c>
      <c r="AP872" s="75">
        <v>1</v>
      </c>
      <c r="AQ872" s="75">
        <v>1</v>
      </c>
      <c r="AR872" s="75">
        <v>1</v>
      </c>
      <c r="AS872" s="95">
        <v>8.1059522893420499E-2</v>
      </c>
      <c r="AT872" s="79">
        <v>0</v>
      </c>
      <c r="AU872" s="79">
        <v>0</v>
      </c>
      <c r="AV872" s="79">
        <v>8.3333333333333301E-2</v>
      </c>
      <c r="AW872" s="79">
        <v>4.9586776859504099E-2</v>
      </c>
      <c r="AX872" s="56"/>
      <c r="AY872" s="54"/>
    </row>
    <row r="873" spans="1:51">
      <c r="A873" s="53"/>
      <c r="B873" s="56"/>
      <c r="C873" s="90" t="s">
        <v>663</v>
      </c>
      <c r="D873" s="230" t="s">
        <v>1757</v>
      </c>
      <c r="E873" s="68" t="s">
        <v>664</v>
      </c>
      <c r="F873" s="113" t="s">
        <v>895</v>
      </c>
      <c r="G873" s="113" t="s">
        <v>895</v>
      </c>
      <c r="H873" s="113" t="s">
        <v>895</v>
      </c>
      <c r="I873" s="113" t="s">
        <v>895</v>
      </c>
      <c r="J873" s="70">
        <v>0.9</v>
      </c>
      <c r="K873" s="71">
        <v>0.9</v>
      </c>
      <c r="L873" s="71">
        <v>0.96296296296296302</v>
      </c>
      <c r="M873" s="72">
        <v>0.88636363636363602</v>
      </c>
      <c r="N873" s="71">
        <v>0.92804428044280396</v>
      </c>
      <c r="O873" s="73">
        <v>0.9</v>
      </c>
      <c r="P873" s="71">
        <v>0.97527200791295698</v>
      </c>
      <c r="Q873" s="71">
        <v>0.97407878017789096</v>
      </c>
      <c r="R873" s="71">
        <v>0.96858922285404803</v>
      </c>
      <c r="S873" s="71">
        <v>0.96933754596778399</v>
      </c>
      <c r="T873" s="73">
        <v>0.9</v>
      </c>
      <c r="U873" s="71">
        <v>0.95054401582591497</v>
      </c>
      <c r="V873" s="71">
        <v>0.93799237611181696</v>
      </c>
      <c r="W873" s="71">
        <v>0.91903601408069302</v>
      </c>
      <c r="X873" s="71">
        <v>0.92627026467084494</v>
      </c>
      <c r="Y873" s="73">
        <v>0.92</v>
      </c>
      <c r="Z873" s="73">
        <v>0.94510521500457501</v>
      </c>
      <c r="AA873" s="73">
        <v>0.95898838004101195</v>
      </c>
      <c r="AB873" s="73">
        <v>0.927659574468085</v>
      </c>
      <c r="AC873" s="73">
        <v>0.94928275205656398</v>
      </c>
      <c r="AD873" s="73">
        <v>0.92</v>
      </c>
      <c r="AE873" s="71">
        <v>0.99404922910467997</v>
      </c>
      <c r="AF873" s="71">
        <v>0.99335804757491497</v>
      </c>
      <c r="AG873" s="71">
        <v>0.99598902258813604</v>
      </c>
      <c r="AH873" s="71">
        <v>0.994947518483836</v>
      </c>
      <c r="AI873" s="73">
        <v>0.92</v>
      </c>
      <c r="AJ873" s="71">
        <v>0.97113534316869798</v>
      </c>
      <c r="AK873" s="71">
        <v>0.981296296296296</v>
      </c>
      <c r="AL873" s="71">
        <v>0.96553074813944395</v>
      </c>
      <c r="AM873" s="71">
        <v>0.97644214550770303</v>
      </c>
      <c r="AN873" s="70">
        <v>0.99</v>
      </c>
      <c r="AO873" s="75">
        <v>1</v>
      </c>
      <c r="AP873" s="75">
        <v>1</v>
      </c>
      <c r="AQ873" s="75">
        <v>1</v>
      </c>
      <c r="AR873" s="75">
        <v>1</v>
      </c>
      <c r="AS873" s="95">
        <v>8.1059522893420499E-2</v>
      </c>
      <c r="AT873" s="79">
        <v>0</v>
      </c>
      <c r="AU873" s="79">
        <v>0</v>
      </c>
      <c r="AV873" s="79">
        <v>6.25E-2</v>
      </c>
      <c r="AW873" s="79">
        <v>5.6737588652482303E-2</v>
      </c>
      <c r="AX873" s="56"/>
      <c r="AY873" s="54"/>
    </row>
    <row r="874" spans="1:51">
      <c r="A874" s="53"/>
      <c r="B874" s="56"/>
      <c r="C874" s="90" t="s">
        <v>663</v>
      </c>
      <c r="D874" s="230" t="s">
        <v>1757</v>
      </c>
      <c r="E874" s="68" t="s">
        <v>664</v>
      </c>
      <c r="F874" s="113" t="s">
        <v>896</v>
      </c>
      <c r="G874" s="113" t="s">
        <v>896</v>
      </c>
      <c r="H874" s="113" t="s">
        <v>896</v>
      </c>
      <c r="I874" s="113" t="s">
        <v>896</v>
      </c>
      <c r="J874" s="70">
        <v>0.9</v>
      </c>
      <c r="K874" s="71">
        <v>0.97297297297297303</v>
      </c>
      <c r="L874" s="71">
        <v>0.97826086956521696</v>
      </c>
      <c r="M874" s="72">
        <v>0.95</v>
      </c>
      <c r="N874" s="71">
        <v>0.97095435684647302</v>
      </c>
      <c r="O874" s="73">
        <v>0.9</v>
      </c>
      <c r="P874" s="71">
        <v>0.98533007334963296</v>
      </c>
      <c r="Q874" s="71">
        <v>0.977200424178155</v>
      </c>
      <c r="R874" s="71">
        <v>0.96559074299634595</v>
      </c>
      <c r="S874" s="71">
        <v>0.977202745840278</v>
      </c>
      <c r="T874" s="73">
        <v>0.9</v>
      </c>
      <c r="U874" s="71">
        <v>0.96283618581907104</v>
      </c>
      <c r="V874" s="71">
        <v>0.95307529162248095</v>
      </c>
      <c r="W874" s="71">
        <v>0.96467722289890401</v>
      </c>
      <c r="X874" s="71">
        <v>0.96440577417441198</v>
      </c>
      <c r="Y874" s="73">
        <v>0.92</v>
      </c>
      <c r="Z874" s="73">
        <v>0.931924882629108</v>
      </c>
      <c r="AA874" s="73">
        <v>0.97378768020969897</v>
      </c>
      <c r="AB874" s="73">
        <v>0.95020188425302798</v>
      </c>
      <c r="AC874" s="73">
        <v>0.96323046618516095</v>
      </c>
      <c r="AD874" s="73">
        <v>0.92</v>
      </c>
      <c r="AE874" s="71">
        <v>0.99213337182448003</v>
      </c>
      <c r="AF874" s="71">
        <v>0.99489770396678501</v>
      </c>
      <c r="AG874" s="71">
        <v>0.99670074349442395</v>
      </c>
      <c r="AH874" s="71">
        <v>0.99459152279986696</v>
      </c>
      <c r="AI874" s="73">
        <v>0.92</v>
      </c>
      <c r="AJ874" s="71">
        <v>0.962383388504364</v>
      </c>
      <c r="AK874" s="71">
        <v>0.98320120800302002</v>
      </c>
      <c r="AL874" s="71">
        <v>0.97735849056603796</v>
      </c>
      <c r="AM874" s="71">
        <v>0.98175247348776595</v>
      </c>
      <c r="AN874" s="70">
        <v>0.99</v>
      </c>
      <c r="AO874" s="75">
        <v>1</v>
      </c>
      <c r="AP874" s="75">
        <v>1</v>
      </c>
      <c r="AQ874" s="75">
        <v>1</v>
      </c>
      <c r="AR874" s="75">
        <v>1</v>
      </c>
      <c r="AS874" s="95">
        <v>8.1059522893420499E-2</v>
      </c>
      <c r="AT874" s="79">
        <v>0</v>
      </c>
      <c r="AU874" s="79">
        <v>0.1</v>
      </c>
      <c r="AV874" s="79">
        <v>0.157894736842105</v>
      </c>
      <c r="AW874" s="79">
        <v>5.4421768707482998E-2</v>
      </c>
      <c r="AX874" s="56"/>
      <c r="AY874" s="54"/>
    </row>
    <row r="875" spans="1:51">
      <c r="A875" s="53"/>
      <c r="B875" s="56"/>
      <c r="C875" s="90" t="s">
        <v>663</v>
      </c>
      <c r="D875" s="230" t="s">
        <v>1757</v>
      </c>
      <c r="E875" s="68" t="s">
        <v>664</v>
      </c>
      <c r="F875" s="113" t="s">
        <v>897</v>
      </c>
      <c r="G875" s="113" t="s">
        <v>897</v>
      </c>
      <c r="H875" s="113" t="s">
        <v>897</v>
      </c>
      <c r="I875" s="113" t="s">
        <v>897</v>
      </c>
      <c r="J875" s="70">
        <v>0.9</v>
      </c>
      <c r="K875" s="71">
        <v>0.92307692307692302</v>
      </c>
      <c r="L875" s="71">
        <v>0.90625</v>
      </c>
      <c r="M875" s="72">
        <v>0.967741935483871</v>
      </c>
      <c r="N875" s="71">
        <v>0.926900584795322</v>
      </c>
      <c r="O875" s="73">
        <v>0.9</v>
      </c>
      <c r="P875" s="71">
        <v>0.97613721103654005</v>
      </c>
      <c r="Q875" s="71">
        <v>0.982254697286013</v>
      </c>
      <c r="R875" s="71">
        <v>0.96778916544655902</v>
      </c>
      <c r="S875" s="71">
        <v>0.97889808894944597</v>
      </c>
      <c r="T875" s="73">
        <v>0.9</v>
      </c>
      <c r="U875" s="71">
        <v>0.95003728560775502</v>
      </c>
      <c r="V875" s="71">
        <v>0.95615866388309001</v>
      </c>
      <c r="W875" s="71">
        <v>0.96229868228404103</v>
      </c>
      <c r="X875" s="71">
        <v>0.96139468259791105</v>
      </c>
      <c r="Y875" s="73">
        <v>0.92</v>
      </c>
      <c r="Z875" s="73">
        <v>0.89645776566757496</v>
      </c>
      <c r="AA875" s="73">
        <v>0.93495145631068</v>
      </c>
      <c r="AB875" s="73">
        <v>0.92472024415055998</v>
      </c>
      <c r="AC875" s="73">
        <v>0.936081299268686</v>
      </c>
      <c r="AD875" s="73">
        <v>0.92</v>
      </c>
      <c r="AE875" s="71">
        <v>0.97989949748743699</v>
      </c>
      <c r="AF875" s="71">
        <v>1</v>
      </c>
      <c r="AG875" s="71">
        <v>1</v>
      </c>
      <c r="AH875" s="71">
        <v>0.98734793187347902</v>
      </c>
      <c r="AI875" s="73">
        <v>0.92</v>
      </c>
      <c r="AJ875" s="71">
        <v>0.94605009633911397</v>
      </c>
      <c r="AK875" s="71">
        <v>0.97515368852458995</v>
      </c>
      <c r="AL875" s="71">
        <v>0.97093649085037703</v>
      </c>
      <c r="AM875" s="71">
        <v>0.97535813692193796</v>
      </c>
      <c r="AN875" s="70">
        <v>0.99</v>
      </c>
      <c r="AO875" s="75">
        <v>1</v>
      </c>
      <c r="AP875" s="75">
        <v>1</v>
      </c>
      <c r="AQ875" s="75">
        <v>1</v>
      </c>
      <c r="AR875" s="75">
        <v>1</v>
      </c>
      <c r="AS875" s="95">
        <v>8.1059522893420499E-2</v>
      </c>
      <c r="AT875" s="79">
        <v>0</v>
      </c>
      <c r="AU875" s="79">
        <v>-6.25E-2</v>
      </c>
      <c r="AV875" s="79">
        <v>0</v>
      </c>
      <c r="AW875" s="79">
        <v>2.8169014084507001E-2</v>
      </c>
      <c r="AX875" s="56"/>
      <c r="AY875" s="54"/>
    </row>
    <row r="876" spans="1:51">
      <c r="A876" s="53"/>
      <c r="B876" s="56"/>
      <c r="C876" s="90" t="s">
        <v>663</v>
      </c>
      <c r="D876" s="230" t="s">
        <v>1757</v>
      </c>
      <c r="E876" s="68" t="s">
        <v>664</v>
      </c>
      <c r="F876" s="113" t="s">
        <v>898</v>
      </c>
      <c r="G876" s="113" t="s">
        <v>898</v>
      </c>
      <c r="H876" s="113" t="s">
        <v>898</v>
      </c>
      <c r="I876" s="113" t="s">
        <v>898</v>
      </c>
      <c r="J876" s="70">
        <v>0.9</v>
      </c>
      <c r="K876" s="71">
        <v>0.90476190476190499</v>
      </c>
      <c r="L876" s="71">
        <v>0.88135593220339004</v>
      </c>
      <c r="M876" s="72">
        <v>0.83333333333333304</v>
      </c>
      <c r="N876" s="71">
        <v>0.875</v>
      </c>
      <c r="O876" s="73">
        <v>0.9</v>
      </c>
      <c r="P876" s="71">
        <v>0.92828525641025605</v>
      </c>
      <c r="Q876" s="71">
        <v>0.94883627608346699</v>
      </c>
      <c r="R876" s="71">
        <v>0.94210181341490096</v>
      </c>
      <c r="S876" s="71">
        <v>0.948013313917204</v>
      </c>
      <c r="T876" s="73">
        <v>0.9</v>
      </c>
      <c r="U876" s="71">
        <v>0.90424679487179505</v>
      </c>
      <c r="V876" s="71">
        <v>0.913322632423756</v>
      </c>
      <c r="W876" s="71">
        <v>0.91435438059864504</v>
      </c>
      <c r="X876" s="71">
        <v>0.919325982941544</v>
      </c>
      <c r="Y876" s="73">
        <v>0.92</v>
      </c>
      <c r="Z876" s="73">
        <v>0.92082111436950098</v>
      </c>
      <c r="AA876" s="73">
        <v>0.93887665198237902</v>
      </c>
      <c r="AB876" s="73">
        <v>0.91453524641297601</v>
      </c>
      <c r="AC876" s="73">
        <v>0.93009485484334598</v>
      </c>
      <c r="AD876" s="73">
        <v>0.92</v>
      </c>
      <c r="AE876" s="71">
        <v>0.99498327759197303</v>
      </c>
      <c r="AF876" s="71">
        <v>0.99665551839464905</v>
      </c>
      <c r="AG876" s="71">
        <v>0.99564270152505496</v>
      </c>
      <c r="AH876" s="71">
        <v>0.98733918725750502</v>
      </c>
      <c r="AI876" s="73">
        <v>0.92</v>
      </c>
      <c r="AJ876" s="71">
        <v>0.95123839009287903</v>
      </c>
      <c r="AK876" s="71">
        <v>0.97355274757566901</v>
      </c>
      <c r="AL876" s="71">
        <v>0.95922989807474501</v>
      </c>
      <c r="AM876" s="71">
        <v>0.96751938457781295</v>
      </c>
      <c r="AN876" s="70">
        <v>0.99</v>
      </c>
      <c r="AO876" s="75">
        <v>1</v>
      </c>
      <c r="AP876" s="75">
        <v>1</v>
      </c>
      <c r="AQ876" s="75">
        <v>1</v>
      </c>
      <c r="AR876" s="75">
        <v>1</v>
      </c>
      <c r="AS876" s="95">
        <v>8.1059522893420499E-2</v>
      </c>
      <c r="AT876" s="79">
        <v>0.10344827586206901</v>
      </c>
      <c r="AU876" s="79">
        <v>3.03030303030303E-2</v>
      </c>
      <c r="AV876" s="79">
        <v>0.15384615384615399</v>
      </c>
      <c r="AW876" s="79">
        <v>9.375E-2</v>
      </c>
      <c r="AX876" s="56"/>
      <c r="AY876" s="54"/>
    </row>
    <row r="877" spans="1:51">
      <c r="A877" s="53"/>
      <c r="B877" s="56"/>
      <c r="C877" s="90" t="s">
        <v>663</v>
      </c>
      <c r="D877" s="230" t="s">
        <v>1757</v>
      </c>
      <c r="E877" s="68" t="s">
        <v>664</v>
      </c>
      <c r="F877" s="113" t="s">
        <v>899</v>
      </c>
      <c r="G877" s="113" t="s">
        <v>899</v>
      </c>
      <c r="H877" s="113" t="s">
        <v>899</v>
      </c>
      <c r="I877" s="113" t="s">
        <v>899</v>
      </c>
      <c r="J877" s="70">
        <v>0.9</v>
      </c>
      <c r="K877" s="71">
        <v>0.939393939393939</v>
      </c>
      <c r="L877" s="71">
        <v>0.97499999999999998</v>
      </c>
      <c r="M877" s="72">
        <v>0.83783783783783805</v>
      </c>
      <c r="N877" s="71">
        <v>0.88056206088993005</v>
      </c>
      <c r="O877" s="73">
        <v>0.9</v>
      </c>
      <c r="P877" s="71">
        <v>0.96879875195007803</v>
      </c>
      <c r="Q877" s="71">
        <v>0.92613920881321998</v>
      </c>
      <c r="R877" s="71">
        <v>0.87996799146439098</v>
      </c>
      <c r="S877" s="71">
        <v>0.94249333574885497</v>
      </c>
      <c r="T877" s="73">
        <v>0.9</v>
      </c>
      <c r="U877" s="71">
        <v>0.93655746229849202</v>
      </c>
      <c r="V877" s="71">
        <v>0.91962944416624903</v>
      </c>
      <c r="W877" s="71">
        <v>0.91544411843158202</v>
      </c>
      <c r="X877" s="71">
        <v>0.929242475219338</v>
      </c>
      <c r="Y877" s="73">
        <v>0.92</v>
      </c>
      <c r="Z877" s="73">
        <v>0.94094869312681495</v>
      </c>
      <c r="AA877" s="73">
        <v>0.94502435629784298</v>
      </c>
      <c r="AB877" s="73">
        <v>0.90476190476190499</v>
      </c>
      <c r="AC877" s="73">
        <v>0.93496809349680898</v>
      </c>
      <c r="AD877" s="73">
        <v>0.92</v>
      </c>
      <c r="AE877" s="71">
        <v>0.99588631264023897</v>
      </c>
      <c r="AF877" s="71">
        <v>0.99549259497746301</v>
      </c>
      <c r="AG877" s="71">
        <v>0.99807618314736402</v>
      </c>
      <c r="AH877" s="71">
        <v>0.997119466343238</v>
      </c>
      <c r="AI877" s="73">
        <v>0.92</v>
      </c>
      <c r="AJ877" s="71">
        <v>0.96921515561569704</v>
      </c>
      <c r="AK877" s="71">
        <v>0.97403793039955799</v>
      </c>
      <c r="AL877" s="71">
        <v>0.96481113320079503</v>
      </c>
      <c r="AM877" s="71">
        <v>0.97203847323601</v>
      </c>
      <c r="AN877" s="70">
        <v>0.99</v>
      </c>
      <c r="AO877" s="75">
        <v>1</v>
      </c>
      <c r="AP877" s="75">
        <v>1</v>
      </c>
      <c r="AQ877" s="75">
        <v>1</v>
      </c>
      <c r="AR877" s="75">
        <v>1</v>
      </c>
      <c r="AS877" s="95">
        <v>8.1059522893420499E-2</v>
      </c>
      <c r="AT877" s="79">
        <v>4.3478260869565202E-2</v>
      </c>
      <c r="AU877" s="79">
        <v>-2.9411764705882401E-2</v>
      </c>
      <c r="AV877" s="79">
        <v>7.69230769230769E-2</v>
      </c>
      <c r="AW877" s="79">
        <v>2.6229508196721301E-2</v>
      </c>
      <c r="AX877" s="56"/>
      <c r="AY877" s="54"/>
    </row>
    <row r="878" spans="1:51">
      <c r="A878" s="53"/>
      <c r="B878" s="56"/>
      <c r="C878" s="90" t="s">
        <v>663</v>
      </c>
      <c r="D878" s="230" t="s">
        <v>1757</v>
      </c>
      <c r="E878" s="68" t="s">
        <v>664</v>
      </c>
      <c r="F878" s="113" t="s">
        <v>900</v>
      </c>
      <c r="G878" s="113" t="s">
        <v>900</v>
      </c>
      <c r="H878" s="113" t="s">
        <v>900</v>
      </c>
      <c r="I878" s="113" t="s">
        <v>900</v>
      </c>
      <c r="J878" s="70">
        <v>0.9</v>
      </c>
      <c r="K878" s="71">
        <v>1</v>
      </c>
      <c r="L878" s="71">
        <v>1</v>
      </c>
      <c r="M878" s="72">
        <v>1</v>
      </c>
      <c r="N878" s="71">
        <v>0.99459459459459498</v>
      </c>
      <c r="O878" s="73">
        <v>0.9</v>
      </c>
      <c r="P878" s="71">
        <v>0.94489465153970797</v>
      </c>
      <c r="Q878" s="71">
        <v>0.94572490706319701</v>
      </c>
      <c r="R878" s="71">
        <v>0.95696400625978095</v>
      </c>
      <c r="S878" s="71">
        <v>0.96969696969696995</v>
      </c>
      <c r="T878" s="73">
        <v>0.9</v>
      </c>
      <c r="U878" s="71">
        <v>0.93192868719610999</v>
      </c>
      <c r="V878" s="71">
        <v>0.91152416356877297</v>
      </c>
      <c r="W878" s="71">
        <v>0.94679186228482004</v>
      </c>
      <c r="X878" s="71">
        <v>0.94138856923667003</v>
      </c>
      <c r="Y878" s="73">
        <v>0.92</v>
      </c>
      <c r="Z878" s="73">
        <v>0.95977011494252895</v>
      </c>
      <c r="AA878" s="73">
        <v>0.94877049180327899</v>
      </c>
      <c r="AB878" s="73">
        <v>0.93824228028503598</v>
      </c>
      <c r="AC878" s="73">
        <v>0.94581385465363399</v>
      </c>
      <c r="AD878" s="73">
        <v>0.92</v>
      </c>
      <c r="AE878" s="71">
        <v>0.99859747545582001</v>
      </c>
      <c r="AF878" s="71">
        <v>0.997361477572559</v>
      </c>
      <c r="AG878" s="71">
        <v>0.996557659208262</v>
      </c>
      <c r="AH878" s="71">
        <v>0.99640536430250204</v>
      </c>
      <c r="AI878" s="73">
        <v>0.92</v>
      </c>
      <c r="AJ878" s="71">
        <v>0.97616580310880796</v>
      </c>
      <c r="AK878" s="71">
        <v>0.97273718647764496</v>
      </c>
      <c r="AL878" s="71">
        <v>0.97763390229546798</v>
      </c>
      <c r="AM878" s="71">
        <v>0.97492675231011905</v>
      </c>
      <c r="AN878" s="70">
        <v>0.99</v>
      </c>
      <c r="AO878" s="75">
        <v>1</v>
      </c>
      <c r="AP878" s="75">
        <v>1</v>
      </c>
      <c r="AQ878" s="75">
        <v>1</v>
      </c>
      <c r="AR878" s="75">
        <v>1</v>
      </c>
      <c r="AS878" s="95">
        <v>8.1059522893420499E-2</v>
      </c>
      <c r="AT878" s="79">
        <v>0</v>
      </c>
      <c r="AU878" s="79">
        <v>0</v>
      </c>
      <c r="AV878" s="79">
        <v>0</v>
      </c>
      <c r="AW878" s="79">
        <v>1.1904761904761901E-2</v>
      </c>
      <c r="AX878" s="56"/>
      <c r="AY878" s="54"/>
    </row>
    <row r="879" spans="1:51">
      <c r="A879" s="53"/>
      <c r="B879" s="56"/>
      <c r="C879" s="90" t="s">
        <v>663</v>
      </c>
      <c r="D879" s="230" t="s">
        <v>1757</v>
      </c>
      <c r="E879" s="68" t="s">
        <v>664</v>
      </c>
      <c r="F879" s="113" t="s">
        <v>901</v>
      </c>
      <c r="G879" s="113" t="s">
        <v>901</v>
      </c>
      <c r="H879" s="113" t="s">
        <v>901</v>
      </c>
      <c r="I879" s="113" t="s">
        <v>901</v>
      </c>
      <c r="J879" s="70">
        <v>0.9</v>
      </c>
      <c r="K879" s="71">
        <v>0.82758620689655205</v>
      </c>
      <c r="L879" s="71">
        <v>0.80645161290322598</v>
      </c>
      <c r="M879" s="72">
        <v>0.8125</v>
      </c>
      <c r="N879" s="71">
        <v>0.820809248554913</v>
      </c>
      <c r="O879" s="73">
        <v>0.9</v>
      </c>
      <c r="P879" s="71">
        <v>0.95603517186250997</v>
      </c>
      <c r="Q879" s="71">
        <v>0.969040247678019</v>
      </c>
      <c r="R879" s="71">
        <v>0.97249366630474099</v>
      </c>
      <c r="S879" s="71">
        <v>0.97710471542381405</v>
      </c>
      <c r="T879" s="73">
        <v>0.9</v>
      </c>
      <c r="U879" s="71">
        <v>0.95603517186250997</v>
      </c>
      <c r="V879" s="71">
        <v>0.95734434124527001</v>
      </c>
      <c r="W879" s="71">
        <v>0.96489323199420896</v>
      </c>
      <c r="X879" s="71">
        <v>0.96659010981123905</v>
      </c>
      <c r="Y879" s="73">
        <v>0.92</v>
      </c>
      <c r="Z879" s="73">
        <v>0.95815899581590003</v>
      </c>
      <c r="AA879" s="73">
        <v>0.97693726937269398</v>
      </c>
      <c r="AB879" s="73">
        <v>0.97094972067039098</v>
      </c>
      <c r="AC879" s="73">
        <v>0.97285559174809999</v>
      </c>
      <c r="AD879" s="73">
        <v>0.92</v>
      </c>
      <c r="AE879" s="71">
        <v>0.98606271777003496</v>
      </c>
      <c r="AF879" s="71">
        <v>0.99371069182389904</v>
      </c>
      <c r="AG879" s="71">
        <v>1</v>
      </c>
      <c r="AH879" s="71">
        <v>0.99817041296393105</v>
      </c>
      <c r="AI879" s="73">
        <v>0.92</v>
      </c>
      <c r="AJ879" s="71">
        <v>0.97663788725241196</v>
      </c>
      <c r="AK879" s="71">
        <v>0.98848848848848803</v>
      </c>
      <c r="AL879" s="71">
        <v>0.98880087407812101</v>
      </c>
      <c r="AM879" s="71">
        <v>0.98940059440835304</v>
      </c>
      <c r="AN879" s="70">
        <v>0.99</v>
      </c>
      <c r="AO879" s="75">
        <v>1</v>
      </c>
      <c r="AP879" s="75">
        <v>1</v>
      </c>
      <c r="AQ879" s="75">
        <v>1</v>
      </c>
      <c r="AR879" s="75">
        <v>1</v>
      </c>
      <c r="AS879" s="95">
        <v>8.1059522893420499E-2</v>
      </c>
      <c r="AT879" s="79">
        <v>5.8823529411764698E-2</v>
      </c>
      <c r="AU879" s="79">
        <v>0</v>
      </c>
      <c r="AV879" s="79">
        <v>0</v>
      </c>
      <c r="AW879" s="79">
        <v>1.7045454545454499E-2</v>
      </c>
      <c r="AX879" s="56"/>
      <c r="AY879" s="54"/>
    </row>
    <row r="880" spans="1:51">
      <c r="A880" s="53"/>
      <c r="B880" s="56"/>
      <c r="C880" s="90" t="s">
        <v>663</v>
      </c>
      <c r="D880" s="230" t="s">
        <v>1757</v>
      </c>
      <c r="E880" s="68" t="s">
        <v>664</v>
      </c>
      <c r="F880" s="113" t="s">
        <v>902</v>
      </c>
      <c r="G880" s="113" t="s">
        <v>902</v>
      </c>
      <c r="H880" s="113" t="s">
        <v>902</v>
      </c>
      <c r="I880" s="113" t="s">
        <v>902</v>
      </c>
      <c r="J880" s="70">
        <v>0.9</v>
      </c>
      <c r="K880" s="71">
        <v>0.952380952380952</v>
      </c>
      <c r="L880" s="71">
        <v>0.95652173913043503</v>
      </c>
      <c r="M880" s="72">
        <v>1</v>
      </c>
      <c r="N880" s="71">
        <v>0.976653696498054</v>
      </c>
      <c r="O880" s="73">
        <v>0.9</v>
      </c>
      <c r="P880" s="71">
        <v>0.95498783454987801</v>
      </c>
      <c r="Q880" s="71">
        <v>0.95546786922209703</v>
      </c>
      <c r="R880" s="71">
        <v>0.96191017623649799</v>
      </c>
      <c r="S880" s="71">
        <v>0.96333352611184997</v>
      </c>
      <c r="T880" s="73">
        <v>0.9</v>
      </c>
      <c r="U880" s="71">
        <v>0.93795620437956195</v>
      </c>
      <c r="V880" s="71">
        <v>0.94532130777903001</v>
      </c>
      <c r="W880" s="71">
        <v>0.94940306992609402</v>
      </c>
      <c r="X880" s="71">
        <v>0.95344398820195497</v>
      </c>
      <c r="Y880" s="73">
        <v>0.92</v>
      </c>
      <c r="Z880" s="73">
        <v>0.93805309734513298</v>
      </c>
      <c r="AA880" s="73">
        <v>0.94298921417565496</v>
      </c>
      <c r="AB880" s="73">
        <v>0.92220421393841201</v>
      </c>
      <c r="AC880" s="73">
        <v>0.94136807817589596</v>
      </c>
      <c r="AD880" s="73">
        <v>0.92</v>
      </c>
      <c r="AE880" s="71">
        <v>1</v>
      </c>
      <c r="AF880" s="71">
        <v>0.99846272098385902</v>
      </c>
      <c r="AG880" s="71">
        <v>0.99842146803472798</v>
      </c>
      <c r="AH880" s="71">
        <v>0.99863791146424497</v>
      </c>
      <c r="AI880" s="73">
        <v>0.92</v>
      </c>
      <c r="AJ880" s="71">
        <v>0.962323390894819</v>
      </c>
      <c r="AK880" s="71">
        <v>0.98102310231023104</v>
      </c>
      <c r="AL880" s="71">
        <v>0.97138047138047101</v>
      </c>
      <c r="AM880" s="71">
        <v>0.97759150836106301</v>
      </c>
      <c r="AN880" s="70">
        <v>0.99</v>
      </c>
      <c r="AO880" s="75">
        <v>1</v>
      </c>
      <c r="AP880" s="75">
        <v>1</v>
      </c>
      <c r="AQ880" s="75">
        <v>1</v>
      </c>
      <c r="AR880" s="75">
        <v>1</v>
      </c>
      <c r="AS880" s="95">
        <v>8.1059522893420499E-2</v>
      </c>
      <c r="AT880" s="79">
        <v>0</v>
      </c>
      <c r="AU880" s="79">
        <v>0</v>
      </c>
      <c r="AV880" s="79">
        <v>0</v>
      </c>
      <c r="AW880" s="79">
        <v>1.7543859649122799E-2</v>
      </c>
      <c r="AX880" s="56"/>
      <c r="AY880" s="54"/>
    </row>
    <row r="881" spans="1:51">
      <c r="A881" s="53"/>
      <c r="B881" s="56"/>
      <c r="C881" s="90" t="s">
        <v>663</v>
      </c>
      <c r="D881" s="230" t="s">
        <v>1757</v>
      </c>
      <c r="E881" s="68" t="s">
        <v>664</v>
      </c>
      <c r="F881" s="113" t="s">
        <v>903</v>
      </c>
      <c r="G881" s="113" t="s">
        <v>903</v>
      </c>
      <c r="H881" s="113" t="s">
        <v>903</v>
      </c>
      <c r="I881" s="113" t="s">
        <v>903</v>
      </c>
      <c r="J881" s="70">
        <v>0.9</v>
      </c>
      <c r="K881" s="71">
        <v>0.90476190476190499</v>
      </c>
      <c r="L881" s="71">
        <v>1</v>
      </c>
      <c r="M881" s="72">
        <v>0.81818181818181801</v>
      </c>
      <c r="N881" s="71">
        <v>0.88122605363984696</v>
      </c>
      <c r="O881" s="73">
        <v>0.9</v>
      </c>
      <c r="P881" s="71">
        <v>0.97055616139585599</v>
      </c>
      <c r="Q881" s="71">
        <v>0.97677793904208998</v>
      </c>
      <c r="R881" s="71">
        <v>0.98962536023054803</v>
      </c>
      <c r="S881" s="71">
        <v>0.98402747492368103</v>
      </c>
      <c r="T881" s="73">
        <v>0.9</v>
      </c>
      <c r="U881" s="71">
        <v>0.93893129770992401</v>
      </c>
      <c r="V881" s="71">
        <v>0.95210449927431096</v>
      </c>
      <c r="W881" s="71">
        <v>0.93948126801152698</v>
      </c>
      <c r="X881" s="71">
        <v>0.95251853467073699</v>
      </c>
      <c r="Y881" s="73">
        <v>0.92</v>
      </c>
      <c r="Z881" s="73">
        <v>0.94331983805667996</v>
      </c>
      <c r="AA881" s="73">
        <v>0.95733333333333304</v>
      </c>
      <c r="AB881" s="73">
        <v>0.936728395061728</v>
      </c>
      <c r="AC881" s="73">
        <v>0.94577764277035203</v>
      </c>
      <c r="AD881" s="73">
        <v>0.92</v>
      </c>
      <c r="AE881" s="71">
        <v>1</v>
      </c>
      <c r="AF881" s="71">
        <v>1</v>
      </c>
      <c r="AG881" s="71">
        <v>1</v>
      </c>
      <c r="AH881" s="71">
        <v>1</v>
      </c>
      <c r="AI881" s="73">
        <v>0.92</v>
      </c>
      <c r="AJ881" s="71">
        <v>0.97023387668320304</v>
      </c>
      <c r="AK881" s="71">
        <v>0.97836879432624102</v>
      </c>
      <c r="AL881" s="71">
        <v>0.97189597315436205</v>
      </c>
      <c r="AM881" s="71">
        <v>0.97718615933603303</v>
      </c>
      <c r="AN881" s="70">
        <v>0.99</v>
      </c>
      <c r="AO881" s="75">
        <v>1</v>
      </c>
      <c r="AP881" s="75">
        <v>1</v>
      </c>
      <c r="AQ881" s="75">
        <v>1</v>
      </c>
      <c r="AR881" s="75">
        <v>1</v>
      </c>
      <c r="AS881" s="95">
        <v>8.1059522893420499E-2</v>
      </c>
      <c r="AT881" s="79">
        <v>0</v>
      </c>
      <c r="AU881" s="79">
        <v>-0.125</v>
      </c>
      <c r="AV881" s="79">
        <v>0</v>
      </c>
      <c r="AW881" s="79">
        <v>2.6315789473684199E-2</v>
      </c>
      <c r="AX881" s="56"/>
      <c r="AY881" s="54"/>
    </row>
    <row r="882" spans="1:51">
      <c r="A882" s="53"/>
      <c r="B882" s="56"/>
      <c r="C882" s="90" t="s">
        <v>663</v>
      </c>
      <c r="D882" s="230" t="s">
        <v>1757</v>
      </c>
      <c r="E882" s="68" t="s">
        <v>664</v>
      </c>
      <c r="F882" s="113" t="s">
        <v>904</v>
      </c>
      <c r="G882" s="113" t="s">
        <v>904</v>
      </c>
      <c r="H882" s="113" t="s">
        <v>904</v>
      </c>
      <c r="I882" s="113" t="s">
        <v>904</v>
      </c>
      <c r="J882" s="70">
        <v>0.9</v>
      </c>
      <c r="K882" s="71">
        <v>0.7</v>
      </c>
      <c r="L882" s="71">
        <v>0.89285714285714302</v>
      </c>
      <c r="M882" s="72">
        <v>0.80769230769230804</v>
      </c>
      <c r="N882" s="71">
        <v>0.85663082437275995</v>
      </c>
      <c r="O882" s="73">
        <v>0.9</v>
      </c>
      <c r="P882" s="71">
        <v>0.92177419354838697</v>
      </c>
      <c r="Q882" s="71">
        <v>0.90189262263422199</v>
      </c>
      <c r="R882" s="71">
        <v>0.94031773293258902</v>
      </c>
      <c r="S882" s="71">
        <v>0.93482255890880905</v>
      </c>
      <c r="T882" s="73">
        <v>0.9</v>
      </c>
      <c r="U882" s="71">
        <v>0.90241935483871005</v>
      </c>
      <c r="V882" s="71">
        <v>0.913093858632677</v>
      </c>
      <c r="W882" s="71">
        <v>0.89866895663374802</v>
      </c>
      <c r="X882" s="71">
        <v>0.91538367296933099</v>
      </c>
      <c r="Y882" s="73">
        <v>0.92</v>
      </c>
      <c r="Z882" s="73">
        <v>0.89085545722713899</v>
      </c>
      <c r="AA882" s="73">
        <v>0.90975865687303203</v>
      </c>
      <c r="AB882" s="73">
        <v>0.872200263504611</v>
      </c>
      <c r="AC882" s="73">
        <v>0.91124859392575897</v>
      </c>
      <c r="AD882" s="73">
        <v>0.92</v>
      </c>
      <c r="AE882" s="71">
        <v>0.998204667863555</v>
      </c>
      <c r="AF882" s="71">
        <v>0.99709302325581395</v>
      </c>
      <c r="AG882" s="71">
        <v>0.99569583931133399</v>
      </c>
      <c r="AH882" s="71">
        <v>0.99164900909884102</v>
      </c>
      <c r="AI882" s="73">
        <v>0.92</v>
      </c>
      <c r="AJ882" s="71">
        <v>0.92909280500521396</v>
      </c>
      <c r="AK882" s="71">
        <v>0.95407156945618499</v>
      </c>
      <c r="AL882" s="71">
        <v>0.94820330203949499</v>
      </c>
      <c r="AM882" s="71">
        <v>0.95982877839973701</v>
      </c>
      <c r="AN882" s="70">
        <v>0.99</v>
      </c>
      <c r="AO882" s="75">
        <v>1</v>
      </c>
      <c r="AP882" s="75">
        <v>1</v>
      </c>
      <c r="AQ882" s="75">
        <v>1</v>
      </c>
      <c r="AR882" s="75">
        <v>1</v>
      </c>
      <c r="AS882" s="95">
        <v>8.1059522893420499E-2</v>
      </c>
      <c r="AT882" s="79">
        <v>0</v>
      </c>
      <c r="AU882" s="79">
        <v>0.11111111111111099</v>
      </c>
      <c r="AV882" s="79">
        <v>5.2631578947368397E-2</v>
      </c>
      <c r="AW882" s="79">
        <v>3.1496062992125998E-2</v>
      </c>
      <c r="AX882" s="56"/>
      <c r="AY882" s="54"/>
    </row>
    <row r="883" spans="1:51">
      <c r="A883" s="53"/>
      <c r="B883" s="56"/>
      <c r="C883" s="90" t="s">
        <v>663</v>
      </c>
      <c r="D883" s="230" t="s">
        <v>1757</v>
      </c>
      <c r="E883" s="68" t="s">
        <v>664</v>
      </c>
      <c r="F883" s="113" t="s">
        <v>905</v>
      </c>
      <c r="G883" s="113" t="s">
        <v>905</v>
      </c>
      <c r="H883" s="113" t="s">
        <v>905</v>
      </c>
      <c r="I883" s="113" t="s">
        <v>905</v>
      </c>
      <c r="J883" s="70">
        <v>0.9</v>
      </c>
      <c r="K883" s="71">
        <v>0.96666666666666701</v>
      </c>
      <c r="L883" s="71">
        <v>0.98360655737704905</v>
      </c>
      <c r="M883" s="72">
        <v>0.98214285714285698</v>
      </c>
      <c r="N883" s="71">
        <v>0.97946287519747199</v>
      </c>
      <c r="O883" s="73">
        <v>0.9</v>
      </c>
      <c r="P883" s="71">
        <v>0.97118506493506496</v>
      </c>
      <c r="Q883" s="71">
        <v>0.98021978021977996</v>
      </c>
      <c r="R883" s="71">
        <v>0.96151218401275296</v>
      </c>
      <c r="S883" s="71">
        <v>0.96842009048946598</v>
      </c>
      <c r="T883" s="73">
        <v>0.9</v>
      </c>
      <c r="U883" s="71">
        <v>0.93303571428571397</v>
      </c>
      <c r="V883" s="71">
        <v>0.93968253968254001</v>
      </c>
      <c r="W883" s="71">
        <v>0.91345934866772904</v>
      </c>
      <c r="X883" s="71">
        <v>0.93519491796535803</v>
      </c>
      <c r="Y883" s="73">
        <v>0.92</v>
      </c>
      <c r="Z883" s="73">
        <v>0.93246957204554404</v>
      </c>
      <c r="AA883" s="73">
        <v>0.95566502463054204</v>
      </c>
      <c r="AB883" s="73">
        <v>0.92125662994696</v>
      </c>
      <c r="AC883" s="73">
        <v>0.94823386114494501</v>
      </c>
      <c r="AD883" s="73">
        <v>0.92</v>
      </c>
      <c r="AE883" s="71">
        <v>0.99612903225806404</v>
      </c>
      <c r="AF883" s="71">
        <v>0.97750702905342102</v>
      </c>
      <c r="AG883" s="71">
        <v>0.93495934959349603</v>
      </c>
      <c r="AH883" s="71">
        <v>0.98041375933406805</v>
      </c>
      <c r="AI883" s="73">
        <v>0.92</v>
      </c>
      <c r="AJ883" s="71">
        <v>0.95150668529235705</v>
      </c>
      <c r="AK883" s="71">
        <v>0.97703745529832497</v>
      </c>
      <c r="AL883" s="71">
        <v>0.952520087655223</v>
      </c>
      <c r="AM883" s="71">
        <v>0.96936955377507505</v>
      </c>
      <c r="AN883" s="70">
        <v>0.99</v>
      </c>
      <c r="AO883" s="75">
        <v>1</v>
      </c>
      <c r="AP883" s="75">
        <v>1</v>
      </c>
      <c r="AQ883" s="75">
        <v>1</v>
      </c>
      <c r="AR883" s="75">
        <v>1</v>
      </c>
      <c r="AS883" s="95">
        <v>8.1059522893420499E-2</v>
      </c>
      <c r="AT883" s="79">
        <v>0</v>
      </c>
      <c r="AU883" s="79">
        <v>2.6315789473684199E-2</v>
      </c>
      <c r="AV883" s="79">
        <v>0</v>
      </c>
      <c r="AW883" s="79">
        <v>5.0000000000000001E-3</v>
      </c>
      <c r="AX883" s="56"/>
      <c r="AY883" s="54"/>
    </row>
    <row r="884" spans="1:51">
      <c r="A884" s="53"/>
      <c r="B884" s="56"/>
      <c r="C884" s="90" t="s">
        <v>663</v>
      </c>
      <c r="D884" s="230" t="s">
        <v>1757</v>
      </c>
      <c r="E884" s="68" t="s">
        <v>664</v>
      </c>
      <c r="F884" s="113" t="s">
        <v>906</v>
      </c>
      <c r="G884" s="113" t="s">
        <v>906</v>
      </c>
      <c r="H884" s="113" t="s">
        <v>906</v>
      </c>
      <c r="I884" s="113" t="s">
        <v>906</v>
      </c>
      <c r="J884" s="70">
        <v>0.9</v>
      </c>
      <c r="K884" s="71" t="s">
        <v>1710</v>
      </c>
      <c r="L884" s="71" t="s">
        <v>1710</v>
      </c>
      <c r="M884" s="72" t="s">
        <v>1710</v>
      </c>
      <c r="N884" s="71" t="s">
        <v>1710</v>
      </c>
      <c r="O884" s="73">
        <v>0.9</v>
      </c>
      <c r="P884" s="71" t="s">
        <v>1710</v>
      </c>
      <c r="Q884" s="71" t="s">
        <v>1710</v>
      </c>
      <c r="R884" s="71" t="s">
        <v>1710</v>
      </c>
      <c r="S884" s="71">
        <v>0</v>
      </c>
      <c r="T884" s="73">
        <v>0.9</v>
      </c>
      <c r="U884" s="71" t="s">
        <v>1710</v>
      </c>
      <c r="V884" s="71" t="s">
        <v>1710</v>
      </c>
      <c r="W884" s="71" t="s">
        <v>1710</v>
      </c>
      <c r="X884" s="71">
        <v>1</v>
      </c>
      <c r="Y884" s="73">
        <v>0.92</v>
      </c>
      <c r="Z884" s="73" t="s">
        <v>1710</v>
      </c>
      <c r="AA884" s="73" t="s">
        <v>1710</v>
      </c>
      <c r="AB884" s="73" t="s">
        <v>1710</v>
      </c>
      <c r="AC884" s="73" t="s">
        <v>1710</v>
      </c>
      <c r="AD884" s="73">
        <v>0.92</v>
      </c>
      <c r="AE884" s="71" t="s">
        <v>1710</v>
      </c>
      <c r="AF884" s="71" t="s">
        <v>1710</v>
      </c>
      <c r="AG884" s="71" t="s">
        <v>1710</v>
      </c>
      <c r="AH884" s="71">
        <v>1</v>
      </c>
      <c r="AI884" s="73">
        <v>0.92</v>
      </c>
      <c r="AJ884" s="71" t="s">
        <v>1710</v>
      </c>
      <c r="AK884" s="71" t="s">
        <v>1710</v>
      </c>
      <c r="AL884" s="71" t="s">
        <v>1710</v>
      </c>
      <c r="AM884" s="71">
        <v>1</v>
      </c>
      <c r="AN884" s="70">
        <v>0.99</v>
      </c>
      <c r="AO884" s="75" t="s">
        <v>1710</v>
      </c>
      <c r="AP884" s="75" t="s">
        <v>1710</v>
      </c>
      <c r="AQ884" s="75" t="s">
        <v>1710</v>
      </c>
      <c r="AR884" s="75" t="s">
        <v>1710</v>
      </c>
      <c r="AS884" s="95">
        <v>8.1059522893420499E-2</v>
      </c>
      <c r="AT884" s="79" t="s">
        <v>1710</v>
      </c>
      <c r="AU884" s="79" t="s">
        <v>1710</v>
      </c>
      <c r="AV884" s="79" t="s">
        <v>1710</v>
      </c>
      <c r="AW884" s="79" t="s">
        <v>1710</v>
      </c>
      <c r="AX884" s="56"/>
      <c r="AY884" s="54"/>
    </row>
    <row r="885" spans="1:51">
      <c r="A885" s="53"/>
      <c r="B885" s="56"/>
      <c r="C885" s="90" t="s">
        <v>663</v>
      </c>
      <c r="D885" s="230" t="s">
        <v>1757</v>
      </c>
      <c r="E885" s="68" t="s">
        <v>664</v>
      </c>
      <c r="F885" s="113" t="s">
        <v>907</v>
      </c>
      <c r="G885" s="113" t="s">
        <v>907</v>
      </c>
      <c r="H885" s="113" t="s">
        <v>907</v>
      </c>
      <c r="I885" s="113" t="s">
        <v>907</v>
      </c>
      <c r="J885" s="70">
        <v>0.9</v>
      </c>
      <c r="K885" s="71">
        <v>1</v>
      </c>
      <c r="L885" s="71">
        <v>1</v>
      </c>
      <c r="M885" s="72">
        <v>1</v>
      </c>
      <c r="N885" s="71">
        <v>1</v>
      </c>
      <c r="O885" s="73">
        <v>0.9</v>
      </c>
      <c r="P885" s="71">
        <v>0.98472385428907205</v>
      </c>
      <c r="Q885" s="71">
        <v>0.98121712997746102</v>
      </c>
      <c r="R885" s="71">
        <v>0.97677793904208998</v>
      </c>
      <c r="S885" s="71">
        <v>0.98149497304385802</v>
      </c>
      <c r="T885" s="73">
        <v>0.9</v>
      </c>
      <c r="U885" s="71">
        <v>0.930669800235018</v>
      </c>
      <c r="V885" s="71">
        <v>0.934635612321563</v>
      </c>
      <c r="W885" s="71">
        <v>0.94121915820029001</v>
      </c>
      <c r="X885" s="71">
        <v>0.93996794404779205</v>
      </c>
      <c r="Y885" s="73">
        <v>0.92</v>
      </c>
      <c r="Z885" s="73">
        <v>0.95589988081048904</v>
      </c>
      <c r="AA885" s="73">
        <v>0.94778067885117501</v>
      </c>
      <c r="AB885" s="73">
        <v>0.93971166448230703</v>
      </c>
      <c r="AC885" s="73">
        <v>0.94898497231742696</v>
      </c>
      <c r="AD885" s="73">
        <v>0.92</v>
      </c>
      <c r="AE885" s="71">
        <v>0.99677419354838703</v>
      </c>
      <c r="AF885" s="71">
        <v>0.99752475247524797</v>
      </c>
      <c r="AG885" s="71">
        <v>1</v>
      </c>
      <c r="AH885" s="71">
        <v>0.99801174020072003</v>
      </c>
      <c r="AI885" s="73">
        <v>0.92</v>
      </c>
      <c r="AJ885" s="71">
        <v>0.96153846153846201</v>
      </c>
      <c r="AK885" s="71">
        <v>0.96907817969661603</v>
      </c>
      <c r="AL885" s="71">
        <v>0.96450256889304098</v>
      </c>
      <c r="AM885" s="71">
        <v>0.96983203528197404</v>
      </c>
      <c r="AN885" s="70">
        <v>0.99</v>
      </c>
      <c r="AO885" s="75">
        <v>1</v>
      </c>
      <c r="AP885" s="75">
        <v>1</v>
      </c>
      <c r="AQ885" s="75">
        <v>1</v>
      </c>
      <c r="AR885" s="75">
        <v>1</v>
      </c>
      <c r="AS885" s="95">
        <v>8.1059522893420499E-2</v>
      </c>
      <c r="AT885" s="79">
        <v>0</v>
      </c>
      <c r="AU885" s="79">
        <v>0</v>
      </c>
      <c r="AV885" s="79">
        <v>0</v>
      </c>
      <c r="AW885" s="79">
        <v>1.1235955056179799E-2</v>
      </c>
      <c r="AX885" s="56"/>
      <c r="AY885" s="54"/>
    </row>
    <row r="886" spans="1:51">
      <c r="A886" s="53"/>
      <c r="B886" s="56"/>
      <c r="C886" s="90" t="s">
        <v>663</v>
      </c>
      <c r="D886" s="230" t="s">
        <v>1757</v>
      </c>
      <c r="E886" s="68" t="s">
        <v>664</v>
      </c>
      <c r="F886" s="113" t="s">
        <v>908</v>
      </c>
      <c r="G886" s="113" t="s">
        <v>908</v>
      </c>
      <c r="H886" s="113" t="s">
        <v>908</v>
      </c>
      <c r="I886" s="113" t="s">
        <v>908</v>
      </c>
      <c r="J886" s="70">
        <v>0.9</v>
      </c>
      <c r="K886" s="71">
        <v>0.92682926829268297</v>
      </c>
      <c r="L886" s="71">
        <v>0.95454545454545503</v>
      </c>
      <c r="M886" s="72">
        <v>1</v>
      </c>
      <c r="N886" s="71">
        <v>0.96701030927835097</v>
      </c>
      <c r="O886" s="73">
        <v>0.9</v>
      </c>
      <c r="P886" s="71">
        <v>0.91638308215848296</v>
      </c>
      <c r="Q886" s="71">
        <v>0.88160237388724005</v>
      </c>
      <c r="R886" s="71">
        <v>0.92109303039607004</v>
      </c>
      <c r="S886" s="71">
        <v>0.92154921374490395</v>
      </c>
      <c r="T886" s="73">
        <v>0.9</v>
      </c>
      <c r="U886" s="71">
        <v>0.89839572192513395</v>
      </c>
      <c r="V886" s="71">
        <v>0.883679525222552</v>
      </c>
      <c r="W886" s="71">
        <v>0.91464537918329702</v>
      </c>
      <c r="X886" s="71">
        <v>0.90856144437973196</v>
      </c>
      <c r="Y886" s="73">
        <v>0.92</v>
      </c>
      <c r="Z886" s="73">
        <v>0.92556962025316503</v>
      </c>
      <c r="AA886" s="73">
        <v>0.932885906040268</v>
      </c>
      <c r="AB886" s="73">
        <v>0.90010193679918404</v>
      </c>
      <c r="AC886" s="73">
        <v>0.93030854938932905</v>
      </c>
      <c r="AD886" s="73">
        <v>0.92</v>
      </c>
      <c r="AE886" s="71">
        <v>1</v>
      </c>
      <c r="AF886" s="71">
        <v>0.99120603015075404</v>
      </c>
      <c r="AG886" s="71">
        <v>1</v>
      </c>
      <c r="AH886" s="71">
        <v>0.99480729286868197</v>
      </c>
      <c r="AI886" s="73">
        <v>0.92</v>
      </c>
      <c r="AJ886" s="71">
        <v>0.94693776345152503</v>
      </c>
      <c r="AK886" s="71">
        <v>0.95649218218898702</v>
      </c>
      <c r="AL886" s="71">
        <v>0.93983521747461196</v>
      </c>
      <c r="AM886" s="71">
        <v>0.95682191160658703</v>
      </c>
      <c r="AN886" s="70">
        <v>0.99</v>
      </c>
      <c r="AO886" s="75">
        <v>1</v>
      </c>
      <c r="AP886" s="75">
        <v>1</v>
      </c>
      <c r="AQ886" s="75">
        <v>1</v>
      </c>
      <c r="AR886" s="75">
        <v>1</v>
      </c>
      <c r="AS886" s="95">
        <v>8.1059522893420499E-2</v>
      </c>
      <c r="AT886" s="79">
        <v>5.1282051282051301E-2</v>
      </c>
      <c r="AU886" s="79">
        <v>-2.9411764705882401E-2</v>
      </c>
      <c r="AV886" s="79">
        <v>3.8461538461538498E-2</v>
      </c>
      <c r="AW886" s="79">
        <v>3.5842293906809999E-2</v>
      </c>
      <c r="AX886" s="56"/>
      <c r="AY886" s="54"/>
    </row>
    <row r="887" spans="1:51">
      <c r="A887" s="53"/>
      <c r="B887" s="56"/>
      <c r="C887" s="90" t="s">
        <v>663</v>
      </c>
      <c r="D887" s="230" t="s">
        <v>1757</v>
      </c>
      <c r="E887" s="68" t="s">
        <v>664</v>
      </c>
      <c r="F887" s="113" t="s">
        <v>909</v>
      </c>
      <c r="G887" s="113" t="s">
        <v>909</v>
      </c>
      <c r="H887" s="113" t="s">
        <v>909</v>
      </c>
      <c r="I887" s="113" t="s">
        <v>909</v>
      </c>
      <c r="J887" s="70">
        <v>0.9</v>
      </c>
      <c r="K887" s="71" t="s">
        <v>1710</v>
      </c>
      <c r="L887" s="71" t="s">
        <v>1710</v>
      </c>
      <c r="M887" s="72" t="s">
        <v>1710</v>
      </c>
      <c r="N887" s="71" t="s">
        <v>1710</v>
      </c>
      <c r="O887" s="73">
        <v>0.9</v>
      </c>
      <c r="P887" s="71" t="s">
        <v>1710</v>
      </c>
      <c r="Q887" s="71" t="s">
        <v>1710</v>
      </c>
      <c r="R887" s="71" t="s">
        <v>1710</v>
      </c>
      <c r="S887" s="71">
        <v>0</v>
      </c>
      <c r="T887" s="73">
        <v>0.9</v>
      </c>
      <c r="U887" s="71" t="s">
        <v>1710</v>
      </c>
      <c r="V887" s="71" t="s">
        <v>1710</v>
      </c>
      <c r="W887" s="71" t="s">
        <v>1710</v>
      </c>
      <c r="X887" s="71">
        <v>1</v>
      </c>
      <c r="Y887" s="73">
        <v>0.92</v>
      </c>
      <c r="Z887" s="73" t="s">
        <v>1710</v>
      </c>
      <c r="AA887" s="73" t="s">
        <v>1710</v>
      </c>
      <c r="AB887" s="73" t="s">
        <v>1710</v>
      </c>
      <c r="AC887" s="73">
        <v>1</v>
      </c>
      <c r="AD887" s="73">
        <v>0.92</v>
      </c>
      <c r="AE887" s="71">
        <v>1</v>
      </c>
      <c r="AF887" s="71">
        <v>0.99504950495049505</v>
      </c>
      <c r="AG887" s="71">
        <v>1</v>
      </c>
      <c r="AH887" s="71">
        <v>0.99871685201026505</v>
      </c>
      <c r="AI887" s="73">
        <v>0.92</v>
      </c>
      <c r="AJ887" s="71" t="s">
        <v>1710</v>
      </c>
      <c r="AK887" s="71" t="s">
        <v>1710</v>
      </c>
      <c r="AL887" s="71" t="s">
        <v>1710</v>
      </c>
      <c r="AM887" s="71">
        <v>1</v>
      </c>
      <c r="AN887" s="70">
        <v>0.99</v>
      </c>
      <c r="AO887" s="75">
        <v>1</v>
      </c>
      <c r="AP887" s="75">
        <v>1</v>
      </c>
      <c r="AQ887" s="75" t="s">
        <v>1710</v>
      </c>
      <c r="AR887" s="75">
        <v>1</v>
      </c>
      <c r="AS887" s="95">
        <v>8.1059522893420499E-2</v>
      </c>
      <c r="AT887" s="79" t="s">
        <v>1710</v>
      </c>
      <c r="AU887" s="79" t="s">
        <v>1710</v>
      </c>
      <c r="AV887" s="79" t="s">
        <v>1710</v>
      </c>
      <c r="AW887" s="79" t="s">
        <v>1710</v>
      </c>
      <c r="AX887" s="56"/>
      <c r="AY887" s="54"/>
    </row>
    <row r="888" spans="1:51">
      <c r="A888" s="53"/>
      <c r="B888" s="56"/>
      <c r="C888" s="90" t="s">
        <v>663</v>
      </c>
      <c r="D888" s="230" t="s">
        <v>1757</v>
      </c>
      <c r="E888" s="68" t="s">
        <v>664</v>
      </c>
      <c r="F888" s="113" t="s">
        <v>910</v>
      </c>
      <c r="G888" s="113" t="s">
        <v>910</v>
      </c>
      <c r="H888" s="113" t="s">
        <v>910</v>
      </c>
      <c r="I888" s="113" t="s">
        <v>910</v>
      </c>
      <c r="J888" s="70">
        <v>0.9</v>
      </c>
      <c r="K888" s="71" t="s">
        <v>1710</v>
      </c>
      <c r="L888" s="71" t="s">
        <v>1710</v>
      </c>
      <c r="M888" s="72" t="s">
        <v>1710</v>
      </c>
      <c r="N888" s="71" t="s">
        <v>1710</v>
      </c>
      <c r="O888" s="73">
        <v>0.9</v>
      </c>
      <c r="P888" s="71" t="s">
        <v>1710</v>
      </c>
      <c r="Q888" s="71" t="s">
        <v>1710</v>
      </c>
      <c r="R888" s="71" t="s">
        <v>1710</v>
      </c>
      <c r="S888" s="71">
        <v>1</v>
      </c>
      <c r="T888" s="73">
        <v>0.9</v>
      </c>
      <c r="U888" s="71" t="s">
        <v>1710</v>
      </c>
      <c r="V888" s="71" t="s">
        <v>1710</v>
      </c>
      <c r="W888" s="71" t="s">
        <v>1710</v>
      </c>
      <c r="X888" s="71">
        <v>1</v>
      </c>
      <c r="Y888" s="73">
        <v>0.92</v>
      </c>
      <c r="Z888" s="73" t="s">
        <v>1710</v>
      </c>
      <c r="AA888" s="73" t="s">
        <v>1710</v>
      </c>
      <c r="AB888" s="73" t="s">
        <v>1710</v>
      </c>
      <c r="AC888" s="73" t="s">
        <v>1710</v>
      </c>
      <c r="AD888" s="73">
        <v>0.92</v>
      </c>
      <c r="AE888" s="71">
        <v>1</v>
      </c>
      <c r="AF888" s="71">
        <v>0.99870466321243501</v>
      </c>
      <c r="AG888" s="71" t="s">
        <v>1710</v>
      </c>
      <c r="AH888" s="71">
        <v>0.99878567091681802</v>
      </c>
      <c r="AI888" s="73">
        <v>0.92</v>
      </c>
      <c r="AJ888" s="71">
        <v>1</v>
      </c>
      <c r="AK888" s="71" t="s">
        <v>1710</v>
      </c>
      <c r="AL888" s="71" t="s">
        <v>1710</v>
      </c>
      <c r="AM888" s="71">
        <v>1</v>
      </c>
      <c r="AN888" s="70">
        <v>0.99</v>
      </c>
      <c r="AO888" s="75">
        <v>1</v>
      </c>
      <c r="AP888" s="75" t="s">
        <v>1710</v>
      </c>
      <c r="AQ888" s="75" t="s">
        <v>1710</v>
      </c>
      <c r="AR888" s="75">
        <v>1</v>
      </c>
      <c r="AS888" s="95">
        <v>8.1059522893420499E-2</v>
      </c>
      <c r="AT888" s="79" t="s">
        <v>1710</v>
      </c>
      <c r="AU888" s="79" t="s">
        <v>1710</v>
      </c>
      <c r="AV888" s="79" t="s">
        <v>1710</v>
      </c>
      <c r="AW888" s="79" t="s">
        <v>1710</v>
      </c>
      <c r="AX888" s="56"/>
      <c r="AY888" s="54"/>
    </row>
    <row r="889" spans="1:51">
      <c r="A889" s="53"/>
      <c r="B889" s="56"/>
      <c r="C889" s="90" t="s">
        <v>663</v>
      </c>
      <c r="D889" s="230" t="s">
        <v>1757</v>
      </c>
      <c r="E889" s="68" t="s">
        <v>664</v>
      </c>
      <c r="F889" s="113" t="s">
        <v>911</v>
      </c>
      <c r="G889" s="113" t="s">
        <v>911</v>
      </c>
      <c r="H889" s="113" t="s">
        <v>911</v>
      </c>
      <c r="I889" s="113" t="s">
        <v>911</v>
      </c>
      <c r="J889" s="70">
        <v>0.9</v>
      </c>
      <c r="K889" s="71" t="s">
        <v>1710</v>
      </c>
      <c r="L889" s="71" t="s">
        <v>1710</v>
      </c>
      <c r="M889" s="72" t="s">
        <v>1710</v>
      </c>
      <c r="N889" s="71" t="s">
        <v>1710</v>
      </c>
      <c r="O889" s="73">
        <v>0.9</v>
      </c>
      <c r="P889" s="71">
        <v>0</v>
      </c>
      <c r="Q889" s="71">
        <v>0</v>
      </c>
      <c r="R889" s="71">
        <v>0</v>
      </c>
      <c r="S889" s="71">
        <v>0</v>
      </c>
      <c r="T889" s="73">
        <v>0.9</v>
      </c>
      <c r="U889" s="71">
        <v>1</v>
      </c>
      <c r="V889" s="71">
        <v>1</v>
      </c>
      <c r="W889" s="71">
        <v>0.96296296296296302</v>
      </c>
      <c r="X889" s="71">
        <v>0.97941176470588198</v>
      </c>
      <c r="Y889" s="73">
        <v>0.92</v>
      </c>
      <c r="Z889" s="73">
        <v>1</v>
      </c>
      <c r="AA889" s="73">
        <v>1</v>
      </c>
      <c r="AB889" s="73">
        <v>1</v>
      </c>
      <c r="AC889" s="73">
        <v>0.77777777777777801</v>
      </c>
      <c r="AD889" s="73">
        <v>0.92</v>
      </c>
      <c r="AE889" s="71">
        <v>0.98202426723922698</v>
      </c>
      <c r="AF889" s="71">
        <v>0.88701517706576705</v>
      </c>
      <c r="AG889" s="71">
        <v>0.99964854732896002</v>
      </c>
      <c r="AH889" s="71">
        <v>0.98116559844984397</v>
      </c>
      <c r="AI889" s="73">
        <v>0.92</v>
      </c>
      <c r="AJ889" s="71">
        <v>1</v>
      </c>
      <c r="AK889" s="71">
        <v>1</v>
      </c>
      <c r="AL889" s="71">
        <v>0.97826086956521696</v>
      </c>
      <c r="AM889" s="71">
        <v>0.98807157057654105</v>
      </c>
      <c r="AN889" s="70">
        <v>0.99</v>
      </c>
      <c r="AO889" s="75">
        <v>1</v>
      </c>
      <c r="AP889" s="75">
        <v>1</v>
      </c>
      <c r="AQ889" s="75">
        <v>1</v>
      </c>
      <c r="AR889" s="75">
        <v>1</v>
      </c>
      <c r="AS889" s="95">
        <v>8.1059522893420499E-2</v>
      </c>
      <c r="AT889" s="79" t="s">
        <v>1710</v>
      </c>
      <c r="AU889" s="79" t="s">
        <v>1710</v>
      </c>
      <c r="AV889" s="79" t="s">
        <v>1710</v>
      </c>
      <c r="AW889" s="79" t="s">
        <v>1710</v>
      </c>
      <c r="AX889" s="56"/>
      <c r="AY889" s="54"/>
    </row>
    <row r="890" spans="1:51">
      <c r="A890" s="53"/>
      <c r="B890" s="56"/>
      <c r="C890" s="90" t="s">
        <v>663</v>
      </c>
      <c r="D890" s="230" t="s">
        <v>1757</v>
      </c>
      <c r="E890" s="68" t="s">
        <v>664</v>
      </c>
      <c r="F890" s="113" t="s">
        <v>912</v>
      </c>
      <c r="G890" s="113" t="s">
        <v>912</v>
      </c>
      <c r="H890" s="113" t="s">
        <v>912</v>
      </c>
      <c r="I890" s="113" t="s">
        <v>912</v>
      </c>
      <c r="J890" s="70">
        <v>0.9</v>
      </c>
      <c r="K890" s="71" t="s">
        <v>1710</v>
      </c>
      <c r="L890" s="71" t="s">
        <v>1710</v>
      </c>
      <c r="M890" s="72" t="s">
        <v>1710</v>
      </c>
      <c r="N890" s="71" t="s">
        <v>1710</v>
      </c>
      <c r="O890" s="73">
        <v>0.9</v>
      </c>
      <c r="P890" s="71" t="s">
        <v>1710</v>
      </c>
      <c r="Q890" s="71" t="s">
        <v>1710</v>
      </c>
      <c r="R890" s="71" t="s">
        <v>1710</v>
      </c>
      <c r="S890" s="71" t="s">
        <v>1710</v>
      </c>
      <c r="T890" s="73">
        <v>0.9</v>
      </c>
      <c r="U890" s="71" t="s">
        <v>1710</v>
      </c>
      <c r="V890" s="71" t="s">
        <v>1710</v>
      </c>
      <c r="W890" s="71" t="s">
        <v>1710</v>
      </c>
      <c r="X890" s="71" t="s">
        <v>1710</v>
      </c>
      <c r="Y890" s="73">
        <v>0.92</v>
      </c>
      <c r="Z890" s="73" t="s">
        <v>1710</v>
      </c>
      <c r="AA890" s="73" t="s">
        <v>1710</v>
      </c>
      <c r="AB890" s="73" t="s">
        <v>1710</v>
      </c>
      <c r="AC890" s="73" t="s">
        <v>1710</v>
      </c>
      <c r="AD890" s="73">
        <v>0.92</v>
      </c>
      <c r="AE890" s="71" t="s">
        <v>1710</v>
      </c>
      <c r="AF890" s="71" t="s">
        <v>1710</v>
      </c>
      <c r="AG890" s="71" t="s">
        <v>1710</v>
      </c>
      <c r="AH890" s="71" t="s">
        <v>1710</v>
      </c>
      <c r="AI890" s="73">
        <v>0.92</v>
      </c>
      <c r="AJ890" s="71" t="s">
        <v>1710</v>
      </c>
      <c r="AK890" s="71" t="s">
        <v>1710</v>
      </c>
      <c r="AL890" s="71" t="s">
        <v>1710</v>
      </c>
      <c r="AM890" s="71" t="s">
        <v>1710</v>
      </c>
      <c r="AN890" s="70">
        <v>0.99</v>
      </c>
      <c r="AO890" s="75" t="s">
        <v>1710</v>
      </c>
      <c r="AP890" s="75" t="s">
        <v>1710</v>
      </c>
      <c r="AQ890" s="75" t="s">
        <v>1710</v>
      </c>
      <c r="AR890" s="75" t="s">
        <v>1710</v>
      </c>
      <c r="AS890" s="95">
        <v>8.1059522893420499E-2</v>
      </c>
      <c r="AT890" s="79" t="s">
        <v>1710</v>
      </c>
      <c r="AU890" s="79" t="s">
        <v>1710</v>
      </c>
      <c r="AV890" s="79" t="s">
        <v>1710</v>
      </c>
      <c r="AW890" s="79" t="s">
        <v>1710</v>
      </c>
      <c r="AX890" s="56"/>
      <c r="AY890" s="54"/>
    </row>
    <row r="891" spans="1:51">
      <c r="A891" s="53"/>
      <c r="B891" s="56"/>
      <c r="C891" s="90" t="s">
        <v>663</v>
      </c>
      <c r="D891" s="230" t="s">
        <v>1757</v>
      </c>
      <c r="E891" s="68" t="s">
        <v>664</v>
      </c>
      <c r="F891" s="113" t="s">
        <v>913</v>
      </c>
      <c r="G891" s="113" t="s">
        <v>913</v>
      </c>
      <c r="H891" s="113" t="s">
        <v>913</v>
      </c>
      <c r="I891" s="113" t="s">
        <v>913</v>
      </c>
      <c r="J891" s="70">
        <v>0.9</v>
      </c>
      <c r="K891" s="71" t="s">
        <v>1710</v>
      </c>
      <c r="L891" s="71" t="s">
        <v>1710</v>
      </c>
      <c r="M891" s="72" t="s">
        <v>1710</v>
      </c>
      <c r="N891" s="71" t="s">
        <v>1710</v>
      </c>
      <c r="O891" s="73">
        <v>0.9</v>
      </c>
      <c r="P891" s="71">
        <v>0</v>
      </c>
      <c r="Q891" s="71">
        <v>0</v>
      </c>
      <c r="R891" s="71">
        <v>0</v>
      </c>
      <c r="S891" s="71">
        <v>0</v>
      </c>
      <c r="T891" s="73">
        <v>0.9</v>
      </c>
      <c r="U891" s="71">
        <v>1</v>
      </c>
      <c r="V891" s="71">
        <v>1</v>
      </c>
      <c r="W891" s="71">
        <v>1</v>
      </c>
      <c r="X891" s="71">
        <v>1</v>
      </c>
      <c r="Y891" s="73">
        <v>0.92</v>
      </c>
      <c r="Z891" s="73">
        <v>1</v>
      </c>
      <c r="AA891" s="73">
        <v>1</v>
      </c>
      <c r="AB891" s="73">
        <v>1</v>
      </c>
      <c r="AC891" s="73">
        <v>0.96</v>
      </c>
      <c r="AD891" s="73">
        <v>0.92</v>
      </c>
      <c r="AE891" s="71">
        <v>1</v>
      </c>
      <c r="AF891" s="71">
        <v>1</v>
      </c>
      <c r="AG891" s="71" t="s">
        <v>1710</v>
      </c>
      <c r="AH891" s="71">
        <v>0.99903907751441401</v>
      </c>
      <c r="AI891" s="73">
        <v>0.92</v>
      </c>
      <c r="AJ891" s="71">
        <v>1</v>
      </c>
      <c r="AK891" s="71">
        <v>1</v>
      </c>
      <c r="AL891" s="71">
        <v>1</v>
      </c>
      <c r="AM891" s="71">
        <v>0.98550724637681197</v>
      </c>
      <c r="AN891" s="70">
        <v>0.99</v>
      </c>
      <c r="AO891" s="75" t="s">
        <v>1710</v>
      </c>
      <c r="AP891" s="75" t="s">
        <v>1710</v>
      </c>
      <c r="AQ891" s="75" t="s">
        <v>1710</v>
      </c>
      <c r="AR891" s="75">
        <v>1</v>
      </c>
      <c r="AS891" s="95">
        <v>8.1059522893420499E-2</v>
      </c>
      <c r="AT891" s="79" t="s">
        <v>1710</v>
      </c>
      <c r="AU891" s="79" t="s">
        <v>1710</v>
      </c>
      <c r="AV891" s="79" t="s">
        <v>1710</v>
      </c>
      <c r="AW891" s="79" t="s">
        <v>1710</v>
      </c>
      <c r="AX891" s="56"/>
      <c r="AY891" s="54"/>
    </row>
    <row r="892" spans="1:51">
      <c r="A892" s="53"/>
      <c r="B892" s="56"/>
      <c r="C892" s="90" t="s">
        <v>663</v>
      </c>
      <c r="D892" s="230" t="s">
        <v>1757</v>
      </c>
      <c r="E892" s="68" t="s">
        <v>664</v>
      </c>
      <c r="F892" s="113" t="s">
        <v>914</v>
      </c>
      <c r="G892" s="113" t="s">
        <v>914</v>
      </c>
      <c r="H892" s="113" t="s">
        <v>914</v>
      </c>
      <c r="I892" s="113" t="s">
        <v>914</v>
      </c>
      <c r="J892" s="70">
        <v>0.9</v>
      </c>
      <c r="K892" s="71" t="s">
        <v>1710</v>
      </c>
      <c r="L892" s="71" t="s">
        <v>1710</v>
      </c>
      <c r="M892" s="72" t="s">
        <v>1710</v>
      </c>
      <c r="N892" s="71" t="s">
        <v>1710</v>
      </c>
      <c r="O892" s="73">
        <v>0.9</v>
      </c>
      <c r="P892" s="71" t="s">
        <v>1710</v>
      </c>
      <c r="Q892" s="71" t="s">
        <v>1710</v>
      </c>
      <c r="R892" s="71" t="s">
        <v>1710</v>
      </c>
      <c r="S892" s="71">
        <v>0</v>
      </c>
      <c r="T892" s="73">
        <v>0.9</v>
      </c>
      <c r="U892" s="71" t="s">
        <v>1710</v>
      </c>
      <c r="V892" s="71" t="s">
        <v>1710</v>
      </c>
      <c r="W892" s="71" t="s">
        <v>1710</v>
      </c>
      <c r="X892" s="71">
        <v>1</v>
      </c>
      <c r="Y892" s="73">
        <v>0.92</v>
      </c>
      <c r="Z892" s="73" t="s">
        <v>1710</v>
      </c>
      <c r="AA892" s="73" t="s">
        <v>1710</v>
      </c>
      <c r="AB892" s="73" t="s">
        <v>1710</v>
      </c>
      <c r="AC892" s="73" t="s">
        <v>1710</v>
      </c>
      <c r="AD892" s="73">
        <v>0.92</v>
      </c>
      <c r="AE892" s="71">
        <v>1</v>
      </c>
      <c r="AF892" s="71">
        <v>1</v>
      </c>
      <c r="AG892" s="71">
        <v>1</v>
      </c>
      <c r="AH892" s="71">
        <v>0.99927953890489896</v>
      </c>
      <c r="AI892" s="73">
        <v>0.92</v>
      </c>
      <c r="AJ892" s="71" t="s">
        <v>1710</v>
      </c>
      <c r="AK892" s="71" t="s">
        <v>1710</v>
      </c>
      <c r="AL892" s="71" t="s">
        <v>1710</v>
      </c>
      <c r="AM892" s="71">
        <v>1</v>
      </c>
      <c r="AN892" s="70">
        <v>0.99</v>
      </c>
      <c r="AO892" s="75">
        <v>1</v>
      </c>
      <c r="AP892" s="75">
        <v>1</v>
      </c>
      <c r="AQ892" s="75" t="s">
        <v>1710</v>
      </c>
      <c r="AR892" s="75">
        <v>1</v>
      </c>
      <c r="AS892" s="95">
        <v>8.1059522893420499E-2</v>
      </c>
      <c r="AT892" s="79" t="s">
        <v>1710</v>
      </c>
      <c r="AU892" s="79" t="s">
        <v>1710</v>
      </c>
      <c r="AV892" s="79" t="s">
        <v>1710</v>
      </c>
      <c r="AW892" s="79" t="s">
        <v>1710</v>
      </c>
      <c r="AX892" s="56"/>
      <c r="AY892" s="54"/>
    </row>
    <row r="893" spans="1:51">
      <c r="A893" s="53"/>
      <c r="B893" s="56"/>
      <c r="C893" s="90" t="s">
        <v>663</v>
      </c>
      <c r="D893" s="230" t="s">
        <v>1757</v>
      </c>
      <c r="E893" s="68" t="s">
        <v>664</v>
      </c>
      <c r="F893" s="113" t="s">
        <v>915</v>
      </c>
      <c r="G893" s="113" t="s">
        <v>915</v>
      </c>
      <c r="H893" s="113" t="s">
        <v>915</v>
      </c>
      <c r="I893" s="113" t="s">
        <v>915</v>
      </c>
      <c r="J893" s="70">
        <v>0.9</v>
      </c>
      <c r="K893" s="71" t="s">
        <v>1710</v>
      </c>
      <c r="L893" s="71" t="s">
        <v>1710</v>
      </c>
      <c r="M893" s="72" t="s">
        <v>1710</v>
      </c>
      <c r="N893" s="71" t="s">
        <v>1710</v>
      </c>
      <c r="O893" s="73">
        <v>0.9</v>
      </c>
      <c r="P893" s="71" t="s">
        <v>1710</v>
      </c>
      <c r="Q893" s="71" t="s">
        <v>1710</v>
      </c>
      <c r="R893" s="71" t="s">
        <v>1710</v>
      </c>
      <c r="S893" s="71" t="s">
        <v>1710</v>
      </c>
      <c r="T893" s="73">
        <v>0.9</v>
      </c>
      <c r="U893" s="71" t="s">
        <v>1710</v>
      </c>
      <c r="V893" s="71" t="s">
        <v>1710</v>
      </c>
      <c r="W893" s="71" t="s">
        <v>1710</v>
      </c>
      <c r="X893" s="71" t="s">
        <v>1710</v>
      </c>
      <c r="Y893" s="73">
        <v>0.92</v>
      </c>
      <c r="Z893" s="73" t="s">
        <v>1710</v>
      </c>
      <c r="AA893" s="73" t="s">
        <v>1710</v>
      </c>
      <c r="AB893" s="73" t="s">
        <v>1710</v>
      </c>
      <c r="AC893" s="73" t="s">
        <v>1710</v>
      </c>
      <c r="AD893" s="73">
        <v>0.92</v>
      </c>
      <c r="AE893" s="71">
        <v>1</v>
      </c>
      <c r="AF893" s="71">
        <v>0.99814126394052005</v>
      </c>
      <c r="AG893" s="71" t="s">
        <v>1710</v>
      </c>
      <c r="AH893" s="71">
        <v>0.998505231689088</v>
      </c>
      <c r="AI893" s="73">
        <v>0.92</v>
      </c>
      <c r="AJ893" s="71" t="s">
        <v>1710</v>
      </c>
      <c r="AK893" s="71" t="s">
        <v>1710</v>
      </c>
      <c r="AL893" s="71" t="s">
        <v>1710</v>
      </c>
      <c r="AM893" s="71" t="s">
        <v>1710</v>
      </c>
      <c r="AN893" s="70">
        <v>0.99</v>
      </c>
      <c r="AO893" s="75">
        <v>1</v>
      </c>
      <c r="AP893" s="75">
        <v>1</v>
      </c>
      <c r="AQ893" s="75">
        <v>1</v>
      </c>
      <c r="AR893" s="75">
        <v>1</v>
      </c>
      <c r="AS893" s="95">
        <v>8.1059522893420499E-2</v>
      </c>
      <c r="AT893" s="79" t="s">
        <v>1710</v>
      </c>
      <c r="AU893" s="79" t="s">
        <v>1710</v>
      </c>
      <c r="AV893" s="79" t="s">
        <v>1710</v>
      </c>
      <c r="AW893" s="79" t="s">
        <v>1710</v>
      </c>
      <c r="AX893" s="56"/>
      <c r="AY893" s="54"/>
    </row>
    <row r="894" spans="1:51">
      <c r="A894" s="53"/>
      <c r="B894" s="56"/>
      <c r="C894" s="90" t="s">
        <v>663</v>
      </c>
      <c r="D894" s="230" t="s">
        <v>1757</v>
      </c>
      <c r="E894" s="68" t="s">
        <v>664</v>
      </c>
      <c r="F894" s="113" t="s">
        <v>916</v>
      </c>
      <c r="G894" s="113" t="s">
        <v>916</v>
      </c>
      <c r="H894" s="113" t="s">
        <v>916</v>
      </c>
      <c r="I894" s="113" t="s">
        <v>916</v>
      </c>
      <c r="J894" s="70">
        <v>0.9</v>
      </c>
      <c r="K894" s="71" t="s">
        <v>1710</v>
      </c>
      <c r="L894" s="71" t="s">
        <v>1710</v>
      </c>
      <c r="M894" s="72" t="s">
        <v>1710</v>
      </c>
      <c r="N894" s="71" t="s">
        <v>1710</v>
      </c>
      <c r="O894" s="73">
        <v>0.9</v>
      </c>
      <c r="P894" s="71">
        <v>0</v>
      </c>
      <c r="Q894" s="71">
        <v>0</v>
      </c>
      <c r="R894" s="71">
        <v>0</v>
      </c>
      <c r="S894" s="71">
        <v>0</v>
      </c>
      <c r="T894" s="73">
        <v>0.9</v>
      </c>
      <c r="U894" s="71">
        <v>1</v>
      </c>
      <c r="V894" s="71">
        <v>1</v>
      </c>
      <c r="W894" s="71">
        <v>1</v>
      </c>
      <c r="X894" s="71">
        <v>1</v>
      </c>
      <c r="Y894" s="73">
        <v>0.92</v>
      </c>
      <c r="Z894" s="73">
        <v>1</v>
      </c>
      <c r="AA894" s="73">
        <v>1</v>
      </c>
      <c r="AB894" s="73">
        <v>1</v>
      </c>
      <c r="AC894" s="73">
        <v>1</v>
      </c>
      <c r="AD894" s="73">
        <v>0.92</v>
      </c>
      <c r="AE894" s="71">
        <v>1</v>
      </c>
      <c r="AF894" s="71">
        <v>1</v>
      </c>
      <c r="AG894" s="71" t="s">
        <v>1710</v>
      </c>
      <c r="AH894" s="71">
        <v>1</v>
      </c>
      <c r="AI894" s="73">
        <v>0.92</v>
      </c>
      <c r="AJ894" s="71">
        <v>1</v>
      </c>
      <c r="AK894" s="71">
        <v>1</v>
      </c>
      <c r="AL894" s="71">
        <v>1</v>
      </c>
      <c r="AM894" s="71">
        <v>1</v>
      </c>
      <c r="AN894" s="70">
        <v>0.99</v>
      </c>
      <c r="AO894" s="75">
        <v>1</v>
      </c>
      <c r="AP894" s="75">
        <v>1</v>
      </c>
      <c r="AQ894" s="75" t="s">
        <v>1710</v>
      </c>
      <c r="AR894" s="75">
        <v>1</v>
      </c>
      <c r="AS894" s="95">
        <v>8.1059522893420499E-2</v>
      </c>
      <c r="AT894" s="79" t="s">
        <v>1710</v>
      </c>
      <c r="AU894" s="79" t="s">
        <v>1710</v>
      </c>
      <c r="AV894" s="79" t="s">
        <v>1710</v>
      </c>
      <c r="AW894" s="79" t="s">
        <v>1710</v>
      </c>
      <c r="AX894" s="56"/>
      <c r="AY894" s="54"/>
    </row>
    <row r="895" spans="1:51">
      <c r="A895" s="53"/>
      <c r="B895" s="56"/>
      <c r="C895" s="90" t="s">
        <v>663</v>
      </c>
      <c r="D895" s="230" t="s">
        <v>1760</v>
      </c>
      <c r="E895" s="68" t="s">
        <v>664</v>
      </c>
      <c r="F895" s="113" t="s">
        <v>917</v>
      </c>
      <c r="G895" s="113" t="s">
        <v>917</v>
      </c>
      <c r="H895" s="113" t="s">
        <v>917</v>
      </c>
      <c r="I895" s="113" t="s">
        <v>917</v>
      </c>
      <c r="J895" s="70">
        <v>0.9</v>
      </c>
      <c r="K895" s="71" t="s">
        <v>1710</v>
      </c>
      <c r="L895" s="71" t="s">
        <v>1710</v>
      </c>
      <c r="M895" s="72" t="s">
        <v>1710</v>
      </c>
      <c r="N895" s="71" t="s">
        <v>1710</v>
      </c>
      <c r="O895" s="73">
        <v>0.9</v>
      </c>
      <c r="P895" s="71" t="s">
        <v>1710</v>
      </c>
      <c r="Q895" s="71" t="s">
        <v>1710</v>
      </c>
      <c r="R895" s="71" t="s">
        <v>1710</v>
      </c>
      <c r="S895" s="71" t="s">
        <v>1710</v>
      </c>
      <c r="T895" s="73">
        <v>0.9</v>
      </c>
      <c r="U895" s="71" t="s">
        <v>1710</v>
      </c>
      <c r="V895" s="71" t="s">
        <v>1710</v>
      </c>
      <c r="W895" s="71" t="s">
        <v>1710</v>
      </c>
      <c r="X895" s="71" t="s">
        <v>1710</v>
      </c>
      <c r="Y895" s="73">
        <v>0.92</v>
      </c>
      <c r="Z895" s="73" t="s">
        <v>1710</v>
      </c>
      <c r="AA895" s="73" t="s">
        <v>1710</v>
      </c>
      <c r="AB895" s="73" t="s">
        <v>1710</v>
      </c>
      <c r="AC895" s="73" t="s">
        <v>1710</v>
      </c>
      <c r="AD895" s="73">
        <v>0.92</v>
      </c>
      <c r="AE895" s="71" t="s">
        <v>1710</v>
      </c>
      <c r="AF895" s="71" t="s">
        <v>1710</v>
      </c>
      <c r="AG895" s="71" t="s">
        <v>1710</v>
      </c>
      <c r="AH895" s="71" t="s">
        <v>1710</v>
      </c>
      <c r="AI895" s="73">
        <v>0.92</v>
      </c>
      <c r="AJ895" s="71" t="s">
        <v>1710</v>
      </c>
      <c r="AK895" s="71" t="s">
        <v>1710</v>
      </c>
      <c r="AL895" s="71" t="s">
        <v>1710</v>
      </c>
      <c r="AM895" s="71" t="s">
        <v>1710</v>
      </c>
      <c r="AN895" s="70">
        <v>0.99</v>
      </c>
      <c r="AO895" s="75" t="s">
        <v>1710</v>
      </c>
      <c r="AP895" s="75" t="s">
        <v>1710</v>
      </c>
      <c r="AQ895" s="75" t="s">
        <v>1710</v>
      </c>
      <c r="AR895" s="75" t="s">
        <v>1710</v>
      </c>
      <c r="AS895" s="95">
        <v>8.1059522893420499E-2</v>
      </c>
      <c r="AT895" s="79" t="s">
        <v>1710</v>
      </c>
      <c r="AU895" s="79" t="s">
        <v>1710</v>
      </c>
      <c r="AV895" s="79" t="s">
        <v>1710</v>
      </c>
      <c r="AW895" s="79" t="s">
        <v>1710</v>
      </c>
      <c r="AX895" s="56"/>
      <c r="AY895" s="54"/>
    </row>
    <row r="896" spans="1:51">
      <c r="A896" s="53"/>
      <c r="B896" s="56"/>
      <c r="C896" s="90" t="s">
        <v>663</v>
      </c>
      <c r="D896" s="230" t="s">
        <v>1760</v>
      </c>
      <c r="E896" s="68" t="s">
        <v>664</v>
      </c>
      <c r="F896" s="113" t="s">
        <v>918</v>
      </c>
      <c r="G896" s="113" t="s">
        <v>918</v>
      </c>
      <c r="H896" s="113" t="s">
        <v>918</v>
      </c>
      <c r="I896" s="113" t="s">
        <v>918</v>
      </c>
      <c r="J896" s="70">
        <v>0.9</v>
      </c>
      <c r="K896" s="71" t="s">
        <v>1710</v>
      </c>
      <c r="L896" s="71" t="s">
        <v>1710</v>
      </c>
      <c r="M896" s="72" t="s">
        <v>1710</v>
      </c>
      <c r="N896" s="71" t="s">
        <v>1710</v>
      </c>
      <c r="O896" s="73">
        <v>0.9</v>
      </c>
      <c r="P896" s="71" t="s">
        <v>1710</v>
      </c>
      <c r="Q896" s="71" t="s">
        <v>1710</v>
      </c>
      <c r="R896" s="71" t="s">
        <v>1710</v>
      </c>
      <c r="S896" s="71" t="s">
        <v>1710</v>
      </c>
      <c r="T896" s="73">
        <v>0.9</v>
      </c>
      <c r="U896" s="71" t="s">
        <v>1710</v>
      </c>
      <c r="V896" s="71" t="s">
        <v>1710</v>
      </c>
      <c r="W896" s="71" t="s">
        <v>1710</v>
      </c>
      <c r="X896" s="71" t="s">
        <v>1710</v>
      </c>
      <c r="Y896" s="73">
        <v>0.92</v>
      </c>
      <c r="Z896" s="73" t="s">
        <v>1710</v>
      </c>
      <c r="AA896" s="73" t="s">
        <v>1710</v>
      </c>
      <c r="AB896" s="73" t="s">
        <v>1710</v>
      </c>
      <c r="AC896" s="73" t="s">
        <v>1710</v>
      </c>
      <c r="AD896" s="73">
        <v>0.92</v>
      </c>
      <c r="AE896" s="71" t="s">
        <v>1710</v>
      </c>
      <c r="AF896" s="71" t="s">
        <v>1710</v>
      </c>
      <c r="AG896" s="71" t="s">
        <v>1710</v>
      </c>
      <c r="AH896" s="71" t="s">
        <v>1710</v>
      </c>
      <c r="AI896" s="73">
        <v>0.92</v>
      </c>
      <c r="AJ896" s="71" t="s">
        <v>1710</v>
      </c>
      <c r="AK896" s="71" t="s">
        <v>1710</v>
      </c>
      <c r="AL896" s="71" t="s">
        <v>1710</v>
      </c>
      <c r="AM896" s="71" t="s">
        <v>1710</v>
      </c>
      <c r="AN896" s="70">
        <v>0.99</v>
      </c>
      <c r="AO896" s="75" t="s">
        <v>1710</v>
      </c>
      <c r="AP896" s="75" t="s">
        <v>1710</v>
      </c>
      <c r="AQ896" s="75" t="s">
        <v>1710</v>
      </c>
      <c r="AR896" s="75" t="s">
        <v>1710</v>
      </c>
      <c r="AS896" s="95">
        <v>8.1059522893420499E-2</v>
      </c>
      <c r="AT896" s="79" t="s">
        <v>1710</v>
      </c>
      <c r="AU896" s="79" t="s">
        <v>1710</v>
      </c>
      <c r="AV896" s="79" t="s">
        <v>1710</v>
      </c>
      <c r="AW896" s="79" t="s">
        <v>1710</v>
      </c>
      <c r="AX896" s="56"/>
      <c r="AY896" s="54"/>
    </row>
    <row r="897" spans="1:51">
      <c r="A897" s="53"/>
      <c r="B897" s="56"/>
      <c r="C897" s="90" t="s">
        <v>663</v>
      </c>
      <c r="D897" s="230" t="s">
        <v>1760</v>
      </c>
      <c r="E897" s="68" t="s">
        <v>664</v>
      </c>
      <c r="F897" s="113" t="s">
        <v>919</v>
      </c>
      <c r="G897" s="113" t="s">
        <v>919</v>
      </c>
      <c r="H897" s="113" t="s">
        <v>919</v>
      </c>
      <c r="I897" s="113" t="s">
        <v>919</v>
      </c>
      <c r="J897" s="70">
        <v>0.9</v>
      </c>
      <c r="K897" s="71" t="s">
        <v>1710</v>
      </c>
      <c r="L897" s="71" t="s">
        <v>1710</v>
      </c>
      <c r="M897" s="72" t="s">
        <v>1710</v>
      </c>
      <c r="N897" s="71" t="s">
        <v>1710</v>
      </c>
      <c r="O897" s="73">
        <v>0.9</v>
      </c>
      <c r="P897" s="71" t="s">
        <v>1710</v>
      </c>
      <c r="Q897" s="71" t="s">
        <v>1710</v>
      </c>
      <c r="R897" s="71" t="s">
        <v>1710</v>
      </c>
      <c r="S897" s="71" t="s">
        <v>1710</v>
      </c>
      <c r="T897" s="73">
        <v>0.9</v>
      </c>
      <c r="U897" s="71" t="s">
        <v>1710</v>
      </c>
      <c r="V897" s="71" t="s">
        <v>1710</v>
      </c>
      <c r="W897" s="71" t="s">
        <v>1710</v>
      </c>
      <c r="X897" s="71" t="s">
        <v>1710</v>
      </c>
      <c r="Y897" s="73">
        <v>0.92</v>
      </c>
      <c r="Z897" s="73" t="s">
        <v>1710</v>
      </c>
      <c r="AA897" s="73" t="s">
        <v>1710</v>
      </c>
      <c r="AB897" s="73" t="s">
        <v>1710</v>
      </c>
      <c r="AC897" s="73" t="s">
        <v>1710</v>
      </c>
      <c r="AD897" s="73">
        <v>0.92</v>
      </c>
      <c r="AE897" s="71" t="s">
        <v>1710</v>
      </c>
      <c r="AF897" s="71" t="s">
        <v>1710</v>
      </c>
      <c r="AG897" s="71" t="s">
        <v>1710</v>
      </c>
      <c r="AH897" s="71" t="s">
        <v>1710</v>
      </c>
      <c r="AI897" s="73">
        <v>0.92</v>
      </c>
      <c r="AJ897" s="71" t="s">
        <v>1710</v>
      </c>
      <c r="AK897" s="71" t="s">
        <v>1710</v>
      </c>
      <c r="AL897" s="71" t="s">
        <v>1710</v>
      </c>
      <c r="AM897" s="71" t="s">
        <v>1710</v>
      </c>
      <c r="AN897" s="70">
        <v>0.99</v>
      </c>
      <c r="AO897" s="75" t="s">
        <v>1710</v>
      </c>
      <c r="AP897" s="75" t="s">
        <v>1710</v>
      </c>
      <c r="AQ897" s="75" t="s">
        <v>1710</v>
      </c>
      <c r="AR897" s="75" t="s">
        <v>1710</v>
      </c>
      <c r="AS897" s="95">
        <v>8.1059522893420499E-2</v>
      </c>
      <c r="AT897" s="79" t="s">
        <v>1710</v>
      </c>
      <c r="AU897" s="79" t="s">
        <v>1710</v>
      </c>
      <c r="AV897" s="79" t="s">
        <v>1710</v>
      </c>
      <c r="AW897" s="79" t="s">
        <v>1710</v>
      </c>
      <c r="AX897" s="56"/>
      <c r="AY897" s="54"/>
    </row>
    <row r="898" spans="1:51">
      <c r="A898" s="53"/>
      <c r="B898" s="56"/>
      <c r="C898" s="90" t="s">
        <v>663</v>
      </c>
      <c r="D898" s="230" t="s">
        <v>1757</v>
      </c>
      <c r="E898" s="68" t="s">
        <v>664</v>
      </c>
      <c r="F898" s="113" t="s">
        <v>920</v>
      </c>
      <c r="G898" s="113" t="s">
        <v>920</v>
      </c>
      <c r="H898" s="113" t="s">
        <v>920</v>
      </c>
      <c r="I898" s="113" t="s">
        <v>920</v>
      </c>
      <c r="J898" s="70">
        <v>0.9</v>
      </c>
      <c r="K898" s="71" t="s">
        <v>1710</v>
      </c>
      <c r="L898" s="71" t="s">
        <v>1710</v>
      </c>
      <c r="M898" s="72" t="s">
        <v>1710</v>
      </c>
      <c r="N898" s="71" t="s">
        <v>1710</v>
      </c>
      <c r="O898" s="73">
        <v>0.9</v>
      </c>
      <c r="P898" s="71" t="s">
        <v>1710</v>
      </c>
      <c r="Q898" s="71" t="s">
        <v>1710</v>
      </c>
      <c r="R898" s="71" t="s">
        <v>1710</v>
      </c>
      <c r="S898" s="71" t="s">
        <v>1710</v>
      </c>
      <c r="T898" s="73">
        <v>0.9</v>
      </c>
      <c r="U898" s="71" t="s">
        <v>1710</v>
      </c>
      <c r="V898" s="71" t="s">
        <v>1710</v>
      </c>
      <c r="W898" s="71" t="s">
        <v>1710</v>
      </c>
      <c r="X898" s="71" t="s">
        <v>1710</v>
      </c>
      <c r="Y898" s="73">
        <v>0.92</v>
      </c>
      <c r="Z898" s="73" t="s">
        <v>1710</v>
      </c>
      <c r="AA898" s="73" t="s">
        <v>1710</v>
      </c>
      <c r="AB898" s="73" t="s">
        <v>1710</v>
      </c>
      <c r="AC898" s="73" t="s">
        <v>1710</v>
      </c>
      <c r="AD898" s="73">
        <v>0.92</v>
      </c>
      <c r="AE898" s="71">
        <v>1</v>
      </c>
      <c r="AF898" s="71">
        <v>1</v>
      </c>
      <c r="AG898" s="71">
        <v>1</v>
      </c>
      <c r="AH898" s="71">
        <v>1</v>
      </c>
      <c r="AI898" s="73">
        <v>0.92</v>
      </c>
      <c r="AJ898" s="71" t="s">
        <v>1710</v>
      </c>
      <c r="AK898" s="71" t="s">
        <v>1710</v>
      </c>
      <c r="AL898" s="71" t="s">
        <v>1710</v>
      </c>
      <c r="AM898" s="71" t="s">
        <v>1710</v>
      </c>
      <c r="AN898" s="70">
        <v>0.99</v>
      </c>
      <c r="AO898" s="75">
        <v>1</v>
      </c>
      <c r="AP898" s="75" t="s">
        <v>1710</v>
      </c>
      <c r="AQ898" s="75">
        <v>1</v>
      </c>
      <c r="AR898" s="75">
        <v>1</v>
      </c>
      <c r="AS898" s="95">
        <v>8.1059522893420499E-2</v>
      </c>
      <c r="AT898" s="79" t="s">
        <v>1710</v>
      </c>
      <c r="AU898" s="79" t="s">
        <v>1710</v>
      </c>
      <c r="AV898" s="79" t="s">
        <v>1710</v>
      </c>
      <c r="AW898" s="79" t="s">
        <v>1710</v>
      </c>
      <c r="AX898" s="56"/>
      <c r="AY898" s="54"/>
    </row>
    <row r="899" spans="1:51">
      <c r="A899" s="53"/>
      <c r="B899" s="56"/>
      <c r="C899" s="92"/>
      <c r="D899" s="230"/>
      <c r="E899" s="93"/>
      <c r="F899" s="93"/>
      <c r="G899" s="93"/>
      <c r="H899" s="93"/>
      <c r="I899" s="93"/>
      <c r="J899" s="84"/>
      <c r="K899" s="85"/>
      <c r="L899" s="85"/>
      <c r="M899" s="72"/>
      <c r="N899" s="85"/>
      <c r="O899" s="88"/>
      <c r="P899" s="85"/>
      <c r="Q899" s="85"/>
      <c r="R899" s="71"/>
      <c r="S899" s="85"/>
      <c r="T899" s="88"/>
      <c r="U899" s="85"/>
      <c r="V899" s="85"/>
      <c r="W899" s="71"/>
      <c r="X899" s="85"/>
      <c r="Y899" s="88"/>
      <c r="Z899" s="88"/>
      <c r="AA899" s="88"/>
      <c r="AB899" s="73"/>
      <c r="AC899" s="88"/>
      <c r="AD899" s="85"/>
      <c r="AE899" s="85"/>
      <c r="AF899" s="85"/>
      <c r="AG899" s="71"/>
      <c r="AH899" s="85"/>
      <c r="AI899" s="85"/>
      <c r="AJ899" s="85"/>
      <c r="AK899" s="85"/>
      <c r="AL899" s="71"/>
      <c r="AM899" s="85"/>
      <c r="AN899" s="84"/>
      <c r="AO899" s="84"/>
      <c r="AP899" s="84"/>
      <c r="AQ899" s="75"/>
      <c r="AR899" s="84"/>
      <c r="AS899" s="85"/>
      <c r="AT899" s="84"/>
      <c r="AU899" s="84"/>
      <c r="AV899" s="79"/>
      <c r="AW899" s="84"/>
      <c r="AX899" s="56"/>
      <c r="AY899" s="54"/>
    </row>
    <row r="900" spans="1:51">
      <c r="A900" s="53"/>
      <c r="B900" s="56"/>
      <c r="C900" s="114" t="s">
        <v>921</v>
      </c>
      <c r="D900" s="233" t="s">
        <v>1757</v>
      </c>
      <c r="E900" s="68" t="s">
        <v>922</v>
      </c>
      <c r="F900" s="115" t="s">
        <v>923</v>
      </c>
      <c r="G900" s="116" t="s">
        <v>923</v>
      </c>
      <c r="H900" s="116" t="s">
        <v>923</v>
      </c>
      <c r="I900" s="116" t="s">
        <v>923</v>
      </c>
      <c r="J900" s="70">
        <v>0.9</v>
      </c>
      <c r="K900" s="71">
        <v>0.8125</v>
      </c>
      <c r="L900" s="71">
        <v>0.875</v>
      </c>
      <c r="M900" s="72">
        <v>0.93333333333333302</v>
      </c>
      <c r="N900" s="71">
        <v>0.88095238095238104</v>
      </c>
      <c r="O900" s="73">
        <v>0.9</v>
      </c>
      <c r="P900" s="71">
        <v>0.91748768472906395</v>
      </c>
      <c r="Q900" s="71">
        <v>0.91479099678456599</v>
      </c>
      <c r="R900" s="71">
        <v>0.89622641509433998</v>
      </c>
      <c r="S900" s="71">
        <v>0.89073614557485503</v>
      </c>
      <c r="T900" s="73">
        <v>0.9</v>
      </c>
      <c r="U900" s="71">
        <v>0.89162561576354704</v>
      </c>
      <c r="V900" s="71">
        <v>0.94131832797427695</v>
      </c>
      <c r="W900" s="71">
        <v>0.90909090909090895</v>
      </c>
      <c r="X900" s="71">
        <v>0.90769230769230802</v>
      </c>
      <c r="Y900" s="73">
        <v>0.92</v>
      </c>
      <c r="Z900" s="73">
        <v>0.94628099173553704</v>
      </c>
      <c r="AA900" s="73">
        <v>0.96380090497737603</v>
      </c>
      <c r="AB900" s="73">
        <v>0.89347079037800703</v>
      </c>
      <c r="AC900" s="73">
        <v>0.93755628940258195</v>
      </c>
      <c r="AD900" s="73">
        <v>0.92</v>
      </c>
      <c r="AE900" s="71">
        <v>0.99188491331611905</v>
      </c>
      <c r="AF900" s="71">
        <v>0.95</v>
      </c>
      <c r="AG900" s="71">
        <v>0.97812005182092998</v>
      </c>
      <c r="AH900" s="71">
        <v>0.98682600145766597</v>
      </c>
      <c r="AI900" s="73">
        <v>0.92</v>
      </c>
      <c r="AJ900" s="71">
        <v>0.95540796963946895</v>
      </c>
      <c r="AK900" s="71">
        <v>0.98361774744027297</v>
      </c>
      <c r="AL900" s="71">
        <v>0.94931506849315095</v>
      </c>
      <c r="AM900" s="71">
        <v>0.96285732806119095</v>
      </c>
      <c r="AN900" s="70">
        <v>0.99</v>
      </c>
      <c r="AO900" s="75">
        <v>1</v>
      </c>
      <c r="AP900" s="75">
        <v>1</v>
      </c>
      <c r="AQ900" s="75">
        <v>1</v>
      </c>
      <c r="AR900" s="75">
        <v>1</v>
      </c>
      <c r="AS900" s="95">
        <v>6.5641848892985799E-2</v>
      </c>
      <c r="AT900" s="79">
        <v>0</v>
      </c>
      <c r="AU900" s="79">
        <v>0</v>
      </c>
      <c r="AV900" s="79">
        <v>0</v>
      </c>
      <c r="AW900" s="79">
        <v>6.1728395061728399E-2</v>
      </c>
      <c r="AX900" s="56"/>
      <c r="AY900" s="54"/>
    </row>
    <row r="901" spans="1:51" ht="15">
      <c r="A901" s="53"/>
      <c r="B901" s="56"/>
      <c r="C901" s="114" t="s">
        <v>921</v>
      </c>
      <c r="D901" s="233" t="s">
        <v>1757</v>
      </c>
      <c r="E901" s="68" t="s">
        <v>922</v>
      </c>
      <c r="F901" s="117" t="s">
        <v>924</v>
      </c>
      <c r="G901" s="118" t="s">
        <v>924</v>
      </c>
      <c r="H901" s="118" t="s">
        <v>924</v>
      </c>
      <c r="I901" s="118" t="s">
        <v>924</v>
      </c>
      <c r="J901" s="70">
        <v>0.9</v>
      </c>
      <c r="K901" s="71">
        <v>0.92857142857142905</v>
      </c>
      <c r="L901" s="71">
        <v>0.95833333333333304</v>
      </c>
      <c r="M901" s="72">
        <v>0.94736842105263197</v>
      </c>
      <c r="N901" s="71">
        <v>0.86144578313252995</v>
      </c>
      <c r="O901" s="73">
        <v>0.9</v>
      </c>
      <c r="P901" s="71">
        <v>0.87288817377312999</v>
      </c>
      <c r="Q901" s="71">
        <v>0.80277060342803497</v>
      </c>
      <c r="R901" s="71">
        <v>0.84176603287141505</v>
      </c>
      <c r="S901" s="71">
        <v>0.86316908897554101</v>
      </c>
      <c r="T901" s="73">
        <v>0.9</v>
      </c>
      <c r="U901" s="71">
        <v>0.84553499597747395</v>
      </c>
      <c r="V901" s="71">
        <v>0.823902324489317</v>
      </c>
      <c r="W901" s="71">
        <v>0.82758620689655205</v>
      </c>
      <c r="X901" s="71">
        <v>0.87173124642107302</v>
      </c>
      <c r="Y901" s="73">
        <v>0.92</v>
      </c>
      <c r="Z901" s="73">
        <v>0.75</v>
      </c>
      <c r="AA901" s="73">
        <v>0.84857142857142898</v>
      </c>
      <c r="AB901" s="73">
        <v>0.82442748091603102</v>
      </c>
      <c r="AC901" s="73">
        <v>0.90187005976479695</v>
      </c>
      <c r="AD901" s="73">
        <v>0.92</v>
      </c>
      <c r="AE901" s="71">
        <v>0.98333625679705305</v>
      </c>
      <c r="AF901" s="71">
        <v>0.93493635077793502</v>
      </c>
      <c r="AG901" s="71">
        <v>0.98933333333333295</v>
      </c>
      <c r="AH901" s="71">
        <v>0.97819179664933598</v>
      </c>
      <c r="AI901" s="73">
        <v>0.92</v>
      </c>
      <c r="AJ901" s="71">
        <v>0.93216280925778106</v>
      </c>
      <c r="AK901" s="71">
        <v>0.88447580645161294</v>
      </c>
      <c r="AL901" s="71">
        <v>0.88340158997831897</v>
      </c>
      <c r="AM901" s="71">
        <v>0.92772748523099202</v>
      </c>
      <c r="AN901" s="70">
        <v>0.99</v>
      </c>
      <c r="AO901" s="75">
        <v>1</v>
      </c>
      <c r="AP901" s="75">
        <v>1</v>
      </c>
      <c r="AQ901" s="75">
        <v>1</v>
      </c>
      <c r="AR901" s="75">
        <v>1</v>
      </c>
      <c r="AS901" s="95">
        <v>6.5641848892985799E-2</v>
      </c>
      <c r="AT901" s="79">
        <v>0.115384615384615</v>
      </c>
      <c r="AU901" s="79">
        <v>7.1428571428571397E-2</v>
      </c>
      <c r="AV901" s="79">
        <v>5.5555555555555601E-2</v>
      </c>
      <c r="AW901" s="79">
        <v>2.8169014084507001E-2</v>
      </c>
      <c r="AX901" s="56"/>
      <c r="AY901" s="54"/>
    </row>
    <row r="902" spans="1:51" ht="15">
      <c r="A902" s="53"/>
      <c r="B902" s="56"/>
      <c r="C902" s="114" t="s">
        <v>921</v>
      </c>
      <c r="D902" s="233" t="s">
        <v>1757</v>
      </c>
      <c r="E902" s="68" t="s">
        <v>922</v>
      </c>
      <c r="F902" s="117" t="s">
        <v>925</v>
      </c>
      <c r="G902" s="118" t="s">
        <v>925</v>
      </c>
      <c r="H902" s="118" t="s">
        <v>925</v>
      </c>
      <c r="I902" s="118" t="s">
        <v>925</v>
      </c>
      <c r="J902" s="70">
        <v>0.9</v>
      </c>
      <c r="K902" s="71">
        <v>1</v>
      </c>
      <c r="L902" s="71">
        <v>0.97142857142857097</v>
      </c>
      <c r="M902" s="72">
        <v>1</v>
      </c>
      <c r="N902" s="71">
        <v>0.97074468085106402</v>
      </c>
      <c r="O902" s="73">
        <v>0.9</v>
      </c>
      <c r="P902" s="71">
        <v>0.94791666666666696</v>
      </c>
      <c r="Q902" s="71">
        <v>0.93069601427721604</v>
      </c>
      <c r="R902" s="71">
        <v>0.94572432643498605</v>
      </c>
      <c r="S902" s="71">
        <v>0.91632885285541599</v>
      </c>
      <c r="T902" s="73">
        <v>0.9</v>
      </c>
      <c r="U902" s="71">
        <v>0.90679824561403499</v>
      </c>
      <c r="V902" s="71">
        <v>0.84889946460440202</v>
      </c>
      <c r="W902" s="71">
        <v>0.87661069894572397</v>
      </c>
      <c r="X902" s="71">
        <v>0.85626911314984699</v>
      </c>
      <c r="Y902" s="73">
        <v>0.92</v>
      </c>
      <c r="Z902" s="73">
        <v>0.90072639225181605</v>
      </c>
      <c r="AA902" s="73">
        <v>0.93203883495145601</v>
      </c>
      <c r="AB902" s="73">
        <v>0.70987654320987703</v>
      </c>
      <c r="AC902" s="73">
        <v>0.914783821478382</v>
      </c>
      <c r="AD902" s="73">
        <v>0.92</v>
      </c>
      <c r="AE902" s="71">
        <v>0.99322242760320401</v>
      </c>
      <c r="AF902" s="71">
        <v>0.967914438502674</v>
      </c>
      <c r="AG902" s="71">
        <v>0.95412844036697297</v>
      </c>
      <c r="AH902" s="71">
        <v>0.92764146219329002</v>
      </c>
      <c r="AI902" s="73">
        <v>0.92</v>
      </c>
      <c r="AJ902" s="71">
        <v>0.93789097408400401</v>
      </c>
      <c r="AK902" s="71">
        <v>0.94506061387670903</v>
      </c>
      <c r="AL902" s="71">
        <v>0.90383984246800098</v>
      </c>
      <c r="AM902" s="71">
        <v>0.940164886534266</v>
      </c>
      <c r="AN902" s="70">
        <v>0.99</v>
      </c>
      <c r="AO902" s="75">
        <v>1</v>
      </c>
      <c r="AP902" s="75">
        <v>1</v>
      </c>
      <c r="AQ902" s="75">
        <v>1</v>
      </c>
      <c r="AR902" s="75">
        <v>1</v>
      </c>
      <c r="AS902" s="95">
        <v>6.5641848892985799E-2</v>
      </c>
      <c r="AT902" s="79">
        <v>0.11111111111111099</v>
      </c>
      <c r="AU902" s="79">
        <v>2.5641025641025599E-2</v>
      </c>
      <c r="AV902" s="79">
        <v>0</v>
      </c>
      <c r="AW902" s="79">
        <v>3.7837837837837798E-2</v>
      </c>
      <c r="AX902" s="56"/>
      <c r="AY902" s="54"/>
    </row>
    <row r="903" spans="1:51" ht="15">
      <c r="A903" s="53"/>
      <c r="B903" s="56"/>
      <c r="C903" s="114" t="s">
        <v>921</v>
      </c>
      <c r="D903" s="233" t="s">
        <v>1757</v>
      </c>
      <c r="E903" s="68" t="s">
        <v>922</v>
      </c>
      <c r="F903" s="117" t="s">
        <v>926</v>
      </c>
      <c r="G903" s="118" t="s">
        <v>926</v>
      </c>
      <c r="H903" s="118" t="s">
        <v>926</v>
      </c>
      <c r="I903" s="118" t="s">
        <v>926</v>
      </c>
      <c r="J903" s="70">
        <v>0.9</v>
      </c>
      <c r="K903" s="71">
        <v>0.967741935483871</v>
      </c>
      <c r="L903" s="71">
        <v>0.94117647058823495</v>
      </c>
      <c r="M903" s="72">
        <v>0.9375</v>
      </c>
      <c r="N903" s="71">
        <v>0.94413407821229001</v>
      </c>
      <c r="O903" s="73">
        <v>0.9</v>
      </c>
      <c r="P903" s="71">
        <v>0.86250000000000004</v>
      </c>
      <c r="Q903" s="71">
        <v>0.94930875576036899</v>
      </c>
      <c r="R903" s="71">
        <v>0.95174013921113698</v>
      </c>
      <c r="S903" s="71">
        <v>0.93996096401900897</v>
      </c>
      <c r="T903" s="73">
        <v>0.9</v>
      </c>
      <c r="U903" s="71">
        <v>0.88500000000000001</v>
      </c>
      <c r="V903" s="71">
        <v>0.92396313364055305</v>
      </c>
      <c r="W903" s="71">
        <v>0.917865429234339</v>
      </c>
      <c r="X903" s="71">
        <v>0.92260692464358496</v>
      </c>
      <c r="Y903" s="73">
        <v>0.92</v>
      </c>
      <c r="Z903" s="73">
        <v>0.93849206349206304</v>
      </c>
      <c r="AA903" s="73">
        <v>0.91612903225806497</v>
      </c>
      <c r="AB903" s="73">
        <v>0.90813253012048201</v>
      </c>
      <c r="AC903" s="73">
        <v>0.93609799291617501</v>
      </c>
      <c r="AD903" s="73">
        <v>0.92</v>
      </c>
      <c r="AE903" s="71">
        <v>0.99549211119459102</v>
      </c>
      <c r="AF903" s="71">
        <v>0.93358876117496803</v>
      </c>
      <c r="AG903" s="71">
        <v>0.95594713656387698</v>
      </c>
      <c r="AH903" s="71">
        <v>0.98165001849796496</v>
      </c>
      <c r="AI903" s="73">
        <v>0.92</v>
      </c>
      <c r="AJ903" s="71">
        <v>0.94011406844106504</v>
      </c>
      <c r="AK903" s="71">
        <v>0.95503421309872905</v>
      </c>
      <c r="AL903" s="71">
        <v>0.95423909187655198</v>
      </c>
      <c r="AM903" s="71">
        <v>0.96029392381705503</v>
      </c>
      <c r="AN903" s="70">
        <v>0.99</v>
      </c>
      <c r="AO903" s="75">
        <v>1</v>
      </c>
      <c r="AP903" s="75">
        <v>1</v>
      </c>
      <c r="AQ903" s="75">
        <v>1</v>
      </c>
      <c r="AR903" s="75">
        <v>1</v>
      </c>
      <c r="AS903" s="95">
        <v>6.5641848892985799E-2</v>
      </c>
      <c r="AT903" s="79">
        <v>0.12195121951219499</v>
      </c>
      <c r="AU903" s="79">
        <v>2.27272727272727E-2</v>
      </c>
      <c r="AV903" s="79">
        <v>9.5238095238095205E-2</v>
      </c>
      <c r="AW903" s="79">
        <v>7.3891625615763595E-2</v>
      </c>
      <c r="AX903" s="56"/>
      <c r="AY903" s="54"/>
    </row>
    <row r="904" spans="1:51" ht="15">
      <c r="A904" s="53"/>
      <c r="B904" s="56"/>
      <c r="C904" s="114" t="s">
        <v>921</v>
      </c>
      <c r="D904" s="233" t="s">
        <v>1757</v>
      </c>
      <c r="E904" s="68" t="s">
        <v>922</v>
      </c>
      <c r="F904" s="117" t="s">
        <v>927</v>
      </c>
      <c r="G904" s="118" t="s">
        <v>927</v>
      </c>
      <c r="H904" s="118" t="s">
        <v>927</v>
      </c>
      <c r="I904" s="118" t="s">
        <v>927</v>
      </c>
      <c r="J904" s="70">
        <v>0.9</v>
      </c>
      <c r="K904" s="71">
        <v>0.967741935483871</v>
      </c>
      <c r="L904" s="71">
        <v>1</v>
      </c>
      <c r="M904" s="72">
        <v>0.9375</v>
      </c>
      <c r="N904" s="71">
        <v>0.96264367816092</v>
      </c>
      <c r="O904" s="73">
        <v>0.9</v>
      </c>
      <c r="P904" s="71">
        <v>0.94981862152357899</v>
      </c>
      <c r="Q904" s="71">
        <v>0.95679012345679004</v>
      </c>
      <c r="R904" s="71">
        <v>0.97784280936454804</v>
      </c>
      <c r="S904" s="71">
        <v>0.95848620194608403</v>
      </c>
      <c r="T904" s="73">
        <v>0.9</v>
      </c>
      <c r="U904" s="71">
        <v>0.92926239419588896</v>
      </c>
      <c r="V904" s="71">
        <v>0.93132716049382702</v>
      </c>
      <c r="W904" s="71">
        <v>0.92809364548494999</v>
      </c>
      <c r="X904" s="71">
        <v>0.93220609347583305</v>
      </c>
      <c r="Y904" s="73">
        <v>0.92</v>
      </c>
      <c r="Z904" s="73">
        <v>0.922394678492239</v>
      </c>
      <c r="AA904" s="73">
        <v>0.96186440677966101</v>
      </c>
      <c r="AB904" s="73">
        <v>0.86771844660194197</v>
      </c>
      <c r="AC904" s="73">
        <v>0.91842033342443297</v>
      </c>
      <c r="AD904" s="73">
        <v>0.92</v>
      </c>
      <c r="AE904" s="71">
        <v>0.96516007532956705</v>
      </c>
      <c r="AF904" s="71">
        <v>0.86970684039087998</v>
      </c>
      <c r="AG904" s="71">
        <v>0.94057567316620205</v>
      </c>
      <c r="AH904" s="71">
        <v>0.92425695110258899</v>
      </c>
      <c r="AI904" s="73">
        <v>0.92</v>
      </c>
      <c r="AJ904" s="71">
        <v>0.96389548693586702</v>
      </c>
      <c r="AK904" s="71">
        <v>0.98009138381201</v>
      </c>
      <c r="AL904" s="71">
        <v>0.94280385452284698</v>
      </c>
      <c r="AM904" s="71">
        <v>0.965830169460135</v>
      </c>
      <c r="AN904" s="70">
        <v>0.99</v>
      </c>
      <c r="AO904" s="75">
        <v>1</v>
      </c>
      <c r="AP904" s="75">
        <v>1</v>
      </c>
      <c r="AQ904" s="75">
        <v>1</v>
      </c>
      <c r="AR904" s="75">
        <v>1</v>
      </c>
      <c r="AS904" s="95">
        <v>6.5641848892985799E-2</v>
      </c>
      <c r="AT904" s="79">
        <v>0</v>
      </c>
      <c r="AU904" s="79">
        <v>0.08</v>
      </c>
      <c r="AV904" s="79">
        <v>0.14705882352941199</v>
      </c>
      <c r="AW904" s="79">
        <v>5.9190031152648002E-2</v>
      </c>
      <c r="AX904" s="56"/>
      <c r="AY904" s="54"/>
    </row>
    <row r="905" spans="1:51" ht="15">
      <c r="A905" s="53"/>
      <c r="B905" s="56"/>
      <c r="C905" s="114" t="s">
        <v>921</v>
      </c>
      <c r="D905" s="233" t="s">
        <v>1759</v>
      </c>
      <c r="E905" s="68" t="s">
        <v>922</v>
      </c>
      <c r="F905" s="117" t="s">
        <v>928</v>
      </c>
      <c r="G905" s="118" t="s">
        <v>928</v>
      </c>
      <c r="H905" s="118" t="s">
        <v>928</v>
      </c>
      <c r="I905" s="118" t="s">
        <v>928</v>
      </c>
      <c r="J905" s="70">
        <v>0.9</v>
      </c>
      <c r="K905" s="71" t="s">
        <v>1710</v>
      </c>
      <c r="L905" s="71" t="s">
        <v>1710</v>
      </c>
      <c r="M905" s="72" t="s">
        <v>1710</v>
      </c>
      <c r="N905" s="71" t="s">
        <v>1710</v>
      </c>
      <c r="O905" s="73">
        <v>0.9</v>
      </c>
      <c r="P905" s="71" t="s">
        <v>1710</v>
      </c>
      <c r="Q905" s="71" t="s">
        <v>1710</v>
      </c>
      <c r="R905" s="71" t="s">
        <v>1710</v>
      </c>
      <c r="S905" s="71">
        <v>0</v>
      </c>
      <c r="T905" s="73">
        <v>0.9</v>
      </c>
      <c r="U905" s="71" t="s">
        <v>1710</v>
      </c>
      <c r="V905" s="71" t="s">
        <v>1710</v>
      </c>
      <c r="W905" s="71" t="s">
        <v>1710</v>
      </c>
      <c r="X905" s="71">
        <v>1</v>
      </c>
      <c r="Y905" s="73">
        <v>0.92</v>
      </c>
      <c r="Z905" s="73" t="s">
        <v>1710</v>
      </c>
      <c r="AA905" s="73" t="s">
        <v>1710</v>
      </c>
      <c r="AB905" s="73" t="s">
        <v>1710</v>
      </c>
      <c r="AC905" s="73" t="s">
        <v>1710</v>
      </c>
      <c r="AD905" s="73">
        <v>0.92</v>
      </c>
      <c r="AE905" s="71">
        <v>0.99533799533799505</v>
      </c>
      <c r="AF905" s="71">
        <v>0.89772727272727304</v>
      </c>
      <c r="AG905" s="71">
        <v>0.95258620689655205</v>
      </c>
      <c r="AH905" s="71">
        <v>0.94530406621086704</v>
      </c>
      <c r="AI905" s="73">
        <v>0.92</v>
      </c>
      <c r="AJ905" s="71" t="s">
        <v>1710</v>
      </c>
      <c r="AK905" s="71" t="s">
        <v>1710</v>
      </c>
      <c r="AL905" s="71" t="s">
        <v>1710</v>
      </c>
      <c r="AM905" s="71">
        <v>1</v>
      </c>
      <c r="AN905" s="70">
        <v>0.99</v>
      </c>
      <c r="AO905" s="75">
        <v>1</v>
      </c>
      <c r="AP905" s="75">
        <v>1</v>
      </c>
      <c r="AQ905" s="75">
        <v>1</v>
      </c>
      <c r="AR905" s="75">
        <v>1</v>
      </c>
      <c r="AS905" s="95">
        <v>6.5641848892985799E-2</v>
      </c>
      <c r="AT905" s="79" t="s">
        <v>1710</v>
      </c>
      <c r="AU905" s="79" t="s">
        <v>1710</v>
      </c>
      <c r="AV905" s="79" t="s">
        <v>1710</v>
      </c>
      <c r="AW905" s="79" t="s">
        <v>1710</v>
      </c>
      <c r="AX905" s="56"/>
      <c r="AY905" s="54"/>
    </row>
    <row r="906" spans="1:51" ht="15">
      <c r="A906" s="53"/>
      <c r="B906" s="56"/>
      <c r="C906" s="114" t="s">
        <v>921</v>
      </c>
      <c r="D906" s="233" t="s">
        <v>1757</v>
      </c>
      <c r="E906" s="68" t="s">
        <v>922</v>
      </c>
      <c r="F906" s="119" t="s">
        <v>929</v>
      </c>
      <c r="G906" s="120" t="s">
        <v>929</v>
      </c>
      <c r="H906" s="120" t="s">
        <v>929</v>
      </c>
      <c r="I906" s="120" t="s">
        <v>929</v>
      </c>
      <c r="J906" s="70">
        <v>0.9</v>
      </c>
      <c r="K906" s="71">
        <v>0.89473684210526305</v>
      </c>
      <c r="L906" s="71">
        <v>0.89743589743589702</v>
      </c>
      <c r="M906" s="72">
        <v>0.88888888888888895</v>
      </c>
      <c r="N906" s="71">
        <v>0.89018691588785004</v>
      </c>
      <c r="O906" s="73">
        <v>0.9</v>
      </c>
      <c r="P906" s="71">
        <v>0.84963023829087903</v>
      </c>
      <c r="Q906" s="71">
        <v>0.82744675114586097</v>
      </c>
      <c r="R906" s="71">
        <v>0.83219733852645295</v>
      </c>
      <c r="S906" s="71">
        <v>0.84870728083209501</v>
      </c>
      <c r="T906" s="73">
        <v>0.9</v>
      </c>
      <c r="U906" s="71">
        <v>0.90468364831553005</v>
      </c>
      <c r="V906" s="71">
        <v>0.87921272580210297</v>
      </c>
      <c r="W906" s="71">
        <v>0.87114573190522604</v>
      </c>
      <c r="X906" s="71">
        <v>0.89985141158989601</v>
      </c>
      <c r="Y906" s="73">
        <v>0.92</v>
      </c>
      <c r="Z906" s="73">
        <v>0.92657342657342701</v>
      </c>
      <c r="AA906" s="73">
        <v>0.92293906810035797</v>
      </c>
      <c r="AB906" s="73">
        <v>0.90863579474342904</v>
      </c>
      <c r="AC906" s="73">
        <v>0.93333333333333302</v>
      </c>
      <c r="AD906" s="73">
        <v>0.92</v>
      </c>
      <c r="AE906" s="71">
        <v>0.804824561403509</v>
      </c>
      <c r="AF906" s="71">
        <v>0.97064088793412096</v>
      </c>
      <c r="AG906" s="71">
        <v>0.95244161358810997</v>
      </c>
      <c r="AH906" s="71">
        <v>0.94419003063947504</v>
      </c>
      <c r="AI906" s="73">
        <v>0.92</v>
      </c>
      <c r="AJ906" s="71">
        <v>0.91785833056202204</v>
      </c>
      <c r="AK906" s="71">
        <v>0.90154711673698995</v>
      </c>
      <c r="AL906" s="71">
        <v>0.89332646225199697</v>
      </c>
      <c r="AM906" s="71">
        <v>0.92147167890642001</v>
      </c>
      <c r="AN906" s="70">
        <v>0.99</v>
      </c>
      <c r="AO906" s="75">
        <v>1</v>
      </c>
      <c r="AP906" s="75">
        <v>1</v>
      </c>
      <c r="AQ906" s="75">
        <v>1</v>
      </c>
      <c r="AR906" s="75">
        <v>1</v>
      </c>
      <c r="AS906" s="95">
        <v>6.5641848892985799E-2</v>
      </c>
      <c r="AT906" s="79">
        <v>5.2631578947368397E-2</v>
      </c>
      <c r="AU906" s="79">
        <v>2.5000000000000001E-2</v>
      </c>
      <c r="AV906" s="79">
        <v>2.04081632653061E-2</v>
      </c>
      <c r="AW906" s="79">
        <v>5.29661016949153E-2</v>
      </c>
      <c r="AX906" s="56"/>
      <c r="AY906" s="54"/>
    </row>
    <row r="907" spans="1:51" ht="15">
      <c r="A907" s="53"/>
      <c r="B907" s="56"/>
      <c r="C907" s="114" t="s">
        <v>921</v>
      </c>
      <c r="D907" s="233" t="s">
        <v>1759</v>
      </c>
      <c r="E907" s="68" t="s">
        <v>922</v>
      </c>
      <c r="F907" s="119" t="s">
        <v>930</v>
      </c>
      <c r="G907" s="120" t="s">
        <v>930</v>
      </c>
      <c r="H907" s="120" t="s">
        <v>930</v>
      </c>
      <c r="I907" s="120" t="s">
        <v>930</v>
      </c>
      <c r="J907" s="70">
        <v>0.9</v>
      </c>
      <c r="K907" s="71" t="s">
        <v>1710</v>
      </c>
      <c r="L907" s="71" t="s">
        <v>1710</v>
      </c>
      <c r="M907" s="72" t="s">
        <v>1710</v>
      </c>
      <c r="N907" s="71" t="s">
        <v>1710</v>
      </c>
      <c r="O907" s="73">
        <v>0.9</v>
      </c>
      <c r="P907" s="71" t="s">
        <v>1710</v>
      </c>
      <c r="Q907" s="71" t="s">
        <v>1710</v>
      </c>
      <c r="R907" s="71" t="s">
        <v>1710</v>
      </c>
      <c r="S907" s="71" t="s">
        <v>1710</v>
      </c>
      <c r="T907" s="73">
        <v>0.9</v>
      </c>
      <c r="U907" s="71" t="s">
        <v>1710</v>
      </c>
      <c r="V907" s="71" t="s">
        <v>1710</v>
      </c>
      <c r="W907" s="71" t="s">
        <v>1710</v>
      </c>
      <c r="X907" s="71" t="s">
        <v>1710</v>
      </c>
      <c r="Y907" s="73">
        <v>0.92</v>
      </c>
      <c r="Z907" s="73" t="s">
        <v>1710</v>
      </c>
      <c r="AA907" s="73" t="s">
        <v>1710</v>
      </c>
      <c r="AB907" s="73" t="s">
        <v>1710</v>
      </c>
      <c r="AC907" s="73" t="s">
        <v>1710</v>
      </c>
      <c r="AD907" s="73">
        <v>0.92</v>
      </c>
      <c r="AE907" s="71">
        <v>0.99467140319715797</v>
      </c>
      <c r="AF907" s="71">
        <v>0.90836653386454203</v>
      </c>
      <c r="AG907" s="71">
        <v>0.88473520249221205</v>
      </c>
      <c r="AH907" s="71">
        <v>0.95373973194984896</v>
      </c>
      <c r="AI907" s="73">
        <v>0.92</v>
      </c>
      <c r="AJ907" s="71" t="s">
        <v>1710</v>
      </c>
      <c r="AK907" s="71" t="s">
        <v>1710</v>
      </c>
      <c r="AL907" s="71" t="s">
        <v>1710</v>
      </c>
      <c r="AM907" s="71" t="s">
        <v>1710</v>
      </c>
      <c r="AN907" s="70">
        <v>0.99</v>
      </c>
      <c r="AO907" s="75">
        <v>1</v>
      </c>
      <c r="AP907" s="75">
        <v>1</v>
      </c>
      <c r="AQ907" s="75">
        <v>1</v>
      </c>
      <c r="AR907" s="75">
        <v>1</v>
      </c>
      <c r="AS907" s="95">
        <v>6.5641848892985799E-2</v>
      </c>
      <c r="AT907" s="79" t="s">
        <v>1710</v>
      </c>
      <c r="AU907" s="79" t="s">
        <v>1710</v>
      </c>
      <c r="AV907" s="79" t="s">
        <v>1710</v>
      </c>
      <c r="AW907" s="79" t="s">
        <v>1710</v>
      </c>
      <c r="AX907" s="56"/>
      <c r="AY907" s="54"/>
    </row>
    <row r="908" spans="1:51" ht="15">
      <c r="A908" s="53"/>
      <c r="B908" s="56"/>
      <c r="C908" s="114" t="s">
        <v>921</v>
      </c>
      <c r="D908" s="233" t="s">
        <v>1757</v>
      </c>
      <c r="E908" s="68" t="s">
        <v>922</v>
      </c>
      <c r="F908" s="119" t="s">
        <v>931</v>
      </c>
      <c r="G908" s="120" t="s">
        <v>931</v>
      </c>
      <c r="H908" s="120" t="s">
        <v>931</v>
      </c>
      <c r="I908" s="120" t="s">
        <v>931</v>
      </c>
      <c r="J908" s="70">
        <v>0.9</v>
      </c>
      <c r="K908" s="71">
        <v>0.78947368421052599</v>
      </c>
      <c r="L908" s="71">
        <v>0.80952380952380998</v>
      </c>
      <c r="M908" s="72">
        <v>0.94117647058823495</v>
      </c>
      <c r="N908" s="71">
        <v>0.83173076923076905</v>
      </c>
      <c r="O908" s="73">
        <v>0.9</v>
      </c>
      <c r="P908" s="71">
        <v>0.89159292035398197</v>
      </c>
      <c r="Q908" s="71">
        <v>0.84845605700712601</v>
      </c>
      <c r="R908" s="71">
        <v>0.86293206197854599</v>
      </c>
      <c r="S908" s="71">
        <v>0.83790468861650103</v>
      </c>
      <c r="T908" s="73">
        <v>0.9</v>
      </c>
      <c r="U908" s="71">
        <v>0.92772861356932201</v>
      </c>
      <c r="V908" s="71">
        <v>0.90451306413301702</v>
      </c>
      <c r="W908" s="71">
        <v>0.90405244338498203</v>
      </c>
      <c r="X908" s="71">
        <v>0.91287857967350095</v>
      </c>
      <c r="Y908" s="73">
        <v>0.92</v>
      </c>
      <c r="Z908" s="73">
        <v>0.90038314176245204</v>
      </c>
      <c r="AA908" s="73">
        <v>0.92015209125475295</v>
      </c>
      <c r="AB908" s="73">
        <v>0.88957055214723901</v>
      </c>
      <c r="AC908" s="73">
        <v>0.90835978835978803</v>
      </c>
      <c r="AD908" s="73">
        <v>0.92</v>
      </c>
      <c r="AE908" s="71">
        <v>0.95635305528613002</v>
      </c>
      <c r="AF908" s="71">
        <v>0.72790055248618801</v>
      </c>
      <c r="AG908" s="71">
        <v>0.94079718640093801</v>
      </c>
      <c r="AH908" s="71">
        <v>0.89090073001092096</v>
      </c>
      <c r="AI908" s="73">
        <v>0.92</v>
      </c>
      <c r="AJ908" s="71">
        <v>0.94499381953028405</v>
      </c>
      <c r="AK908" s="71">
        <v>0.954027836355968</v>
      </c>
      <c r="AL908" s="71">
        <v>0.92662667281956601</v>
      </c>
      <c r="AM908" s="71">
        <v>0.93888234524276903</v>
      </c>
      <c r="AN908" s="70">
        <v>0.99</v>
      </c>
      <c r="AO908" s="75">
        <v>1</v>
      </c>
      <c r="AP908" s="75">
        <v>1</v>
      </c>
      <c r="AQ908" s="75" t="s">
        <v>1710</v>
      </c>
      <c r="AR908" s="75">
        <v>1</v>
      </c>
      <c r="AS908" s="95">
        <v>6.5641848892985799E-2</v>
      </c>
      <c r="AT908" s="79">
        <v>4.0322580645161303E-2</v>
      </c>
      <c r="AU908" s="79">
        <v>2.5974025974026E-2</v>
      </c>
      <c r="AV908" s="79">
        <v>1.9607843137254902E-2</v>
      </c>
      <c r="AW908" s="79">
        <v>3.0188679245282998E-2</v>
      </c>
      <c r="AX908" s="56"/>
      <c r="AY908" s="54"/>
    </row>
    <row r="909" spans="1:51" ht="15">
      <c r="A909" s="53"/>
      <c r="B909" s="56"/>
      <c r="C909" s="114" t="s">
        <v>921</v>
      </c>
      <c r="D909" s="233" t="s">
        <v>1759</v>
      </c>
      <c r="E909" s="68" t="s">
        <v>922</v>
      </c>
      <c r="F909" s="117" t="s">
        <v>932</v>
      </c>
      <c r="G909" s="118" t="s">
        <v>932</v>
      </c>
      <c r="H909" s="118" t="s">
        <v>932</v>
      </c>
      <c r="I909" s="118" t="s">
        <v>932</v>
      </c>
      <c r="J909" s="70">
        <v>0.9</v>
      </c>
      <c r="K909" s="71" t="s">
        <v>1710</v>
      </c>
      <c r="L909" s="71" t="s">
        <v>1710</v>
      </c>
      <c r="M909" s="72" t="s">
        <v>1710</v>
      </c>
      <c r="N909" s="71" t="s">
        <v>1710</v>
      </c>
      <c r="O909" s="73">
        <v>0.9</v>
      </c>
      <c r="P909" s="71" t="s">
        <v>1710</v>
      </c>
      <c r="Q909" s="71" t="s">
        <v>1710</v>
      </c>
      <c r="R909" s="71" t="s">
        <v>1710</v>
      </c>
      <c r="S909" s="71" t="s">
        <v>1710</v>
      </c>
      <c r="T909" s="73">
        <v>0.9</v>
      </c>
      <c r="U909" s="71" t="s">
        <v>1710</v>
      </c>
      <c r="V909" s="71" t="s">
        <v>1710</v>
      </c>
      <c r="W909" s="71" t="s">
        <v>1710</v>
      </c>
      <c r="X909" s="71" t="s">
        <v>1710</v>
      </c>
      <c r="Y909" s="73">
        <v>0.92</v>
      </c>
      <c r="Z909" s="73" t="s">
        <v>1710</v>
      </c>
      <c r="AA909" s="73" t="s">
        <v>1710</v>
      </c>
      <c r="AB909" s="73" t="s">
        <v>1710</v>
      </c>
      <c r="AC909" s="73" t="s">
        <v>1710</v>
      </c>
      <c r="AD909" s="73">
        <v>0.92</v>
      </c>
      <c r="AE909" s="71">
        <v>1</v>
      </c>
      <c r="AF909" s="71">
        <v>0</v>
      </c>
      <c r="AG909" s="71">
        <v>1</v>
      </c>
      <c r="AH909" s="71">
        <v>0.84923282188125404</v>
      </c>
      <c r="AI909" s="73">
        <v>0.92</v>
      </c>
      <c r="AJ909" s="71" t="s">
        <v>1710</v>
      </c>
      <c r="AK909" s="71" t="s">
        <v>1710</v>
      </c>
      <c r="AL909" s="71" t="s">
        <v>1710</v>
      </c>
      <c r="AM909" s="71" t="s">
        <v>1710</v>
      </c>
      <c r="AN909" s="70">
        <v>0.99</v>
      </c>
      <c r="AO909" s="75">
        <v>1</v>
      </c>
      <c r="AP909" s="75">
        <v>1</v>
      </c>
      <c r="AQ909" s="75">
        <v>1</v>
      </c>
      <c r="AR909" s="75">
        <v>1</v>
      </c>
      <c r="AS909" s="95">
        <v>6.5641848892985799E-2</v>
      </c>
      <c r="AT909" s="79" t="s">
        <v>1710</v>
      </c>
      <c r="AU909" s="79" t="s">
        <v>1710</v>
      </c>
      <c r="AV909" s="79" t="s">
        <v>1710</v>
      </c>
      <c r="AW909" s="79" t="s">
        <v>1710</v>
      </c>
      <c r="AX909" s="56"/>
      <c r="AY909" s="54"/>
    </row>
    <row r="910" spans="1:51" ht="15">
      <c r="A910" s="53"/>
      <c r="B910" s="56"/>
      <c r="C910" s="114" t="s">
        <v>921</v>
      </c>
      <c r="D910" s="233" t="s">
        <v>1757</v>
      </c>
      <c r="E910" s="68" t="s">
        <v>922</v>
      </c>
      <c r="F910" s="117" t="s">
        <v>933</v>
      </c>
      <c r="G910" s="118" t="s">
        <v>933</v>
      </c>
      <c r="H910" s="118" t="s">
        <v>933</v>
      </c>
      <c r="I910" s="118" t="s">
        <v>933</v>
      </c>
      <c r="J910" s="70">
        <v>0.9</v>
      </c>
      <c r="K910" s="71">
        <v>0.73684210526315796</v>
      </c>
      <c r="L910" s="71">
        <v>0.84210526315789502</v>
      </c>
      <c r="M910" s="72">
        <v>0.52941176470588203</v>
      </c>
      <c r="N910" s="71">
        <v>0.75247524752475203</v>
      </c>
      <c r="O910" s="73">
        <v>0.9</v>
      </c>
      <c r="P910" s="71">
        <v>0.86447433981066302</v>
      </c>
      <c r="Q910" s="71">
        <v>0.74580255204835499</v>
      </c>
      <c r="R910" s="71">
        <v>0.55198487712665401</v>
      </c>
      <c r="S910" s="71">
        <v>0.77704655454577098</v>
      </c>
      <c r="T910" s="73">
        <v>0.9</v>
      </c>
      <c r="U910" s="71">
        <v>0.84454409566517197</v>
      </c>
      <c r="V910" s="71">
        <v>0.72531900604432498</v>
      </c>
      <c r="W910" s="71">
        <v>0.646880907372401</v>
      </c>
      <c r="X910" s="71">
        <v>0.74187819910163999</v>
      </c>
      <c r="Y910" s="73">
        <v>0.92</v>
      </c>
      <c r="Z910" s="73" t="s">
        <v>1710</v>
      </c>
      <c r="AA910" s="73" t="s">
        <v>1710</v>
      </c>
      <c r="AB910" s="73" t="s">
        <v>1710</v>
      </c>
      <c r="AC910" s="73">
        <v>0</v>
      </c>
      <c r="AD910" s="73">
        <v>0.92</v>
      </c>
      <c r="AE910" s="71">
        <v>0.99664787444766101</v>
      </c>
      <c r="AF910" s="71">
        <v>0.70466398450305501</v>
      </c>
      <c r="AG910" s="71">
        <v>0.99529885829415699</v>
      </c>
      <c r="AH910" s="71">
        <v>0.92323201537938504</v>
      </c>
      <c r="AI910" s="73">
        <v>0.92</v>
      </c>
      <c r="AJ910" s="71">
        <v>0.94419531639262599</v>
      </c>
      <c r="AK910" s="71">
        <v>0.92883517959046702</v>
      </c>
      <c r="AL910" s="71">
        <v>0.84914933837429096</v>
      </c>
      <c r="AM910" s="71">
        <v>0.93726718885987803</v>
      </c>
      <c r="AN910" s="70">
        <v>0.99</v>
      </c>
      <c r="AO910" s="75">
        <v>1</v>
      </c>
      <c r="AP910" s="75">
        <v>1</v>
      </c>
      <c r="AQ910" s="75">
        <v>1</v>
      </c>
      <c r="AR910" s="75">
        <v>1</v>
      </c>
      <c r="AS910" s="95">
        <v>6.5641848892985799E-2</v>
      </c>
      <c r="AT910" s="79">
        <v>0.05</v>
      </c>
      <c r="AU910" s="79">
        <v>5.8823529411764698E-2</v>
      </c>
      <c r="AV910" s="79">
        <v>0.18181818181818199</v>
      </c>
      <c r="AW910" s="79">
        <v>5.4455445544554497E-2</v>
      </c>
      <c r="AX910" s="56"/>
      <c r="AY910" s="54"/>
    </row>
    <row r="911" spans="1:51" ht="15">
      <c r="A911" s="53"/>
      <c r="B911" s="56"/>
      <c r="C911" s="114" t="s">
        <v>921</v>
      </c>
      <c r="D911" s="233" t="s">
        <v>1757</v>
      </c>
      <c r="E911" s="68" t="s">
        <v>922</v>
      </c>
      <c r="F911" s="117" t="s">
        <v>934</v>
      </c>
      <c r="G911" s="118" t="s">
        <v>934</v>
      </c>
      <c r="H911" s="118" t="s">
        <v>934</v>
      </c>
      <c r="I911" s="118" t="s">
        <v>934</v>
      </c>
      <c r="J911" s="70">
        <v>0.9</v>
      </c>
      <c r="K911" s="71">
        <v>0.90322580645161299</v>
      </c>
      <c r="L911" s="71">
        <v>0.79411764705882304</v>
      </c>
      <c r="M911" s="72">
        <v>0.78571428571428603</v>
      </c>
      <c r="N911" s="71">
        <v>0.86217008797654004</v>
      </c>
      <c r="O911" s="73">
        <v>0.9</v>
      </c>
      <c r="P911" s="71">
        <v>0.97115384615384603</v>
      </c>
      <c r="Q911" s="71">
        <v>0.97761685319289005</v>
      </c>
      <c r="R911" s="71">
        <v>0.89855072463768104</v>
      </c>
      <c r="S911" s="71">
        <v>0.96913520333883296</v>
      </c>
      <c r="T911" s="73">
        <v>0.9</v>
      </c>
      <c r="U911" s="71">
        <v>0.933760683760684</v>
      </c>
      <c r="V911" s="71">
        <v>0.89368005266622796</v>
      </c>
      <c r="W911" s="71">
        <v>0.901449275362319</v>
      </c>
      <c r="X911" s="71">
        <v>0.90549678087288499</v>
      </c>
      <c r="Y911" s="73">
        <v>0.92</v>
      </c>
      <c r="Z911" s="73" t="s">
        <v>1710</v>
      </c>
      <c r="AA911" s="73" t="s">
        <v>1710</v>
      </c>
      <c r="AB911" s="73" t="s">
        <v>1710</v>
      </c>
      <c r="AC911" s="73">
        <v>1</v>
      </c>
      <c r="AD911" s="73">
        <v>0.92</v>
      </c>
      <c r="AE911" s="71">
        <v>0.99874947894956201</v>
      </c>
      <c r="AF911" s="71">
        <v>0.99779005524861897</v>
      </c>
      <c r="AG911" s="71">
        <v>0.99784791965566699</v>
      </c>
      <c r="AH911" s="71">
        <v>0.99819157272891701</v>
      </c>
      <c r="AI911" s="73">
        <v>0.92</v>
      </c>
      <c r="AJ911" s="71">
        <v>0.94020288307527999</v>
      </c>
      <c r="AK911" s="71">
        <v>0.95031260282987795</v>
      </c>
      <c r="AL911" s="71">
        <v>0.952536231884058</v>
      </c>
      <c r="AM911" s="71">
        <v>0.94604211820269801</v>
      </c>
      <c r="AN911" s="70">
        <v>0.99</v>
      </c>
      <c r="AO911" s="75">
        <v>1</v>
      </c>
      <c r="AP911" s="75">
        <v>1</v>
      </c>
      <c r="AQ911" s="75">
        <v>1</v>
      </c>
      <c r="AR911" s="75">
        <v>1</v>
      </c>
      <c r="AS911" s="95">
        <v>6.5641848892985799E-2</v>
      </c>
      <c r="AT911" s="79">
        <v>9.0909090909090898E-2</v>
      </c>
      <c r="AU911" s="79">
        <v>0.16666666666666699</v>
      </c>
      <c r="AV911" s="79">
        <v>0</v>
      </c>
      <c r="AW911" s="79">
        <v>0.11464968152866201</v>
      </c>
      <c r="AX911" s="56"/>
      <c r="AY911" s="54"/>
    </row>
    <row r="912" spans="1:51" ht="15">
      <c r="A912" s="53"/>
      <c r="B912" s="56"/>
      <c r="C912" s="114" t="s">
        <v>921</v>
      </c>
      <c r="D912" s="233" t="s">
        <v>1757</v>
      </c>
      <c r="E912" s="68" t="s">
        <v>922</v>
      </c>
      <c r="F912" s="121" t="s">
        <v>935</v>
      </c>
      <c r="G912" s="122" t="s">
        <v>935</v>
      </c>
      <c r="H912" s="122" t="s">
        <v>935</v>
      </c>
      <c r="I912" s="122" t="s">
        <v>935</v>
      </c>
      <c r="J912" s="70">
        <v>0.9</v>
      </c>
      <c r="K912" s="71">
        <v>0.9375</v>
      </c>
      <c r="L912" s="71">
        <v>0.9</v>
      </c>
      <c r="M912" s="72">
        <v>0.61111111111111105</v>
      </c>
      <c r="N912" s="71">
        <v>0.89340101522842597</v>
      </c>
      <c r="O912" s="73">
        <v>0.9</v>
      </c>
      <c r="P912" s="71">
        <v>0.91471571906354499</v>
      </c>
      <c r="Q912" s="71">
        <v>0.89695057833859104</v>
      </c>
      <c r="R912" s="71">
        <v>0.88485158648925299</v>
      </c>
      <c r="S912" s="71">
        <v>0.85548011639185295</v>
      </c>
      <c r="T912" s="73">
        <v>0.9</v>
      </c>
      <c r="U912" s="71">
        <v>0.853678929765886</v>
      </c>
      <c r="V912" s="71">
        <v>0.89695057833859104</v>
      </c>
      <c r="W912" s="71">
        <v>0.90225179119754395</v>
      </c>
      <c r="X912" s="71">
        <v>0.85193986420950496</v>
      </c>
      <c r="Y912" s="73">
        <v>0.92</v>
      </c>
      <c r="Z912" s="73" t="s">
        <v>1710</v>
      </c>
      <c r="AA912" s="73" t="s">
        <v>1710</v>
      </c>
      <c r="AB912" s="73" t="s">
        <v>1710</v>
      </c>
      <c r="AC912" s="73" t="s">
        <v>1710</v>
      </c>
      <c r="AD912" s="73">
        <v>0.92</v>
      </c>
      <c r="AE912" s="71">
        <v>0.99955367105556803</v>
      </c>
      <c r="AF912" s="71">
        <v>0.87470756433584596</v>
      </c>
      <c r="AG912" s="71">
        <v>0.99725274725274704</v>
      </c>
      <c r="AH912" s="71">
        <v>0.98439779663540306</v>
      </c>
      <c r="AI912" s="73">
        <v>0.92</v>
      </c>
      <c r="AJ912" s="71">
        <v>0.90575479566305295</v>
      </c>
      <c r="AK912" s="71">
        <v>0.95640756302521002</v>
      </c>
      <c r="AL912" s="71">
        <v>0.94027565084226605</v>
      </c>
      <c r="AM912" s="71">
        <v>0.93724274853517997</v>
      </c>
      <c r="AN912" s="70">
        <v>0.99</v>
      </c>
      <c r="AO912" s="75">
        <v>1</v>
      </c>
      <c r="AP912" s="75">
        <v>1</v>
      </c>
      <c r="AQ912" s="75">
        <v>1</v>
      </c>
      <c r="AR912" s="75">
        <v>1</v>
      </c>
      <c r="AS912" s="95">
        <v>6.5641848892985799E-2</v>
      </c>
      <c r="AT912" s="79">
        <v>0</v>
      </c>
      <c r="AU912" s="79">
        <v>0.11111111111111099</v>
      </c>
      <c r="AV912" s="79">
        <v>0.15384615384615399</v>
      </c>
      <c r="AW912" s="79">
        <v>9.7826086956521702E-2</v>
      </c>
      <c r="AX912" s="56"/>
      <c r="AY912" s="54"/>
    </row>
    <row r="913" spans="1:51" ht="15">
      <c r="A913" s="53"/>
      <c r="B913" s="56"/>
      <c r="C913" s="114" t="s">
        <v>921</v>
      </c>
      <c r="D913" s="233" t="s">
        <v>1757</v>
      </c>
      <c r="E913" s="68" t="s">
        <v>922</v>
      </c>
      <c r="F913" s="117" t="s">
        <v>936</v>
      </c>
      <c r="G913" s="118" t="s">
        <v>936</v>
      </c>
      <c r="H913" s="118" t="s">
        <v>936</v>
      </c>
      <c r="I913" s="118" t="s">
        <v>936</v>
      </c>
      <c r="J913" s="70">
        <v>0.9</v>
      </c>
      <c r="K913" s="71">
        <v>0.68292682926829296</v>
      </c>
      <c r="L913" s="71">
        <v>0.87804878048780499</v>
      </c>
      <c r="M913" s="72">
        <v>0.97222222222222199</v>
      </c>
      <c r="N913" s="71">
        <v>0.87990762124711297</v>
      </c>
      <c r="O913" s="73">
        <v>0.9</v>
      </c>
      <c r="P913" s="71">
        <v>0.90947449175297301</v>
      </c>
      <c r="Q913" s="71">
        <v>0.92457195742711695</v>
      </c>
      <c r="R913" s="71">
        <v>0.89393939393939403</v>
      </c>
      <c r="S913" s="71">
        <v>0.91838221013789101</v>
      </c>
      <c r="T913" s="73">
        <v>0.9</v>
      </c>
      <c r="U913" s="71">
        <v>0.92711929420790196</v>
      </c>
      <c r="V913" s="71">
        <v>0.92179546506247101</v>
      </c>
      <c r="W913" s="71">
        <v>0.89678030303030298</v>
      </c>
      <c r="X913" s="71">
        <v>0.91697416974169699</v>
      </c>
      <c r="Y913" s="73">
        <v>0.92</v>
      </c>
      <c r="Z913" s="73" t="s">
        <v>1710</v>
      </c>
      <c r="AA913" s="73" t="s">
        <v>1710</v>
      </c>
      <c r="AB913" s="73" t="s">
        <v>1710</v>
      </c>
      <c r="AC913" s="73" t="s">
        <v>1710</v>
      </c>
      <c r="AD913" s="73">
        <v>0.92</v>
      </c>
      <c r="AE913" s="71">
        <v>0.99809845763786198</v>
      </c>
      <c r="AF913" s="71">
        <v>0.96367305751765897</v>
      </c>
      <c r="AG913" s="71">
        <v>0.99292324442025004</v>
      </c>
      <c r="AH913" s="71">
        <v>0.99440069418294297</v>
      </c>
      <c r="AI913" s="73">
        <v>0.92</v>
      </c>
      <c r="AJ913" s="71">
        <v>0.96739547372458801</v>
      </c>
      <c r="AK913" s="71">
        <v>0.96159185562239702</v>
      </c>
      <c r="AL913" s="71">
        <v>0.947206439393939</v>
      </c>
      <c r="AM913" s="71">
        <v>0.95936301403116997</v>
      </c>
      <c r="AN913" s="70">
        <v>0.99</v>
      </c>
      <c r="AO913" s="75">
        <v>1</v>
      </c>
      <c r="AP913" s="75">
        <v>1</v>
      </c>
      <c r="AQ913" s="75">
        <v>1</v>
      </c>
      <c r="AR913" s="75">
        <v>1</v>
      </c>
      <c r="AS913" s="95">
        <v>6.5641848892985799E-2</v>
      </c>
      <c r="AT913" s="79">
        <v>0.18181818181818199</v>
      </c>
      <c r="AU913" s="79">
        <v>0.1</v>
      </c>
      <c r="AV913" s="79">
        <v>0</v>
      </c>
      <c r="AW913" s="79">
        <v>5.6603773584905703E-2</v>
      </c>
      <c r="AX913" s="56"/>
      <c r="AY913" s="54"/>
    </row>
    <row r="914" spans="1:51" ht="15">
      <c r="A914" s="53"/>
      <c r="B914" s="56"/>
      <c r="C914" s="114" t="s">
        <v>921</v>
      </c>
      <c r="D914" s="233" t="s">
        <v>1757</v>
      </c>
      <c r="E914" s="68" t="s">
        <v>922</v>
      </c>
      <c r="F914" s="121" t="s">
        <v>937</v>
      </c>
      <c r="G914" s="122" t="s">
        <v>937</v>
      </c>
      <c r="H914" s="122" t="s">
        <v>937</v>
      </c>
      <c r="I914" s="122" t="s">
        <v>937</v>
      </c>
      <c r="J914" s="70">
        <v>0.9</v>
      </c>
      <c r="K914" s="71">
        <v>0.91666666666666696</v>
      </c>
      <c r="L914" s="71">
        <v>1</v>
      </c>
      <c r="M914" s="72">
        <v>1</v>
      </c>
      <c r="N914" s="71">
        <v>0.93181818181818199</v>
      </c>
      <c r="O914" s="73">
        <v>0.9</v>
      </c>
      <c r="P914" s="71">
        <v>0.92436974789916004</v>
      </c>
      <c r="Q914" s="71">
        <v>0.949532710280374</v>
      </c>
      <c r="R914" s="71">
        <v>0.94508301404853101</v>
      </c>
      <c r="S914" s="71">
        <v>0.92622222222222195</v>
      </c>
      <c r="T914" s="73">
        <v>0.9</v>
      </c>
      <c r="U914" s="71">
        <v>0.880252100840336</v>
      </c>
      <c r="V914" s="71">
        <v>0.91588785046729004</v>
      </c>
      <c r="W914" s="71">
        <v>0.91379310344827602</v>
      </c>
      <c r="X914" s="71">
        <v>0.88865185185185203</v>
      </c>
      <c r="Y914" s="73">
        <v>0.92</v>
      </c>
      <c r="Z914" s="73" t="s">
        <v>1710</v>
      </c>
      <c r="AA914" s="73" t="s">
        <v>1710</v>
      </c>
      <c r="AB914" s="73" t="s">
        <v>1710</v>
      </c>
      <c r="AC914" s="73" t="s">
        <v>1710</v>
      </c>
      <c r="AD914" s="73">
        <v>0.92</v>
      </c>
      <c r="AE914" s="71">
        <v>0.98760330578512401</v>
      </c>
      <c r="AF914" s="71">
        <v>0.99771167048054898</v>
      </c>
      <c r="AG914" s="71">
        <v>0.99496221662468498</v>
      </c>
      <c r="AH914" s="71">
        <v>0.99468342194296799</v>
      </c>
      <c r="AI914" s="73">
        <v>0.92</v>
      </c>
      <c r="AJ914" s="71">
        <v>0.93277310924369705</v>
      </c>
      <c r="AK914" s="71">
        <v>0.942056074766355</v>
      </c>
      <c r="AL914" s="71">
        <v>0.93742017879948902</v>
      </c>
      <c r="AM914" s="71">
        <v>0.93884806826262102</v>
      </c>
      <c r="AN914" s="70">
        <v>0.99</v>
      </c>
      <c r="AO914" s="75">
        <v>1</v>
      </c>
      <c r="AP914" s="75">
        <v>1</v>
      </c>
      <c r="AQ914" s="75">
        <v>1</v>
      </c>
      <c r="AR914" s="75">
        <v>1</v>
      </c>
      <c r="AS914" s="95">
        <v>6.5641848892985799E-2</v>
      </c>
      <c r="AT914" s="79">
        <v>0</v>
      </c>
      <c r="AU914" s="79">
        <v>7.1428571428571397E-2</v>
      </c>
      <c r="AV914" s="79">
        <v>0.11111111111111099</v>
      </c>
      <c r="AW914" s="79">
        <v>3.1578947368421102E-2</v>
      </c>
      <c r="AX914" s="56"/>
      <c r="AY914" s="54"/>
    </row>
    <row r="915" spans="1:51" ht="15">
      <c r="A915" s="53"/>
      <c r="B915" s="56"/>
      <c r="C915" s="114" t="s">
        <v>921</v>
      </c>
      <c r="D915" s="233" t="s">
        <v>1757</v>
      </c>
      <c r="E915" s="68" t="s">
        <v>922</v>
      </c>
      <c r="F915" s="117" t="s">
        <v>938</v>
      </c>
      <c r="G915" s="118" t="s">
        <v>938</v>
      </c>
      <c r="H915" s="118" t="s">
        <v>938</v>
      </c>
      <c r="I915" s="118" t="s">
        <v>938</v>
      </c>
      <c r="J915" s="70">
        <v>0.9</v>
      </c>
      <c r="K915" s="71">
        <v>0.6</v>
      </c>
      <c r="L915" s="71">
        <v>0.72727272727272696</v>
      </c>
      <c r="M915" s="72">
        <v>0.77777777777777801</v>
      </c>
      <c r="N915" s="71">
        <v>0.78082191780821897</v>
      </c>
      <c r="O915" s="73">
        <v>0.9</v>
      </c>
      <c r="P915" s="71">
        <v>0.91583830351226003</v>
      </c>
      <c r="Q915" s="71">
        <v>0.958570268074736</v>
      </c>
      <c r="R915" s="71">
        <v>0.898259705488621</v>
      </c>
      <c r="S915" s="71">
        <v>0.92927875887110101</v>
      </c>
      <c r="T915" s="73">
        <v>0.9</v>
      </c>
      <c r="U915" s="71">
        <v>0.85222001325381003</v>
      </c>
      <c r="V915" s="71">
        <v>0.88748984565393996</v>
      </c>
      <c r="W915" s="71">
        <v>0.86256135653725996</v>
      </c>
      <c r="X915" s="71">
        <v>0.85154315893711796</v>
      </c>
      <c r="Y915" s="73">
        <v>0.92</v>
      </c>
      <c r="Z915" s="73">
        <v>0</v>
      </c>
      <c r="AA915" s="73" t="s">
        <v>1710</v>
      </c>
      <c r="AB915" s="73" t="s">
        <v>1710</v>
      </c>
      <c r="AC915" s="73">
        <v>0</v>
      </c>
      <c r="AD915" s="73">
        <v>0.92</v>
      </c>
      <c r="AE915" s="71">
        <v>0.99814757641247298</v>
      </c>
      <c r="AF915" s="71">
        <v>0.99794871794871798</v>
      </c>
      <c r="AG915" s="71">
        <v>0.99660056657223794</v>
      </c>
      <c r="AH915" s="71">
        <v>0.99398295844606899</v>
      </c>
      <c r="AI915" s="73">
        <v>0.92</v>
      </c>
      <c r="AJ915" s="71">
        <v>0.92185430463576201</v>
      </c>
      <c r="AK915" s="71">
        <v>0.93788063337393401</v>
      </c>
      <c r="AL915" s="71">
        <v>0.92547969656403395</v>
      </c>
      <c r="AM915" s="71">
        <v>0.94228547854785505</v>
      </c>
      <c r="AN915" s="70">
        <v>0.99</v>
      </c>
      <c r="AO915" s="75">
        <v>1</v>
      </c>
      <c r="AP915" s="75">
        <v>1</v>
      </c>
      <c r="AQ915" s="75">
        <v>1</v>
      </c>
      <c r="AR915" s="75">
        <v>1</v>
      </c>
      <c r="AS915" s="95">
        <v>6.5641848892985799E-2</v>
      </c>
      <c r="AT915" s="79">
        <v>0.04</v>
      </c>
      <c r="AU915" s="79">
        <v>0</v>
      </c>
      <c r="AV915" s="79">
        <v>0</v>
      </c>
      <c r="AW915" s="79">
        <v>2.7131782945736399E-2</v>
      </c>
      <c r="AX915" s="56"/>
      <c r="AY915" s="54"/>
    </row>
    <row r="916" spans="1:51" ht="15">
      <c r="A916" s="53"/>
      <c r="B916" s="56"/>
      <c r="C916" s="114" t="s">
        <v>921</v>
      </c>
      <c r="D916" s="233" t="s">
        <v>1757</v>
      </c>
      <c r="E916" s="68" t="s">
        <v>922</v>
      </c>
      <c r="F916" s="117" t="s">
        <v>939</v>
      </c>
      <c r="G916" s="118" t="s">
        <v>939</v>
      </c>
      <c r="H916" s="118" t="s">
        <v>939</v>
      </c>
      <c r="I916" s="118" t="s">
        <v>939</v>
      </c>
      <c r="J916" s="70">
        <v>0.9</v>
      </c>
      <c r="K916" s="71">
        <v>0.90909090909090895</v>
      </c>
      <c r="L916" s="71">
        <v>0.9375</v>
      </c>
      <c r="M916" s="72">
        <v>0.931034482758621</v>
      </c>
      <c r="N916" s="71">
        <v>0.85422740524781304</v>
      </c>
      <c r="O916" s="73">
        <v>0.9</v>
      </c>
      <c r="P916" s="71">
        <v>0.92299503193754395</v>
      </c>
      <c r="Q916" s="71">
        <v>0.91562897077509497</v>
      </c>
      <c r="R916" s="71">
        <v>0.82864721485411097</v>
      </c>
      <c r="S916" s="71">
        <v>0.89693518427998797</v>
      </c>
      <c r="T916" s="73">
        <v>0.9</v>
      </c>
      <c r="U916" s="71">
        <v>0.88999290276792098</v>
      </c>
      <c r="V916" s="71">
        <v>0.91359593392630201</v>
      </c>
      <c r="W916" s="71">
        <v>0.83076923076923104</v>
      </c>
      <c r="X916" s="71">
        <v>0.89813275980056695</v>
      </c>
      <c r="Y916" s="73">
        <v>0.92</v>
      </c>
      <c r="Z916" s="73" t="s">
        <v>1710</v>
      </c>
      <c r="AA916" s="73" t="s">
        <v>1710</v>
      </c>
      <c r="AB916" s="73" t="s">
        <v>1710</v>
      </c>
      <c r="AC916" s="73">
        <v>1</v>
      </c>
      <c r="AD916" s="73">
        <v>0.92</v>
      </c>
      <c r="AE916" s="71">
        <v>0.99731831590238695</v>
      </c>
      <c r="AF916" s="71">
        <v>0.99864590385917396</v>
      </c>
      <c r="AG916" s="71">
        <v>0.99759663528940501</v>
      </c>
      <c r="AH916" s="71">
        <v>0.99494298126527303</v>
      </c>
      <c r="AI916" s="73">
        <v>0.92</v>
      </c>
      <c r="AJ916" s="71">
        <v>0.95211067754522904</v>
      </c>
      <c r="AK916" s="71">
        <v>0.95578144853875502</v>
      </c>
      <c r="AL916" s="71">
        <v>0.88570670909573102</v>
      </c>
      <c r="AM916" s="71">
        <v>0.94689638318670599</v>
      </c>
      <c r="AN916" s="70">
        <v>0.99</v>
      </c>
      <c r="AO916" s="75">
        <v>1</v>
      </c>
      <c r="AP916" s="75">
        <v>1</v>
      </c>
      <c r="AQ916" s="75">
        <v>1</v>
      </c>
      <c r="AR916" s="75">
        <v>1</v>
      </c>
      <c r="AS916" s="95">
        <v>6.5641848892985799E-2</v>
      </c>
      <c r="AT916" s="79">
        <v>6.9767441860465101E-2</v>
      </c>
      <c r="AU916" s="79">
        <v>0</v>
      </c>
      <c r="AV916" s="79">
        <v>0</v>
      </c>
      <c r="AW916" s="79">
        <v>3.8869257950529999E-2</v>
      </c>
      <c r="AX916" s="56"/>
      <c r="AY916" s="54"/>
    </row>
    <row r="917" spans="1:51" ht="15">
      <c r="A917" s="53"/>
      <c r="B917" s="56"/>
      <c r="C917" s="114" t="s">
        <v>921</v>
      </c>
      <c r="D917" s="233" t="s">
        <v>1757</v>
      </c>
      <c r="E917" s="68" t="s">
        <v>922</v>
      </c>
      <c r="F917" s="117" t="s">
        <v>940</v>
      </c>
      <c r="G917" s="118" t="s">
        <v>940</v>
      </c>
      <c r="H917" s="118" t="s">
        <v>940</v>
      </c>
      <c r="I917" s="118" t="s">
        <v>940</v>
      </c>
      <c r="J917" s="70">
        <v>0.9</v>
      </c>
      <c r="K917" s="71">
        <v>0.97058823529411797</v>
      </c>
      <c r="L917" s="71">
        <v>0.97222222222222199</v>
      </c>
      <c r="M917" s="72">
        <v>0.97297297297297303</v>
      </c>
      <c r="N917" s="71">
        <v>0.95584415584415605</v>
      </c>
      <c r="O917" s="73">
        <v>0.9</v>
      </c>
      <c r="P917" s="71">
        <v>0.91061452513966501</v>
      </c>
      <c r="Q917" s="71">
        <v>0.90078407720144704</v>
      </c>
      <c r="R917" s="71">
        <v>0.92956496004735101</v>
      </c>
      <c r="S917" s="71">
        <v>0.93021500181181305</v>
      </c>
      <c r="T917" s="73">
        <v>0.9</v>
      </c>
      <c r="U917" s="71">
        <v>0.86998476383951195</v>
      </c>
      <c r="V917" s="71">
        <v>0.88630880579010896</v>
      </c>
      <c r="W917" s="71">
        <v>0.89227582124889004</v>
      </c>
      <c r="X917" s="71">
        <v>0.886429520473487</v>
      </c>
      <c r="Y917" s="73">
        <v>0.92</v>
      </c>
      <c r="Z917" s="73">
        <v>0.90459770114942495</v>
      </c>
      <c r="AA917" s="73">
        <v>0.88449848024316102</v>
      </c>
      <c r="AB917" s="73">
        <v>0.88099173553719001</v>
      </c>
      <c r="AC917" s="73">
        <v>0.86823184152604505</v>
      </c>
      <c r="AD917" s="73">
        <v>0.92</v>
      </c>
      <c r="AE917" s="71">
        <v>0.99858663902760803</v>
      </c>
      <c r="AF917" s="71">
        <v>0.59377027903958501</v>
      </c>
      <c r="AG917" s="71">
        <v>0.99949426837491595</v>
      </c>
      <c r="AH917" s="71">
        <v>0.96741754439917005</v>
      </c>
      <c r="AI917" s="73">
        <v>0.92</v>
      </c>
      <c r="AJ917" s="71">
        <v>0.94121788102780701</v>
      </c>
      <c r="AK917" s="71">
        <v>0.95501919912232602</v>
      </c>
      <c r="AL917" s="71">
        <v>0.94804216867469904</v>
      </c>
      <c r="AM917" s="71">
        <v>0.94223546497070498</v>
      </c>
      <c r="AN917" s="70">
        <v>0.99</v>
      </c>
      <c r="AO917" s="75">
        <v>1</v>
      </c>
      <c r="AP917" s="75">
        <v>1</v>
      </c>
      <c r="AQ917" s="75">
        <v>1</v>
      </c>
      <c r="AR917" s="75">
        <v>1</v>
      </c>
      <c r="AS917" s="95">
        <v>6.5641848892985799E-2</v>
      </c>
      <c r="AT917" s="79">
        <v>0</v>
      </c>
      <c r="AU917" s="79">
        <v>-8.3333333333333301E-2</v>
      </c>
      <c r="AV917" s="79">
        <v>6.6666666666666693E-2</v>
      </c>
      <c r="AW917" s="79">
        <v>7.4999999999999997E-2</v>
      </c>
      <c r="AX917" s="56"/>
      <c r="AY917" s="54"/>
    </row>
    <row r="918" spans="1:51" ht="15">
      <c r="A918" s="53"/>
      <c r="B918" s="56"/>
      <c r="C918" s="114" t="s">
        <v>921</v>
      </c>
      <c r="D918" s="233" t="s">
        <v>1757</v>
      </c>
      <c r="E918" s="68" t="s">
        <v>922</v>
      </c>
      <c r="F918" s="117" t="s">
        <v>941</v>
      </c>
      <c r="G918" s="118" t="s">
        <v>941</v>
      </c>
      <c r="H918" s="118" t="s">
        <v>941</v>
      </c>
      <c r="I918" s="118" t="s">
        <v>941</v>
      </c>
      <c r="J918" s="70">
        <v>0.9</v>
      </c>
      <c r="K918" s="71">
        <v>0.66666666666666696</v>
      </c>
      <c r="L918" s="71">
        <v>0.85714285714285698</v>
      </c>
      <c r="M918" s="72">
        <v>0.8</v>
      </c>
      <c r="N918" s="71">
        <v>0.87096774193548399</v>
      </c>
      <c r="O918" s="73">
        <v>0.9</v>
      </c>
      <c r="P918" s="71">
        <v>0.98286937901498905</v>
      </c>
      <c r="Q918" s="71">
        <v>0.97545219638242897</v>
      </c>
      <c r="R918" s="71">
        <v>0.96470588235294097</v>
      </c>
      <c r="S918" s="71">
        <v>0.93506864988558303</v>
      </c>
      <c r="T918" s="73">
        <v>0.9</v>
      </c>
      <c r="U918" s="71">
        <v>0.86295503211991398</v>
      </c>
      <c r="V918" s="71">
        <v>0.86563307493540098</v>
      </c>
      <c r="W918" s="71">
        <v>0.83865546218487397</v>
      </c>
      <c r="X918" s="71">
        <v>0.85569221967963405</v>
      </c>
      <c r="Y918" s="73">
        <v>0.92</v>
      </c>
      <c r="Z918" s="73" t="s">
        <v>1710</v>
      </c>
      <c r="AA918" s="73" t="s">
        <v>1710</v>
      </c>
      <c r="AB918" s="73" t="s">
        <v>1710</v>
      </c>
      <c r="AC918" s="73">
        <v>0</v>
      </c>
      <c r="AD918" s="73">
        <v>0.92</v>
      </c>
      <c r="AE918" s="71">
        <v>0.99912587412587395</v>
      </c>
      <c r="AF918" s="71">
        <v>0.99681866383881201</v>
      </c>
      <c r="AG918" s="71">
        <v>0.97402597402597402</v>
      </c>
      <c r="AH918" s="71">
        <v>0.99618684461391804</v>
      </c>
      <c r="AI918" s="73">
        <v>0.92</v>
      </c>
      <c r="AJ918" s="71">
        <v>0.955032119914347</v>
      </c>
      <c r="AK918" s="71">
        <v>0.97161290322580596</v>
      </c>
      <c r="AL918" s="71">
        <v>0.94453781512604995</v>
      </c>
      <c r="AM918" s="71">
        <v>0.95626697155924001</v>
      </c>
      <c r="AN918" s="70">
        <v>0.99</v>
      </c>
      <c r="AO918" s="75">
        <v>1</v>
      </c>
      <c r="AP918" s="75">
        <v>1</v>
      </c>
      <c r="AQ918" s="75">
        <v>1</v>
      </c>
      <c r="AR918" s="75">
        <v>1</v>
      </c>
      <c r="AS918" s="95">
        <v>6.5641848892985799E-2</v>
      </c>
      <c r="AT918" s="79">
        <v>0</v>
      </c>
      <c r="AU918" s="79">
        <v>0</v>
      </c>
      <c r="AV918" s="79">
        <v>0</v>
      </c>
      <c r="AW918" s="79">
        <v>0</v>
      </c>
      <c r="AX918" s="56"/>
      <c r="AY918" s="54"/>
    </row>
    <row r="919" spans="1:51" ht="15">
      <c r="A919" s="53"/>
      <c r="B919" s="56"/>
      <c r="C919" s="114" t="s">
        <v>921</v>
      </c>
      <c r="D919" s="233" t="s">
        <v>1757</v>
      </c>
      <c r="E919" s="68" t="s">
        <v>922</v>
      </c>
      <c r="F919" s="117" t="s">
        <v>942</v>
      </c>
      <c r="G919" s="118" t="s">
        <v>942</v>
      </c>
      <c r="H919" s="118" t="s">
        <v>942</v>
      </c>
      <c r="I919" s="118" t="s">
        <v>942</v>
      </c>
      <c r="J919" s="70">
        <v>0.9</v>
      </c>
      <c r="K919" s="71">
        <v>0.93333333333333302</v>
      </c>
      <c r="L919" s="71">
        <v>0.91666666666666696</v>
      </c>
      <c r="M919" s="72">
        <v>0.90909090909090895</v>
      </c>
      <c r="N919" s="71">
        <v>0.92506459948320396</v>
      </c>
      <c r="O919" s="73">
        <v>0.9</v>
      </c>
      <c r="P919" s="71">
        <v>0.934486373165618</v>
      </c>
      <c r="Q919" s="71">
        <v>0.93104426787741201</v>
      </c>
      <c r="R919" s="71">
        <v>0.9375</v>
      </c>
      <c r="S919" s="71">
        <v>0.95329400196656799</v>
      </c>
      <c r="T919" s="73">
        <v>0.9</v>
      </c>
      <c r="U919" s="71">
        <v>0.905136268343816</v>
      </c>
      <c r="V919" s="71">
        <v>0.91061293984109004</v>
      </c>
      <c r="W919" s="71">
        <v>0.85486778846153799</v>
      </c>
      <c r="X919" s="71">
        <v>0.90534443866042003</v>
      </c>
      <c r="Y919" s="73">
        <v>0.92</v>
      </c>
      <c r="Z919" s="73" t="s">
        <v>1710</v>
      </c>
      <c r="AA919" s="73" t="s">
        <v>1710</v>
      </c>
      <c r="AB919" s="73" t="s">
        <v>1710</v>
      </c>
      <c r="AC919" s="73" t="s">
        <v>1710</v>
      </c>
      <c r="AD919" s="73">
        <v>0.92</v>
      </c>
      <c r="AE919" s="71">
        <v>0.99222049344298702</v>
      </c>
      <c r="AF919" s="71">
        <v>0.98686679174484004</v>
      </c>
      <c r="AG919" s="71">
        <v>0.989710926016659</v>
      </c>
      <c r="AH919" s="71">
        <v>0.99452016689847</v>
      </c>
      <c r="AI919" s="73">
        <v>0.92</v>
      </c>
      <c r="AJ919" s="71">
        <v>0.922431865828092</v>
      </c>
      <c r="AK919" s="71">
        <v>0.941259931895573</v>
      </c>
      <c r="AL919" s="71">
        <v>0.91887019230769196</v>
      </c>
      <c r="AM919" s="71">
        <v>0.94097573671881796</v>
      </c>
      <c r="AN919" s="70">
        <v>0.99</v>
      </c>
      <c r="AO919" s="75">
        <v>1</v>
      </c>
      <c r="AP919" s="75">
        <v>1</v>
      </c>
      <c r="AQ919" s="75">
        <v>1</v>
      </c>
      <c r="AR919" s="75">
        <v>1</v>
      </c>
      <c r="AS919" s="95">
        <v>6.5641848892985799E-2</v>
      </c>
      <c r="AT919" s="79">
        <v>0.14285714285714299</v>
      </c>
      <c r="AU919" s="79">
        <v>0</v>
      </c>
      <c r="AV919" s="79">
        <v>0</v>
      </c>
      <c r="AW919" s="79">
        <v>4.3859649122807001E-2</v>
      </c>
      <c r="AX919" s="56"/>
      <c r="AY919" s="54"/>
    </row>
    <row r="920" spans="1:51" ht="15">
      <c r="A920" s="53"/>
      <c r="B920" s="56"/>
      <c r="C920" s="114" t="s">
        <v>921</v>
      </c>
      <c r="D920" s="233" t="s">
        <v>1757</v>
      </c>
      <c r="E920" s="68" t="s">
        <v>922</v>
      </c>
      <c r="F920" s="121" t="s">
        <v>943</v>
      </c>
      <c r="G920" s="122" t="s">
        <v>943</v>
      </c>
      <c r="H920" s="122" t="s">
        <v>943</v>
      </c>
      <c r="I920" s="122" t="s">
        <v>943</v>
      </c>
      <c r="J920" s="70">
        <v>0.9</v>
      </c>
      <c r="K920" s="71">
        <v>0.85714285714285698</v>
      </c>
      <c r="L920" s="71">
        <v>0.75</v>
      </c>
      <c r="M920" s="72">
        <v>0.9375</v>
      </c>
      <c r="N920" s="71">
        <v>0.86010362694300502</v>
      </c>
      <c r="O920" s="73">
        <v>0.9</v>
      </c>
      <c r="P920" s="71">
        <v>0.91452344931921303</v>
      </c>
      <c r="Q920" s="71">
        <v>0.88066037735849101</v>
      </c>
      <c r="R920" s="71">
        <v>0.92292777508482804</v>
      </c>
      <c r="S920" s="71">
        <v>0.92796590101823395</v>
      </c>
      <c r="T920" s="73">
        <v>0.9</v>
      </c>
      <c r="U920" s="71">
        <v>0.85249621785174001</v>
      </c>
      <c r="V920" s="71">
        <v>0.85849056603773599</v>
      </c>
      <c r="W920" s="71">
        <v>0.79059621909840005</v>
      </c>
      <c r="X920" s="71">
        <v>0.80615676059673202</v>
      </c>
      <c r="Y920" s="73">
        <v>0.92</v>
      </c>
      <c r="Z920" s="73" t="s">
        <v>1710</v>
      </c>
      <c r="AA920" s="73" t="s">
        <v>1710</v>
      </c>
      <c r="AB920" s="73" t="s">
        <v>1710</v>
      </c>
      <c r="AC920" s="73" t="s">
        <v>1710</v>
      </c>
      <c r="AD920" s="73">
        <v>0.92</v>
      </c>
      <c r="AE920" s="71">
        <v>0.99474030243261002</v>
      </c>
      <c r="AF920" s="71">
        <v>0.99412915851271999</v>
      </c>
      <c r="AG920" s="71">
        <v>0.99709302325581395</v>
      </c>
      <c r="AH920" s="71">
        <v>0.97532216494845403</v>
      </c>
      <c r="AI920" s="73">
        <v>0.92</v>
      </c>
      <c r="AJ920" s="71">
        <v>0.92133131618759501</v>
      </c>
      <c r="AK920" s="71">
        <v>0.932075471698113</v>
      </c>
      <c r="AL920" s="71">
        <v>0.87445467765390195</v>
      </c>
      <c r="AM920" s="71">
        <v>0.92721504001515398</v>
      </c>
      <c r="AN920" s="70">
        <v>0.99</v>
      </c>
      <c r="AO920" s="75">
        <v>1</v>
      </c>
      <c r="AP920" s="75">
        <v>1</v>
      </c>
      <c r="AQ920" s="75">
        <v>1</v>
      </c>
      <c r="AR920" s="75">
        <v>1</v>
      </c>
      <c r="AS920" s="95">
        <v>6.5641848892985799E-2</v>
      </c>
      <c r="AT920" s="79">
        <v>0</v>
      </c>
      <c r="AU920" s="79">
        <v>0.11111111111111099</v>
      </c>
      <c r="AV920" s="79">
        <v>0</v>
      </c>
      <c r="AW920" s="79">
        <v>5.31914893617021E-2</v>
      </c>
      <c r="AX920" s="56"/>
      <c r="AY920" s="54"/>
    </row>
    <row r="921" spans="1:51" ht="15">
      <c r="A921" s="53"/>
      <c r="B921" s="56"/>
      <c r="C921" s="114" t="s">
        <v>921</v>
      </c>
      <c r="D921" s="233" t="s">
        <v>1757</v>
      </c>
      <c r="E921" s="68" t="s">
        <v>922</v>
      </c>
      <c r="F921" s="117" t="s">
        <v>944</v>
      </c>
      <c r="G921" s="118" t="s">
        <v>944</v>
      </c>
      <c r="H921" s="118" t="s">
        <v>944</v>
      </c>
      <c r="I921" s="118" t="s">
        <v>944</v>
      </c>
      <c r="J921" s="70">
        <v>0.9</v>
      </c>
      <c r="K921" s="71">
        <v>0.96</v>
      </c>
      <c r="L921" s="71">
        <v>0.9375</v>
      </c>
      <c r="M921" s="72">
        <v>0.88679245283018904</v>
      </c>
      <c r="N921" s="71">
        <v>0.89318885448916396</v>
      </c>
      <c r="O921" s="73">
        <v>0.9</v>
      </c>
      <c r="P921" s="71">
        <v>0.90876045074518397</v>
      </c>
      <c r="Q921" s="71">
        <v>0.90989109354020603</v>
      </c>
      <c r="R921" s="71">
        <v>0.84321675958776798</v>
      </c>
      <c r="S921" s="71">
        <v>0.89820659252579904</v>
      </c>
      <c r="T921" s="73">
        <v>0.9</v>
      </c>
      <c r="U921" s="71">
        <v>0.84823700472555397</v>
      </c>
      <c r="V921" s="71">
        <v>0.83037445919737396</v>
      </c>
      <c r="W921" s="71">
        <v>0.73627301909106302</v>
      </c>
      <c r="X921" s="71">
        <v>0.83733379134641495</v>
      </c>
      <c r="Y921" s="73">
        <v>0.92</v>
      </c>
      <c r="Z921" s="73" t="s">
        <v>1710</v>
      </c>
      <c r="AA921" s="73" t="s">
        <v>1710</v>
      </c>
      <c r="AB921" s="73" t="s">
        <v>1710</v>
      </c>
      <c r="AC921" s="73">
        <v>0.5</v>
      </c>
      <c r="AD921" s="73">
        <v>0.92</v>
      </c>
      <c r="AE921" s="71">
        <v>0.99164677804295898</v>
      </c>
      <c r="AF921" s="71">
        <v>0.97042513863216295</v>
      </c>
      <c r="AG921" s="71">
        <v>0.99319727891156495</v>
      </c>
      <c r="AH921" s="71">
        <v>0.98264086511098503</v>
      </c>
      <c r="AI921" s="73">
        <v>0.92</v>
      </c>
      <c r="AJ921" s="71">
        <v>0.898945837877136</v>
      </c>
      <c r="AK921" s="71">
        <v>0.94151872295986905</v>
      </c>
      <c r="AL921" s="71">
        <v>0.87601351351351398</v>
      </c>
      <c r="AM921" s="71">
        <v>0.92929726635179599</v>
      </c>
      <c r="AN921" s="70">
        <v>0.99</v>
      </c>
      <c r="AO921" s="75">
        <v>1</v>
      </c>
      <c r="AP921" s="75">
        <v>1</v>
      </c>
      <c r="AQ921" s="75">
        <v>1</v>
      </c>
      <c r="AR921" s="75">
        <v>1</v>
      </c>
      <c r="AS921" s="95">
        <v>6.5641848892985799E-2</v>
      </c>
      <c r="AT921" s="79">
        <v>0.22222222222222199</v>
      </c>
      <c r="AU921" s="79">
        <v>0</v>
      </c>
      <c r="AV921" s="79">
        <v>4.3478260869565202E-2</v>
      </c>
      <c r="AW921" s="79">
        <v>4.3715846994535498E-2</v>
      </c>
      <c r="AX921" s="56"/>
      <c r="AY921" s="54"/>
    </row>
    <row r="922" spans="1:51" ht="15">
      <c r="A922" s="53"/>
      <c r="B922" s="56"/>
      <c r="C922" s="114" t="s">
        <v>921</v>
      </c>
      <c r="D922" s="233" t="s">
        <v>1757</v>
      </c>
      <c r="E922" s="68" t="s">
        <v>922</v>
      </c>
      <c r="F922" s="117" t="s">
        <v>945</v>
      </c>
      <c r="G922" s="118" t="s">
        <v>945</v>
      </c>
      <c r="H922" s="118" t="s">
        <v>945</v>
      </c>
      <c r="I922" s="118" t="s">
        <v>945</v>
      </c>
      <c r="J922" s="70">
        <v>0.9</v>
      </c>
      <c r="K922" s="71">
        <v>1</v>
      </c>
      <c r="L922" s="71">
        <v>1</v>
      </c>
      <c r="M922" s="72">
        <v>1</v>
      </c>
      <c r="N922" s="71">
        <v>0.99572649572649596</v>
      </c>
      <c r="O922" s="73">
        <v>0.9</v>
      </c>
      <c r="P922" s="71">
        <v>0.98788042014543498</v>
      </c>
      <c r="Q922" s="71">
        <v>0.97923728813559296</v>
      </c>
      <c r="R922" s="71">
        <v>0.96333112436492196</v>
      </c>
      <c r="S922" s="71">
        <v>0.97841402794629895</v>
      </c>
      <c r="T922" s="73">
        <v>0.9</v>
      </c>
      <c r="U922" s="71">
        <v>0.94748182063021802</v>
      </c>
      <c r="V922" s="71">
        <v>0.92012711864406804</v>
      </c>
      <c r="W922" s="71">
        <v>0.92776673293571899</v>
      </c>
      <c r="X922" s="71">
        <v>0.93766879329915098</v>
      </c>
      <c r="Y922" s="73">
        <v>0.92</v>
      </c>
      <c r="Z922" s="73" t="s">
        <v>1710</v>
      </c>
      <c r="AA922" s="73" t="s">
        <v>1710</v>
      </c>
      <c r="AB922" s="73" t="s">
        <v>1710</v>
      </c>
      <c r="AC922" s="73">
        <v>1</v>
      </c>
      <c r="AD922" s="73">
        <v>0.92</v>
      </c>
      <c r="AE922" s="71">
        <v>0.993610223642173</v>
      </c>
      <c r="AF922" s="71">
        <v>0.98967297762478501</v>
      </c>
      <c r="AG922" s="71">
        <v>0.99427636958299304</v>
      </c>
      <c r="AH922" s="71">
        <v>0.99022719679251603</v>
      </c>
      <c r="AI922" s="73">
        <v>0.92</v>
      </c>
      <c r="AJ922" s="71">
        <v>0.97899272825208705</v>
      </c>
      <c r="AK922" s="71">
        <v>0.97521186440677998</v>
      </c>
      <c r="AL922" s="71">
        <v>0.96355202120609695</v>
      </c>
      <c r="AM922" s="71">
        <v>0.97551859099804294</v>
      </c>
      <c r="AN922" s="70">
        <v>0.99</v>
      </c>
      <c r="AO922" s="75">
        <v>1</v>
      </c>
      <c r="AP922" s="75">
        <v>1</v>
      </c>
      <c r="AQ922" s="75">
        <v>1</v>
      </c>
      <c r="AR922" s="75">
        <v>1</v>
      </c>
      <c r="AS922" s="95">
        <v>6.5641848892985799E-2</v>
      </c>
      <c r="AT922" s="79">
        <v>9.5238095238095205E-2</v>
      </c>
      <c r="AU922" s="79">
        <v>7.69230769230769E-2</v>
      </c>
      <c r="AV922" s="79">
        <v>0.2</v>
      </c>
      <c r="AW922" s="79">
        <v>7.1428571428571397E-2</v>
      </c>
      <c r="AX922" s="56"/>
      <c r="AY922" s="54"/>
    </row>
    <row r="923" spans="1:51" ht="15">
      <c r="A923" s="53"/>
      <c r="B923" s="56"/>
      <c r="C923" s="114" t="s">
        <v>921</v>
      </c>
      <c r="D923" s="233" t="s">
        <v>1757</v>
      </c>
      <c r="E923" s="68" t="s">
        <v>922</v>
      </c>
      <c r="F923" s="117" t="s">
        <v>946</v>
      </c>
      <c r="G923" s="118" t="s">
        <v>946</v>
      </c>
      <c r="H923" s="118" t="s">
        <v>946</v>
      </c>
      <c r="I923" s="118" t="s">
        <v>946</v>
      </c>
      <c r="J923" s="70">
        <v>0.9</v>
      </c>
      <c r="K923" s="71">
        <v>0.97058823529411797</v>
      </c>
      <c r="L923" s="71">
        <v>0.91666666666666696</v>
      </c>
      <c r="M923" s="72">
        <v>0.94117647058823495</v>
      </c>
      <c r="N923" s="71">
        <v>0.9609375</v>
      </c>
      <c r="O923" s="73">
        <v>0.9</v>
      </c>
      <c r="P923" s="71">
        <v>0.9375</v>
      </c>
      <c r="Q923" s="71">
        <v>0.94255263841954795</v>
      </c>
      <c r="R923" s="71">
        <v>0.93116740088105698</v>
      </c>
      <c r="S923" s="71">
        <v>0.94343982318665898</v>
      </c>
      <c r="T923" s="73">
        <v>0.9</v>
      </c>
      <c r="U923" s="71">
        <v>0.93205128205128196</v>
      </c>
      <c r="V923" s="71">
        <v>0.907460358721081</v>
      </c>
      <c r="W923" s="71">
        <v>0.89564977973568305</v>
      </c>
      <c r="X923" s="71">
        <v>0.90827807916415504</v>
      </c>
      <c r="Y923" s="73">
        <v>0.92</v>
      </c>
      <c r="Z923" s="73" t="s">
        <v>1710</v>
      </c>
      <c r="AA923" s="73" t="s">
        <v>1710</v>
      </c>
      <c r="AB923" s="73" t="s">
        <v>1710</v>
      </c>
      <c r="AC923" s="73" t="s">
        <v>1710</v>
      </c>
      <c r="AD923" s="73">
        <v>0.92</v>
      </c>
      <c r="AE923" s="71">
        <v>0.99777827149522302</v>
      </c>
      <c r="AF923" s="71">
        <v>0.95428336079077403</v>
      </c>
      <c r="AG923" s="71">
        <v>0.98983939691904299</v>
      </c>
      <c r="AH923" s="71">
        <v>0.98374946461414403</v>
      </c>
      <c r="AI923" s="73">
        <v>0.92</v>
      </c>
      <c r="AJ923" s="71">
        <v>0.96378205128205097</v>
      </c>
      <c r="AK923" s="71">
        <v>0.96672731998960204</v>
      </c>
      <c r="AL923" s="71">
        <v>0.949063876651982</v>
      </c>
      <c r="AM923" s="71">
        <v>0.958662949848062</v>
      </c>
      <c r="AN923" s="70">
        <v>0.99</v>
      </c>
      <c r="AO923" s="75">
        <v>1</v>
      </c>
      <c r="AP923" s="75">
        <v>1</v>
      </c>
      <c r="AQ923" s="75">
        <v>1</v>
      </c>
      <c r="AR923" s="75">
        <v>1</v>
      </c>
      <c r="AS923" s="95">
        <v>6.5641848892985799E-2</v>
      </c>
      <c r="AT923" s="79">
        <v>7.1428571428571397E-2</v>
      </c>
      <c r="AU923" s="79">
        <v>0.05</v>
      </c>
      <c r="AV923" s="79">
        <v>0</v>
      </c>
      <c r="AW923" s="79">
        <v>3.8759689922480599E-2</v>
      </c>
      <c r="AX923" s="56"/>
      <c r="AY923" s="54"/>
    </row>
    <row r="924" spans="1:51" ht="15">
      <c r="A924" s="53"/>
      <c r="B924" s="56"/>
      <c r="C924" s="114" t="s">
        <v>921</v>
      </c>
      <c r="D924" s="233" t="s">
        <v>1757</v>
      </c>
      <c r="E924" s="68" t="s">
        <v>922</v>
      </c>
      <c r="F924" s="121" t="s">
        <v>947</v>
      </c>
      <c r="G924" s="122" t="s">
        <v>947</v>
      </c>
      <c r="H924" s="122" t="s">
        <v>947</v>
      </c>
      <c r="I924" s="122" t="s">
        <v>947</v>
      </c>
      <c r="J924" s="70">
        <v>0.9</v>
      </c>
      <c r="K924" s="71">
        <v>0.92105263157894701</v>
      </c>
      <c r="L924" s="71">
        <v>0.95555555555555605</v>
      </c>
      <c r="M924" s="72">
        <v>0.875</v>
      </c>
      <c r="N924" s="71">
        <v>0.91983122362869196</v>
      </c>
      <c r="O924" s="73">
        <v>0.9</v>
      </c>
      <c r="P924" s="71">
        <v>0.96591582691167799</v>
      </c>
      <c r="Q924" s="71">
        <v>0.96402697976517604</v>
      </c>
      <c r="R924" s="71">
        <v>0.91107335032568704</v>
      </c>
      <c r="S924" s="71">
        <v>0.94677520350657496</v>
      </c>
      <c r="T924" s="73">
        <v>0.9</v>
      </c>
      <c r="U924" s="71">
        <v>0.94368701837581503</v>
      </c>
      <c r="V924" s="71">
        <v>0.92380714464151903</v>
      </c>
      <c r="W924" s="71">
        <v>0.87425658453695798</v>
      </c>
      <c r="X924" s="71">
        <v>0.90959901667478404</v>
      </c>
      <c r="Y924" s="73">
        <v>0.92</v>
      </c>
      <c r="Z924" s="73" t="s">
        <v>1710</v>
      </c>
      <c r="AA924" s="73" t="s">
        <v>1710</v>
      </c>
      <c r="AB924" s="73" t="s">
        <v>1710</v>
      </c>
      <c r="AC924" s="73" t="s">
        <v>1710</v>
      </c>
      <c r="AD924" s="73">
        <v>0.92</v>
      </c>
      <c r="AE924" s="71">
        <v>0.99722530521642605</v>
      </c>
      <c r="AF924" s="71">
        <v>0.81605611847233095</v>
      </c>
      <c r="AG924" s="71">
        <v>0.99706529713866499</v>
      </c>
      <c r="AH924" s="71">
        <v>0.91636714768520999</v>
      </c>
      <c r="AI924" s="73">
        <v>0.92</v>
      </c>
      <c r="AJ924" s="71">
        <v>0.96887966804979297</v>
      </c>
      <c r="AK924" s="71">
        <v>0.97002248313764705</v>
      </c>
      <c r="AL924" s="71">
        <v>0.94364202775417705</v>
      </c>
      <c r="AM924" s="71">
        <v>0.96968853637607599</v>
      </c>
      <c r="AN924" s="70">
        <v>0.99</v>
      </c>
      <c r="AO924" s="75">
        <v>1</v>
      </c>
      <c r="AP924" s="75">
        <v>1</v>
      </c>
      <c r="AQ924" s="75">
        <v>1</v>
      </c>
      <c r="AR924" s="75">
        <v>1</v>
      </c>
      <c r="AS924" s="95">
        <v>6.5641848892985799E-2</v>
      </c>
      <c r="AT924" s="79">
        <v>5.5555555555555601E-2</v>
      </c>
      <c r="AU924" s="79">
        <v>0.1</v>
      </c>
      <c r="AV924" s="79">
        <v>0</v>
      </c>
      <c r="AW924" s="79">
        <v>3.3653846153846201E-2</v>
      </c>
      <c r="AX924" s="56"/>
      <c r="AY924" s="54"/>
    </row>
    <row r="925" spans="1:51" ht="15">
      <c r="A925" s="53"/>
      <c r="B925" s="56"/>
      <c r="C925" s="114" t="s">
        <v>921</v>
      </c>
      <c r="D925" s="233" t="s">
        <v>1757</v>
      </c>
      <c r="E925" s="68" t="s">
        <v>922</v>
      </c>
      <c r="F925" s="117" t="s">
        <v>948</v>
      </c>
      <c r="G925" s="118" t="s">
        <v>948</v>
      </c>
      <c r="H925" s="118" t="s">
        <v>948</v>
      </c>
      <c r="I925" s="118" t="s">
        <v>948</v>
      </c>
      <c r="J925" s="70">
        <v>0.9</v>
      </c>
      <c r="K925" s="71">
        <v>0.95454545454545503</v>
      </c>
      <c r="L925" s="71">
        <v>1</v>
      </c>
      <c r="M925" s="72">
        <v>0.95454545454545503</v>
      </c>
      <c r="N925" s="71">
        <v>0.97736351531291599</v>
      </c>
      <c r="O925" s="73">
        <v>0.9</v>
      </c>
      <c r="P925" s="71">
        <v>0.982819074333801</v>
      </c>
      <c r="Q925" s="71">
        <v>0.98503247670149696</v>
      </c>
      <c r="R925" s="71">
        <v>0.97868507955568895</v>
      </c>
      <c r="S925" s="71">
        <v>0.98008248259076503</v>
      </c>
      <c r="T925" s="73">
        <v>0.9</v>
      </c>
      <c r="U925" s="71">
        <v>0.95757363253856898</v>
      </c>
      <c r="V925" s="71">
        <v>0.94535441965546496</v>
      </c>
      <c r="W925" s="71">
        <v>0.95616931852296605</v>
      </c>
      <c r="X925" s="71">
        <v>0.95440470556419399</v>
      </c>
      <c r="Y925" s="73">
        <v>0.92</v>
      </c>
      <c r="Z925" s="73" t="s">
        <v>1710</v>
      </c>
      <c r="AA925" s="73" t="s">
        <v>1710</v>
      </c>
      <c r="AB925" s="73" t="s">
        <v>1710</v>
      </c>
      <c r="AC925" s="73">
        <v>1</v>
      </c>
      <c r="AD925" s="73">
        <v>0.92</v>
      </c>
      <c r="AE925" s="71">
        <v>0.99077825904708705</v>
      </c>
      <c r="AF925" s="71">
        <v>0.98223350253807096</v>
      </c>
      <c r="AG925" s="71">
        <v>0.98443983402489599</v>
      </c>
      <c r="AH925" s="71">
        <v>0.98233410452449199</v>
      </c>
      <c r="AI925" s="73">
        <v>0.92</v>
      </c>
      <c r="AJ925" s="71">
        <v>0.982117812061711</v>
      </c>
      <c r="AK925" s="71">
        <v>0.987575885924043</v>
      </c>
      <c r="AL925" s="71">
        <v>0.98274568642160498</v>
      </c>
      <c r="AM925" s="71">
        <v>0.98611505441763003</v>
      </c>
      <c r="AN925" s="70">
        <v>0.99</v>
      </c>
      <c r="AO925" s="75">
        <v>1</v>
      </c>
      <c r="AP925" s="75">
        <v>1</v>
      </c>
      <c r="AQ925" s="75">
        <v>1</v>
      </c>
      <c r="AR925" s="75">
        <v>1</v>
      </c>
      <c r="AS925" s="95">
        <v>6.5641848892985799E-2</v>
      </c>
      <c r="AT925" s="79">
        <v>7.1428571428571397E-2</v>
      </c>
      <c r="AU925" s="79">
        <v>0.14285714285714299</v>
      </c>
      <c r="AV925" s="79">
        <v>4.5454545454545497E-2</v>
      </c>
      <c r="AW925" s="79">
        <v>4.5936395759717301E-2</v>
      </c>
      <c r="AX925" s="56"/>
      <c r="AY925" s="54"/>
    </row>
    <row r="926" spans="1:51" ht="15">
      <c r="A926" s="53"/>
      <c r="B926" s="56"/>
      <c r="C926" s="114" t="s">
        <v>921</v>
      </c>
      <c r="D926" s="233" t="s">
        <v>1757</v>
      </c>
      <c r="E926" s="68" t="s">
        <v>922</v>
      </c>
      <c r="F926" s="117" t="s">
        <v>949</v>
      </c>
      <c r="G926" s="118" t="s">
        <v>949</v>
      </c>
      <c r="H926" s="118" t="s">
        <v>949</v>
      </c>
      <c r="I926" s="118" t="s">
        <v>949</v>
      </c>
      <c r="J926" s="70">
        <v>0.9</v>
      </c>
      <c r="K926" s="71">
        <v>1</v>
      </c>
      <c r="L926" s="71">
        <v>0.98076923076923095</v>
      </c>
      <c r="M926" s="72">
        <v>0.95918367346938804</v>
      </c>
      <c r="N926" s="71">
        <v>0.981238273921201</v>
      </c>
      <c r="O926" s="73">
        <v>0.9</v>
      </c>
      <c r="P926" s="71">
        <v>0.98112824675324695</v>
      </c>
      <c r="Q926" s="71">
        <v>0.96355841371918505</v>
      </c>
      <c r="R926" s="71">
        <v>0.977421271538919</v>
      </c>
      <c r="S926" s="71">
        <v>0.95476243817533202</v>
      </c>
      <c r="T926" s="73">
        <v>0.9</v>
      </c>
      <c r="U926" s="71">
        <v>0.94926948051948101</v>
      </c>
      <c r="V926" s="71">
        <v>0.93658449446230796</v>
      </c>
      <c r="W926" s="71">
        <v>0.93285799168152095</v>
      </c>
      <c r="X926" s="71">
        <v>0.92108845882089396</v>
      </c>
      <c r="Y926" s="73">
        <v>0.92</v>
      </c>
      <c r="Z926" s="73" t="s">
        <v>1710</v>
      </c>
      <c r="AA926" s="73" t="s">
        <v>1710</v>
      </c>
      <c r="AB926" s="73" t="s">
        <v>1710</v>
      </c>
      <c r="AC926" s="73" t="s">
        <v>1710</v>
      </c>
      <c r="AD926" s="73">
        <v>0.92</v>
      </c>
      <c r="AE926" s="71">
        <v>0.93910319169766998</v>
      </c>
      <c r="AF926" s="71">
        <v>0.32968919407300301</v>
      </c>
      <c r="AG926" s="71">
        <v>0.32758620689655199</v>
      </c>
      <c r="AH926" s="71">
        <v>0.65803660289726895</v>
      </c>
      <c r="AI926" s="73">
        <v>0.92</v>
      </c>
      <c r="AJ926" s="71">
        <v>0.97463988638669097</v>
      </c>
      <c r="AK926" s="71">
        <v>0.98803571428571402</v>
      </c>
      <c r="AL926" s="71">
        <v>0.97920380273321495</v>
      </c>
      <c r="AM926" s="71">
        <v>0.97360395596064697</v>
      </c>
      <c r="AN926" s="70">
        <v>0.99</v>
      </c>
      <c r="AO926" s="75">
        <v>1</v>
      </c>
      <c r="AP926" s="75">
        <v>1</v>
      </c>
      <c r="AQ926" s="75">
        <v>1</v>
      </c>
      <c r="AR926" s="75">
        <v>1</v>
      </c>
      <c r="AS926" s="95">
        <v>6.5641848892985799E-2</v>
      </c>
      <c r="AT926" s="79">
        <v>0.08</v>
      </c>
      <c r="AU926" s="79">
        <v>4.5454545454545497E-2</v>
      </c>
      <c r="AV926" s="79">
        <v>4.7619047619047603E-2</v>
      </c>
      <c r="AW926" s="79">
        <v>3.7499999999999999E-2</v>
      </c>
      <c r="AX926" s="56"/>
      <c r="AY926" s="54"/>
    </row>
    <row r="927" spans="1:51" ht="15">
      <c r="A927" s="53"/>
      <c r="B927" s="56"/>
      <c r="C927" s="114" t="s">
        <v>921</v>
      </c>
      <c r="D927" s="233" t="s">
        <v>1757</v>
      </c>
      <c r="E927" s="68" t="s">
        <v>922</v>
      </c>
      <c r="F927" s="117" t="s">
        <v>950</v>
      </c>
      <c r="G927" s="118" t="s">
        <v>950</v>
      </c>
      <c r="H927" s="118" t="s">
        <v>950</v>
      </c>
      <c r="I927" s="118" t="s">
        <v>950</v>
      </c>
      <c r="J927" s="70">
        <v>0.9</v>
      </c>
      <c r="K927" s="71">
        <v>0.95744680851063801</v>
      </c>
      <c r="L927" s="71">
        <v>1</v>
      </c>
      <c r="M927" s="72">
        <v>1</v>
      </c>
      <c r="N927" s="71">
        <v>0.99077490774907795</v>
      </c>
      <c r="O927" s="73">
        <v>0.9</v>
      </c>
      <c r="P927" s="71">
        <v>0.99229287090558804</v>
      </c>
      <c r="Q927" s="71">
        <v>0.99052992141849705</v>
      </c>
      <c r="R927" s="71">
        <v>0.97989394608926195</v>
      </c>
      <c r="S927" s="71">
        <v>0.98610724095378399</v>
      </c>
      <c r="T927" s="73">
        <v>0.9</v>
      </c>
      <c r="U927" s="71">
        <v>0.96724470134874796</v>
      </c>
      <c r="V927" s="71">
        <v>0.95083618778964296</v>
      </c>
      <c r="W927" s="71">
        <v>0.93813521873619099</v>
      </c>
      <c r="X927" s="71">
        <v>0.95489829226543499</v>
      </c>
      <c r="Y927" s="73">
        <v>0.92</v>
      </c>
      <c r="Z927" s="73" t="s">
        <v>1710</v>
      </c>
      <c r="AA927" s="73" t="s">
        <v>1710</v>
      </c>
      <c r="AB927" s="73">
        <v>0</v>
      </c>
      <c r="AC927" s="73">
        <v>0.75</v>
      </c>
      <c r="AD927" s="73">
        <v>0.92</v>
      </c>
      <c r="AE927" s="71">
        <v>0.99455825864276604</v>
      </c>
      <c r="AF927" s="71">
        <v>0.98911070780399302</v>
      </c>
      <c r="AG927" s="71">
        <v>0.98903394255874699</v>
      </c>
      <c r="AH927" s="71">
        <v>0.98871239174157499</v>
      </c>
      <c r="AI927" s="73">
        <v>0.92</v>
      </c>
      <c r="AJ927" s="71">
        <v>0.98623726947426404</v>
      </c>
      <c r="AK927" s="71">
        <v>0.98589562764456995</v>
      </c>
      <c r="AL927" s="71">
        <v>0.98475811795891299</v>
      </c>
      <c r="AM927" s="71">
        <v>0.98782089552238805</v>
      </c>
      <c r="AN927" s="70">
        <v>0.99</v>
      </c>
      <c r="AO927" s="75">
        <v>1</v>
      </c>
      <c r="AP927" s="75">
        <v>1</v>
      </c>
      <c r="AQ927" s="75">
        <v>1</v>
      </c>
      <c r="AR927" s="75">
        <v>1</v>
      </c>
      <c r="AS927" s="95">
        <v>6.5641848892985799E-2</v>
      </c>
      <c r="AT927" s="79">
        <v>4.7619047619047603E-2</v>
      </c>
      <c r="AU927" s="79">
        <v>4.3478260869565202E-2</v>
      </c>
      <c r="AV927" s="79">
        <v>0</v>
      </c>
      <c r="AW927" s="79">
        <v>2.9761904761904798E-2</v>
      </c>
      <c r="AX927" s="56"/>
      <c r="AY927" s="54"/>
    </row>
    <row r="928" spans="1:51" ht="15">
      <c r="A928" s="53"/>
      <c r="B928" s="56"/>
      <c r="C928" s="114" t="s">
        <v>921</v>
      </c>
      <c r="D928" s="233" t="s">
        <v>1757</v>
      </c>
      <c r="E928" s="68" t="s">
        <v>922</v>
      </c>
      <c r="F928" s="117" t="s">
        <v>951</v>
      </c>
      <c r="G928" s="118" t="s">
        <v>951</v>
      </c>
      <c r="H928" s="118" t="s">
        <v>951</v>
      </c>
      <c r="I928" s="118" t="s">
        <v>951</v>
      </c>
      <c r="J928" s="70">
        <v>0.9</v>
      </c>
      <c r="K928" s="71">
        <v>1</v>
      </c>
      <c r="L928" s="71">
        <v>1</v>
      </c>
      <c r="M928" s="72">
        <v>1</v>
      </c>
      <c r="N928" s="71">
        <v>0.98409542743538803</v>
      </c>
      <c r="O928" s="73">
        <v>0.9</v>
      </c>
      <c r="P928" s="71">
        <v>0.93737373737373697</v>
      </c>
      <c r="Q928" s="71">
        <v>0.92386831275720205</v>
      </c>
      <c r="R928" s="71">
        <v>0.91957171314741004</v>
      </c>
      <c r="S928" s="71">
        <v>0.93945509586276499</v>
      </c>
      <c r="T928" s="73">
        <v>0.9</v>
      </c>
      <c r="U928" s="71">
        <v>0.91948051948051901</v>
      </c>
      <c r="V928" s="71">
        <v>0.90626428898033795</v>
      </c>
      <c r="W928" s="71">
        <v>0.90114541832669304</v>
      </c>
      <c r="X928" s="71">
        <v>0.92258588163032496</v>
      </c>
      <c r="Y928" s="73">
        <v>0.92</v>
      </c>
      <c r="Z928" s="73" t="s">
        <v>1710</v>
      </c>
      <c r="AA928" s="73" t="s">
        <v>1710</v>
      </c>
      <c r="AB928" s="73" t="s">
        <v>1710</v>
      </c>
      <c r="AC928" s="73" t="s">
        <v>1710</v>
      </c>
      <c r="AD928" s="73">
        <v>0.92</v>
      </c>
      <c r="AE928" s="71">
        <v>0.99258414147176299</v>
      </c>
      <c r="AF928" s="71">
        <v>0.952380952380952</v>
      </c>
      <c r="AG928" s="71">
        <v>0.93933054393305404</v>
      </c>
      <c r="AH928" s="71">
        <v>0.97934372049102902</v>
      </c>
      <c r="AI928" s="73">
        <v>0.92</v>
      </c>
      <c r="AJ928" s="71">
        <v>0.94025974025974002</v>
      </c>
      <c r="AK928" s="71">
        <v>0.95701874714220403</v>
      </c>
      <c r="AL928" s="71">
        <v>0.94895418326693204</v>
      </c>
      <c r="AM928" s="71">
        <v>0.95599912261460895</v>
      </c>
      <c r="AN928" s="70">
        <v>0.99</v>
      </c>
      <c r="AO928" s="75">
        <v>1</v>
      </c>
      <c r="AP928" s="75">
        <v>1</v>
      </c>
      <c r="AQ928" s="75">
        <v>1</v>
      </c>
      <c r="AR928" s="75">
        <v>1</v>
      </c>
      <c r="AS928" s="95">
        <v>6.5641848892985799E-2</v>
      </c>
      <c r="AT928" s="79">
        <v>0.1</v>
      </c>
      <c r="AU928" s="79">
        <v>7.69230769230769E-2</v>
      </c>
      <c r="AV928" s="79">
        <v>0.133333333333333</v>
      </c>
      <c r="AW928" s="79">
        <v>0.08</v>
      </c>
      <c r="AX928" s="56"/>
      <c r="AY928" s="54"/>
    </row>
    <row r="929" spans="1:51" ht="15">
      <c r="A929" s="53"/>
      <c r="B929" s="56"/>
      <c r="C929" s="114" t="s">
        <v>921</v>
      </c>
      <c r="D929" s="233" t="s">
        <v>1757</v>
      </c>
      <c r="E929" s="68" t="s">
        <v>922</v>
      </c>
      <c r="F929" s="117" t="s">
        <v>952</v>
      </c>
      <c r="G929" s="118" t="s">
        <v>952</v>
      </c>
      <c r="H929" s="118" t="s">
        <v>952</v>
      </c>
      <c r="I929" s="118" t="s">
        <v>952</v>
      </c>
      <c r="J929" s="70">
        <v>0.9</v>
      </c>
      <c r="K929" s="71">
        <v>0.97435897435897401</v>
      </c>
      <c r="L929" s="71">
        <v>0.92307692307692302</v>
      </c>
      <c r="M929" s="72">
        <v>0.94736842105263197</v>
      </c>
      <c r="N929" s="71">
        <v>0.95248868778280504</v>
      </c>
      <c r="O929" s="73">
        <v>0.9</v>
      </c>
      <c r="P929" s="71">
        <v>0.92135142619772903</v>
      </c>
      <c r="Q929" s="71">
        <v>0.96326620933834906</v>
      </c>
      <c r="R929" s="71">
        <v>0.92874937717987005</v>
      </c>
      <c r="S929" s="71">
        <v>0.95134294352188598</v>
      </c>
      <c r="T929" s="73">
        <v>0.9</v>
      </c>
      <c r="U929" s="71">
        <v>0.93519800609249504</v>
      </c>
      <c r="V929" s="71">
        <v>0.88271741535738002</v>
      </c>
      <c r="W929" s="71">
        <v>0.88191330343796703</v>
      </c>
      <c r="X929" s="71">
        <v>0.91547999824738202</v>
      </c>
      <c r="Y929" s="73">
        <v>0.92</v>
      </c>
      <c r="Z929" s="73" t="s">
        <v>1710</v>
      </c>
      <c r="AA929" s="73" t="s">
        <v>1710</v>
      </c>
      <c r="AB929" s="73" t="s">
        <v>1710</v>
      </c>
      <c r="AC929" s="73">
        <v>0.66666666666666696</v>
      </c>
      <c r="AD929" s="73">
        <v>0.92</v>
      </c>
      <c r="AE929" s="71">
        <v>0.99373091142903103</v>
      </c>
      <c r="AF929" s="71">
        <v>0.48194174757281599</v>
      </c>
      <c r="AG929" s="71">
        <v>0.99360613810741705</v>
      </c>
      <c r="AH929" s="71">
        <v>0.95160132940554398</v>
      </c>
      <c r="AI929" s="73">
        <v>0.92</v>
      </c>
      <c r="AJ929" s="71">
        <v>0.964829687067294</v>
      </c>
      <c r="AK929" s="71">
        <v>0.96747067935383901</v>
      </c>
      <c r="AL929" s="71">
        <v>0.95666251556662496</v>
      </c>
      <c r="AM929" s="71">
        <v>0.972007447158033</v>
      </c>
      <c r="AN929" s="70">
        <v>0.99</v>
      </c>
      <c r="AO929" s="75">
        <v>1</v>
      </c>
      <c r="AP929" s="75">
        <v>1</v>
      </c>
      <c r="AQ929" s="75">
        <v>1</v>
      </c>
      <c r="AR929" s="75">
        <v>1</v>
      </c>
      <c r="AS929" s="95">
        <v>6.5641848892985799E-2</v>
      </c>
      <c r="AT929" s="79">
        <v>3.4482758620689703E-2</v>
      </c>
      <c r="AU929" s="79">
        <v>5.8823529411764698E-2</v>
      </c>
      <c r="AV929" s="79">
        <v>0</v>
      </c>
      <c r="AW929" s="79">
        <v>4.9107142857142898E-2</v>
      </c>
      <c r="AX929" s="56"/>
      <c r="AY929" s="54"/>
    </row>
    <row r="930" spans="1:51" ht="15">
      <c r="A930" s="53"/>
      <c r="B930" s="56"/>
      <c r="C930" s="114" t="s">
        <v>921</v>
      </c>
      <c r="D930" s="233" t="s">
        <v>1757</v>
      </c>
      <c r="E930" s="68" t="s">
        <v>922</v>
      </c>
      <c r="F930" s="117" t="s">
        <v>953</v>
      </c>
      <c r="G930" s="118" t="s">
        <v>953</v>
      </c>
      <c r="H930" s="118" t="s">
        <v>953</v>
      </c>
      <c r="I930" s="118" t="s">
        <v>953</v>
      </c>
      <c r="J930" s="70">
        <v>0.9</v>
      </c>
      <c r="K930" s="71">
        <v>1</v>
      </c>
      <c r="L930" s="71">
        <v>1</v>
      </c>
      <c r="M930" s="72">
        <v>1</v>
      </c>
      <c r="N930" s="71">
        <v>0.99612403100775204</v>
      </c>
      <c r="O930" s="73">
        <v>0.9</v>
      </c>
      <c r="P930" s="71">
        <v>0.96362166531932103</v>
      </c>
      <c r="Q930" s="71">
        <v>0.96368038740920103</v>
      </c>
      <c r="R930" s="71">
        <v>0.96284829721362197</v>
      </c>
      <c r="S930" s="71">
        <v>0.97141170102839103</v>
      </c>
      <c r="T930" s="73">
        <v>0.9</v>
      </c>
      <c r="U930" s="71">
        <v>0.94098625707356498</v>
      </c>
      <c r="V930" s="71">
        <v>0.92348668280871704</v>
      </c>
      <c r="W930" s="71">
        <v>0.91795665634674894</v>
      </c>
      <c r="X930" s="71">
        <v>0.92693007922058801</v>
      </c>
      <c r="Y930" s="73">
        <v>0.92</v>
      </c>
      <c r="Z930" s="73">
        <v>0.87279151943462896</v>
      </c>
      <c r="AA930" s="73">
        <v>0.92834890965732098</v>
      </c>
      <c r="AB930" s="73">
        <v>0.93013698630136998</v>
      </c>
      <c r="AC930" s="73">
        <v>0.91931017119838898</v>
      </c>
      <c r="AD930" s="73">
        <v>0.92</v>
      </c>
      <c r="AE930" s="71">
        <v>0.99802631578947398</v>
      </c>
      <c r="AF930" s="71">
        <v>0.98927038626609398</v>
      </c>
      <c r="AG930" s="71">
        <v>0.99237699237699195</v>
      </c>
      <c r="AH930" s="71">
        <v>0.99375770020533905</v>
      </c>
      <c r="AI930" s="73">
        <v>0.92</v>
      </c>
      <c r="AJ930" s="71">
        <v>0.94473684210526299</v>
      </c>
      <c r="AK930" s="71">
        <v>0.95444040937603203</v>
      </c>
      <c r="AL930" s="71">
        <v>0.94977511244377799</v>
      </c>
      <c r="AM930" s="71">
        <v>0.95454706236072295</v>
      </c>
      <c r="AN930" s="70">
        <v>0.99</v>
      </c>
      <c r="AO930" s="75">
        <v>1</v>
      </c>
      <c r="AP930" s="75">
        <v>1</v>
      </c>
      <c r="AQ930" s="75">
        <v>1</v>
      </c>
      <c r="AR930" s="75">
        <v>1</v>
      </c>
      <c r="AS930" s="95">
        <v>6.5641848892985799E-2</v>
      </c>
      <c r="AT930" s="79">
        <v>0</v>
      </c>
      <c r="AU930" s="79">
        <v>0</v>
      </c>
      <c r="AV930" s="79">
        <v>0</v>
      </c>
      <c r="AW930" s="79">
        <v>7.4626865671641798E-2</v>
      </c>
      <c r="AX930" s="56"/>
      <c r="AY930" s="54"/>
    </row>
    <row r="931" spans="1:51" ht="15">
      <c r="A931" s="53"/>
      <c r="B931" s="56"/>
      <c r="C931" s="114" t="s">
        <v>921</v>
      </c>
      <c r="D931" s="233" t="s">
        <v>1757</v>
      </c>
      <c r="E931" s="68" t="s">
        <v>922</v>
      </c>
      <c r="F931" s="117" t="s">
        <v>954</v>
      </c>
      <c r="G931" s="118" t="s">
        <v>954</v>
      </c>
      <c r="H931" s="118" t="s">
        <v>954</v>
      </c>
      <c r="I931" s="118" t="s">
        <v>954</v>
      </c>
      <c r="J931" s="70">
        <v>0.9</v>
      </c>
      <c r="K931" s="71">
        <v>0.97142857142857097</v>
      </c>
      <c r="L931" s="71">
        <v>1</v>
      </c>
      <c r="M931" s="72">
        <v>0.91891891891891897</v>
      </c>
      <c r="N931" s="71">
        <v>0.94698795180722894</v>
      </c>
      <c r="O931" s="73">
        <v>0.9</v>
      </c>
      <c r="P931" s="71">
        <v>0.97966903073286005</v>
      </c>
      <c r="Q931" s="71">
        <v>0.97236759472472301</v>
      </c>
      <c r="R931" s="71">
        <v>0.93997208003722699</v>
      </c>
      <c r="S931" s="71">
        <v>0.96226685209424101</v>
      </c>
      <c r="T931" s="73">
        <v>0.9</v>
      </c>
      <c r="U931" s="71">
        <v>0.935697399527187</v>
      </c>
      <c r="V931" s="71">
        <v>0.91584676575256396</v>
      </c>
      <c r="W931" s="71">
        <v>0.89553280595625895</v>
      </c>
      <c r="X931" s="71">
        <v>0.91665984947643997</v>
      </c>
      <c r="Y931" s="73">
        <v>0.92</v>
      </c>
      <c r="Z931" s="73" t="s">
        <v>1710</v>
      </c>
      <c r="AA931" s="73">
        <v>1</v>
      </c>
      <c r="AB931" s="73" t="s">
        <v>1710</v>
      </c>
      <c r="AC931" s="73">
        <v>1</v>
      </c>
      <c r="AD931" s="73">
        <v>0.92</v>
      </c>
      <c r="AE931" s="71">
        <v>0.99696180555555602</v>
      </c>
      <c r="AF931" s="71">
        <v>0.98746438746438703</v>
      </c>
      <c r="AG931" s="71">
        <v>0.97484179657354497</v>
      </c>
      <c r="AH931" s="71">
        <v>0.994197965938174</v>
      </c>
      <c r="AI931" s="73">
        <v>0.92</v>
      </c>
      <c r="AJ931" s="71">
        <v>0.97115839243498803</v>
      </c>
      <c r="AK931" s="71">
        <v>0.97007115948095402</v>
      </c>
      <c r="AL931" s="71">
        <v>0.963704048394602</v>
      </c>
      <c r="AM931" s="71">
        <v>0.96656441717791397</v>
      </c>
      <c r="AN931" s="70">
        <v>0.99</v>
      </c>
      <c r="AO931" s="75">
        <v>1</v>
      </c>
      <c r="AP931" s="75">
        <v>1</v>
      </c>
      <c r="AQ931" s="75">
        <v>1</v>
      </c>
      <c r="AR931" s="75">
        <v>1</v>
      </c>
      <c r="AS931" s="95">
        <v>6.5641848892985799E-2</v>
      </c>
      <c r="AT931" s="79">
        <v>0</v>
      </c>
      <c r="AU931" s="79">
        <v>7.1428571428571397E-2</v>
      </c>
      <c r="AV931" s="79">
        <v>0</v>
      </c>
      <c r="AW931" s="79">
        <v>4.7619047619047603E-2</v>
      </c>
      <c r="AX931" s="56"/>
      <c r="AY931" s="54"/>
    </row>
    <row r="932" spans="1:51" ht="15">
      <c r="A932" s="53"/>
      <c r="B932" s="56"/>
      <c r="C932" s="114" t="s">
        <v>921</v>
      </c>
      <c r="D932" s="233" t="s">
        <v>1757</v>
      </c>
      <c r="E932" s="68" t="s">
        <v>922</v>
      </c>
      <c r="F932" s="121" t="s">
        <v>955</v>
      </c>
      <c r="G932" s="122" t="s">
        <v>955</v>
      </c>
      <c r="H932" s="122" t="s">
        <v>955</v>
      </c>
      <c r="I932" s="122" t="s">
        <v>955</v>
      </c>
      <c r="J932" s="70">
        <v>0.9</v>
      </c>
      <c r="K932" s="71">
        <v>1</v>
      </c>
      <c r="L932" s="71">
        <v>1</v>
      </c>
      <c r="M932" s="72">
        <v>1</v>
      </c>
      <c r="N932" s="71">
        <v>0.99632352941176505</v>
      </c>
      <c r="O932" s="73">
        <v>0.9</v>
      </c>
      <c r="P932" s="71">
        <v>0.99535192563080999</v>
      </c>
      <c r="Q932" s="71">
        <v>0.99122422114962705</v>
      </c>
      <c r="R932" s="71">
        <v>0.99249116607773802</v>
      </c>
      <c r="S932" s="71">
        <v>0.98912525453836497</v>
      </c>
      <c r="T932" s="73">
        <v>0.9</v>
      </c>
      <c r="U932" s="71">
        <v>0.96015936254980105</v>
      </c>
      <c r="V932" s="71">
        <v>0.95655989469065394</v>
      </c>
      <c r="W932" s="71">
        <v>0.94743816254417001</v>
      </c>
      <c r="X932" s="71">
        <v>0.94683939170746501</v>
      </c>
      <c r="Y932" s="73">
        <v>0.92</v>
      </c>
      <c r="Z932" s="73">
        <v>0.89589905362776001</v>
      </c>
      <c r="AA932" s="73">
        <v>0.95977549111319005</v>
      </c>
      <c r="AB932" s="73">
        <v>0.93387096774193501</v>
      </c>
      <c r="AC932" s="73">
        <v>0.94263249854397202</v>
      </c>
      <c r="AD932" s="73">
        <v>0.92</v>
      </c>
      <c r="AE932" s="71">
        <v>0.99566369549506095</v>
      </c>
      <c r="AF932" s="71">
        <v>0.99353796445880405</v>
      </c>
      <c r="AG932" s="71">
        <v>0.99505766062602996</v>
      </c>
      <c r="AH932" s="71">
        <v>0.99094437257438595</v>
      </c>
      <c r="AI932" s="73">
        <v>0.92</v>
      </c>
      <c r="AJ932" s="71">
        <v>0.97257268239166195</v>
      </c>
      <c r="AK932" s="71">
        <v>0.98059122126007803</v>
      </c>
      <c r="AL932" s="71">
        <v>0.97850208044382803</v>
      </c>
      <c r="AM932" s="71">
        <v>0.97966611018363903</v>
      </c>
      <c r="AN932" s="70">
        <v>0.99</v>
      </c>
      <c r="AO932" s="75">
        <v>1</v>
      </c>
      <c r="AP932" s="75">
        <v>1</v>
      </c>
      <c r="AQ932" s="75">
        <v>1</v>
      </c>
      <c r="AR932" s="75">
        <v>1</v>
      </c>
      <c r="AS932" s="95">
        <v>6.5641848892985799E-2</v>
      </c>
      <c r="AT932" s="79">
        <v>0</v>
      </c>
      <c r="AU932" s="79">
        <v>0.11111111111111099</v>
      </c>
      <c r="AV932" s="79">
        <v>0</v>
      </c>
      <c r="AW932" s="79">
        <v>6.0606060606060601E-2</v>
      </c>
      <c r="AX932" s="56"/>
      <c r="AY932" s="54"/>
    </row>
    <row r="933" spans="1:51" ht="15">
      <c r="A933" s="53"/>
      <c r="B933" s="56"/>
      <c r="C933" s="114" t="s">
        <v>921</v>
      </c>
      <c r="D933" s="233" t="s">
        <v>1757</v>
      </c>
      <c r="E933" s="68" t="s">
        <v>922</v>
      </c>
      <c r="F933" s="117" t="s">
        <v>956</v>
      </c>
      <c r="G933" s="118" t="s">
        <v>956</v>
      </c>
      <c r="H933" s="118" t="s">
        <v>956</v>
      </c>
      <c r="I933" s="118" t="s">
        <v>956</v>
      </c>
      <c r="J933" s="70">
        <v>0.9</v>
      </c>
      <c r="K933" s="71">
        <v>1</v>
      </c>
      <c r="L933" s="71">
        <v>0.93333333333333302</v>
      </c>
      <c r="M933" s="72">
        <v>0.97727272727272696</v>
      </c>
      <c r="N933" s="71">
        <v>0.95157894736842097</v>
      </c>
      <c r="O933" s="73">
        <v>0.9</v>
      </c>
      <c r="P933" s="71">
        <v>0.95459209851205795</v>
      </c>
      <c r="Q933" s="71">
        <v>0.97509881422924904</v>
      </c>
      <c r="R933" s="71">
        <v>0.97175895041138505</v>
      </c>
      <c r="S933" s="71">
        <v>0.959979048653682</v>
      </c>
      <c r="T933" s="73">
        <v>0.9</v>
      </c>
      <c r="U933" s="71">
        <v>0.90225756798358103</v>
      </c>
      <c r="V933" s="71">
        <v>0.912450592885375</v>
      </c>
      <c r="W933" s="71">
        <v>0.92194796531020695</v>
      </c>
      <c r="X933" s="71">
        <v>0.92839683401877904</v>
      </c>
      <c r="Y933" s="73">
        <v>0.92</v>
      </c>
      <c r="Z933" s="73" t="s">
        <v>1710</v>
      </c>
      <c r="AA933" s="73" t="s">
        <v>1710</v>
      </c>
      <c r="AB933" s="73" t="s">
        <v>1710</v>
      </c>
      <c r="AC933" s="73">
        <v>0</v>
      </c>
      <c r="AD933" s="73">
        <v>0.92</v>
      </c>
      <c r="AE933" s="71">
        <v>0.99357257632565599</v>
      </c>
      <c r="AF933" s="71">
        <v>0.95900755124056103</v>
      </c>
      <c r="AG933" s="71">
        <v>0.98923076923076902</v>
      </c>
      <c r="AH933" s="71">
        <v>0.98320498716538296</v>
      </c>
      <c r="AI933" s="73">
        <v>0.92</v>
      </c>
      <c r="AJ933" s="71">
        <v>0.931759876859928</v>
      </c>
      <c r="AK933" s="71">
        <v>0.96442687747035605</v>
      </c>
      <c r="AL933" s="71">
        <v>0.95909293019119601</v>
      </c>
      <c r="AM933" s="71">
        <v>0.95608488187143603</v>
      </c>
      <c r="AN933" s="70">
        <v>0.99</v>
      </c>
      <c r="AO933" s="75">
        <v>1</v>
      </c>
      <c r="AP933" s="75">
        <v>1</v>
      </c>
      <c r="AQ933" s="75">
        <v>1</v>
      </c>
      <c r="AR933" s="75">
        <v>1</v>
      </c>
      <c r="AS933" s="95">
        <v>6.5641848892985799E-2</v>
      </c>
      <c r="AT933" s="79">
        <v>8.6956521739130405E-2</v>
      </c>
      <c r="AU933" s="79">
        <v>8.3333333333333301E-2</v>
      </c>
      <c r="AV933" s="79">
        <v>9.0909090909090898E-2</v>
      </c>
      <c r="AW933" s="79">
        <v>8.2191780821917804E-2</v>
      </c>
      <c r="AX933" s="56"/>
      <c r="AY933" s="54"/>
    </row>
    <row r="934" spans="1:51" ht="15">
      <c r="A934" s="53"/>
      <c r="B934" s="56"/>
      <c r="C934" s="114" t="s">
        <v>921</v>
      </c>
      <c r="D934" s="233" t="s">
        <v>1757</v>
      </c>
      <c r="E934" s="68" t="s">
        <v>922</v>
      </c>
      <c r="F934" s="117" t="s">
        <v>957</v>
      </c>
      <c r="G934" s="118" t="s">
        <v>957</v>
      </c>
      <c r="H934" s="118" t="s">
        <v>957</v>
      </c>
      <c r="I934" s="118" t="s">
        <v>957</v>
      </c>
      <c r="J934" s="70">
        <v>0.9</v>
      </c>
      <c r="K934" s="71">
        <v>0.86842105263157898</v>
      </c>
      <c r="L934" s="71">
        <v>0.82051282051282004</v>
      </c>
      <c r="M934" s="72">
        <v>0.88461538461538503</v>
      </c>
      <c r="N934" s="71">
        <v>0.82531645569620204</v>
      </c>
      <c r="O934" s="73">
        <v>0.9</v>
      </c>
      <c r="P934" s="71">
        <v>0.95726495726495697</v>
      </c>
      <c r="Q934" s="71">
        <v>0.92870980240217005</v>
      </c>
      <c r="R934" s="71">
        <v>0.809871244635193</v>
      </c>
      <c r="S934" s="71">
        <v>0.90579654214263705</v>
      </c>
      <c r="T934" s="73">
        <v>0.9</v>
      </c>
      <c r="U934" s="71">
        <v>0.90532544378698199</v>
      </c>
      <c r="V934" s="71">
        <v>0.90933746609841104</v>
      </c>
      <c r="W934" s="71">
        <v>0.78969957081545095</v>
      </c>
      <c r="X934" s="71">
        <v>0.882949984563137</v>
      </c>
      <c r="Y934" s="73">
        <v>0.92</v>
      </c>
      <c r="Z934" s="73">
        <v>0.90252707581227398</v>
      </c>
      <c r="AA934" s="73">
        <v>0.89463220675944299</v>
      </c>
      <c r="AB934" s="73">
        <v>0.779020979020979</v>
      </c>
      <c r="AC934" s="73">
        <v>0.86293116433197803</v>
      </c>
      <c r="AD934" s="73">
        <v>0.92</v>
      </c>
      <c r="AE934" s="71">
        <v>0.99739651132517604</v>
      </c>
      <c r="AF934" s="71">
        <v>0.94904803115534397</v>
      </c>
      <c r="AG934" s="71">
        <v>0.96840528394389203</v>
      </c>
      <c r="AH934" s="71">
        <v>0.96658066101486695</v>
      </c>
      <c r="AI934" s="73">
        <v>0.92</v>
      </c>
      <c r="AJ934" s="71">
        <v>0.93927710843373502</v>
      </c>
      <c r="AK934" s="71">
        <v>0.95364667747163701</v>
      </c>
      <c r="AL934" s="71">
        <v>0.86375574523965903</v>
      </c>
      <c r="AM934" s="71">
        <v>0.93282756926101096</v>
      </c>
      <c r="AN934" s="70">
        <v>0.99</v>
      </c>
      <c r="AO934" s="75">
        <v>1</v>
      </c>
      <c r="AP934" s="75">
        <v>1</v>
      </c>
      <c r="AQ934" s="75">
        <v>1</v>
      </c>
      <c r="AR934" s="75">
        <v>1</v>
      </c>
      <c r="AS934" s="95">
        <v>6.5641848892985799E-2</v>
      </c>
      <c r="AT934" s="79">
        <v>0.13636363636363599</v>
      </c>
      <c r="AU934" s="79">
        <v>0</v>
      </c>
      <c r="AV934" s="79">
        <v>6.8965517241379296E-2</v>
      </c>
      <c r="AW934" s="79">
        <v>5.7636887608069197E-2</v>
      </c>
      <c r="AX934" s="56"/>
      <c r="AY934" s="54"/>
    </row>
    <row r="935" spans="1:51" ht="15">
      <c r="A935" s="53"/>
      <c r="B935" s="56"/>
      <c r="C935" s="114" t="s">
        <v>921</v>
      </c>
      <c r="D935" s="233" t="s">
        <v>1757</v>
      </c>
      <c r="E935" s="68" t="s">
        <v>922</v>
      </c>
      <c r="F935" s="117" t="s">
        <v>958</v>
      </c>
      <c r="G935" s="118" t="s">
        <v>958</v>
      </c>
      <c r="H935" s="118" t="s">
        <v>958</v>
      </c>
      <c r="I935" s="118" t="s">
        <v>958</v>
      </c>
      <c r="J935" s="70">
        <v>0.9</v>
      </c>
      <c r="K935" s="71">
        <v>1</v>
      </c>
      <c r="L935" s="71">
        <v>0.85714285714285698</v>
      </c>
      <c r="M935" s="72">
        <v>0.95454545454545503</v>
      </c>
      <c r="N935" s="71">
        <v>0.94871794871794901</v>
      </c>
      <c r="O935" s="73">
        <v>0.9</v>
      </c>
      <c r="P935" s="71">
        <v>0.92974238875878201</v>
      </c>
      <c r="Q935" s="71">
        <v>0.89169435215946802</v>
      </c>
      <c r="R935" s="71">
        <v>0.87373737373737403</v>
      </c>
      <c r="S935" s="71">
        <v>0.89893580966583098</v>
      </c>
      <c r="T935" s="73">
        <v>0.9</v>
      </c>
      <c r="U935" s="71">
        <v>0.88056206088993005</v>
      </c>
      <c r="V935" s="71">
        <v>0.83654485049833904</v>
      </c>
      <c r="W935" s="71">
        <v>0.72582972582972605</v>
      </c>
      <c r="X935" s="71">
        <v>0.84193045482274798</v>
      </c>
      <c r="Y935" s="73">
        <v>0.92</v>
      </c>
      <c r="Z935" s="73">
        <v>0.92375366568914996</v>
      </c>
      <c r="AA935" s="73">
        <v>0.953307392996109</v>
      </c>
      <c r="AB935" s="73">
        <v>0.80846325167037902</v>
      </c>
      <c r="AC935" s="73">
        <v>0.91048144433299905</v>
      </c>
      <c r="AD935" s="73">
        <v>0.92</v>
      </c>
      <c r="AE935" s="71">
        <v>0.98955613577023505</v>
      </c>
      <c r="AF935" s="71">
        <v>0.77453027139874697</v>
      </c>
      <c r="AG935" s="71">
        <v>0.99</v>
      </c>
      <c r="AH935" s="71">
        <v>0.96405459088870404</v>
      </c>
      <c r="AI935" s="73">
        <v>0.92</v>
      </c>
      <c r="AJ935" s="71">
        <v>0.93389121338912096</v>
      </c>
      <c r="AK935" s="71">
        <v>0.94327850255246704</v>
      </c>
      <c r="AL935" s="71">
        <v>0.881808278867102</v>
      </c>
      <c r="AM935" s="71">
        <v>0.93827358087921497</v>
      </c>
      <c r="AN935" s="70">
        <v>0.99</v>
      </c>
      <c r="AO935" s="75">
        <v>1</v>
      </c>
      <c r="AP935" s="75">
        <v>1</v>
      </c>
      <c r="AQ935" s="75">
        <v>1</v>
      </c>
      <c r="AR935" s="75">
        <v>1</v>
      </c>
      <c r="AS935" s="95">
        <v>6.5641848892985799E-2</v>
      </c>
      <c r="AT935" s="79">
        <v>0.1</v>
      </c>
      <c r="AU935" s="79">
        <v>6.4516129032258104E-2</v>
      </c>
      <c r="AV935" s="79">
        <v>0.14285714285714299</v>
      </c>
      <c r="AW935" s="79">
        <v>8.4000000000000005E-2</v>
      </c>
      <c r="AX935" s="56"/>
      <c r="AY935" s="54"/>
    </row>
    <row r="936" spans="1:51" ht="15">
      <c r="A936" s="53"/>
      <c r="B936" s="56"/>
      <c r="C936" s="114" t="s">
        <v>921</v>
      </c>
      <c r="D936" s="233" t="s">
        <v>1759</v>
      </c>
      <c r="E936" s="68" t="s">
        <v>922</v>
      </c>
      <c r="F936" s="117" t="s">
        <v>959</v>
      </c>
      <c r="G936" s="118" t="s">
        <v>959</v>
      </c>
      <c r="H936" s="118" t="s">
        <v>959</v>
      </c>
      <c r="I936" s="118" t="s">
        <v>959</v>
      </c>
      <c r="J936" s="70">
        <v>0.9</v>
      </c>
      <c r="K936" s="71" t="s">
        <v>1710</v>
      </c>
      <c r="L936" s="71" t="s">
        <v>1710</v>
      </c>
      <c r="M936" s="72" t="s">
        <v>1710</v>
      </c>
      <c r="N936" s="71" t="s">
        <v>1710</v>
      </c>
      <c r="O936" s="73">
        <v>0.9</v>
      </c>
      <c r="P936" s="71" t="s">
        <v>1710</v>
      </c>
      <c r="Q936" s="71" t="s">
        <v>1710</v>
      </c>
      <c r="R936" s="71" t="s">
        <v>1710</v>
      </c>
      <c r="S936" s="71">
        <v>0</v>
      </c>
      <c r="T936" s="73">
        <v>0.9</v>
      </c>
      <c r="U936" s="71" t="s">
        <v>1710</v>
      </c>
      <c r="V936" s="71" t="s">
        <v>1710</v>
      </c>
      <c r="W936" s="71" t="s">
        <v>1710</v>
      </c>
      <c r="X936" s="71">
        <v>1</v>
      </c>
      <c r="Y936" s="73">
        <v>0.92</v>
      </c>
      <c r="Z936" s="73" t="s">
        <v>1710</v>
      </c>
      <c r="AA936" s="73" t="s">
        <v>1710</v>
      </c>
      <c r="AB936" s="73" t="s">
        <v>1710</v>
      </c>
      <c r="AC936" s="73" t="s">
        <v>1710</v>
      </c>
      <c r="AD936" s="73">
        <v>0.92</v>
      </c>
      <c r="AE936" s="71">
        <v>0.99769053117782902</v>
      </c>
      <c r="AF936" s="71">
        <v>1</v>
      </c>
      <c r="AG936" s="71">
        <v>0.996466431095406</v>
      </c>
      <c r="AH936" s="71">
        <v>0.99895977808599201</v>
      </c>
      <c r="AI936" s="73">
        <v>0.92</v>
      </c>
      <c r="AJ936" s="71" t="s">
        <v>1710</v>
      </c>
      <c r="AK936" s="71" t="s">
        <v>1710</v>
      </c>
      <c r="AL936" s="71" t="s">
        <v>1710</v>
      </c>
      <c r="AM936" s="71">
        <v>1</v>
      </c>
      <c r="AN936" s="70">
        <v>0.99</v>
      </c>
      <c r="AO936" s="75">
        <v>1</v>
      </c>
      <c r="AP936" s="75">
        <v>1</v>
      </c>
      <c r="AQ936" s="75" t="s">
        <v>1710</v>
      </c>
      <c r="AR936" s="75">
        <v>1</v>
      </c>
      <c r="AS936" s="95">
        <v>6.5641848892985799E-2</v>
      </c>
      <c r="AT936" s="79" t="s">
        <v>1710</v>
      </c>
      <c r="AU936" s="79" t="s">
        <v>1710</v>
      </c>
      <c r="AV936" s="79" t="s">
        <v>1710</v>
      </c>
      <c r="AW936" s="79" t="s">
        <v>1710</v>
      </c>
      <c r="AX936" s="56"/>
      <c r="AY936" s="54"/>
    </row>
    <row r="937" spans="1:51" ht="15">
      <c r="A937" s="53"/>
      <c r="B937" s="56"/>
      <c r="C937" s="114" t="s">
        <v>921</v>
      </c>
      <c r="D937" s="233" t="s">
        <v>1757</v>
      </c>
      <c r="E937" s="68" t="s">
        <v>922</v>
      </c>
      <c r="F937" s="121" t="s">
        <v>960</v>
      </c>
      <c r="G937" s="122" t="s">
        <v>960</v>
      </c>
      <c r="H937" s="122" t="s">
        <v>960</v>
      </c>
      <c r="I937" s="122" t="s">
        <v>960</v>
      </c>
      <c r="J937" s="70">
        <v>0.9</v>
      </c>
      <c r="K937" s="71">
        <v>0.74193548387096797</v>
      </c>
      <c r="L937" s="71">
        <v>0.82758620689655205</v>
      </c>
      <c r="M937" s="72">
        <v>0.65217391304347805</v>
      </c>
      <c r="N937" s="71">
        <v>0.77602523659306</v>
      </c>
      <c r="O937" s="73">
        <v>0.9</v>
      </c>
      <c r="P937" s="71">
        <v>0.93573446327683596</v>
      </c>
      <c r="Q937" s="71">
        <v>0.81604538087520295</v>
      </c>
      <c r="R937" s="71">
        <v>0.92624113475177305</v>
      </c>
      <c r="S937" s="71">
        <v>0.88642921550946796</v>
      </c>
      <c r="T937" s="73">
        <v>0.9</v>
      </c>
      <c r="U937" s="71">
        <v>0.88064971751412402</v>
      </c>
      <c r="V937" s="71">
        <v>0.81442463533225296</v>
      </c>
      <c r="W937" s="71">
        <v>0.75886524822695001</v>
      </c>
      <c r="X937" s="71">
        <v>0.84418394950405795</v>
      </c>
      <c r="Y937" s="73">
        <v>0.92</v>
      </c>
      <c r="Z937" s="73">
        <v>0.89300411522633705</v>
      </c>
      <c r="AA937" s="73">
        <v>0.89238845144357004</v>
      </c>
      <c r="AB937" s="73">
        <v>0.85350318471337605</v>
      </c>
      <c r="AC937" s="73">
        <v>0.89337026138134001</v>
      </c>
      <c r="AD937" s="73">
        <v>0.92</v>
      </c>
      <c r="AE937" s="71">
        <v>0.99676632438872204</v>
      </c>
      <c r="AF937" s="71">
        <v>0.96182396606574805</v>
      </c>
      <c r="AG937" s="71">
        <v>0.99630781189273199</v>
      </c>
      <c r="AH937" s="71">
        <v>0.99120074690373705</v>
      </c>
      <c r="AI937" s="73">
        <v>0.92</v>
      </c>
      <c r="AJ937" s="71">
        <v>0.92534174553102</v>
      </c>
      <c r="AK937" s="71">
        <v>0.92453492453492503</v>
      </c>
      <c r="AL937" s="71">
        <v>0.884475218658892</v>
      </c>
      <c r="AM937" s="71">
        <v>0.93104928116729802</v>
      </c>
      <c r="AN937" s="70">
        <v>0.99</v>
      </c>
      <c r="AO937" s="75">
        <v>1</v>
      </c>
      <c r="AP937" s="75">
        <v>1</v>
      </c>
      <c r="AQ937" s="75">
        <v>1</v>
      </c>
      <c r="AR937" s="75">
        <v>0.99969572493534198</v>
      </c>
      <c r="AS937" s="95">
        <v>6.5641848892985799E-2</v>
      </c>
      <c r="AT937" s="79">
        <v>0</v>
      </c>
      <c r="AU937" s="79">
        <v>5.7142857142857099E-2</v>
      </c>
      <c r="AV937" s="79">
        <v>8.8888888888888906E-2</v>
      </c>
      <c r="AW937" s="79">
        <v>6.1696658097686402E-2</v>
      </c>
      <c r="AX937" s="56"/>
      <c r="AY937" s="54"/>
    </row>
    <row r="938" spans="1:51" ht="15">
      <c r="A938" s="53"/>
      <c r="B938" s="56"/>
      <c r="C938" s="114" t="s">
        <v>921</v>
      </c>
      <c r="D938" s="233" t="s">
        <v>1757</v>
      </c>
      <c r="E938" s="68" t="s">
        <v>922</v>
      </c>
      <c r="F938" s="121" t="s">
        <v>961</v>
      </c>
      <c r="G938" s="122" t="s">
        <v>961</v>
      </c>
      <c r="H938" s="122" t="s">
        <v>961</v>
      </c>
      <c r="I938" s="122" t="s">
        <v>961</v>
      </c>
      <c r="J938" s="70">
        <v>0.9</v>
      </c>
      <c r="K938" s="71">
        <v>0.90909090909090895</v>
      </c>
      <c r="L938" s="71">
        <v>1</v>
      </c>
      <c r="M938" s="72">
        <v>1</v>
      </c>
      <c r="N938" s="71">
        <v>0.95154185022026405</v>
      </c>
      <c r="O938" s="73">
        <v>0.9</v>
      </c>
      <c r="P938" s="71">
        <v>0.95276381909547703</v>
      </c>
      <c r="Q938" s="71">
        <v>0.93065015479876201</v>
      </c>
      <c r="R938" s="71">
        <v>0.85783972125435504</v>
      </c>
      <c r="S938" s="71">
        <v>0.92570814365199805</v>
      </c>
      <c r="T938" s="73">
        <v>0.9</v>
      </c>
      <c r="U938" s="71">
        <v>0.89447236180904499</v>
      </c>
      <c r="V938" s="71">
        <v>0.86191950464396305</v>
      </c>
      <c r="W938" s="71">
        <v>0.85993031358884997</v>
      </c>
      <c r="X938" s="71">
        <v>0.89637076378350999</v>
      </c>
      <c r="Y938" s="73">
        <v>0.92</v>
      </c>
      <c r="Z938" s="73">
        <v>0.94059405940594099</v>
      </c>
      <c r="AA938" s="73">
        <v>0.85409252669039104</v>
      </c>
      <c r="AB938" s="73">
        <v>0.78341013824884798</v>
      </c>
      <c r="AC938" s="73">
        <v>0.88017154389505503</v>
      </c>
      <c r="AD938" s="73">
        <v>0.92</v>
      </c>
      <c r="AE938" s="71">
        <v>0.99391568883094294</v>
      </c>
      <c r="AF938" s="71">
        <v>0.95012165450121699</v>
      </c>
      <c r="AG938" s="71">
        <v>0.99359385009609202</v>
      </c>
      <c r="AH938" s="71">
        <v>0.98332636420656505</v>
      </c>
      <c r="AI938" s="73">
        <v>0.92</v>
      </c>
      <c r="AJ938" s="71">
        <v>0.94239631336405505</v>
      </c>
      <c r="AK938" s="71">
        <v>0.93305218766473397</v>
      </c>
      <c r="AL938" s="71">
        <v>0.87933796049119095</v>
      </c>
      <c r="AM938" s="71">
        <v>0.93934657658566101</v>
      </c>
      <c r="AN938" s="70">
        <v>0.99</v>
      </c>
      <c r="AO938" s="75">
        <v>1</v>
      </c>
      <c r="AP938" s="75">
        <v>1</v>
      </c>
      <c r="AQ938" s="75">
        <v>1</v>
      </c>
      <c r="AR938" s="75">
        <v>1</v>
      </c>
      <c r="AS938" s="95">
        <v>6.5641848892985799E-2</v>
      </c>
      <c r="AT938" s="79">
        <v>0</v>
      </c>
      <c r="AU938" s="79">
        <v>0</v>
      </c>
      <c r="AV938" s="79">
        <v>0</v>
      </c>
      <c r="AW938" s="79">
        <v>-5.83090379008746E-3</v>
      </c>
      <c r="AX938" s="56"/>
      <c r="AY938" s="54"/>
    </row>
    <row r="939" spans="1:51" ht="15">
      <c r="A939" s="53"/>
      <c r="B939" s="56"/>
      <c r="C939" s="114" t="s">
        <v>921</v>
      </c>
      <c r="D939" s="233" t="s">
        <v>1759</v>
      </c>
      <c r="E939" s="68" t="s">
        <v>922</v>
      </c>
      <c r="F939" s="117" t="s">
        <v>962</v>
      </c>
      <c r="G939" s="118" t="s">
        <v>962</v>
      </c>
      <c r="H939" s="118" t="s">
        <v>962</v>
      </c>
      <c r="I939" s="118" t="s">
        <v>962</v>
      </c>
      <c r="J939" s="70">
        <v>0.9</v>
      </c>
      <c r="K939" s="71" t="s">
        <v>1710</v>
      </c>
      <c r="L939" s="71" t="s">
        <v>1710</v>
      </c>
      <c r="M939" s="72" t="s">
        <v>1710</v>
      </c>
      <c r="N939" s="71" t="s">
        <v>1710</v>
      </c>
      <c r="O939" s="73">
        <v>0.9</v>
      </c>
      <c r="P939" s="71" t="s">
        <v>1710</v>
      </c>
      <c r="Q939" s="71" t="s">
        <v>1710</v>
      </c>
      <c r="R939" s="71" t="s">
        <v>1710</v>
      </c>
      <c r="S939" s="71" t="s">
        <v>1710</v>
      </c>
      <c r="T939" s="73">
        <v>0.9</v>
      </c>
      <c r="U939" s="71" t="s">
        <v>1710</v>
      </c>
      <c r="V939" s="71" t="s">
        <v>1710</v>
      </c>
      <c r="W939" s="71" t="s">
        <v>1710</v>
      </c>
      <c r="X939" s="71" t="s">
        <v>1710</v>
      </c>
      <c r="Y939" s="73">
        <v>0.92</v>
      </c>
      <c r="Z939" s="73" t="s">
        <v>1710</v>
      </c>
      <c r="AA939" s="73" t="s">
        <v>1710</v>
      </c>
      <c r="AB939" s="73" t="s">
        <v>1710</v>
      </c>
      <c r="AC939" s="73" t="s">
        <v>1710</v>
      </c>
      <c r="AD939" s="73">
        <v>0.92</v>
      </c>
      <c r="AE939" s="71">
        <v>0.97916666666666696</v>
      </c>
      <c r="AF939" s="71">
        <v>1</v>
      </c>
      <c r="AG939" s="71">
        <v>1</v>
      </c>
      <c r="AH939" s="71">
        <v>0.99200532978014699</v>
      </c>
      <c r="AI939" s="73">
        <v>0.92</v>
      </c>
      <c r="AJ939" s="71" t="s">
        <v>1710</v>
      </c>
      <c r="AK939" s="71" t="s">
        <v>1710</v>
      </c>
      <c r="AL939" s="71" t="s">
        <v>1710</v>
      </c>
      <c r="AM939" s="71" t="s">
        <v>1710</v>
      </c>
      <c r="AN939" s="70">
        <v>0.99</v>
      </c>
      <c r="AO939" s="75">
        <v>1</v>
      </c>
      <c r="AP939" s="75">
        <v>1</v>
      </c>
      <c r="AQ939" s="75" t="s">
        <v>1710</v>
      </c>
      <c r="AR939" s="75">
        <v>1</v>
      </c>
      <c r="AS939" s="95">
        <v>6.5641848892985799E-2</v>
      </c>
      <c r="AT939" s="79" t="s">
        <v>1710</v>
      </c>
      <c r="AU939" s="79" t="s">
        <v>1710</v>
      </c>
      <c r="AV939" s="79" t="s">
        <v>1710</v>
      </c>
      <c r="AW939" s="79" t="s">
        <v>1710</v>
      </c>
      <c r="AX939" s="56"/>
      <c r="AY939" s="54"/>
    </row>
    <row r="940" spans="1:51" ht="15">
      <c r="A940" s="53"/>
      <c r="B940" s="56"/>
      <c r="C940" s="114" t="s">
        <v>921</v>
      </c>
      <c r="D940" s="233" t="s">
        <v>1759</v>
      </c>
      <c r="E940" s="68" t="s">
        <v>922</v>
      </c>
      <c r="F940" s="117" t="s">
        <v>963</v>
      </c>
      <c r="G940" s="118" t="s">
        <v>963</v>
      </c>
      <c r="H940" s="118" t="s">
        <v>963</v>
      </c>
      <c r="I940" s="118" t="s">
        <v>963</v>
      </c>
      <c r="J940" s="70">
        <v>0.9</v>
      </c>
      <c r="K940" s="71" t="s">
        <v>1710</v>
      </c>
      <c r="L940" s="71" t="s">
        <v>1710</v>
      </c>
      <c r="M940" s="72" t="s">
        <v>1710</v>
      </c>
      <c r="N940" s="71" t="s">
        <v>1710</v>
      </c>
      <c r="O940" s="73">
        <v>0.9</v>
      </c>
      <c r="P940" s="71" t="s">
        <v>1710</v>
      </c>
      <c r="Q940" s="71" t="s">
        <v>1710</v>
      </c>
      <c r="R940" s="71" t="s">
        <v>1710</v>
      </c>
      <c r="S940" s="71" t="s">
        <v>1710</v>
      </c>
      <c r="T940" s="73">
        <v>0.9</v>
      </c>
      <c r="U940" s="71" t="s">
        <v>1710</v>
      </c>
      <c r="V940" s="71" t="s">
        <v>1710</v>
      </c>
      <c r="W940" s="71" t="s">
        <v>1710</v>
      </c>
      <c r="X940" s="71" t="s">
        <v>1710</v>
      </c>
      <c r="Y940" s="73">
        <v>0.92</v>
      </c>
      <c r="Z940" s="73" t="s">
        <v>1710</v>
      </c>
      <c r="AA940" s="73" t="s">
        <v>1710</v>
      </c>
      <c r="AB940" s="73" t="s">
        <v>1710</v>
      </c>
      <c r="AC940" s="73" t="s">
        <v>1710</v>
      </c>
      <c r="AD940" s="73">
        <v>0.92</v>
      </c>
      <c r="AE940" s="71">
        <v>1</v>
      </c>
      <c r="AF940" s="71">
        <v>0.997647058823529</v>
      </c>
      <c r="AG940" s="71">
        <v>1</v>
      </c>
      <c r="AH940" s="71">
        <v>0.99939338792842003</v>
      </c>
      <c r="AI940" s="73">
        <v>0.92</v>
      </c>
      <c r="AJ940" s="71" t="s">
        <v>1710</v>
      </c>
      <c r="AK940" s="71" t="s">
        <v>1710</v>
      </c>
      <c r="AL940" s="71" t="s">
        <v>1710</v>
      </c>
      <c r="AM940" s="71" t="s">
        <v>1710</v>
      </c>
      <c r="AN940" s="70">
        <v>0.99</v>
      </c>
      <c r="AO940" s="75">
        <v>1</v>
      </c>
      <c r="AP940" s="75">
        <v>1</v>
      </c>
      <c r="AQ940" s="75">
        <v>1</v>
      </c>
      <c r="AR940" s="75">
        <v>1</v>
      </c>
      <c r="AS940" s="95">
        <v>6.5641848892985799E-2</v>
      </c>
      <c r="AT940" s="79" t="s">
        <v>1710</v>
      </c>
      <c r="AU940" s="79" t="s">
        <v>1710</v>
      </c>
      <c r="AV940" s="79" t="s">
        <v>1710</v>
      </c>
      <c r="AW940" s="79" t="s">
        <v>1710</v>
      </c>
      <c r="AX940" s="56"/>
      <c r="AY940" s="54"/>
    </row>
    <row r="941" spans="1:51" ht="15">
      <c r="A941" s="53"/>
      <c r="B941" s="56"/>
      <c r="C941" s="114" t="s">
        <v>921</v>
      </c>
      <c r="D941" s="233" t="s">
        <v>1757</v>
      </c>
      <c r="E941" s="68" t="s">
        <v>922</v>
      </c>
      <c r="F941" s="117" t="s">
        <v>964</v>
      </c>
      <c r="G941" s="118" t="s">
        <v>964</v>
      </c>
      <c r="H941" s="118" t="s">
        <v>964</v>
      </c>
      <c r="I941" s="118" t="s">
        <v>964</v>
      </c>
      <c r="J941" s="70">
        <v>0.9</v>
      </c>
      <c r="K941" s="71">
        <v>1</v>
      </c>
      <c r="L941" s="71">
        <v>1</v>
      </c>
      <c r="M941" s="72">
        <v>0.94117647058823495</v>
      </c>
      <c r="N941" s="71">
        <v>0.94</v>
      </c>
      <c r="O941" s="73">
        <v>0.9</v>
      </c>
      <c r="P941" s="71">
        <v>0.97227036395147304</v>
      </c>
      <c r="Q941" s="71">
        <v>0.96732954545454497</v>
      </c>
      <c r="R941" s="71">
        <v>0.95290423861852402</v>
      </c>
      <c r="S941" s="71">
        <v>0.96105715804222802</v>
      </c>
      <c r="T941" s="73">
        <v>0.9</v>
      </c>
      <c r="U941" s="71">
        <v>0.94107452339688002</v>
      </c>
      <c r="V941" s="71">
        <v>0.92566287878787901</v>
      </c>
      <c r="W941" s="71">
        <v>0.91522762951334402</v>
      </c>
      <c r="X941" s="71">
        <v>0.92298400734405905</v>
      </c>
      <c r="Y941" s="73">
        <v>0.92</v>
      </c>
      <c r="Z941" s="73">
        <v>0.92438563327032097</v>
      </c>
      <c r="AA941" s="73">
        <v>0.96846846846846801</v>
      </c>
      <c r="AB941" s="73">
        <v>0.92620865139949105</v>
      </c>
      <c r="AC941" s="73">
        <v>0.95141509433962301</v>
      </c>
      <c r="AD941" s="73">
        <v>0.92</v>
      </c>
      <c r="AE941" s="71">
        <v>0.89583781073142799</v>
      </c>
      <c r="AF941" s="71">
        <v>0.99612903225806404</v>
      </c>
      <c r="AG941" s="71">
        <v>0.99921396006917196</v>
      </c>
      <c r="AH941" s="71">
        <v>0.97791178821648606</v>
      </c>
      <c r="AI941" s="73">
        <v>0.92</v>
      </c>
      <c r="AJ941" s="71">
        <v>0.96381969157769898</v>
      </c>
      <c r="AK941" s="71">
        <v>0.96872322193659</v>
      </c>
      <c r="AL941" s="71">
        <v>0.95659722222222199</v>
      </c>
      <c r="AM941" s="71">
        <v>0.97173669018601705</v>
      </c>
      <c r="AN941" s="70">
        <v>0.99</v>
      </c>
      <c r="AO941" s="75">
        <v>1</v>
      </c>
      <c r="AP941" s="75">
        <v>1</v>
      </c>
      <c r="AQ941" s="75">
        <v>1</v>
      </c>
      <c r="AR941" s="75">
        <v>1</v>
      </c>
      <c r="AS941" s="95">
        <v>6.5641848892985799E-2</v>
      </c>
      <c r="AT941" s="79">
        <v>0.125</v>
      </c>
      <c r="AU941" s="79">
        <v>-0.16666666666666699</v>
      </c>
      <c r="AV941" s="79">
        <v>0</v>
      </c>
      <c r="AW941" s="79">
        <v>2.8571428571428598E-2</v>
      </c>
      <c r="AX941" s="56"/>
      <c r="AY941" s="54"/>
    </row>
    <row r="942" spans="1:51" ht="15">
      <c r="A942" s="53"/>
      <c r="B942" s="56"/>
      <c r="C942" s="114" t="s">
        <v>921</v>
      </c>
      <c r="D942" s="233" t="s">
        <v>1757</v>
      </c>
      <c r="E942" s="68" t="s">
        <v>922</v>
      </c>
      <c r="F942" s="117" t="s">
        <v>965</v>
      </c>
      <c r="G942" s="118" t="s">
        <v>965</v>
      </c>
      <c r="H942" s="118" t="s">
        <v>965</v>
      </c>
      <c r="I942" s="118" t="s">
        <v>965</v>
      </c>
      <c r="J942" s="70">
        <v>0.9</v>
      </c>
      <c r="K942" s="71">
        <v>0.88461538461538503</v>
      </c>
      <c r="L942" s="71">
        <v>1</v>
      </c>
      <c r="M942" s="72">
        <v>0.96296296296296302</v>
      </c>
      <c r="N942" s="71">
        <v>0.97734627831715204</v>
      </c>
      <c r="O942" s="73">
        <v>0.9</v>
      </c>
      <c r="P942" s="71">
        <v>0.97116924719701003</v>
      </c>
      <c r="Q942" s="71">
        <v>0.95932721712538205</v>
      </c>
      <c r="R942" s="71">
        <v>0.80367913148371495</v>
      </c>
      <c r="S942" s="71">
        <v>0.93182980003007099</v>
      </c>
      <c r="T942" s="73">
        <v>0.9</v>
      </c>
      <c r="U942" s="71">
        <v>0.92525360384410005</v>
      </c>
      <c r="V942" s="71">
        <v>0.81498470948012203</v>
      </c>
      <c r="W942" s="71">
        <v>0.82388419782870903</v>
      </c>
      <c r="X942" s="71">
        <v>0.88663358893399502</v>
      </c>
      <c r="Y942" s="73">
        <v>0.92</v>
      </c>
      <c r="Z942" s="73">
        <v>0.95534665099882499</v>
      </c>
      <c r="AA942" s="73">
        <v>0.96480938416422302</v>
      </c>
      <c r="AB942" s="73">
        <v>0.92805755395683498</v>
      </c>
      <c r="AC942" s="73">
        <v>0.94789306751246005</v>
      </c>
      <c r="AD942" s="73">
        <v>0.92</v>
      </c>
      <c r="AE942" s="71">
        <v>0.979677550467416</v>
      </c>
      <c r="AF942" s="71">
        <v>0.99716275470724802</v>
      </c>
      <c r="AG942" s="71">
        <v>0.99925456578456995</v>
      </c>
      <c r="AH942" s="71">
        <v>0.99633004100780298</v>
      </c>
      <c r="AI942" s="73">
        <v>0.92</v>
      </c>
      <c r="AJ942" s="71">
        <v>0.96696035242290701</v>
      </c>
      <c r="AK942" s="71">
        <v>0.964829687067294</v>
      </c>
      <c r="AL942" s="71">
        <v>0.95609504132231404</v>
      </c>
      <c r="AM942" s="71">
        <v>0.97000777390475701</v>
      </c>
      <c r="AN942" s="70">
        <v>0.99</v>
      </c>
      <c r="AO942" s="75">
        <v>1</v>
      </c>
      <c r="AP942" s="75">
        <v>1</v>
      </c>
      <c r="AQ942" s="75">
        <v>1</v>
      </c>
      <c r="AR942" s="75">
        <v>1</v>
      </c>
      <c r="AS942" s="95">
        <v>6.5641848892985799E-2</v>
      </c>
      <c r="AT942" s="79">
        <v>0</v>
      </c>
      <c r="AU942" s="79">
        <v>0.15</v>
      </c>
      <c r="AV942" s="79">
        <v>0</v>
      </c>
      <c r="AW942" s="79">
        <v>4.57142857142857E-2</v>
      </c>
      <c r="AX942" s="56"/>
      <c r="AY942" s="54"/>
    </row>
    <row r="943" spans="1:51" ht="15">
      <c r="A943" s="53"/>
      <c r="B943" s="56"/>
      <c r="C943" s="114" t="s">
        <v>921</v>
      </c>
      <c r="D943" s="233" t="s">
        <v>1757</v>
      </c>
      <c r="E943" s="68" t="s">
        <v>922</v>
      </c>
      <c r="F943" s="117" t="s">
        <v>966</v>
      </c>
      <c r="G943" s="118" t="s">
        <v>966</v>
      </c>
      <c r="H943" s="118" t="s">
        <v>966</v>
      </c>
      <c r="I943" s="118" t="s">
        <v>966</v>
      </c>
      <c r="J943" s="70">
        <v>0.9</v>
      </c>
      <c r="K943" s="71">
        <v>0.89743589743589702</v>
      </c>
      <c r="L943" s="71">
        <v>0.89361702127659604</v>
      </c>
      <c r="M943" s="72">
        <v>0.93181818181818199</v>
      </c>
      <c r="N943" s="71">
        <v>0.94501018329938902</v>
      </c>
      <c r="O943" s="73">
        <v>0.9</v>
      </c>
      <c r="P943" s="71">
        <v>0.90869939707148994</v>
      </c>
      <c r="Q943" s="71">
        <v>0.87358916478555304</v>
      </c>
      <c r="R943" s="71">
        <v>0.91500498504486505</v>
      </c>
      <c r="S943" s="71">
        <v>0.92267190760421203</v>
      </c>
      <c r="T943" s="73">
        <v>0.9</v>
      </c>
      <c r="U943" s="71">
        <v>0.876399655469423</v>
      </c>
      <c r="V943" s="71">
        <v>0.84248808628041105</v>
      </c>
      <c r="W943" s="71">
        <v>0.86914257228315095</v>
      </c>
      <c r="X943" s="71">
        <v>0.88346193041199605</v>
      </c>
      <c r="Y943" s="73">
        <v>0.92</v>
      </c>
      <c r="Z943" s="73">
        <v>0.86782786885245899</v>
      </c>
      <c r="AA943" s="73">
        <v>0.85333333333333306</v>
      </c>
      <c r="AB943" s="73">
        <v>0.66409861325115604</v>
      </c>
      <c r="AC943" s="73">
        <v>0.84076510721247599</v>
      </c>
      <c r="AD943" s="73">
        <v>0.92</v>
      </c>
      <c r="AE943" s="71">
        <v>0.95826602046311304</v>
      </c>
      <c r="AF943" s="71">
        <v>0.99682875264270598</v>
      </c>
      <c r="AG943" s="71">
        <v>0.99831763122476402</v>
      </c>
      <c r="AH943" s="71">
        <v>0.99238805970149302</v>
      </c>
      <c r="AI943" s="73">
        <v>0.92</v>
      </c>
      <c r="AJ943" s="71">
        <v>0.93511218920557904</v>
      </c>
      <c r="AK943" s="71">
        <v>0.95965153599266395</v>
      </c>
      <c r="AL943" s="71">
        <v>0.90323964814417501</v>
      </c>
      <c r="AM943" s="71">
        <v>0.94461077844311403</v>
      </c>
      <c r="AN943" s="70">
        <v>0.99</v>
      </c>
      <c r="AO943" s="75">
        <v>1</v>
      </c>
      <c r="AP943" s="75">
        <v>1</v>
      </c>
      <c r="AQ943" s="75">
        <v>1</v>
      </c>
      <c r="AR943" s="75">
        <v>1</v>
      </c>
      <c r="AS943" s="95">
        <v>6.5641848892985799E-2</v>
      </c>
      <c r="AT943" s="79">
        <v>0</v>
      </c>
      <c r="AU943" s="79">
        <v>4.7619047619047603E-2</v>
      </c>
      <c r="AV943" s="79">
        <v>0</v>
      </c>
      <c r="AW943" s="79">
        <v>4.86486486486487E-2</v>
      </c>
      <c r="AX943" s="56"/>
      <c r="AY943" s="54"/>
    </row>
    <row r="944" spans="1:51" ht="15">
      <c r="A944" s="53"/>
      <c r="B944" s="56"/>
      <c r="C944" s="114" t="s">
        <v>921</v>
      </c>
      <c r="D944" s="233" t="s">
        <v>1757</v>
      </c>
      <c r="E944" s="68" t="s">
        <v>922</v>
      </c>
      <c r="F944" s="117" t="s">
        <v>967</v>
      </c>
      <c r="G944" s="118" t="s">
        <v>967</v>
      </c>
      <c r="H944" s="118" t="s">
        <v>967</v>
      </c>
      <c r="I944" s="118" t="s">
        <v>967</v>
      </c>
      <c r="J944" s="70">
        <v>0.9</v>
      </c>
      <c r="K944" s="71">
        <v>0.94117647058823495</v>
      </c>
      <c r="L944" s="71">
        <v>0.78947368421052599</v>
      </c>
      <c r="M944" s="72">
        <v>0.83333333333333304</v>
      </c>
      <c r="N944" s="71">
        <v>0.95283018867924496</v>
      </c>
      <c r="O944" s="73">
        <v>0.9</v>
      </c>
      <c r="P944" s="71">
        <v>0.94311624072547395</v>
      </c>
      <c r="Q944" s="71">
        <v>0.93999016232169197</v>
      </c>
      <c r="R944" s="71">
        <v>0.919674631418404</v>
      </c>
      <c r="S944" s="71">
        <v>0.94576732923014795</v>
      </c>
      <c r="T944" s="73">
        <v>0.9</v>
      </c>
      <c r="U944" s="71">
        <v>0.91838417147567997</v>
      </c>
      <c r="V944" s="71">
        <v>0.90359075258239097</v>
      </c>
      <c r="W944" s="71">
        <v>0.90238942552109802</v>
      </c>
      <c r="X944" s="71">
        <v>0.92245989304812803</v>
      </c>
      <c r="Y944" s="73">
        <v>0.92</v>
      </c>
      <c r="Z944" s="73">
        <v>0.71844660194174803</v>
      </c>
      <c r="AA944" s="73">
        <v>0.734513274336283</v>
      </c>
      <c r="AB944" s="73">
        <v>0.71216617210682498</v>
      </c>
      <c r="AC944" s="73">
        <v>0.74853801169590595</v>
      </c>
      <c r="AD944" s="73">
        <v>0.92</v>
      </c>
      <c r="AE944" s="71">
        <v>0.99965997959877595</v>
      </c>
      <c r="AF944" s="71">
        <v>0.99816849816849795</v>
      </c>
      <c r="AG944" s="71">
        <v>0.998811645870469</v>
      </c>
      <c r="AH944" s="71">
        <v>0.99883319331653098</v>
      </c>
      <c r="AI944" s="73">
        <v>0.92</v>
      </c>
      <c r="AJ944" s="71">
        <v>0.90338461538461501</v>
      </c>
      <c r="AK944" s="71">
        <v>0.93182824258521502</v>
      </c>
      <c r="AL944" s="71">
        <v>0.92447916666666696</v>
      </c>
      <c r="AM944" s="71">
        <v>0.93572730741510202</v>
      </c>
      <c r="AN944" s="70">
        <v>0.99</v>
      </c>
      <c r="AO944" s="75">
        <v>1</v>
      </c>
      <c r="AP944" s="75">
        <v>1</v>
      </c>
      <c r="AQ944" s="75">
        <v>1</v>
      </c>
      <c r="AR944" s="75">
        <v>1</v>
      </c>
      <c r="AS944" s="95">
        <v>6.5641848892985799E-2</v>
      </c>
      <c r="AT944" s="79">
        <v>0</v>
      </c>
      <c r="AU944" s="79">
        <v>0</v>
      </c>
      <c r="AV944" s="79">
        <v>0</v>
      </c>
      <c r="AW944" s="79">
        <v>1.21951219512195E-2</v>
      </c>
      <c r="AX944" s="56"/>
      <c r="AY944" s="54"/>
    </row>
    <row r="945" spans="1:51" ht="15">
      <c r="A945" s="53"/>
      <c r="B945" s="56"/>
      <c r="C945" s="114" t="s">
        <v>921</v>
      </c>
      <c r="D945" s="233" t="s">
        <v>1757</v>
      </c>
      <c r="E945" s="68" t="s">
        <v>922</v>
      </c>
      <c r="F945" s="117" t="s">
        <v>968</v>
      </c>
      <c r="G945" s="118" t="s">
        <v>968</v>
      </c>
      <c r="H945" s="118" t="s">
        <v>968</v>
      </c>
      <c r="I945" s="118" t="s">
        <v>968</v>
      </c>
      <c r="J945" s="70">
        <v>0.9</v>
      </c>
      <c r="K945" s="71">
        <v>0.84848484848484895</v>
      </c>
      <c r="L945" s="71">
        <v>0.91891891891891897</v>
      </c>
      <c r="M945" s="72">
        <v>0.94285714285714295</v>
      </c>
      <c r="N945" s="71">
        <v>0.89</v>
      </c>
      <c r="O945" s="73">
        <v>0.9</v>
      </c>
      <c r="P945" s="71">
        <v>0.95940270648623405</v>
      </c>
      <c r="Q945" s="71">
        <v>0.88908188585607895</v>
      </c>
      <c r="R945" s="71">
        <v>0.93259803921568596</v>
      </c>
      <c r="S945" s="71">
        <v>0.94230334112678205</v>
      </c>
      <c r="T945" s="73">
        <v>0.9</v>
      </c>
      <c r="U945" s="71">
        <v>0.94260382641157303</v>
      </c>
      <c r="V945" s="71">
        <v>0.92754342431761805</v>
      </c>
      <c r="W945" s="71">
        <v>0.89901960784313695</v>
      </c>
      <c r="X945" s="71">
        <v>0.92369962541166994</v>
      </c>
      <c r="Y945" s="73">
        <v>0.92</v>
      </c>
      <c r="Z945" s="73">
        <v>0.8759765625</v>
      </c>
      <c r="AA945" s="73">
        <v>0.80154639175257703</v>
      </c>
      <c r="AB945" s="73">
        <v>0.82025677603423697</v>
      </c>
      <c r="AC945" s="73">
        <v>0.84544875875238701</v>
      </c>
      <c r="AD945" s="73">
        <v>0.92</v>
      </c>
      <c r="AE945" s="71">
        <v>0.99930699930699896</v>
      </c>
      <c r="AF945" s="71">
        <v>0.99938600081866602</v>
      </c>
      <c r="AG945" s="71">
        <v>0.99927606177606199</v>
      </c>
      <c r="AH945" s="71">
        <v>0.999003594178143</v>
      </c>
      <c r="AI945" s="73">
        <v>0.92</v>
      </c>
      <c r="AJ945" s="71">
        <v>0.94411114619513703</v>
      </c>
      <c r="AK945" s="71">
        <v>0.95383570943652396</v>
      </c>
      <c r="AL945" s="71">
        <v>0.92553859025308505</v>
      </c>
      <c r="AM945" s="71">
        <v>0.94991708822232901</v>
      </c>
      <c r="AN945" s="70">
        <v>0.99</v>
      </c>
      <c r="AO945" s="75">
        <v>1</v>
      </c>
      <c r="AP945" s="75">
        <v>1</v>
      </c>
      <c r="AQ945" s="75">
        <v>1</v>
      </c>
      <c r="AR945" s="75">
        <v>1</v>
      </c>
      <c r="AS945" s="95">
        <v>6.5641848892985799E-2</v>
      </c>
      <c r="AT945" s="79">
        <v>0</v>
      </c>
      <c r="AU945" s="79">
        <v>3.7037037037037E-2</v>
      </c>
      <c r="AV945" s="79">
        <v>0.05</v>
      </c>
      <c r="AW945" s="79">
        <v>5.0632911392405097E-2</v>
      </c>
      <c r="AX945" s="56"/>
      <c r="AY945" s="54"/>
    </row>
    <row r="946" spans="1:51" ht="15">
      <c r="A946" s="53"/>
      <c r="B946" s="56"/>
      <c r="C946" s="114" t="s">
        <v>921</v>
      </c>
      <c r="D946" s="233" t="s">
        <v>1757</v>
      </c>
      <c r="E946" s="68" t="s">
        <v>922</v>
      </c>
      <c r="F946" s="117" t="s">
        <v>969</v>
      </c>
      <c r="G946" s="118" t="s">
        <v>969</v>
      </c>
      <c r="H946" s="118" t="s">
        <v>969</v>
      </c>
      <c r="I946" s="118" t="s">
        <v>969</v>
      </c>
      <c r="J946" s="70">
        <v>0.9</v>
      </c>
      <c r="K946" s="71">
        <v>1</v>
      </c>
      <c r="L946" s="71">
        <v>1</v>
      </c>
      <c r="M946" s="72">
        <v>1</v>
      </c>
      <c r="N946" s="71">
        <v>0.99267399267399303</v>
      </c>
      <c r="O946" s="73">
        <v>0.9</v>
      </c>
      <c r="P946" s="71">
        <v>0.98469387755102</v>
      </c>
      <c r="Q946" s="71">
        <v>0.98289515362686097</v>
      </c>
      <c r="R946" s="71">
        <v>0.98033333333333295</v>
      </c>
      <c r="S946" s="71">
        <v>0.98263339681719897</v>
      </c>
      <c r="T946" s="73">
        <v>0.9</v>
      </c>
      <c r="U946" s="71">
        <v>0.958673469387755</v>
      </c>
      <c r="V946" s="71">
        <v>0.94931897370921803</v>
      </c>
      <c r="W946" s="71">
        <v>0.95099999999999996</v>
      </c>
      <c r="X946" s="71">
        <v>0.95803608896349102</v>
      </c>
      <c r="Y946" s="73">
        <v>0.92</v>
      </c>
      <c r="Z946" s="73">
        <v>0.98024691358024696</v>
      </c>
      <c r="AA946" s="73">
        <v>0.983240223463687</v>
      </c>
      <c r="AB946" s="73">
        <v>0.97237569060773499</v>
      </c>
      <c r="AC946" s="73">
        <v>0.979804256641293</v>
      </c>
      <c r="AD946" s="73">
        <v>0.92</v>
      </c>
      <c r="AE946" s="71">
        <v>0.99346566391320401</v>
      </c>
      <c r="AF946" s="71">
        <v>0.98794002607561904</v>
      </c>
      <c r="AG946" s="71">
        <v>0.98847420417123999</v>
      </c>
      <c r="AH946" s="71">
        <v>0.98755020567642704</v>
      </c>
      <c r="AI946" s="73">
        <v>0.92</v>
      </c>
      <c r="AJ946" s="71">
        <v>0.98664741970407799</v>
      </c>
      <c r="AK946" s="71">
        <v>0.99032716927453801</v>
      </c>
      <c r="AL946" s="71">
        <v>0.98279751833051299</v>
      </c>
      <c r="AM946" s="71">
        <v>0.98891234069838896</v>
      </c>
      <c r="AN946" s="70">
        <v>0.99</v>
      </c>
      <c r="AO946" s="75">
        <v>1</v>
      </c>
      <c r="AP946" s="75">
        <v>1</v>
      </c>
      <c r="AQ946" s="75">
        <v>1</v>
      </c>
      <c r="AR946" s="75">
        <v>1</v>
      </c>
      <c r="AS946" s="95">
        <v>6.5641848892985799E-2</v>
      </c>
      <c r="AT946" s="79">
        <v>0</v>
      </c>
      <c r="AU946" s="79">
        <v>-5.2631578947368397E-2</v>
      </c>
      <c r="AV946" s="79">
        <v>8.3333333333333301E-2</v>
      </c>
      <c r="AW946" s="79">
        <v>1.7341040462427699E-2</v>
      </c>
      <c r="AX946" s="56"/>
      <c r="AY946" s="54"/>
    </row>
    <row r="947" spans="1:51" ht="15">
      <c r="A947" s="53"/>
      <c r="B947" s="56"/>
      <c r="C947" s="114" t="s">
        <v>921</v>
      </c>
      <c r="D947" s="233" t="s">
        <v>1757</v>
      </c>
      <c r="E947" s="68" t="s">
        <v>922</v>
      </c>
      <c r="F947" s="117" t="s">
        <v>970</v>
      </c>
      <c r="G947" s="118" t="s">
        <v>970</v>
      </c>
      <c r="H947" s="118" t="s">
        <v>970</v>
      </c>
      <c r="I947" s="118" t="s">
        <v>970</v>
      </c>
      <c r="J947" s="70">
        <v>0.9</v>
      </c>
      <c r="K947" s="71">
        <v>0.88</v>
      </c>
      <c r="L947" s="71">
        <v>1</v>
      </c>
      <c r="M947" s="72">
        <v>1</v>
      </c>
      <c r="N947" s="71">
        <v>0.92378048780487798</v>
      </c>
      <c r="O947" s="73">
        <v>0.9</v>
      </c>
      <c r="P947" s="71">
        <v>0.94665012406947902</v>
      </c>
      <c r="Q947" s="71">
        <v>0.94638266617701094</v>
      </c>
      <c r="R947" s="71">
        <v>0.94801890221737595</v>
      </c>
      <c r="S947" s="71">
        <v>0.92535155261540702</v>
      </c>
      <c r="T947" s="73">
        <v>0.9</v>
      </c>
      <c r="U947" s="71">
        <v>0.92990074441687298</v>
      </c>
      <c r="V947" s="71">
        <v>0.92251193536540599</v>
      </c>
      <c r="W947" s="71">
        <v>0.91494002181025103</v>
      </c>
      <c r="X947" s="71">
        <v>0.90601164009687996</v>
      </c>
      <c r="Y947" s="73">
        <v>0.92</v>
      </c>
      <c r="Z947" s="73">
        <v>0.90659340659340704</v>
      </c>
      <c r="AA947" s="73">
        <v>0.87234042553191504</v>
      </c>
      <c r="AB947" s="73">
        <v>0.85531914893617</v>
      </c>
      <c r="AC947" s="73">
        <v>0.85341151385927505</v>
      </c>
      <c r="AD947" s="73">
        <v>0.92</v>
      </c>
      <c r="AE947" s="71">
        <v>0.97091229616571195</v>
      </c>
      <c r="AF947" s="71">
        <v>0.99850411368736003</v>
      </c>
      <c r="AG947" s="71">
        <v>0.99944040290990499</v>
      </c>
      <c r="AH947" s="71">
        <v>0.99383748148855899</v>
      </c>
      <c r="AI947" s="73">
        <v>0.92</v>
      </c>
      <c r="AJ947" s="71">
        <v>0.95299145299145305</v>
      </c>
      <c r="AK947" s="71">
        <v>0.96855983772819498</v>
      </c>
      <c r="AL947" s="71">
        <v>0.95374107420055898</v>
      </c>
      <c r="AM947" s="71">
        <v>0.94938724017782095</v>
      </c>
      <c r="AN947" s="70">
        <v>0.99</v>
      </c>
      <c r="AO947" s="75">
        <v>1</v>
      </c>
      <c r="AP947" s="75">
        <v>1</v>
      </c>
      <c r="AQ947" s="75">
        <v>1</v>
      </c>
      <c r="AR947" s="75">
        <v>1</v>
      </c>
      <c r="AS947" s="95">
        <v>6.5641848892985799E-2</v>
      </c>
      <c r="AT947" s="79">
        <v>0.16666666666666699</v>
      </c>
      <c r="AU947" s="79">
        <v>0</v>
      </c>
      <c r="AV947" s="79">
        <v>0</v>
      </c>
      <c r="AW947" s="79">
        <v>4.11764705882353E-2</v>
      </c>
      <c r="AX947" s="56"/>
      <c r="AY947" s="54"/>
    </row>
    <row r="948" spans="1:51" ht="15">
      <c r="A948" s="53"/>
      <c r="B948" s="56"/>
      <c r="C948" s="114" t="s">
        <v>921</v>
      </c>
      <c r="D948" s="233" t="s">
        <v>1757</v>
      </c>
      <c r="E948" s="68" t="s">
        <v>922</v>
      </c>
      <c r="F948" s="117" t="s">
        <v>971</v>
      </c>
      <c r="G948" s="118" t="s">
        <v>971</v>
      </c>
      <c r="H948" s="118" t="s">
        <v>971</v>
      </c>
      <c r="I948" s="118" t="s">
        <v>971</v>
      </c>
      <c r="J948" s="70">
        <v>0.9</v>
      </c>
      <c r="K948" s="71">
        <v>0.84615384615384603</v>
      </c>
      <c r="L948" s="71">
        <v>0.9</v>
      </c>
      <c r="M948" s="72">
        <v>0.96153846153846201</v>
      </c>
      <c r="N948" s="71">
        <v>0.84931506849315097</v>
      </c>
      <c r="O948" s="73">
        <v>0.9</v>
      </c>
      <c r="P948" s="71">
        <v>0.95704989154012998</v>
      </c>
      <c r="Q948" s="71">
        <v>0.96414236018196398</v>
      </c>
      <c r="R948" s="71">
        <v>0.946753599565336</v>
      </c>
      <c r="S948" s="71">
        <v>0.92991215656956705</v>
      </c>
      <c r="T948" s="73">
        <v>0.9</v>
      </c>
      <c r="U948" s="71">
        <v>0.92537960954446896</v>
      </c>
      <c r="V948" s="71">
        <v>0.92186245651592202</v>
      </c>
      <c r="W948" s="71">
        <v>0.88019559902200495</v>
      </c>
      <c r="X948" s="71">
        <v>0.89530878701305605</v>
      </c>
      <c r="Y948" s="73">
        <v>0.92</v>
      </c>
      <c r="Z948" s="73">
        <v>0.91288566243194202</v>
      </c>
      <c r="AA948" s="73">
        <v>0.95033860045146701</v>
      </c>
      <c r="AB948" s="73">
        <v>0.89833080424886202</v>
      </c>
      <c r="AC948" s="73">
        <v>0.91350937619594297</v>
      </c>
      <c r="AD948" s="73">
        <v>0.92</v>
      </c>
      <c r="AE948" s="71">
        <v>0.99964175682453205</v>
      </c>
      <c r="AF948" s="71">
        <v>0.99883673882257695</v>
      </c>
      <c r="AG948" s="71">
        <v>0.99951940406103601</v>
      </c>
      <c r="AH948" s="71">
        <v>0.99364656276747898</v>
      </c>
      <c r="AI948" s="73">
        <v>0.92</v>
      </c>
      <c r="AJ948" s="71">
        <v>0.95011737089201898</v>
      </c>
      <c r="AK948" s="71">
        <v>0.97105955513035203</v>
      </c>
      <c r="AL948" s="71">
        <v>0.93778801843318005</v>
      </c>
      <c r="AM948" s="71">
        <v>0.95421734619544796</v>
      </c>
      <c r="AN948" s="70">
        <v>0.99</v>
      </c>
      <c r="AO948" s="75">
        <v>1</v>
      </c>
      <c r="AP948" s="75">
        <v>1</v>
      </c>
      <c r="AQ948" s="75">
        <v>1</v>
      </c>
      <c r="AR948" s="75">
        <v>1</v>
      </c>
      <c r="AS948" s="95">
        <v>6.5641848892985799E-2</v>
      </c>
      <c r="AT948" s="79">
        <v>0.105263157894737</v>
      </c>
      <c r="AU948" s="79">
        <v>0.107142857142857</v>
      </c>
      <c r="AV948" s="79">
        <v>0.2</v>
      </c>
      <c r="AW948" s="79">
        <v>8.8983050847457598E-2</v>
      </c>
      <c r="AX948" s="56"/>
      <c r="AY948" s="54"/>
    </row>
    <row r="949" spans="1:51" ht="15">
      <c r="A949" s="53"/>
      <c r="B949" s="56"/>
      <c r="C949" s="114" t="s">
        <v>921</v>
      </c>
      <c r="D949" s="233" t="s">
        <v>1757</v>
      </c>
      <c r="E949" s="68" t="s">
        <v>922</v>
      </c>
      <c r="F949" s="117" t="s">
        <v>972</v>
      </c>
      <c r="G949" s="118" t="s">
        <v>972</v>
      </c>
      <c r="H949" s="118" t="s">
        <v>972</v>
      </c>
      <c r="I949" s="118" t="s">
        <v>972</v>
      </c>
      <c r="J949" s="70">
        <v>0.9</v>
      </c>
      <c r="K949" s="71">
        <v>1</v>
      </c>
      <c r="L949" s="71">
        <v>1</v>
      </c>
      <c r="M949" s="72">
        <v>1</v>
      </c>
      <c r="N949" s="71">
        <v>0.934782608695652</v>
      </c>
      <c r="O949" s="73">
        <v>0.9</v>
      </c>
      <c r="P949" s="71">
        <v>0.92623814541622795</v>
      </c>
      <c r="Q949" s="71">
        <v>0.94100294985250699</v>
      </c>
      <c r="R949" s="71">
        <v>0.939393939393939</v>
      </c>
      <c r="S949" s="71">
        <v>0.94600444952197704</v>
      </c>
      <c r="T949" s="73">
        <v>0.9</v>
      </c>
      <c r="U949" s="71">
        <v>0.89041095890411004</v>
      </c>
      <c r="V949" s="71">
        <v>0.90442477876106198</v>
      </c>
      <c r="W949" s="71">
        <v>0.90969696969697</v>
      </c>
      <c r="X949" s="71">
        <v>0.91846551620467798</v>
      </c>
      <c r="Y949" s="73">
        <v>0.92</v>
      </c>
      <c r="Z949" s="73">
        <v>0.84449760765550197</v>
      </c>
      <c r="AA949" s="73">
        <v>0.92424242424242398</v>
      </c>
      <c r="AB949" s="73">
        <v>0.85393258426966301</v>
      </c>
      <c r="AC949" s="73">
        <v>0.91083384053560601</v>
      </c>
      <c r="AD949" s="73">
        <v>0.92</v>
      </c>
      <c r="AE949" s="71">
        <v>0.99776785714285698</v>
      </c>
      <c r="AF949" s="71">
        <v>0.90243902439024404</v>
      </c>
      <c r="AG949" s="71">
        <v>0.99049881235154402</v>
      </c>
      <c r="AH949" s="71">
        <v>0.91975635593220295</v>
      </c>
      <c r="AI949" s="73">
        <v>0.92</v>
      </c>
      <c r="AJ949" s="71">
        <v>0.92318946598390605</v>
      </c>
      <c r="AK949" s="71">
        <v>0.96606458675424201</v>
      </c>
      <c r="AL949" s="71">
        <v>0.95722483046426698</v>
      </c>
      <c r="AM949" s="71">
        <v>0.958778932570166</v>
      </c>
      <c r="AN949" s="70">
        <v>0.99</v>
      </c>
      <c r="AO949" s="75">
        <v>1</v>
      </c>
      <c r="AP949" s="75">
        <v>1</v>
      </c>
      <c r="AQ949" s="75">
        <v>1</v>
      </c>
      <c r="AR949" s="75">
        <v>1</v>
      </c>
      <c r="AS949" s="95">
        <v>6.5641848892985799E-2</v>
      </c>
      <c r="AT949" s="79">
        <v>0</v>
      </c>
      <c r="AU949" s="79">
        <v>0</v>
      </c>
      <c r="AV949" s="79">
        <v>0</v>
      </c>
      <c r="AW949" s="79">
        <v>5.63380281690141E-2</v>
      </c>
      <c r="AX949" s="56"/>
      <c r="AY949" s="54"/>
    </row>
    <row r="950" spans="1:51" ht="15">
      <c r="A950" s="53"/>
      <c r="B950" s="56"/>
      <c r="C950" s="114" t="s">
        <v>921</v>
      </c>
      <c r="D950" s="233" t="s">
        <v>1757</v>
      </c>
      <c r="E950" s="68" t="s">
        <v>922</v>
      </c>
      <c r="F950" s="117" t="s">
        <v>973</v>
      </c>
      <c r="G950" s="118" t="s">
        <v>973</v>
      </c>
      <c r="H950" s="118" t="s">
        <v>973</v>
      </c>
      <c r="I950" s="118" t="s">
        <v>973</v>
      </c>
      <c r="J950" s="70">
        <v>0.9</v>
      </c>
      <c r="K950" s="71">
        <v>0.88235294117647101</v>
      </c>
      <c r="L950" s="71">
        <v>0.952380952380952</v>
      </c>
      <c r="M950" s="72">
        <v>0.95</v>
      </c>
      <c r="N950" s="71">
        <v>0.93333333333333302</v>
      </c>
      <c r="O950" s="73">
        <v>0.9</v>
      </c>
      <c r="P950" s="71">
        <v>0.97811447811447805</v>
      </c>
      <c r="Q950" s="71">
        <v>0.94960560911481195</v>
      </c>
      <c r="R950" s="71">
        <v>0.97028738431563599</v>
      </c>
      <c r="S950" s="71">
        <v>0.95374110405847301</v>
      </c>
      <c r="T950" s="73">
        <v>0.9</v>
      </c>
      <c r="U950" s="71">
        <v>0.94696969696969702</v>
      </c>
      <c r="V950" s="71">
        <v>0.91060473269062203</v>
      </c>
      <c r="W950" s="71">
        <v>0.91816853385289798</v>
      </c>
      <c r="X950" s="71">
        <v>0.92820734756683998</v>
      </c>
      <c r="Y950" s="73">
        <v>0.92</v>
      </c>
      <c r="Z950" s="73">
        <v>0.95810564663023701</v>
      </c>
      <c r="AA950" s="73">
        <v>0.95575221238938102</v>
      </c>
      <c r="AB950" s="73">
        <v>0.96143958868894597</v>
      </c>
      <c r="AC950" s="73">
        <v>0.96426945835229905</v>
      </c>
      <c r="AD950" s="73">
        <v>0.92</v>
      </c>
      <c r="AE950" s="71">
        <v>0.999592750967216</v>
      </c>
      <c r="AF950" s="71">
        <v>0.99823008849557504</v>
      </c>
      <c r="AG950" s="71">
        <v>0.99732620320855603</v>
      </c>
      <c r="AH950" s="71">
        <v>0.99796189212247599</v>
      </c>
      <c r="AI950" s="73">
        <v>0.92</v>
      </c>
      <c r="AJ950" s="71">
        <v>0.97524467472653997</v>
      </c>
      <c r="AK950" s="71">
        <v>0.98564593301435399</v>
      </c>
      <c r="AL950" s="71">
        <v>0.97830536225951703</v>
      </c>
      <c r="AM950" s="71">
        <v>0.98245474753890105</v>
      </c>
      <c r="AN950" s="70">
        <v>0.99</v>
      </c>
      <c r="AO950" s="75">
        <v>1</v>
      </c>
      <c r="AP950" s="75">
        <v>1</v>
      </c>
      <c r="AQ950" s="75">
        <v>1</v>
      </c>
      <c r="AR950" s="75">
        <v>1</v>
      </c>
      <c r="AS950" s="95">
        <v>6.5641848892985799E-2</v>
      </c>
      <c r="AT950" s="79">
        <v>0</v>
      </c>
      <c r="AU950" s="79">
        <v>9.0909090909090898E-2</v>
      </c>
      <c r="AV950" s="79">
        <v>0</v>
      </c>
      <c r="AW950" s="79">
        <v>4.85436893203883E-2</v>
      </c>
      <c r="AX950" s="56"/>
      <c r="AY950" s="54"/>
    </row>
    <row r="951" spans="1:51" ht="15">
      <c r="A951" s="53"/>
      <c r="B951" s="56"/>
      <c r="C951" s="114" t="s">
        <v>921</v>
      </c>
      <c r="D951" s="233" t="s">
        <v>1757</v>
      </c>
      <c r="E951" s="68" t="s">
        <v>922</v>
      </c>
      <c r="F951" s="117" t="s">
        <v>974</v>
      </c>
      <c r="G951" s="118" t="s">
        <v>974</v>
      </c>
      <c r="H951" s="118" t="s">
        <v>974</v>
      </c>
      <c r="I951" s="118" t="s">
        <v>974</v>
      </c>
      <c r="J951" s="70">
        <v>0.9</v>
      </c>
      <c r="K951" s="71">
        <v>0.85714285714285698</v>
      </c>
      <c r="L951" s="71">
        <v>0.91666666666666696</v>
      </c>
      <c r="M951" s="72">
        <v>1</v>
      </c>
      <c r="N951" s="71">
        <v>0.93811881188118795</v>
      </c>
      <c r="O951" s="73">
        <v>0.9</v>
      </c>
      <c r="P951" s="71">
        <v>0.89283276450511995</v>
      </c>
      <c r="Q951" s="71">
        <v>0.81353542474444795</v>
      </c>
      <c r="R951" s="71">
        <v>0.90507052992756398</v>
      </c>
      <c r="S951" s="71">
        <v>0.89214741213109905</v>
      </c>
      <c r="T951" s="73">
        <v>0.9</v>
      </c>
      <c r="U951" s="71">
        <v>0.89761092150170696</v>
      </c>
      <c r="V951" s="71">
        <v>0.86640817765245004</v>
      </c>
      <c r="W951" s="71">
        <v>0.911932901258101</v>
      </c>
      <c r="X951" s="71">
        <v>0.89948835829749396</v>
      </c>
      <c r="Y951" s="73">
        <v>0.92</v>
      </c>
      <c r="Z951" s="73">
        <v>0.81360201511334995</v>
      </c>
      <c r="AA951" s="73">
        <v>0.66333808844507802</v>
      </c>
      <c r="AB951" s="73">
        <v>0.77437858508604196</v>
      </c>
      <c r="AC951" s="73">
        <v>0.71810411810411801</v>
      </c>
      <c r="AD951" s="73">
        <v>0.92</v>
      </c>
      <c r="AE951" s="71">
        <v>0.99123661148977604</v>
      </c>
      <c r="AF951" s="71">
        <v>0.99039999999999995</v>
      </c>
      <c r="AG951" s="71">
        <v>0.99766627771295202</v>
      </c>
      <c r="AH951" s="71">
        <v>0.99023596419853499</v>
      </c>
      <c r="AI951" s="73">
        <v>0.92</v>
      </c>
      <c r="AJ951" s="71">
        <v>0.91675617615467198</v>
      </c>
      <c r="AK951" s="71">
        <v>0.88807235726399103</v>
      </c>
      <c r="AL951" s="71">
        <v>0.91325071496663501</v>
      </c>
      <c r="AM951" s="71">
        <v>0.90598623166716596</v>
      </c>
      <c r="AN951" s="70">
        <v>0.99</v>
      </c>
      <c r="AO951" s="75">
        <v>1</v>
      </c>
      <c r="AP951" s="75">
        <v>1</v>
      </c>
      <c r="AQ951" s="75">
        <v>1</v>
      </c>
      <c r="AR951" s="75">
        <v>1</v>
      </c>
      <c r="AS951" s="95">
        <v>6.5641848892985799E-2</v>
      </c>
      <c r="AT951" s="79">
        <v>0</v>
      </c>
      <c r="AU951" s="79">
        <v>0</v>
      </c>
      <c r="AV951" s="79">
        <v>0</v>
      </c>
      <c r="AW951" s="79">
        <v>3.1007751937984499E-2</v>
      </c>
      <c r="AX951" s="56"/>
      <c r="AY951" s="54"/>
    </row>
    <row r="952" spans="1:51">
      <c r="A952" s="53"/>
      <c r="B952" s="56"/>
      <c r="C952" s="114" t="s">
        <v>921</v>
      </c>
      <c r="D952" s="233" t="s">
        <v>1757</v>
      </c>
      <c r="E952" s="68" t="s">
        <v>922</v>
      </c>
      <c r="F952" s="123" t="s">
        <v>975</v>
      </c>
      <c r="G952" s="124" t="s">
        <v>975</v>
      </c>
      <c r="H952" s="124" t="s">
        <v>975</v>
      </c>
      <c r="I952" s="124" t="s">
        <v>975</v>
      </c>
      <c r="J952" s="70">
        <v>0.9</v>
      </c>
      <c r="K952" s="71">
        <v>0.91666666666666696</v>
      </c>
      <c r="L952" s="71">
        <v>0.9375</v>
      </c>
      <c r="M952" s="72">
        <v>0.9375</v>
      </c>
      <c r="N952" s="71">
        <v>0.90810810810810805</v>
      </c>
      <c r="O952" s="73">
        <v>0.9</v>
      </c>
      <c r="P952" s="71">
        <v>0.72034564021995295</v>
      </c>
      <c r="Q952" s="71">
        <v>0.869714285714286</v>
      </c>
      <c r="R952" s="71">
        <v>0.91082410824108195</v>
      </c>
      <c r="S952" s="71">
        <v>0.86973001341186096</v>
      </c>
      <c r="T952" s="73">
        <v>0.9</v>
      </c>
      <c r="U952" s="71">
        <v>0.644147682639434</v>
      </c>
      <c r="V952" s="71">
        <v>0.82571428571428596</v>
      </c>
      <c r="W952" s="71">
        <v>0.831488314883149</v>
      </c>
      <c r="X952" s="71">
        <v>0.78873403697008604</v>
      </c>
      <c r="Y952" s="73">
        <v>0.92</v>
      </c>
      <c r="Z952" s="73">
        <v>0</v>
      </c>
      <c r="AA952" s="73">
        <v>0</v>
      </c>
      <c r="AB952" s="73">
        <v>0</v>
      </c>
      <c r="AC952" s="73">
        <v>0</v>
      </c>
      <c r="AD952" s="73">
        <v>0.92</v>
      </c>
      <c r="AE952" s="71">
        <v>0.99248120300751896</v>
      </c>
      <c r="AF952" s="71">
        <v>0.82191780821917804</v>
      </c>
      <c r="AG952" s="71">
        <v>0.97101449275362295</v>
      </c>
      <c r="AH952" s="71">
        <v>0.97112211221122102</v>
      </c>
      <c r="AI952" s="73">
        <v>0.92</v>
      </c>
      <c r="AJ952" s="71">
        <v>0.69960784313725499</v>
      </c>
      <c r="AK952" s="71">
        <v>0.852739726027397</v>
      </c>
      <c r="AL952" s="71">
        <v>0.88827501534683895</v>
      </c>
      <c r="AM952" s="71">
        <v>0.85907369647538601</v>
      </c>
      <c r="AN952" s="70">
        <v>0.99</v>
      </c>
      <c r="AO952" s="75">
        <v>1</v>
      </c>
      <c r="AP952" s="75">
        <v>1</v>
      </c>
      <c r="AQ952" s="75">
        <v>1</v>
      </c>
      <c r="AR952" s="75">
        <v>1</v>
      </c>
      <c r="AS952" s="95">
        <v>6.5641848892985799E-2</v>
      </c>
      <c r="AT952" s="79">
        <v>0.2</v>
      </c>
      <c r="AU952" s="79">
        <v>0</v>
      </c>
      <c r="AV952" s="79">
        <v>0</v>
      </c>
      <c r="AW952" s="79">
        <v>0.1</v>
      </c>
      <c r="AX952" s="56"/>
      <c r="AY952" s="54"/>
    </row>
    <row r="953" spans="1:51" ht="15">
      <c r="A953" s="53"/>
      <c r="B953" s="56"/>
      <c r="C953" s="114" t="s">
        <v>921</v>
      </c>
      <c r="D953" s="233" t="s">
        <v>1757</v>
      </c>
      <c r="E953" s="68" t="s">
        <v>922</v>
      </c>
      <c r="F953" s="117" t="s">
        <v>976</v>
      </c>
      <c r="G953" s="118" t="s">
        <v>976</v>
      </c>
      <c r="H953" s="118" t="s">
        <v>976</v>
      </c>
      <c r="I953" s="118" t="s">
        <v>976</v>
      </c>
      <c r="J953" s="70">
        <v>0.9</v>
      </c>
      <c r="K953" s="71">
        <v>1</v>
      </c>
      <c r="L953" s="71">
        <v>0.96296296296296302</v>
      </c>
      <c r="M953" s="72">
        <v>0.91666666666666696</v>
      </c>
      <c r="N953" s="71">
        <v>0.95714285714285696</v>
      </c>
      <c r="O953" s="73">
        <v>0.9</v>
      </c>
      <c r="P953" s="71">
        <v>0.98562013181545804</v>
      </c>
      <c r="Q953" s="71">
        <v>0.98384554767533505</v>
      </c>
      <c r="R953" s="71">
        <v>0.966480446927374</v>
      </c>
      <c r="S953" s="71">
        <v>0.97697486356212404</v>
      </c>
      <c r="T953" s="73">
        <v>0.9</v>
      </c>
      <c r="U953" s="71">
        <v>0.85140802875973598</v>
      </c>
      <c r="V953" s="71">
        <v>0.88770685579196196</v>
      </c>
      <c r="W953" s="71">
        <v>0.90459819510098805</v>
      </c>
      <c r="X953" s="71">
        <v>0.90451340477233799</v>
      </c>
      <c r="Y953" s="73">
        <v>0.92</v>
      </c>
      <c r="Z953" s="73">
        <v>0</v>
      </c>
      <c r="AA953" s="73" t="s">
        <v>1710</v>
      </c>
      <c r="AB953" s="73" t="s">
        <v>1710</v>
      </c>
      <c r="AC953" s="73">
        <v>0</v>
      </c>
      <c r="AD953" s="73">
        <v>0.92</v>
      </c>
      <c r="AE953" s="71">
        <v>0.99518304431599203</v>
      </c>
      <c r="AF953" s="71">
        <v>0.95959595959596</v>
      </c>
      <c r="AG953" s="71">
        <v>0.99121706398996201</v>
      </c>
      <c r="AH953" s="71">
        <v>0.98718756563747101</v>
      </c>
      <c r="AI953" s="73">
        <v>0.92</v>
      </c>
      <c r="AJ953" s="71">
        <v>0.95748502994011997</v>
      </c>
      <c r="AK953" s="71">
        <v>0.97241922773837697</v>
      </c>
      <c r="AL953" s="71">
        <v>0.95831542758917099</v>
      </c>
      <c r="AM953" s="71">
        <v>0.96785628933322698</v>
      </c>
      <c r="AN953" s="70">
        <v>0.99</v>
      </c>
      <c r="AO953" s="75">
        <v>1</v>
      </c>
      <c r="AP953" s="75">
        <v>1</v>
      </c>
      <c r="AQ953" s="75">
        <v>1</v>
      </c>
      <c r="AR953" s="75">
        <v>1</v>
      </c>
      <c r="AS953" s="95">
        <v>6.5641848892985799E-2</v>
      </c>
      <c r="AT953" s="79">
        <v>0</v>
      </c>
      <c r="AU953" s="79">
        <v>0.42857142857142899</v>
      </c>
      <c r="AV953" s="79">
        <v>0.125</v>
      </c>
      <c r="AW953" s="79">
        <v>6.8965517241379296E-2</v>
      </c>
      <c r="AX953" s="56"/>
      <c r="AY953" s="54"/>
    </row>
    <row r="954" spans="1:51" ht="15">
      <c r="A954" s="53"/>
      <c r="B954" s="56"/>
      <c r="C954" s="114" t="s">
        <v>921</v>
      </c>
      <c r="D954" s="233" t="s">
        <v>1757</v>
      </c>
      <c r="E954" s="68" t="s">
        <v>922</v>
      </c>
      <c r="F954" s="119" t="s">
        <v>977</v>
      </c>
      <c r="G954" s="120" t="s">
        <v>977</v>
      </c>
      <c r="H954" s="120" t="s">
        <v>977</v>
      </c>
      <c r="I954" s="120" t="s">
        <v>977</v>
      </c>
      <c r="J954" s="70">
        <v>0.9</v>
      </c>
      <c r="K954" s="71">
        <v>0.89130434782608703</v>
      </c>
      <c r="L954" s="71">
        <v>0.98113207547169801</v>
      </c>
      <c r="M954" s="72">
        <v>1</v>
      </c>
      <c r="N954" s="71">
        <v>0.95737122557726495</v>
      </c>
      <c r="O954" s="73">
        <v>0.9</v>
      </c>
      <c r="P954" s="71">
        <v>0.93607641440117595</v>
      </c>
      <c r="Q954" s="71">
        <v>0.93863912515188297</v>
      </c>
      <c r="R954" s="71">
        <v>0.92894918372039503</v>
      </c>
      <c r="S954" s="71">
        <v>0.93565172144653497</v>
      </c>
      <c r="T954" s="73">
        <v>0.9</v>
      </c>
      <c r="U954" s="71">
        <v>0.93681116825863298</v>
      </c>
      <c r="V954" s="71">
        <v>0.89752936411502604</v>
      </c>
      <c r="W954" s="71">
        <v>0.88250172453437603</v>
      </c>
      <c r="X954" s="71">
        <v>0.90963489723354396</v>
      </c>
      <c r="Y954" s="73">
        <v>0.92</v>
      </c>
      <c r="Z954" s="73">
        <v>0.83866279069767402</v>
      </c>
      <c r="AA954" s="73">
        <v>0.82328654004954605</v>
      </c>
      <c r="AB954" s="73">
        <v>0.74285714285714299</v>
      </c>
      <c r="AC954" s="73">
        <v>0.80478975215817306</v>
      </c>
      <c r="AD954" s="73">
        <v>0.92</v>
      </c>
      <c r="AE954" s="71">
        <v>0.99310828174278698</v>
      </c>
      <c r="AF954" s="71">
        <v>0.986493005306319</v>
      </c>
      <c r="AG954" s="71">
        <v>0.98233823069709303</v>
      </c>
      <c r="AH954" s="71">
        <v>0.97032990346876002</v>
      </c>
      <c r="AI954" s="73">
        <v>0.92</v>
      </c>
      <c r="AJ954" s="71">
        <v>0.93665689149560105</v>
      </c>
      <c r="AK954" s="71">
        <v>0.93332249146202595</v>
      </c>
      <c r="AL954" s="71">
        <v>0.89550239234449802</v>
      </c>
      <c r="AM954" s="71">
        <v>0.92866306964973</v>
      </c>
      <c r="AN954" s="70">
        <v>0.99</v>
      </c>
      <c r="AO954" s="75">
        <v>1</v>
      </c>
      <c r="AP954" s="75">
        <v>1</v>
      </c>
      <c r="AQ954" s="75">
        <v>1</v>
      </c>
      <c r="AR954" s="75">
        <v>1</v>
      </c>
      <c r="AS954" s="95">
        <v>6.5641848892985799E-2</v>
      </c>
      <c r="AT954" s="79">
        <v>0</v>
      </c>
      <c r="AU954" s="79">
        <v>0</v>
      </c>
      <c r="AV954" s="79">
        <v>0.1</v>
      </c>
      <c r="AW954" s="79">
        <v>2.84697508896797E-2</v>
      </c>
      <c r="AX954" s="56"/>
      <c r="AY954" s="54"/>
    </row>
    <row r="955" spans="1:51" ht="15">
      <c r="A955" s="53"/>
      <c r="B955" s="56"/>
      <c r="C955" s="114" t="s">
        <v>921</v>
      </c>
      <c r="D955" s="233" t="s">
        <v>1757</v>
      </c>
      <c r="E955" s="68" t="s">
        <v>922</v>
      </c>
      <c r="F955" s="117" t="s">
        <v>978</v>
      </c>
      <c r="G955" s="118" t="s">
        <v>978</v>
      </c>
      <c r="H955" s="118" t="s">
        <v>978</v>
      </c>
      <c r="I955" s="118" t="s">
        <v>978</v>
      </c>
      <c r="J955" s="70">
        <v>0.9</v>
      </c>
      <c r="K955" s="71">
        <v>1</v>
      </c>
      <c r="L955" s="71">
        <v>1</v>
      </c>
      <c r="M955" s="72">
        <v>0.90909090909090895</v>
      </c>
      <c r="N955" s="71">
        <v>0.98595505617977497</v>
      </c>
      <c r="O955" s="73">
        <v>0.9</v>
      </c>
      <c r="P955" s="71">
        <v>0.95002449779519804</v>
      </c>
      <c r="Q955" s="71">
        <v>0.92992424242424199</v>
      </c>
      <c r="R955" s="71">
        <v>0.97893646408839796</v>
      </c>
      <c r="S955" s="71">
        <v>0.96278724502969304</v>
      </c>
      <c r="T955" s="73">
        <v>0.9</v>
      </c>
      <c r="U955" s="71">
        <v>0.91278784909358202</v>
      </c>
      <c r="V955" s="71">
        <v>0.89204545454545503</v>
      </c>
      <c r="W955" s="71">
        <v>0.91678176795580102</v>
      </c>
      <c r="X955" s="71">
        <v>0.91611799638523095</v>
      </c>
      <c r="Y955" s="73">
        <v>0.92</v>
      </c>
      <c r="Z955" s="73">
        <v>0</v>
      </c>
      <c r="AA955" s="73" t="s">
        <v>1710</v>
      </c>
      <c r="AB955" s="73">
        <v>0</v>
      </c>
      <c r="AC955" s="73">
        <v>0.105263157894737</v>
      </c>
      <c r="AD955" s="73">
        <v>0.92</v>
      </c>
      <c r="AE955" s="71">
        <v>0.98305084745762705</v>
      </c>
      <c r="AF955" s="71">
        <v>0.95026178010471196</v>
      </c>
      <c r="AG955" s="71">
        <v>0.98880597014925398</v>
      </c>
      <c r="AH955" s="71">
        <v>0.97355969941553</v>
      </c>
      <c r="AI955" s="73">
        <v>0.92</v>
      </c>
      <c r="AJ955" s="71">
        <v>0.95301027900146795</v>
      </c>
      <c r="AK955" s="71">
        <v>0.96811868686868696</v>
      </c>
      <c r="AL955" s="71">
        <v>0.97515527950310599</v>
      </c>
      <c r="AM955" s="71">
        <v>0.96861594039286503</v>
      </c>
      <c r="AN955" s="70">
        <v>0.99</v>
      </c>
      <c r="AO955" s="75">
        <v>1</v>
      </c>
      <c r="AP955" s="75">
        <v>1</v>
      </c>
      <c r="AQ955" s="75">
        <v>1</v>
      </c>
      <c r="AR955" s="75">
        <v>1</v>
      </c>
      <c r="AS955" s="95">
        <v>6.5641848892985799E-2</v>
      </c>
      <c r="AT955" s="79">
        <v>0.14285714285714299</v>
      </c>
      <c r="AU955" s="79">
        <v>0</v>
      </c>
      <c r="AV955" s="79">
        <v>0.18181818181818199</v>
      </c>
      <c r="AW955" s="79">
        <v>5.4945054945054903E-2</v>
      </c>
      <c r="AX955" s="56"/>
      <c r="AY955" s="54"/>
    </row>
    <row r="956" spans="1:51" ht="15">
      <c r="A956" s="53"/>
      <c r="B956" s="56"/>
      <c r="C956" s="114" t="s">
        <v>921</v>
      </c>
      <c r="D956" s="233" t="s">
        <v>1757</v>
      </c>
      <c r="E956" s="68" t="s">
        <v>922</v>
      </c>
      <c r="F956" s="117" t="s">
        <v>979</v>
      </c>
      <c r="G956" s="118" t="s">
        <v>979</v>
      </c>
      <c r="H956" s="118" t="s">
        <v>979</v>
      </c>
      <c r="I956" s="118" t="s">
        <v>979</v>
      </c>
      <c r="J956" s="70">
        <v>0.9</v>
      </c>
      <c r="K956" s="71">
        <v>0.97435897435897401</v>
      </c>
      <c r="L956" s="71">
        <v>0.97727272727272696</v>
      </c>
      <c r="M956" s="72">
        <v>0.92857142857142905</v>
      </c>
      <c r="N956" s="71">
        <v>0.95208333333333295</v>
      </c>
      <c r="O956" s="73">
        <v>0.9</v>
      </c>
      <c r="P956" s="71">
        <v>0.92026448852586495</v>
      </c>
      <c r="Q956" s="71">
        <v>0.91228520133367497</v>
      </c>
      <c r="R956" s="71">
        <v>0.89251547552054</v>
      </c>
      <c r="S956" s="71">
        <v>0.92216718105661699</v>
      </c>
      <c r="T956" s="73">
        <v>0.9</v>
      </c>
      <c r="U956" s="71">
        <v>0.86386619992220903</v>
      </c>
      <c r="V956" s="71">
        <v>0.90510387278789395</v>
      </c>
      <c r="W956" s="71">
        <v>0.890545863815419</v>
      </c>
      <c r="X956" s="71">
        <v>0.915320175324844</v>
      </c>
      <c r="Y956" s="73">
        <v>0.92</v>
      </c>
      <c r="Z956" s="73">
        <v>0.25</v>
      </c>
      <c r="AA956" s="73" t="s">
        <v>1710</v>
      </c>
      <c r="AB956" s="73">
        <v>0</v>
      </c>
      <c r="AC956" s="73">
        <v>0.11111111111111099</v>
      </c>
      <c r="AD956" s="73">
        <v>0.92</v>
      </c>
      <c r="AE956" s="71">
        <v>0.99622641509433996</v>
      </c>
      <c r="AF956" s="71">
        <v>0.99102333931777398</v>
      </c>
      <c r="AG956" s="71">
        <v>0.99374348279457803</v>
      </c>
      <c r="AH956" s="71">
        <v>0.98975274983548001</v>
      </c>
      <c r="AI956" s="73">
        <v>0.92</v>
      </c>
      <c r="AJ956" s="71">
        <v>0.93048543689320395</v>
      </c>
      <c r="AK956" s="71">
        <v>0.94921774814054904</v>
      </c>
      <c r="AL956" s="71">
        <v>0.95021097046413505</v>
      </c>
      <c r="AM956" s="71">
        <v>0.95603370058327897</v>
      </c>
      <c r="AN956" s="70">
        <v>0.99</v>
      </c>
      <c r="AO956" s="75">
        <v>1</v>
      </c>
      <c r="AP956" s="75">
        <v>1</v>
      </c>
      <c r="AQ956" s="75">
        <v>1</v>
      </c>
      <c r="AR956" s="75">
        <v>1</v>
      </c>
      <c r="AS956" s="95">
        <v>6.5641848892985799E-2</v>
      </c>
      <c r="AT956" s="79">
        <v>0</v>
      </c>
      <c r="AU956" s="79">
        <v>0</v>
      </c>
      <c r="AV956" s="79">
        <v>0.04</v>
      </c>
      <c r="AW956" s="79">
        <v>1.7142857142857099E-2</v>
      </c>
      <c r="AX956" s="56"/>
      <c r="AY956" s="54"/>
    </row>
    <row r="957" spans="1:51" ht="15">
      <c r="A957" s="53"/>
      <c r="B957" s="56"/>
      <c r="C957" s="114" t="s">
        <v>921</v>
      </c>
      <c r="D957" s="233" t="s">
        <v>1757</v>
      </c>
      <c r="E957" s="68" t="s">
        <v>922</v>
      </c>
      <c r="F957" s="117" t="s">
        <v>980</v>
      </c>
      <c r="G957" s="118" t="s">
        <v>980</v>
      </c>
      <c r="H957" s="118" t="s">
        <v>980</v>
      </c>
      <c r="I957" s="118" t="s">
        <v>980</v>
      </c>
      <c r="J957" s="70">
        <v>0.9</v>
      </c>
      <c r="K957" s="71">
        <v>0.9</v>
      </c>
      <c r="L957" s="71">
        <v>0.9375</v>
      </c>
      <c r="M957" s="72">
        <v>0.95555555555555605</v>
      </c>
      <c r="N957" s="71">
        <v>0.92350746268656703</v>
      </c>
      <c r="O957" s="73">
        <v>0.9</v>
      </c>
      <c r="P957" s="71">
        <v>0.93270085976875206</v>
      </c>
      <c r="Q957" s="71">
        <v>0.87721369539551397</v>
      </c>
      <c r="R957" s="71">
        <v>0.84190313633454195</v>
      </c>
      <c r="S957" s="71">
        <v>0.907578992732473</v>
      </c>
      <c r="T957" s="73">
        <v>0.9</v>
      </c>
      <c r="U957" s="71">
        <v>0.91431959679810304</v>
      </c>
      <c r="V957" s="71">
        <v>0.86698150334514001</v>
      </c>
      <c r="W957" s="71">
        <v>0.86579901856198005</v>
      </c>
      <c r="X957" s="71">
        <v>0.894003800270329</v>
      </c>
      <c r="Y957" s="73">
        <v>0.92</v>
      </c>
      <c r="Z957" s="73">
        <v>0</v>
      </c>
      <c r="AA957" s="73">
        <v>0</v>
      </c>
      <c r="AB957" s="73" t="s">
        <v>1710</v>
      </c>
      <c r="AC957" s="73">
        <v>0</v>
      </c>
      <c r="AD957" s="73">
        <v>0.92</v>
      </c>
      <c r="AE957" s="71">
        <v>0.99609375</v>
      </c>
      <c r="AF957" s="71">
        <v>0.97507788161993803</v>
      </c>
      <c r="AG957" s="71">
        <v>0.99142713061018695</v>
      </c>
      <c r="AH957" s="71">
        <v>0.974721832127039</v>
      </c>
      <c r="AI957" s="73">
        <v>0.92</v>
      </c>
      <c r="AJ957" s="71">
        <v>0.945562130177515</v>
      </c>
      <c r="AK957" s="71">
        <v>0.909716758457907</v>
      </c>
      <c r="AL957" s="71">
        <v>0.90078941753787101</v>
      </c>
      <c r="AM957" s="71">
        <v>0.93048620493841705</v>
      </c>
      <c r="AN957" s="70">
        <v>0.99</v>
      </c>
      <c r="AO957" s="75">
        <v>1</v>
      </c>
      <c r="AP957" s="75">
        <v>1</v>
      </c>
      <c r="AQ957" s="75">
        <v>1</v>
      </c>
      <c r="AR957" s="75">
        <v>1</v>
      </c>
      <c r="AS957" s="95">
        <v>6.5641848892985799E-2</v>
      </c>
      <c r="AT957" s="79">
        <v>0.15</v>
      </c>
      <c r="AU957" s="79">
        <v>0.157894736842105</v>
      </c>
      <c r="AV957" s="79">
        <v>0</v>
      </c>
      <c r="AW957" s="79">
        <v>8.1218274111675107E-2</v>
      </c>
      <c r="AX957" s="56"/>
      <c r="AY957" s="54"/>
    </row>
    <row r="958" spans="1:51" ht="15">
      <c r="A958" s="53"/>
      <c r="B958" s="56"/>
      <c r="C958" s="114" t="s">
        <v>921</v>
      </c>
      <c r="D958" s="233" t="s">
        <v>1757</v>
      </c>
      <c r="E958" s="68" t="s">
        <v>922</v>
      </c>
      <c r="F958" s="117" t="s">
        <v>981</v>
      </c>
      <c r="G958" s="118" t="s">
        <v>981</v>
      </c>
      <c r="H958" s="118" t="s">
        <v>981</v>
      </c>
      <c r="I958" s="118" t="s">
        <v>981</v>
      </c>
      <c r="J958" s="70">
        <v>0.9</v>
      </c>
      <c r="K958" s="71">
        <v>0.90909090909090895</v>
      </c>
      <c r="L958" s="71">
        <v>0.94285714285714295</v>
      </c>
      <c r="M958" s="72">
        <v>0.9375</v>
      </c>
      <c r="N958" s="71">
        <v>0.92091836734693899</v>
      </c>
      <c r="O958" s="73">
        <v>0.9</v>
      </c>
      <c r="P958" s="71">
        <v>0.94125105663567199</v>
      </c>
      <c r="Q958" s="71">
        <v>0.97145256087321596</v>
      </c>
      <c r="R958" s="71">
        <v>0.94677371394588195</v>
      </c>
      <c r="S958" s="71">
        <v>0.94442150466595098</v>
      </c>
      <c r="T958" s="73">
        <v>0.9</v>
      </c>
      <c r="U958" s="71">
        <v>0.89940828402366901</v>
      </c>
      <c r="V958" s="71">
        <v>0.91715645116148903</v>
      </c>
      <c r="W958" s="71">
        <v>0.89919714540588802</v>
      </c>
      <c r="X958" s="71">
        <v>0.91785724117047895</v>
      </c>
      <c r="Y958" s="73">
        <v>0.92</v>
      </c>
      <c r="Z958" s="73">
        <v>0</v>
      </c>
      <c r="AA958" s="73">
        <v>0</v>
      </c>
      <c r="AB958" s="73" t="s">
        <v>1710</v>
      </c>
      <c r="AC958" s="73">
        <v>6.6666666666666693E-2</v>
      </c>
      <c r="AD958" s="73">
        <v>0.92</v>
      </c>
      <c r="AE958" s="71">
        <v>0.98019801980197996</v>
      </c>
      <c r="AF958" s="71">
        <v>0.98051948051948101</v>
      </c>
      <c r="AG958" s="71">
        <v>0.98639455782312901</v>
      </c>
      <c r="AH958" s="71">
        <v>0.98337687010211305</v>
      </c>
      <c r="AI958" s="73">
        <v>0.92</v>
      </c>
      <c r="AJ958" s="71">
        <v>0.94385816800337696</v>
      </c>
      <c r="AK958" s="71">
        <v>0.95412587412587402</v>
      </c>
      <c r="AL958" s="71">
        <v>0.93904252155813295</v>
      </c>
      <c r="AM958" s="71">
        <v>0.95756975400363198</v>
      </c>
      <c r="AN958" s="70">
        <v>0.99</v>
      </c>
      <c r="AO958" s="75">
        <v>1</v>
      </c>
      <c r="AP958" s="75">
        <v>1</v>
      </c>
      <c r="AQ958" s="75">
        <v>1</v>
      </c>
      <c r="AR958" s="75">
        <v>1</v>
      </c>
      <c r="AS958" s="95">
        <v>6.5641848892985799E-2</v>
      </c>
      <c r="AT958" s="79">
        <v>0.11111111111111099</v>
      </c>
      <c r="AU958" s="79">
        <v>0.125</v>
      </c>
      <c r="AV958" s="79">
        <v>0</v>
      </c>
      <c r="AW958" s="79">
        <v>5.4945054945054903E-2</v>
      </c>
      <c r="AX958" s="56"/>
      <c r="AY958" s="54"/>
    </row>
    <row r="959" spans="1:51">
      <c r="A959" s="53"/>
      <c r="B959" s="56"/>
      <c r="C959" s="114" t="s">
        <v>921</v>
      </c>
      <c r="D959" s="233" t="s">
        <v>1757</v>
      </c>
      <c r="E959" s="68" t="s">
        <v>922</v>
      </c>
      <c r="F959" s="125" t="s">
        <v>982</v>
      </c>
      <c r="G959" s="126" t="s">
        <v>982</v>
      </c>
      <c r="H959" s="126" t="s">
        <v>982</v>
      </c>
      <c r="I959" s="126" t="s">
        <v>982</v>
      </c>
      <c r="J959" s="70">
        <v>0.9</v>
      </c>
      <c r="K959" s="71">
        <v>0.97297297297297303</v>
      </c>
      <c r="L959" s="71">
        <v>1</v>
      </c>
      <c r="M959" s="72">
        <v>0.97297297297297303</v>
      </c>
      <c r="N959" s="71">
        <v>0.96055684454756396</v>
      </c>
      <c r="O959" s="73">
        <v>0.9</v>
      </c>
      <c r="P959" s="71">
        <v>0.97797716150081604</v>
      </c>
      <c r="Q959" s="71">
        <v>0.973366975049061</v>
      </c>
      <c r="R959" s="71">
        <v>0.95507382972039001</v>
      </c>
      <c r="S959" s="71">
        <v>0.96226218399791497</v>
      </c>
      <c r="T959" s="73">
        <v>0.9</v>
      </c>
      <c r="U959" s="71">
        <v>0.93991299619358304</v>
      </c>
      <c r="V959" s="71">
        <v>0.899074852817494</v>
      </c>
      <c r="W959" s="71">
        <v>0.89506754633993102</v>
      </c>
      <c r="X959" s="71">
        <v>0.91740943445400003</v>
      </c>
      <c r="Y959" s="73">
        <v>0.92</v>
      </c>
      <c r="Z959" s="73">
        <v>0</v>
      </c>
      <c r="AA959" s="73">
        <v>0</v>
      </c>
      <c r="AB959" s="73">
        <v>0</v>
      </c>
      <c r="AC959" s="73">
        <v>5.2631578947368397E-2</v>
      </c>
      <c r="AD959" s="73">
        <v>0.92</v>
      </c>
      <c r="AE959" s="71">
        <v>0.97427652733118997</v>
      </c>
      <c r="AF959" s="71">
        <v>0.92105263157894701</v>
      </c>
      <c r="AG959" s="71">
        <v>0.91129032258064502</v>
      </c>
      <c r="AH959" s="71">
        <v>0.95490277203144402</v>
      </c>
      <c r="AI959" s="73">
        <v>0.92</v>
      </c>
      <c r="AJ959" s="71">
        <v>0.95869565217391295</v>
      </c>
      <c r="AK959" s="71">
        <v>0.96301485009806698</v>
      </c>
      <c r="AL959" s="71">
        <v>0.95070643642072195</v>
      </c>
      <c r="AM959" s="71">
        <v>0.96285394253562195</v>
      </c>
      <c r="AN959" s="70">
        <v>0.99</v>
      </c>
      <c r="AO959" s="75">
        <v>1</v>
      </c>
      <c r="AP959" s="75">
        <v>1</v>
      </c>
      <c r="AQ959" s="75">
        <v>1</v>
      </c>
      <c r="AR959" s="75">
        <v>1</v>
      </c>
      <c r="AS959" s="95">
        <v>6.5641848892985799E-2</v>
      </c>
      <c r="AT959" s="79">
        <v>0</v>
      </c>
      <c r="AU959" s="79">
        <v>0</v>
      </c>
      <c r="AV959" s="79">
        <v>0</v>
      </c>
      <c r="AW959" s="79">
        <v>2.9702970297029702E-2</v>
      </c>
      <c r="AX959" s="56"/>
      <c r="AY959" s="54"/>
    </row>
    <row r="960" spans="1:51">
      <c r="A960" s="53"/>
      <c r="B960" s="56"/>
      <c r="C960" s="114" t="s">
        <v>921</v>
      </c>
      <c r="D960" s="233" t="s">
        <v>1757</v>
      </c>
      <c r="E960" s="68" t="s">
        <v>922</v>
      </c>
      <c r="F960" s="115" t="s">
        <v>983</v>
      </c>
      <c r="G960" s="116" t="s">
        <v>983</v>
      </c>
      <c r="H960" s="116" t="s">
        <v>983</v>
      </c>
      <c r="I960" s="116" t="s">
        <v>983</v>
      </c>
      <c r="J960" s="70">
        <v>0.9</v>
      </c>
      <c r="K960" s="71">
        <v>1</v>
      </c>
      <c r="L960" s="71">
        <v>1</v>
      </c>
      <c r="M960" s="72">
        <v>1</v>
      </c>
      <c r="N960" s="71">
        <v>0.96907216494845405</v>
      </c>
      <c r="O960" s="73">
        <v>0.9</v>
      </c>
      <c r="P960" s="71">
        <v>0.98168193172356399</v>
      </c>
      <c r="Q960" s="71">
        <v>0.98411214953270998</v>
      </c>
      <c r="R960" s="71">
        <v>0.96290234588106904</v>
      </c>
      <c r="S960" s="71">
        <v>0.96480185306410204</v>
      </c>
      <c r="T960" s="73">
        <v>0.9</v>
      </c>
      <c r="U960" s="71">
        <v>0.93505412156536205</v>
      </c>
      <c r="V960" s="71">
        <v>0.93271028037383197</v>
      </c>
      <c r="W960" s="71">
        <v>0.90561920349154401</v>
      </c>
      <c r="X960" s="71">
        <v>0.92899944609496998</v>
      </c>
      <c r="Y960" s="73">
        <v>0.92</v>
      </c>
      <c r="Z960" s="73" t="s">
        <v>1710</v>
      </c>
      <c r="AA960" s="73" t="s">
        <v>1710</v>
      </c>
      <c r="AB960" s="73" t="s">
        <v>1710</v>
      </c>
      <c r="AC960" s="73" t="s">
        <v>1710</v>
      </c>
      <c r="AD960" s="73">
        <v>0.92</v>
      </c>
      <c r="AE960" s="71">
        <v>1</v>
      </c>
      <c r="AF960" s="71">
        <v>0.99476439790575899</v>
      </c>
      <c r="AG960" s="71">
        <v>0.99647887323943696</v>
      </c>
      <c r="AH960" s="71">
        <v>0.99470432480141202</v>
      </c>
      <c r="AI960" s="73">
        <v>0.92</v>
      </c>
      <c r="AJ960" s="71">
        <v>0.94254787676935903</v>
      </c>
      <c r="AK960" s="71">
        <v>0.95233644859813105</v>
      </c>
      <c r="AL960" s="71">
        <v>0.92798690671031103</v>
      </c>
      <c r="AM960" s="71">
        <v>0.94566695201168205</v>
      </c>
      <c r="AN960" s="70">
        <v>0.99</v>
      </c>
      <c r="AO960" s="75">
        <v>1</v>
      </c>
      <c r="AP960" s="75">
        <v>1</v>
      </c>
      <c r="AQ960" s="75">
        <v>1</v>
      </c>
      <c r="AR960" s="75">
        <v>1</v>
      </c>
      <c r="AS960" s="95">
        <v>6.5641848892985799E-2</v>
      </c>
      <c r="AT960" s="79">
        <v>5.8823529411764698E-2</v>
      </c>
      <c r="AU960" s="79">
        <v>9.0909090909090898E-2</v>
      </c>
      <c r="AV960" s="79">
        <v>0</v>
      </c>
      <c r="AW960" s="79">
        <v>4.8913043478260899E-2</v>
      </c>
      <c r="AX960" s="56"/>
      <c r="AY960" s="54"/>
    </row>
    <row r="961" spans="1:51">
      <c r="A961" s="53"/>
      <c r="B961" s="56"/>
      <c r="C961" s="114" t="s">
        <v>921</v>
      </c>
      <c r="D961" s="233" t="s">
        <v>1757</v>
      </c>
      <c r="E961" s="68" t="s">
        <v>922</v>
      </c>
      <c r="F961" s="115" t="s">
        <v>984</v>
      </c>
      <c r="G961" s="116" t="s">
        <v>984</v>
      </c>
      <c r="H961" s="116" t="s">
        <v>984</v>
      </c>
      <c r="I961" s="116" t="s">
        <v>984</v>
      </c>
      <c r="J961" s="70">
        <v>0.9</v>
      </c>
      <c r="K961" s="71">
        <v>1</v>
      </c>
      <c r="L961" s="71">
        <v>1</v>
      </c>
      <c r="M961" s="72">
        <v>0.85714285714285698</v>
      </c>
      <c r="N961" s="71">
        <v>0.96511627906976705</v>
      </c>
      <c r="O961" s="73">
        <v>0.9</v>
      </c>
      <c r="P961" s="71">
        <v>0.99150141643059497</v>
      </c>
      <c r="Q961" s="71">
        <v>0.97670639219934996</v>
      </c>
      <c r="R961" s="71">
        <v>0.96411192214111896</v>
      </c>
      <c r="S961" s="71">
        <v>0.97421333636260399</v>
      </c>
      <c r="T961" s="73">
        <v>0.9</v>
      </c>
      <c r="U961" s="71">
        <v>0.92256846081208699</v>
      </c>
      <c r="V961" s="71">
        <v>0.93174431202600205</v>
      </c>
      <c r="W961" s="71">
        <v>0.89659367396593703</v>
      </c>
      <c r="X961" s="71">
        <v>0.92843348858343699</v>
      </c>
      <c r="Y961" s="73">
        <v>0.92</v>
      </c>
      <c r="Z961" s="73" t="s">
        <v>1710</v>
      </c>
      <c r="AA961" s="73" t="s">
        <v>1710</v>
      </c>
      <c r="AB961" s="73" t="s">
        <v>1710</v>
      </c>
      <c r="AC961" s="73" t="s">
        <v>1710</v>
      </c>
      <c r="AD961" s="73">
        <v>0.92</v>
      </c>
      <c r="AE961" s="71">
        <v>1</v>
      </c>
      <c r="AF961" s="71">
        <v>1</v>
      </c>
      <c r="AG961" s="71">
        <v>1</v>
      </c>
      <c r="AH961" s="71">
        <v>0.998188405797101</v>
      </c>
      <c r="AI961" s="73">
        <v>0.92</v>
      </c>
      <c r="AJ961" s="71">
        <v>0.95939565627950896</v>
      </c>
      <c r="AK961" s="71">
        <v>0.97508125677139801</v>
      </c>
      <c r="AL961" s="71">
        <v>0.96107055961070598</v>
      </c>
      <c r="AM961" s="71">
        <v>0.97239577416789702</v>
      </c>
      <c r="AN961" s="70">
        <v>0.99</v>
      </c>
      <c r="AO961" s="75">
        <v>1</v>
      </c>
      <c r="AP961" s="75">
        <v>1</v>
      </c>
      <c r="AQ961" s="75">
        <v>1</v>
      </c>
      <c r="AR961" s="75">
        <v>1</v>
      </c>
      <c r="AS961" s="95">
        <v>6.5641848892985799E-2</v>
      </c>
      <c r="AT961" s="79">
        <v>0.5</v>
      </c>
      <c r="AU961" s="79">
        <v>0</v>
      </c>
      <c r="AV961" s="79">
        <v>0.14285714285714299</v>
      </c>
      <c r="AW961" s="79">
        <v>5.31914893617021E-2</v>
      </c>
      <c r="AX961" s="56"/>
      <c r="AY961" s="54"/>
    </row>
    <row r="962" spans="1:51">
      <c r="A962" s="53"/>
      <c r="B962" s="56"/>
      <c r="C962" s="114" t="s">
        <v>921</v>
      </c>
      <c r="D962" s="233" t="s">
        <v>1757</v>
      </c>
      <c r="E962" s="68" t="s">
        <v>922</v>
      </c>
      <c r="F962" s="115" t="s">
        <v>985</v>
      </c>
      <c r="G962" s="116" t="s">
        <v>985</v>
      </c>
      <c r="H962" s="116" t="s">
        <v>985</v>
      </c>
      <c r="I962" s="116" t="s">
        <v>985</v>
      </c>
      <c r="J962" s="70">
        <v>0.9</v>
      </c>
      <c r="K962" s="71">
        <v>0.97297297297297303</v>
      </c>
      <c r="L962" s="71">
        <v>0.97619047619047605</v>
      </c>
      <c r="M962" s="72">
        <v>1</v>
      </c>
      <c r="N962" s="71">
        <v>0.93197278911564596</v>
      </c>
      <c r="O962" s="73">
        <v>0.9</v>
      </c>
      <c r="P962" s="71">
        <v>0.95520628683693498</v>
      </c>
      <c r="Q962" s="71">
        <v>0.946887966804979</v>
      </c>
      <c r="R962" s="71">
        <v>0.84832408970340001</v>
      </c>
      <c r="S962" s="71">
        <v>0.92530860048838404</v>
      </c>
      <c r="T962" s="73">
        <v>0.9</v>
      </c>
      <c r="U962" s="71">
        <v>0.92770137524558005</v>
      </c>
      <c r="V962" s="71">
        <v>0.92821576763485503</v>
      </c>
      <c r="W962" s="71">
        <v>0.90354473113093803</v>
      </c>
      <c r="X962" s="71">
        <v>0.93160382642202699</v>
      </c>
      <c r="Y962" s="73">
        <v>0.92</v>
      </c>
      <c r="Z962" s="73" t="s">
        <v>1710</v>
      </c>
      <c r="AA962" s="73" t="s">
        <v>1710</v>
      </c>
      <c r="AB962" s="73" t="s">
        <v>1710</v>
      </c>
      <c r="AC962" s="73" t="s">
        <v>1710</v>
      </c>
      <c r="AD962" s="73">
        <v>0.92</v>
      </c>
      <c r="AE962" s="71">
        <v>0.99908564462054295</v>
      </c>
      <c r="AF962" s="71">
        <v>0.99104963384865696</v>
      </c>
      <c r="AG962" s="71">
        <v>0.995867768595041</v>
      </c>
      <c r="AH962" s="71">
        <v>0.99492774042912901</v>
      </c>
      <c r="AI962" s="73">
        <v>0.92</v>
      </c>
      <c r="AJ962" s="71">
        <v>0.93752455795677803</v>
      </c>
      <c r="AK962" s="71">
        <v>0.95042522298278398</v>
      </c>
      <c r="AL962" s="71">
        <v>0.92765854834820305</v>
      </c>
      <c r="AM962" s="71">
        <v>0.95035842293906803</v>
      </c>
      <c r="AN962" s="70">
        <v>0.99</v>
      </c>
      <c r="AO962" s="75">
        <v>1</v>
      </c>
      <c r="AP962" s="75">
        <v>1</v>
      </c>
      <c r="AQ962" s="75">
        <v>1</v>
      </c>
      <c r="AR962" s="75">
        <v>1</v>
      </c>
      <c r="AS962" s="95">
        <v>6.5641848892985799E-2</v>
      </c>
      <c r="AT962" s="79">
        <v>6.6666666666666693E-2</v>
      </c>
      <c r="AU962" s="79">
        <v>5.5555555555555601E-2</v>
      </c>
      <c r="AV962" s="79">
        <v>4.3478260869565202E-2</v>
      </c>
      <c r="AW962" s="79">
        <v>3.6407766990291301E-2</v>
      </c>
      <c r="AX962" s="56"/>
      <c r="AY962" s="54"/>
    </row>
    <row r="963" spans="1:51" ht="15">
      <c r="A963" s="53"/>
      <c r="B963" s="56"/>
      <c r="C963" s="114" t="s">
        <v>921</v>
      </c>
      <c r="D963" s="233" t="s">
        <v>1757</v>
      </c>
      <c r="E963" s="68" t="s">
        <v>922</v>
      </c>
      <c r="F963" s="117" t="s">
        <v>986</v>
      </c>
      <c r="G963" s="118" t="s">
        <v>986</v>
      </c>
      <c r="H963" s="118" t="s">
        <v>986</v>
      </c>
      <c r="I963" s="118" t="s">
        <v>986</v>
      </c>
      <c r="J963" s="70">
        <v>0.9</v>
      </c>
      <c r="K963" s="71">
        <v>0.83333333333333304</v>
      </c>
      <c r="L963" s="71">
        <v>0.8</v>
      </c>
      <c r="M963" s="72">
        <v>0.93333333333333302</v>
      </c>
      <c r="N963" s="71">
        <v>0.83333333333333304</v>
      </c>
      <c r="O963" s="73">
        <v>0.9</v>
      </c>
      <c r="P963" s="71">
        <v>0.980609418282548</v>
      </c>
      <c r="Q963" s="71">
        <v>0.97517730496453903</v>
      </c>
      <c r="R963" s="71">
        <v>0.98047192839707098</v>
      </c>
      <c r="S963" s="71">
        <v>0.98916553060199497</v>
      </c>
      <c r="T963" s="73">
        <v>0.9</v>
      </c>
      <c r="U963" s="71">
        <v>0.92382271468143995</v>
      </c>
      <c r="V963" s="71">
        <v>0.87517730496453905</v>
      </c>
      <c r="W963" s="71">
        <v>0.82831570382424702</v>
      </c>
      <c r="X963" s="71">
        <v>0.88964626533687297</v>
      </c>
      <c r="Y963" s="73">
        <v>0.92</v>
      </c>
      <c r="Z963" s="73" t="s">
        <v>1710</v>
      </c>
      <c r="AA963" s="73" t="s">
        <v>1710</v>
      </c>
      <c r="AB963" s="73" t="s">
        <v>1710</v>
      </c>
      <c r="AC963" s="73" t="s">
        <v>1710</v>
      </c>
      <c r="AD963" s="73">
        <v>0.92</v>
      </c>
      <c r="AE963" s="71">
        <v>0.99465240641711195</v>
      </c>
      <c r="AF963" s="71">
        <v>0.97674418604651203</v>
      </c>
      <c r="AG963" s="71">
        <v>0.99193548387096797</v>
      </c>
      <c r="AH963" s="71">
        <v>0.98574643660915195</v>
      </c>
      <c r="AI963" s="73">
        <v>0.92</v>
      </c>
      <c r="AJ963" s="71">
        <v>0.94736842105263197</v>
      </c>
      <c r="AK963" s="71">
        <v>0.91914893617021298</v>
      </c>
      <c r="AL963" s="71">
        <v>0.862489829129373</v>
      </c>
      <c r="AM963" s="71">
        <v>0.92724402669154005</v>
      </c>
      <c r="AN963" s="70">
        <v>0.99</v>
      </c>
      <c r="AO963" s="75">
        <v>1</v>
      </c>
      <c r="AP963" s="75">
        <v>1</v>
      </c>
      <c r="AQ963" s="75">
        <v>1</v>
      </c>
      <c r="AR963" s="75">
        <v>1</v>
      </c>
      <c r="AS963" s="95">
        <v>6.5641848892985799E-2</v>
      </c>
      <c r="AT963" s="79">
        <v>0</v>
      </c>
      <c r="AU963" s="79">
        <v>0</v>
      </c>
      <c r="AV963" s="79">
        <v>0</v>
      </c>
      <c r="AW963" s="79">
        <v>1.16279069767442E-2</v>
      </c>
      <c r="AX963" s="56"/>
      <c r="AY963" s="54"/>
    </row>
    <row r="964" spans="1:51" ht="15">
      <c r="A964" s="53"/>
      <c r="B964" s="56"/>
      <c r="C964" s="114" t="s">
        <v>921</v>
      </c>
      <c r="D964" s="233" t="s">
        <v>1757</v>
      </c>
      <c r="E964" s="68" t="s">
        <v>922</v>
      </c>
      <c r="F964" s="117" t="s">
        <v>987</v>
      </c>
      <c r="G964" s="118" t="s">
        <v>987</v>
      </c>
      <c r="H964" s="118" t="s">
        <v>987</v>
      </c>
      <c r="I964" s="118" t="s">
        <v>987</v>
      </c>
      <c r="J964" s="70">
        <v>0.9</v>
      </c>
      <c r="K964" s="71">
        <v>0.54285714285714304</v>
      </c>
      <c r="L964" s="71">
        <v>0.82499999999999996</v>
      </c>
      <c r="M964" s="72">
        <v>0.74358974358974395</v>
      </c>
      <c r="N964" s="71">
        <v>0.77594339622641495</v>
      </c>
      <c r="O964" s="73">
        <v>0.9</v>
      </c>
      <c r="P964" s="71">
        <v>0.95652173913043503</v>
      </c>
      <c r="Q964" s="71">
        <v>0.91685612211757095</v>
      </c>
      <c r="R964" s="71">
        <v>0.93079000675219403</v>
      </c>
      <c r="S964" s="71">
        <v>0.91003739040742604</v>
      </c>
      <c r="T964" s="73">
        <v>0.9</v>
      </c>
      <c r="U964" s="71">
        <v>0.88776541961577304</v>
      </c>
      <c r="V964" s="71">
        <v>0.82916531341344601</v>
      </c>
      <c r="W964" s="71">
        <v>0.78494260634706303</v>
      </c>
      <c r="X964" s="71">
        <v>0.841832129963899</v>
      </c>
      <c r="Y964" s="73">
        <v>0.92</v>
      </c>
      <c r="Z964" s="73">
        <v>0.93126684636118595</v>
      </c>
      <c r="AA964" s="73">
        <v>0.95354523227383903</v>
      </c>
      <c r="AB964" s="73">
        <v>0.91493055555555602</v>
      </c>
      <c r="AC964" s="73">
        <v>0.913037123648056</v>
      </c>
      <c r="AD964" s="73">
        <v>0.92</v>
      </c>
      <c r="AE964" s="71">
        <v>0.99961984413609595</v>
      </c>
      <c r="AF964" s="71">
        <v>0.99686520376175503</v>
      </c>
      <c r="AG964" s="71">
        <v>0.99944475291504697</v>
      </c>
      <c r="AH964" s="71">
        <v>0.99296110961151096</v>
      </c>
      <c r="AI964" s="73">
        <v>0.92</v>
      </c>
      <c r="AJ964" s="71">
        <v>0.95847115031238495</v>
      </c>
      <c r="AK964" s="71">
        <v>0.97047018348623804</v>
      </c>
      <c r="AL964" s="71">
        <v>0.94885560892907606</v>
      </c>
      <c r="AM964" s="71">
        <v>0.95220491153947695</v>
      </c>
      <c r="AN964" s="70">
        <v>0.99</v>
      </c>
      <c r="AO964" s="75">
        <v>1</v>
      </c>
      <c r="AP964" s="75">
        <v>1</v>
      </c>
      <c r="AQ964" s="75">
        <v>1</v>
      </c>
      <c r="AR964" s="75">
        <v>1</v>
      </c>
      <c r="AS964" s="95">
        <v>6.5641848892985799E-2</v>
      </c>
      <c r="AT964" s="79">
        <v>0</v>
      </c>
      <c r="AU964" s="79">
        <v>0</v>
      </c>
      <c r="AV964" s="79">
        <v>4.3478260869565202E-2</v>
      </c>
      <c r="AW964" s="79">
        <v>2.5104602510460299E-2</v>
      </c>
      <c r="AX964" s="56"/>
      <c r="AY964" s="54"/>
    </row>
    <row r="965" spans="1:51" ht="15">
      <c r="A965" s="53"/>
      <c r="B965" s="56"/>
      <c r="C965" s="114" t="s">
        <v>921</v>
      </c>
      <c r="D965" s="233" t="s">
        <v>1757</v>
      </c>
      <c r="E965" s="68" t="s">
        <v>922</v>
      </c>
      <c r="F965" s="117" t="s">
        <v>988</v>
      </c>
      <c r="G965" s="118" t="s">
        <v>988</v>
      </c>
      <c r="H965" s="118" t="s">
        <v>988</v>
      </c>
      <c r="I965" s="118" t="s">
        <v>988</v>
      </c>
      <c r="J965" s="70">
        <v>0.9</v>
      </c>
      <c r="K965" s="71">
        <v>0.87179487179487203</v>
      </c>
      <c r="L965" s="71">
        <v>0.837209302325581</v>
      </c>
      <c r="M965" s="72">
        <v>0.78571428571428603</v>
      </c>
      <c r="N965" s="71">
        <v>0.81856540084388196</v>
      </c>
      <c r="O965" s="73">
        <v>0.9</v>
      </c>
      <c r="P965" s="71">
        <v>0.98808003405704603</v>
      </c>
      <c r="Q965" s="71">
        <v>0.98274445357436302</v>
      </c>
      <c r="R965" s="71">
        <v>0.99272629310344795</v>
      </c>
      <c r="S965" s="71">
        <v>0.98079161816065197</v>
      </c>
      <c r="T965" s="73">
        <v>0.9</v>
      </c>
      <c r="U965" s="71">
        <v>0.87100893997445705</v>
      </c>
      <c r="V965" s="71">
        <v>0.84113941385921698</v>
      </c>
      <c r="W965" s="71">
        <v>0.81815732758620696</v>
      </c>
      <c r="X965" s="71">
        <v>0.83770769393586597</v>
      </c>
      <c r="Y965" s="73">
        <v>0.92</v>
      </c>
      <c r="Z965" s="73">
        <v>0.86445497630331802</v>
      </c>
      <c r="AA965" s="73">
        <v>0.830952380952381</v>
      </c>
      <c r="AB965" s="73">
        <v>0.81318681318681296</v>
      </c>
      <c r="AC965" s="73">
        <v>0.86621751684311799</v>
      </c>
      <c r="AD965" s="73">
        <v>0.92</v>
      </c>
      <c r="AE965" s="71">
        <v>0.99780808572820301</v>
      </c>
      <c r="AF965" s="71">
        <v>0.98421975452951505</v>
      </c>
      <c r="AG965" s="71">
        <v>0.99602324869990799</v>
      </c>
      <c r="AH965" s="71">
        <v>0.99467838963442801</v>
      </c>
      <c r="AI965" s="73">
        <v>0.92</v>
      </c>
      <c r="AJ965" s="71">
        <v>0.93243243243243201</v>
      </c>
      <c r="AK965" s="71">
        <v>0.94964382215671805</v>
      </c>
      <c r="AL965" s="71">
        <v>0.93355855855855896</v>
      </c>
      <c r="AM965" s="71">
        <v>0.94762524398178305</v>
      </c>
      <c r="AN965" s="70">
        <v>0.99</v>
      </c>
      <c r="AO965" s="75">
        <v>1</v>
      </c>
      <c r="AP965" s="75">
        <v>1</v>
      </c>
      <c r="AQ965" s="75">
        <v>1</v>
      </c>
      <c r="AR965" s="75">
        <v>1</v>
      </c>
      <c r="AS965" s="95">
        <v>6.5641848892985799E-2</v>
      </c>
      <c r="AT965" s="79">
        <v>0</v>
      </c>
      <c r="AU965" s="79">
        <v>0</v>
      </c>
      <c r="AV965" s="79">
        <v>0.05</v>
      </c>
      <c r="AW965" s="79">
        <v>4.2553191489361701E-2</v>
      </c>
      <c r="AX965" s="56"/>
      <c r="AY965" s="54"/>
    </row>
    <row r="966" spans="1:51" ht="15">
      <c r="A966" s="53"/>
      <c r="B966" s="56"/>
      <c r="C966" s="114" t="s">
        <v>921</v>
      </c>
      <c r="D966" s="233" t="s">
        <v>1757</v>
      </c>
      <c r="E966" s="68" t="s">
        <v>922</v>
      </c>
      <c r="F966" s="117" t="s">
        <v>989</v>
      </c>
      <c r="G966" s="118" t="s">
        <v>989</v>
      </c>
      <c r="H966" s="118" t="s">
        <v>989</v>
      </c>
      <c r="I966" s="118" t="s">
        <v>989</v>
      </c>
      <c r="J966" s="70">
        <v>0.9</v>
      </c>
      <c r="K966" s="71">
        <v>0.84210526315789502</v>
      </c>
      <c r="L966" s="71">
        <v>0.95</v>
      </c>
      <c r="M966" s="72">
        <v>0.84210526315789502</v>
      </c>
      <c r="N966" s="71">
        <v>0.82727272727272705</v>
      </c>
      <c r="O966" s="73">
        <v>0.9</v>
      </c>
      <c r="P966" s="71">
        <v>0.885121107266436</v>
      </c>
      <c r="Q966" s="71">
        <v>0.84805130735076495</v>
      </c>
      <c r="R966" s="71">
        <v>0.88196885986941198</v>
      </c>
      <c r="S966" s="71">
        <v>0.89441764958693504</v>
      </c>
      <c r="T966" s="73">
        <v>0.9</v>
      </c>
      <c r="U966" s="71">
        <v>0.92110726643598595</v>
      </c>
      <c r="V966" s="71">
        <v>0.92402565367538203</v>
      </c>
      <c r="W966" s="71">
        <v>0.89954796584630803</v>
      </c>
      <c r="X966" s="71">
        <v>0.89613676519745999</v>
      </c>
      <c r="Y966" s="73">
        <v>0.92</v>
      </c>
      <c r="Z966" s="73">
        <v>0.90759493670886104</v>
      </c>
      <c r="AA966" s="73">
        <v>0.89789789789789798</v>
      </c>
      <c r="AB966" s="73">
        <v>0.88223140495867802</v>
      </c>
      <c r="AC966" s="73">
        <v>0.88751406074240702</v>
      </c>
      <c r="AD966" s="73">
        <v>0.92</v>
      </c>
      <c r="AE966" s="71">
        <v>0.99936437311298298</v>
      </c>
      <c r="AF966" s="71">
        <v>0.95615425250924502</v>
      </c>
      <c r="AG966" s="71">
        <v>0.99843505477308303</v>
      </c>
      <c r="AH966" s="71">
        <v>0.979819039865504</v>
      </c>
      <c r="AI966" s="73">
        <v>0.92</v>
      </c>
      <c r="AJ966" s="71">
        <v>0.94812164579606395</v>
      </c>
      <c r="AK966" s="71">
        <v>0.96487515869657203</v>
      </c>
      <c r="AL966" s="71">
        <v>0.93661687525232096</v>
      </c>
      <c r="AM966" s="71">
        <v>0.94940894750845695</v>
      </c>
      <c r="AN966" s="70">
        <v>0.99</v>
      </c>
      <c r="AO966" s="75">
        <v>1</v>
      </c>
      <c r="AP966" s="75">
        <v>1</v>
      </c>
      <c r="AQ966" s="75">
        <v>1</v>
      </c>
      <c r="AR966" s="75">
        <v>1</v>
      </c>
      <c r="AS966" s="95">
        <v>6.5641848892985799E-2</v>
      </c>
      <c r="AT966" s="79">
        <v>0</v>
      </c>
      <c r="AU966" s="79">
        <v>0.1</v>
      </c>
      <c r="AV966" s="79">
        <v>0</v>
      </c>
      <c r="AW966" s="79">
        <v>3.65853658536585E-2</v>
      </c>
      <c r="AX966" s="56"/>
      <c r="AY966" s="54"/>
    </row>
    <row r="967" spans="1:51" ht="15">
      <c r="A967" s="53"/>
      <c r="B967" s="56"/>
      <c r="C967" s="114" t="s">
        <v>921</v>
      </c>
      <c r="D967" s="233" t="s">
        <v>1757</v>
      </c>
      <c r="E967" s="68" t="s">
        <v>922</v>
      </c>
      <c r="F967" s="117" t="s">
        <v>990</v>
      </c>
      <c r="G967" s="118" t="s">
        <v>990</v>
      </c>
      <c r="H967" s="118" t="s">
        <v>990</v>
      </c>
      <c r="I967" s="118" t="s">
        <v>990</v>
      </c>
      <c r="J967" s="70">
        <v>0.9</v>
      </c>
      <c r="K967" s="71">
        <v>0.82352941176470595</v>
      </c>
      <c r="L967" s="71">
        <v>0.91176470588235303</v>
      </c>
      <c r="M967" s="72">
        <v>0.84375</v>
      </c>
      <c r="N967" s="71">
        <v>0.85479452054794502</v>
      </c>
      <c r="O967" s="73">
        <v>0.9</v>
      </c>
      <c r="P967" s="71">
        <v>0.80083955223880599</v>
      </c>
      <c r="Q967" s="71">
        <v>0.92769230769230804</v>
      </c>
      <c r="R967" s="71">
        <v>0.88269986893840102</v>
      </c>
      <c r="S967" s="71">
        <v>0.89065071528041495</v>
      </c>
      <c r="T967" s="73">
        <v>0.9</v>
      </c>
      <c r="U967" s="71">
        <v>0.88199626865671599</v>
      </c>
      <c r="V967" s="71">
        <v>0.88276923076923097</v>
      </c>
      <c r="W967" s="71">
        <v>0.82175622542594995</v>
      </c>
      <c r="X967" s="71">
        <v>0.87916191923028197</v>
      </c>
      <c r="Y967" s="73">
        <v>0.92</v>
      </c>
      <c r="Z967" s="73">
        <v>0.89925768822905605</v>
      </c>
      <c r="AA967" s="73">
        <v>0.81264108352144504</v>
      </c>
      <c r="AB967" s="73">
        <v>0.84591679506933704</v>
      </c>
      <c r="AC967" s="73">
        <v>0.886081136456768</v>
      </c>
      <c r="AD967" s="73">
        <v>0.92</v>
      </c>
      <c r="AE967" s="71">
        <v>0.98959369500344296</v>
      </c>
      <c r="AF967" s="71">
        <v>0.99127015336217095</v>
      </c>
      <c r="AG967" s="71">
        <v>0.98983789015243195</v>
      </c>
      <c r="AH967" s="71">
        <v>0.99054375415362195</v>
      </c>
      <c r="AI967" s="73">
        <v>0.92</v>
      </c>
      <c r="AJ967" s="71">
        <v>0.94753886010362698</v>
      </c>
      <c r="AK967" s="71">
        <v>0.94558743909041698</v>
      </c>
      <c r="AL967" s="71">
        <v>0.93623345041880601</v>
      </c>
      <c r="AM967" s="71">
        <v>0.95118692837324004</v>
      </c>
      <c r="AN967" s="70">
        <v>0.99</v>
      </c>
      <c r="AO967" s="75">
        <v>1</v>
      </c>
      <c r="AP967" s="75">
        <v>1</v>
      </c>
      <c r="AQ967" s="75">
        <v>1</v>
      </c>
      <c r="AR967" s="75">
        <v>1</v>
      </c>
      <c r="AS967" s="95">
        <v>6.5641848892985799E-2</v>
      </c>
      <c r="AT967" s="79">
        <v>5.7142857142857099E-2</v>
      </c>
      <c r="AU967" s="79">
        <v>0</v>
      </c>
      <c r="AV967" s="79">
        <v>0.08</v>
      </c>
      <c r="AW967" s="79">
        <v>6.14035087719298E-2</v>
      </c>
      <c r="AX967" s="56"/>
      <c r="AY967" s="54"/>
    </row>
    <row r="968" spans="1:51" ht="15">
      <c r="A968" s="53"/>
      <c r="B968" s="56"/>
      <c r="C968" s="114" t="s">
        <v>921</v>
      </c>
      <c r="D968" s="233" t="s">
        <v>1757</v>
      </c>
      <c r="E968" s="68" t="s">
        <v>922</v>
      </c>
      <c r="F968" s="117" t="s">
        <v>991</v>
      </c>
      <c r="G968" s="118" t="s">
        <v>991</v>
      </c>
      <c r="H968" s="118" t="s">
        <v>991</v>
      </c>
      <c r="I968" s="118" t="s">
        <v>991</v>
      </c>
      <c r="J968" s="70">
        <v>0.9</v>
      </c>
      <c r="K968" s="71">
        <v>0.95</v>
      </c>
      <c r="L968" s="71">
        <v>0.85714285714285698</v>
      </c>
      <c r="M968" s="72">
        <v>0.9375</v>
      </c>
      <c r="N968" s="71">
        <v>0.90952380952380996</v>
      </c>
      <c r="O968" s="73">
        <v>0.9</v>
      </c>
      <c r="P968" s="71">
        <v>0.97788404064554701</v>
      </c>
      <c r="Q968" s="71">
        <v>0.96220472440944904</v>
      </c>
      <c r="R968" s="71">
        <v>0.96653796653796697</v>
      </c>
      <c r="S968" s="71">
        <v>0.97510490639122005</v>
      </c>
      <c r="T968" s="73">
        <v>0.9</v>
      </c>
      <c r="U968" s="71">
        <v>0.91751344889420205</v>
      </c>
      <c r="V968" s="71">
        <v>0.90393700787401599</v>
      </c>
      <c r="W968" s="71">
        <v>0.88288288288288297</v>
      </c>
      <c r="X968" s="71">
        <v>0.89928986442866399</v>
      </c>
      <c r="Y968" s="73">
        <v>0.92</v>
      </c>
      <c r="Z968" s="73">
        <v>0.95508274231678503</v>
      </c>
      <c r="AA968" s="73">
        <v>0.96144578313253004</v>
      </c>
      <c r="AB968" s="73">
        <v>0.89516129032258096</v>
      </c>
      <c r="AC968" s="73">
        <v>0.94845865274832797</v>
      </c>
      <c r="AD968" s="73">
        <v>0.92</v>
      </c>
      <c r="AE968" s="71">
        <v>0.97099786990004899</v>
      </c>
      <c r="AF968" s="71">
        <v>0.903610383021899</v>
      </c>
      <c r="AG968" s="71">
        <v>0.99543817527010803</v>
      </c>
      <c r="AH968" s="71">
        <v>0.96636642932595795</v>
      </c>
      <c r="AI968" s="73">
        <v>0.92</v>
      </c>
      <c r="AJ968" s="71">
        <v>0.96825396825396803</v>
      </c>
      <c r="AK968" s="71">
        <v>0.977672530446549</v>
      </c>
      <c r="AL968" s="71">
        <v>0.95755217545100801</v>
      </c>
      <c r="AM968" s="71">
        <v>0.97328330691852405</v>
      </c>
      <c r="AN968" s="70">
        <v>0.99</v>
      </c>
      <c r="AO968" s="75">
        <v>1</v>
      </c>
      <c r="AP968" s="75">
        <v>1</v>
      </c>
      <c r="AQ968" s="75">
        <v>1</v>
      </c>
      <c r="AR968" s="75">
        <v>1</v>
      </c>
      <c r="AS968" s="95">
        <v>6.5641848892985799E-2</v>
      </c>
      <c r="AT968" s="79">
        <v>0</v>
      </c>
      <c r="AU968" s="79">
        <v>0</v>
      </c>
      <c r="AV968" s="79">
        <v>0</v>
      </c>
      <c r="AW968" s="79">
        <v>2.04081632653061E-2</v>
      </c>
      <c r="AX968" s="56"/>
      <c r="AY968" s="54"/>
    </row>
    <row r="969" spans="1:51" ht="15">
      <c r="A969" s="53"/>
      <c r="B969" s="56"/>
      <c r="C969" s="114" t="s">
        <v>921</v>
      </c>
      <c r="D969" s="233" t="s">
        <v>1757</v>
      </c>
      <c r="E969" s="68" t="s">
        <v>922</v>
      </c>
      <c r="F969" s="117" t="s">
        <v>992</v>
      </c>
      <c r="G969" s="118" t="s">
        <v>992</v>
      </c>
      <c r="H969" s="118" t="s">
        <v>992</v>
      </c>
      <c r="I969" s="118" t="s">
        <v>992</v>
      </c>
      <c r="J969" s="70">
        <v>0.9</v>
      </c>
      <c r="K969" s="71" t="s">
        <v>1710</v>
      </c>
      <c r="L969" s="71" t="s">
        <v>1710</v>
      </c>
      <c r="M969" s="72" t="s">
        <v>1710</v>
      </c>
      <c r="N969" s="71" t="s">
        <v>1710</v>
      </c>
      <c r="O969" s="73">
        <v>0.9</v>
      </c>
      <c r="P969" s="71" t="s">
        <v>1710</v>
      </c>
      <c r="Q969" s="71" t="s">
        <v>1710</v>
      </c>
      <c r="R969" s="71" t="s">
        <v>1710</v>
      </c>
      <c r="S969" s="71" t="s">
        <v>1710</v>
      </c>
      <c r="T969" s="73">
        <v>0.9</v>
      </c>
      <c r="U969" s="71" t="s">
        <v>1710</v>
      </c>
      <c r="V969" s="71" t="s">
        <v>1710</v>
      </c>
      <c r="W969" s="71" t="s">
        <v>1710</v>
      </c>
      <c r="X969" s="71" t="s">
        <v>1710</v>
      </c>
      <c r="Y969" s="73">
        <v>0.92</v>
      </c>
      <c r="Z969" s="73" t="s">
        <v>1710</v>
      </c>
      <c r="AA969" s="73" t="s">
        <v>1710</v>
      </c>
      <c r="AB969" s="73" t="s">
        <v>1710</v>
      </c>
      <c r="AC969" s="73" t="s">
        <v>1710</v>
      </c>
      <c r="AD969" s="73">
        <v>0.92</v>
      </c>
      <c r="AE969" s="71" t="s">
        <v>1710</v>
      </c>
      <c r="AF969" s="71" t="s">
        <v>1710</v>
      </c>
      <c r="AG969" s="71" t="s">
        <v>1710</v>
      </c>
      <c r="AH969" s="71" t="s">
        <v>1710</v>
      </c>
      <c r="AI969" s="73">
        <v>0.92</v>
      </c>
      <c r="AJ969" s="71" t="s">
        <v>1710</v>
      </c>
      <c r="AK969" s="71" t="s">
        <v>1710</v>
      </c>
      <c r="AL969" s="71" t="s">
        <v>1710</v>
      </c>
      <c r="AM969" s="71" t="s">
        <v>1710</v>
      </c>
      <c r="AN969" s="70">
        <v>0.99</v>
      </c>
      <c r="AO969" s="75" t="s">
        <v>1710</v>
      </c>
      <c r="AP969" s="75" t="s">
        <v>1710</v>
      </c>
      <c r="AQ969" s="75" t="s">
        <v>1710</v>
      </c>
      <c r="AR969" s="75" t="s">
        <v>1710</v>
      </c>
      <c r="AS969" s="95">
        <v>6.5641848892985799E-2</v>
      </c>
      <c r="AT969" s="79" t="s">
        <v>1710</v>
      </c>
      <c r="AU969" s="79" t="s">
        <v>1710</v>
      </c>
      <c r="AV969" s="79" t="s">
        <v>1710</v>
      </c>
      <c r="AW969" s="79" t="s">
        <v>1710</v>
      </c>
      <c r="AX969" s="56"/>
      <c r="AY969" s="54"/>
    </row>
    <row r="970" spans="1:51" ht="15">
      <c r="A970" s="53"/>
      <c r="B970" s="56"/>
      <c r="C970" s="114" t="s">
        <v>921</v>
      </c>
      <c r="D970" s="233" t="s">
        <v>1757</v>
      </c>
      <c r="E970" s="68" t="s">
        <v>922</v>
      </c>
      <c r="F970" s="117" t="s">
        <v>993</v>
      </c>
      <c r="G970" s="118" t="s">
        <v>993</v>
      </c>
      <c r="H970" s="118" t="s">
        <v>993</v>
      </c>
      <c r="I970" s="118" t="s">
        <v>993</v>
      </c>
      <c r="J970" s="70">
        <v>0.9</v>
      </c>
      <c r="K970" s="71">
        <v>0.84615384615384603</v>
      </c>
      <c r="L970" s="71">
        <v>0.80769230769230804</v>
      </c>
      <c r="M970" s="72">
        <v>0.71428571428571397</v>
      </c>
      <c r="N970" s="71">
        <v>0.86713286713286697</v>
      </c>
      <c r="O970" s="73">
        <v>0.9</v>
      </c>
      <c r="P970" s="71">
        <v>0.84626940410615903</v>
      </c>
      <c r="Q970" s="71">
        <v>0.81317567567567595</v>
      </c>
      <c r="R970" s="71">
        <v>0.81643736422881996</v>
      </c>
      <c r="S970" s="71">
        <v>0.85005721642111298</v>
      </c>
      <c r="T970" s="73">
        <v>0.9</v>
      </c>
      <c r="U970" s="71">
        <v>0.90085127691537303</v>
      </c>
      <c r="V970" s="71">
        <v>0.88479729729729695</v>
      </c>
      <c r="W970" s="71">
        <v>0.82910934105720502</v>
      </c>
      <c r="X970" s="71">
        <v>0.88678300672292998</v>
      </c>
      <c r="Y970" s="73">
        <v>0.92</v>
      </c>
      <c r="Z970" s="73">
        <v>0.90490196078431395</v>
      </c>
      <c r="AA970" s="73">
        <v>0.95878524945770105</v>
      </c>
      <c r="AB970" s="73">
        <v>0.92417061611374396</v>
      </c>
      <c r="AC970" s="73">
        <v>0.93344907407407396</v>
      </c>
      <c r="AD970" s="73">
        <v>0.92</v>
      </c>
      <c r="AE970" s="71">
        <v>0.99368008135987196</v>
      </c>
      <c r="AF970" s="71">
        <v>0.90558142673955599</v>
      </c>
      <c r="AG970" s="71">
        <v>0.72475490196078396</v>
      </c>
      <c r="AH970" s="71">
        <v>0.66515933276655603</v>
      </c>
      <c r="AI970" s="73">
        <v>0.92</v>
      </c>
      <c r="AJ970" s="71">
        <v>0.95459065296652301</v>
      </c>
      <c r="AK970" s="71">
        <v>0.96843950905902998</v>
      </c>
      <c r="AL970" s="71">
        <v>0.96583210603829195</v>
      </c>
      <c r="AM970" s="71">
        <v>0.97277000687915605</v>
      </c>
      <c r="AN970" s="70">
        <v>0.99</v>
      </c>
      <c r="AO970" s="75">
        <v>1</v>
      </c>
      <c r="AP970" s="75">
        <v>1</v>
      </c>
      <c r="AQ970" s="75">
        <v>1</v>
      </c>
      <c r="AR970" s="75">
        <v>1</v>
      </c>
      <c r="AS970" s="95">
        <v>6.5641848892985799E-2</v>
      </c>
      <c r="AT970" s="79">
        <v>0</v>
      </c>
      <c r="AU970" s="79">
        <v>0</v>
      </c>
      <c r="AV970" s="79">
        <v>0</v>
      </c>
      <c r="AW970" s="79">
        <v>1.54639175257732E-2</v>
      </c>
      <c r="AX970" s="56"/>
      <c r="AY970" s="54"/>
    </row>
    <row r="971" spans="1:51" ht="15">
      <c r="A971" s="53"/>
      <c r="B971" s="56"/>
      <c r="C971" s="114" t="s">
        <v>921</v>
      </c>
      <c r="D971" s="233" t="s">
        <v>1759</v>
      </c>
      <c r="E971" s="68" t="s">
        <v>922</v>
      </c>
      <c r="F971" s="117" t="s">
        <v>994</v>
      </c>
      <c r="G971" s="118" t="s">
        <v>994</v>
      </c>
      <c r="H971" s="118" t="s">
        <v>994</v>
      </c>
      <c r="I971" s="118" t="s">
        <v>994</v>
      </c>
      <c r="J971" s="70">
        <v>0.9</v>
      </c>
      <c r="K971" s="71" t="s">
        <v>1710</v>
      </c>
      <c r="L971" s="71" t="s">
        <v>1710</v>
      </c>
      <c r="M971" s="72" t="s">
        <v>1710</v>
      </c>
      <c r="N971" s="71" t="s">
        <v>1710</v>
      </c>
      <c r="O971" s="73">
        <v>0.9</v>
      </c>
      <c r="P971" s="71" t="s">
        <v>1710</v>
      </c>
      <c r="Q971" s="71" t="s">
        <v>1710</v>
      </c>
      <c r="R971" s="71" t="s">
        <v>1710</v>
      </c>
      <c r="S971" s="71" t="s">
        <v>1710</v>
      </c>
      <c r="T971" s="73">
        <v>0.9</v>
      </c>
      <c r="U971" s="71" t="s">
        <v>1710</v>
      </c>
      <c r="V971" s="71" t="s">
        <v>1710</v>
      </c>
      <c r="W971" s="71" t="s">
        <v>1710</v>
      </c>
      <c r="X971" s="71" t="s">
        <v>1710</v>
      </c>
      <c r="Y971" s="73">
        <v>0.92</v>
      </c>
      <c r="Z971" s="73" t="s">
        <v>1710</v>
      </c>
      <c r="AA971" s="73" t="s">
        <v>1710</v>
      </c>
      <c r="AB971" s="73" t="s">
        <v>1710</v>
      </c>
      <c r="AC971" s="73" t="s">
        <v>1710</v>
      </c>
      <c r="AD971" s="73">
        <v>0.92</v>
      </c>
      <c r="AE971" s="71" t="s">
        <v>1710</v>
      </c>
      <c r="AF971" s="71" t="s">
        <v>1710</v>
      </c>
      <c r="AG971" s="71" t="s">
        <v>1710</v>
      </c>
      <c r="AH971" s="71" t="s">
        <v>1710</v>
      </c>
      <c r="AI971" s="73">
        <v>0.92</v>
      </c>
      <c r="AJ971" s="71" t="s">
        <v>1710</v>
      </c>
      <c r="AK971" s="71" t="s">
        <v>1710</v>
      </c>
      <c r="AL971" s="71" t="s">
        <v>1710</v>
      </c>
      <c r="AM971" s="71" t="s">
        <v>1710</v>
      </c>
      <c r="AN971" s="70">
        <v>0.99</v>
      </c>
      <c r="AO971" s="75" t="s">
        <v>1710</v>
      </c>
      <c r="AP971" s="75" t="s">
        <v>1710</v>
      </c>
      <c r="AQ971" s="75" t="s">
        <v>1710</v>
      </c>
      <c r="AR971" s="75" t="s">
        <v>1710</v>
      </c>
      <c r="AS971" s="95">
        <v>6.5641848892985799E-2</v>
      </c>
      <c r="AT971" s="79" t="s">
        <v>1710</v>
      </c>
      <c r="AU971" s="79" t="s">
        <v>1710</v>
      </c>
      <c r="AV971" s="79" t="s">
        <v>1710</v>
      </c>
      <c r="AW971" s="79" t="s">
        <v>1710</v>
      </c>
      <c r="AX971" s="56"/>
      <c r="AY971" s="54"/>
    </row>
    <row r="972" spans="1:51" ht="15">
      <c r="A972" s="53"/>
      <c r="B972" s="56"/>
      <c r="C972" s="114" t="s">
        <v>921</v>
      </c>
      <c r="D972" s="233" t="s">
        <v>1757</v>
      </c>
      <c r="E972" s="68" t="s">
        <v>922</v>
      </c>
      <c r="F972" s="117" t="s">
        <v>995</v>
      </c>
      <c r="G972" s="118" t="s">
        <v>995</v>
      </c>
      <c r="H972" s="118" t="s">
        <v>995</v>
      </c>
      <c r="I972" s="118" t="s">
        <v>995</v>
      </c>
      <c r="J972" s="70">
        <v>0.9</v>
      </c>
      <c r="K972" s="71">
        <v>0.85714285714285698</v>
      </c>
      <c r="L972" s="71">
        <v>0.85714285714285698</v>
      </c>
      <c r="M972" s="72">
        <v>0.85714285714285698</v>
      </c>
      <c r="N972" s="71">
        <v>0.85950413223140498</v>
      </c>
      <c r="O972" s="73">
        <v>0.9</v>
      </c>
      <c r="P972" s="71">
        <v>0.96793349168646103</v>
      </c>
      <c r="Q972" s="71">
        <v>0.73722627737226298</v>
      </c>
      <c r="R972" s="71">
        <v>0.81568795542220296</v>
      </c>
      <c r="S972" s="71">
        <v>0.87979406952149097</v>
      </c>
      <c r="T972" s="73">
        <v>0.9</v>
      </c>
      <c r="U972" s="71">
        <v>0.87826603325415697</v>
      </c>
      <c r="V972" s="71">
        <v>0.822789943227899</v>
      </c>
      <c r="W972" s="71">
        <v>0.87312473210458597</v>
      </c>
      <c r="X972" s="71">
        <v>0.84986231392425304</v>
      </c>
      <c r="Y972" s="73">
        <v>0.92</v>
      </c>
      <c r="Z972" s="73">
        <v>0.89586114819759699</v>
      </c>
      <c r="AA972" s="73">
        <v>0.89230769230769202</v>
      </c>
      <c r="AB972" s="73">
        <v>0.87155963302752304</v>
      </c>
      <c r="AC972" s="73">
        <v>0.88392238392238398</v>
      </c>
      <c r="AD972" s="73">
        <v>0.92</v>
      </c>
      <c r="AE972" s="71">
        <v>0.99473822678242596</v>
      </c>
      <c r="AF972" s="71">
        <v>0.98091682223605103</v>
      </c>
      <c r="AG972" s="71">
        <v>0.998214684222272</v>
      </c>
      <c r="AH972" s="71">
        <v>0.98953166319808505</v>
      </c>
      <c r="AI972" s="73">
        <v>0.92</v>
      </c>
      <c r="AJ972" s="71">
        <v>0.94535743631881697</v>
      </c>
      <c r="AK972" s="71">
        <v>0.95485489072017204</v>
      </c>
      <c r="AL972" s="71">
        <v>0.93400486279958295</v>
      </c>
      <c r="AM972" s="71">
        <v>0.94870298313878099</v>
      </c>
      <c r="AN972" s="70">
        <v>0.99</v>
      </c>
      <c r="AO972" s="75">
        <v>1</v>
      </c>
      <c r="AP972" s="75">
        <v>1</v>
      </c>
      <c r="AQ972" s="75">
        <v>1</v>
      </c>
      <c r="AR972" s="75">
        <v>1</v>
      </c>
      <c r="AS972" s="95">
        <v>6.5641848892985799E-2</v>
      </c>
      <c r="AT972" s="79">
        <v>0</v>
      </c>
      <c r="AU972" s="79">
        <v>0</v>
      </c>
      <c r="AV972" s="79">
        <v>0</v>
      </c>
      <c r="AW972" s="79">
        <v>3.24324324324324E-2</v>
      </c>
      <c r="AX972" s="56"/>
      <c r="AY972" s="54"/>
    </row>
    <row r="973" spans="1:51" ht="15">
      <c r="A973" s="53"/>
      <c r="B973" s="56"/>
      <c r="C973" s="114" t="s">
        <v>921</v>
      </c>
      <c r="D973" s="233" t="s">
        <v>1757</v>
      </c>
      <c r="E973" s="68" t="s">
        <v>922</v>
      </c>
      <c r="F973" s="117" t="s">
        <v>996</v>
      </c>
      <c r="G973" s="118" t="s">
        <v>996</v>
      </c>
      <c r="H973" s="118" t="s">
        <v>996</v>
      </c>
      <c r="I973" s="118" t="s">
        <v>996</v>
      </c>
      <c r="J973" s="70">
        <v>0.9</v>
      </c>
      <c r="K973" s="71">
        <v>0.95</v>
      </c>
      <c r="L973" s="71">
        <v>0.95</v>
      </c>
      <c r="M973" s="72">
        <v>0.90476190476190499</v>
      </c>
      <c r="N973" s="71">
        <v>0.88444444444444403</v>
      </c>
      <c r="O973" s="73">
        <v>0.9</v>
      </c>
      <c r="P973" s="71">
        <v>0.88869412795793201</v>
      </c>
      <c r="Q973" s="71">
        <v>0.88966318234610897</v>
      </c>
      <c r="R973" s="71">
        <v>0.96415770609318996</v>
      </c>
      <c r="S973" s="71">
        <v>0.92339097022094097</v>
      </c>
      <c r="T973" s="73">
        <v>0.9</v>
      </c>
      <c r="U973" s="71">
        <v>0.89307624890447002</v>
      </c>
      <c r="V973" s="71">
        <v>0.86295005807200897</v>
      </c>
      <c r="W973" s="71">
        <v>0.86320191158900805</v>
      </c>
      <c r="X973" s="71">
        <v>0.87085734870317</v>
      </c>
      <c r="Y973" s="73">
        <v>0.92</v>
      </c>
      <c r="Z973" s="73">
        <v>0.93346007604562697</v>
      </c>
      <c r="AA973" s="73">
        <v>0.89393939393939403</v>
      </c>
      <c r="AB973" s="73">
        <v>0.92668621700879805</v>
      </c>
      <c r="AC973" s="73">
        <v>0.91353564547206201</v>
      </c>
      <c r="AD973" s="73">
        <v>0.92</v>
      </c>
      <c r="AE973" s="71">
        <v>0.99989989989990002</v>
      </c>
      <c r="AF973" s="71">
        <v>0.99927758714105097</v>
      </c>
      <c r="AG973" s="71">
        <v>0.99117882919005595</v>
      </c>
      <c r="AH973" s="71">
        <v>0.99879458904415397</v>
      </c>
      <c r="AI973" s="73">
        <v>0.92</v>
      </c>
      <c r="AJ973" s="71">
        <v>0.95563549160671502</v>
      </c>
      <c r="AK973" s="71">
        <v>0.95266868076535705</v>
      </c>
      <c r="AL973" s="71">
        <v>0.96129032258064495</v>
      </c>
      <c r="AM973" s="71">
        <v>0.96136658497909799</v>
      </c>
      <c r="AN973" s="70">
        <v>0.99</v>
      </c>
      <c r="AO973" s="75">
        <v>1</v>
      </c>
      <c r="AP973" s="75">
        <v>1</v>
      </c>
      <c r="AQ973" s="75">
        <v>1</v>
      </c>
      <c r="AR973" s="75">
        <v>1</v>
      </c>
      <c r="AS973" s="95">
        <v>6.5641848892985799E-2</v>
      </c>
      <c r="AT973" s="79">
        <v>0.05</v>
      </c>
      <c r="AU973" s="79">
        <v>0</v>
      </c>
      <c r="AV973" s="79">
        <v>7.1428571428571397E-2</v>
      </c>
      <c r="AW973" s="79">
        <v>0.06</v>
      </c>
      <c r="AX973" s="56"/>
      <c r="AY973" s="54"/>
    </row>
    <row r="974" spans="1:51" ht="15">
      <c r="A974" s="53"/>
      <c r="B974" s="56"/>
      <c r="C974" s="114" t="s">
        <v>921</v>
      </c>
      <c r="D974" s="233" t="s">
        <v>1757</v>
      </c>
      <c r="E974" s="68" t="s">
        <v>922</v>
      </c>
      <c r="F974" s="119" t="s">
        <v>997</v>
      </c>
      <c r="G974" s="120" t="s">
        <v>997</v>
      </c>
      <c r="H974" s="120" t="s">
        <v>997</v>
      </c>
      <c r="I974" s="120" t="s">
        <v>997</v>
      </c>
      <c r="J974" s="70">
        <v>0.9</v>
      </c>
      <c r="K974" s="71">
        <v>0.85714285714285698</v>
      </c>
      <c r="L974" s="71">
        <v>1</v>
      </c>
      <c r="M974" s="72">
        <v>0.8</v>
      </c>
      <c r="N974" s="71">
        <v>0.85802469135802495</v>
      </c>
      <c r="O974" s="73">
        <v>0.9</v>
      </c>
      <c r="P974" s="71">
        <v>0.91254752851710996</v>
      </c>
      <c r="Q974" s="71">
        <v>0.92722547108511999</v>
      </c>
      <c r="R974" s="71">
        <v>0.91760563380281701</v>
      </c>
      <c r="S974" s="71">
        <v>0.91096368715083798</v>
      </c>
      <c r="T974" s="73">
        <v>0.9</v>
      </c>
      <c r="U974" s="71">
        <v>0.90874524714828897</v>
      </c>
      <c r="V974" s="71">
        <v>0.92657569850552302</v>
      </c>
      <c r="W974" s="71">
        <v>0.93661971830985902</v>
      </c>
      <c r="X974" s="71">
        <v>0.92646648044692703</v>
      </c>
      <c r="Y974" s="73">
        <v>0.92</v>
      </c>
      <c r="Z974" s="73">
        <v>0.93002257336343097</v>
      </c>
      <c r="AA974" s="73">
        <v>0.97814207650273199</v>
      </c>
      <c r="AB974" s="73">
        <v>0.90064102564102599</v>
      </c>
      <c r="AC974" s="73">
        <v>0.93086770981507805</v>
      </c>
      <c r="AD974" s="73">
        <v>0.92</v>
      </c>
      <c r="AE974" s="71">
        <v>1</v>
      </c>
      <c r="AF974" s="71">
        <v>0.99941656942823798</v>
      </c>
      <c r="AG974" s="71">
        <v>1</v>
      </c>
      <c r="AH974" s="71">
        <v>0.99982004678783498</v>
      </c>
      <c r="AI974" s="73">
        <v>0.92</v>
      </c>
      <c r="AJ974" s="71">
        <v>0.96122994652406402</v>
      </c>
      <c r="AK974" s="71">
        <v>0.98084735925710997</v>
      </c>
      <c r="AL974" s="71">
        <v>0.96709006928406505</v>
      </c>
      <c r="AM974" s="71">
        <v>0.97175204573478302</v>
      </c>
      <c r="AN974" s="70">
        <v>0.99</v>
      </c>
      <c r="AO974" s="75">
        <v>1</v>
      </c>
      <c r="AP974" s="75">
        <v>1</v>
      </c>
      <c r="AQ974" s="75">
        <v>1</v>
      </c>
      <c r="AR974" s="75">
        <v>1</v>
      </c>
      <c r="AS974" s="95">
        <v>6.5641848892985799E-2</v>
      </c>
      <c r="AT974" s="79">
        <v>5.5555555555555601E-2</v>
      </c>
      <c r="AU974" s="79">
        <v>0</v>
      </c>
      <c r="AV974" s="79">
        <v>0.1</v>
      </c>
      <c r="AW974" s="79">
        <v>4.4247787610619503E-2</v>
      </c>
      <c r="AX974" s="56"/>
      <c r="AY974" s="54"/>
    </row>
    <row r="975" spans="1:51">
      <c r="A975" s="53"/>
      <c r="B975" s="56"/>
      <c r="C975" s="114" t="s">
        <v>921</v>
      </c>
      <c r="D975" s="233" t="s">
        <v>1757</v>
      </c>
      <c r="E975" s="68" t="s">
        <v>922</v>
      </c>
      <c r="F975" s="125" t="s">
        <v>998</v>
      </c>
      <c r="G975" s="126" t="s">
        <v>998</v>
      </c>
      <c r="H975" s="126" t="s">
        <v>998</v>
      </c>
      <c r="I975" s="126" t="s">
        <v>998</v>
      </c>
      <c r="J975" s="70">
        <v>0.9</v>
      </c>
      <c r="K975" s="71">
        <v>1</v>
      </c>
      <c r="L975" s="71">
        <v>1</v>
      </c>
      <c r="M975" s="72">
        <v>0.84615384615384603</v>
      </c>
      <c r="N975" s="71">
        <v>0.90780141843971596</v>
      </c>
      <c r="O975" s="73">
        <v>0.9</v>
      </c>
      <c r="P975" s="71">
        <v>0.99540757749713005</v>
      </c>
      <c r="Q975" s="71">
        <v>0.97585954645208495</v>
      </c>
      <c r="R975" s="71">
        <v>0.91505216095380004</v>
      </c>
      <c r="S975" s="71">
        <v>0.97078999778712105</v>
      </c>
      <c r="T975" s="73">
        <v>0.9</v>
      </c>
      <c r="U975" s="71">
        <v>0.94259471871412204</v>
      </c>
      <c r="V975" s="71">
        <v>0.86027798098024899</v>
      </c>
      <c r="W975" s="71">
        <v>0.76154992548435196</v>
      </c>
      <c r="X975" s="71">
        <v>0.84207420520764198</v>
      </c>
      <c r="Y975" s="73">
        <v>0.92</v>
      </c>
      <c r="Z975" s="73">
        <v>0.94087403598971697</v>
      </c>
      <c r="AA975" s="73">
        <v>0.914572864321608</v>
      </c>
      <c r="AB975" s="73">
        <v>0.71515151515151498</v>
      </c>
      <c r="AC975" s="73">
        <v>0.86754587155963303</v>
      </c>
      <c r="AD975" s="73">
        <v>0.92</v>
      </c>
      <c r="AE975" s="71">
        <v>1</v>
      </c>
      <c r="AF975" s="71">
        <v>0.99925317401045599</v>
      </c>
      <c r="AG975" s="71">
        <v>0.99656750572082398</v>
      </c>
      <c r="AH975" s="71">
        <v>0.99939751777322605</v>
      </c>
      <c r="AI975" s="73">
        <v>0.92</v>
      </c>
      <c r="AJ975" s="71">
        <v>0.97142857142857097</v>
      </c>
      <c r="AK975" s="71">
        <v>0.95593869731800796</v>
      </c>
      <c r="AL975" s="71">
        <v>0.90197250448296495</v>
      </c>
      <c r="AM975" s="71">
        <v>0.95172454246832505</v>
      </c>
      <c r="AN975" s="70">
        <v>0.99</v>
      </c>
      <c r="AO975" s="75">
        <v>1</v>
      </c>
      <c r="AP975" s="75">
        <v>1</v>
      </c>
      <c r="AQ975" s="75">
        <v>1</v>
      </c>
      <c r="AR975" s="75">
        <v>1</v>
      </c>
      <c r="AS975" s="95">
        <v>6.5641848892985799E-2</v>
      </c>
      <c r="AT975" s="79">
        <v>0.11111111111111099</v>
      </c>
      <c r="AU975" s="79">
        <v>9.0909090909090898E-2</v>
      </c>
      <c r="AV975" s="79">
        <v>0.230769230769231</v>
      </c>
      <c r="AW975" s="79">
        <v>5.0505050505050497E-2</v>
      </c>
      <c r="AX975" s="56"/>
      <c r="AY975" s="54"/>
    </row>
    <row r="976" spans="1:51">
      <c r="A976" s="53"/>
      <c r="B976" s="56"/>
      <c r="C976" s="114" t="s">
        <v>921</v>
      </c>
      <c r="D976" s="233" t="s">
        <v>1757</v>
      </c>
      <c r="E976" s="68" t="s">
        <v>922</v>
      </c>
      <c r="F976" s="115" t="s">
        <v>999</v>
      </c>
      <c r="G976" s="116" t="s">
        <v>999</v>
      </c>
      <c r="H976" s="116" t="s">
        <v>999</v>
      </c>
      <c r="I976" s="116" t="s">
        <v>999</v>
      </c>
      <c r="J976" s="70">
        <v>0.9</v>
      </c>
      <c r="K976" s="71">
        <v>0.88888888888888895</v>
      </c>
      <c r="L976" s="71">
        <v>0.94736842105263197</v>
      </c>
      <c r="M976" s="72">
        <v>0.87096774193548399</v>
      </c>
      <c r="N976" s="71">
        <v>0.91749999999999998</v>
      </c>
      <c r="O976" s="73">
        <v>0.9</v>
      </c>
      <c r="P976" s="71">
        <v>0.93423202614379097</v>
      </c>
      <c r="Q976" s="71">
        <v>0.92934782608695699</v>
      </c>
      <c r="R976" s="71">
        <v>0.78759728847602295</v>
      </c>
      <c r="S976" s="71">
        <v>0.91639907738229798</v>
      </c>
      <c r="T976" s="73">
        <v>0.9</v>
      </c>
      <c r="U976" s="71">
        <v>0.90032679738562105</v>
      </c>
      <c r="V976" s="71">
        <v>0.86350334448160504</v>
      </c>
      <c r="W976" s="71">
        <v>0.77403966859151396</v>
      </c>
      <c r="X976" s="71">
        <v>0.86873049613314601</v>
      </c>
      <c r="Y976" s="73">
        <v>0.92</v>
      </c>
      <c r="Z976" s="73" t="s">
        <v>1710</v>
      </c>
      <c r="AA976" s="73" t="s">
        <v>1710</v>
      </c>
      <c r="AB976" s="73" t="s">
        <v>1710</v>
      </c>
      <c r="AC976" s="73" t="s">
        <v>1710</v>
      </c>
      <c r="AD976" s="73">
        <v>0.92</v>
      </c>
      <c r="AE976" s="71">
        <v>0.98136645962732905</v>
      </c>
      <c r="AF976" s="71">
        <v>0.95973154362416102</v>
      </c>
      <c r="AG976" s="71">
        <v>0.99004644990046498</v>
      </c>
      <c r="AH976" s="71">
        <v>0.97905845043468798</v>
      </c>
      <c r="AI976" s="73">
        <v>0.92</v>
      </c>
      <c r="AJ976" s="71">
        <v>0.92647058823529405</v>
      </c>
      <c r="AK976" s="71">
        <v>0.93561872909698995</v>
      </c>
      <c r="AL976" s="71">
        <v>0.84383630429324596</v>
      </c>
      <c r="AM976" s="71">
        <v>0.92293602876331304</v>
      </c>
      <c r="AN976" s="70">
        <v>0.99</v>
      </c>
      <c r="AO976" s="75">
        <v>1</v>
      </c>
      <c r="AP976" s="75">
        <v>1</v>
      </c>
      <c r="AQ976" s="75">
        <v>1</v>
      </c>
      <c r="AR976" s="75">
        <v>1</v>
      </c>
      <c r="AS976" s="95">
        <v>6.5641848892985799E-2</v>
      </c>
      <c r="AT976" s="79">
        <v>8.8235294117647106E-2</v>
      </c>
      <c r="AU976" s="79">
        <v>3.03030303030303E-2</v>
      </c>
      <c r="AV976" s="79">
        <v>0</v>
      </c>
      <c r="AW976" s="79">
        <v>3.4602076124567498E-2</v>
      </c>
      <c r="AX976" s="56"/>
      <c r="AY976" s="54"/>
    </row>
    <row r="977" spans="1:51">
      <c r="A977" s="53"/>
      <c r="B977" s="56"/>
      <c r="C977" s="114" t="s">
        <v>921</v>
      </c>
      <c r="D977" s="233" t="s">
        <v>1757</v>
      </c>
      <c r="E977" s="68" t="s">
        <v>922</v>
      </c>
      <c r="F977" s="115" t="s">
        <v>1000</v>
      </c>
      <c r="G977" s="116" t="s">
        <v>1000</v>
      </c>
      <c r="H977" s="116" t="s">
        <v>1000</v>
      </c>
      <c r="I977" s="116" t="s">
        <v>1000</v>
      </c>
      <c r="J977" s="70">
        <v>0.9</v>
      </c>
      <c r="K977" s="71">
        <v>0.90243902439024404</v>
      </c>
      <c r="L977" s="71">
        <v>0.97674418604651203</v>
      </c>
      <c r="M977" s="72">
        <v>0.97560975609756095</v>
      </c>
      <c r="N977" s="71">
        <v>0.956989247311828</v>
      </c>
      <c r="O977" s="73">
        <v>0.9</v>
      </c>
      <c r="P977" s="71">
        <v>0.940758293838863</v>
      </c>
      <c r="Q977" s="71">
        <v>0.95365053322395399</v>
      </c>
      <c r="R977" s="71">
        <v>0.96529968454258697</v>
      </c>
      <c r="S977" s="71">
        <v>0.94876625037791595</v>
      </c>
      <c r="T977" s="73">
        <v>0.9</v>
      </c>
      <c r="U977" s="71">
        <v>0.89573459715639803</v>
      </c>
      <c r="V977" s="71">
        <v>0.90032813781788301</v>
      </c>
      <c r="W977" s="71">
        <v>0.89143007360672999</v>
      </c>
      <c r="X977" s="71">
        <v>0.91018395776645999</v>
      </c>
      <c r="Y977" s="73">
        <v>0.92</v>
      </c>
      <c r="Z977" s="73" t="s">
        <v>1710</v>
      </c>
      <c r="AA977" s="73" t="s">
        <v>1710</v>
      </c>
      <c r="AB977" s="73" t="s">
        <v>1710</v>
      </c>
      <c r="AC977" s="73" t="s">
        <v>1710</v>
      </c>
      <c r="AD977" s="73">
        <v>0.92</v>
      </c>
      <c r="AE977" s="71">
        <v>0.99241603466955597</v>
      </c>
      <c r="AF977" s="71">
        <v>0.98701298701298701</v>
      </c>
      <c r="AG977" s="71">
        <v>0.97276264591439698</v>
      </c>
      <c r="AH977" s="71">
        <v>0.99058858679414397</v>
      </c>
      <c r="AI977" s="73">
        <v>0.92</v>
      </c>
      <c r="AJ977" s="71">
        <v>0.91990521327014196</v>
      </c>
      <c r="AK977" s="71">
        <v>0.94811320754716999</v>
      </c>
      <c r="AL977" s="71">
        <v>0.92770767613038896</v>
      </c>
      <c r="AM977" s="71">
        <v>0.94713830554198897</v>
      </c>
      <c r="AN977" s="70">
        <v>0.99</v>
      </c>
      <c r="AO977" s="75">
        <v>1</v>
      </c>
      <c r="AP977" s="75">
        <v>1</v>
      </c>
      <c r="AQ977" s="75">
        <v>1</v>
      </c>
      <c r="AR977" s="75">
        <v>1</v>
      </c>
      <c r="AS977" s="95">
        <v>6.5641848892985799E-2</v>
      </c>
      <c r="AT977" s="79">
        <v>0.230769230769231</v>
      </c>
      <c r="AU977" s="79">
        <v>5.2631578947368397E-2</v>
      </c>
      <c r="AV977" s="79">
        <v>4.5454545454545497E-2</v>
      </c>
      <c r="AW977" s="79">
        <v>5.4644808743169397E-2</v>
      </c>
      <c r="AX977" s="56"/>
      <c r="AY977" s="54"/>
    </row>
    <row r="978" spans="1:51" ht="15">
      <c r="A978" s="53"/>
      <c r="B978" s="56"/>
      <c r="C978" s="114" t="s">
        <v>921</v>
      </c>
      <c r="D978" s="233" t="s">
        <v>1757</v>
      </c>
      <c r="E978" s="68" t="s">
        <v>922</v>
      </c>
      <c r="F978" s="117" t="s">
        <v>1001</v>
      </c>
      <c r="G978" s="118" t="s">
        <v>1001</v>
      </c>
      <c r="H978" s="118" t="s">
        <v>1001</v>
      </c>
      <c r="I978" s="118" t="s">
        <v>1001</v>
      </c>
      <c r="J978" s="70">
        <v>0.9</v>
      </c>
      <c r="K978" s="71">
        <v>0.97959183673469397</v>
      </c>
      <c r="L978" s="71">
        <v>0.96428571428571397</v>
      </c>
      <c r="M978" s="72">
        <v>0.9375</v>
      </c>
      <c r="N978" s="71">
        <v>0.952380952380952</v>
      </c>
      <c r="O978" s="73">
        <v>0.9</v>
      </c>
      <c r="P978" s="71">
        <v>0.95057034220532299</v>
      </c>
      <c r="Q978" s="71">
        <v>0.89082743133529096</v>
      </c>
      <c r="R978" s="71">
        <v>0.91475551709216796</v>
      </c>
      <c r="S978" s="71">
        <v>0.91999769832745104</v>
      </c>
      <c r="T978" s="73">
        <v>0.9</v>
      </c>
      <c r="U978" s="71">
        <v>0.91047355686138998</v>
      </c>
      <c r="V978" s="71">
        <v>0.86180687510796306</v>
      </c>
      <c r="W978" s="71">
        <v>0.87018606663781894</v>
      </c>
      <c r="X978" s="71">
        <v>0.894334049409237</v>
      </c>
      <c r="Y978" s="73">
        <v>0.92</v>
      </c>
      <c r="Z978" s="73" t="s">
        <v>1710</v>
      </c>
      <c r="AA978" s="73">
        <v>1</v>
      </c>
      <c r="AB978" s="73" t="s">
        <v>1710</v>
      </c>
      <c r="AC978" s="73">
        <v>1</v>
      </c>
      <c r="AD978" s="73">
        <v>0.92</v>
      </c>
      <c r="AE978" s="71">
        <v>0.97790773229369699</v>
      </c>
      <c r="AF978" s="71">
        <v>0.91511035653650297</v>
      </c>
      <c r="AG978" s="71">
        <v>0.99207135777998001</v>
      </c>
      <c r="AH978" s="71">
        <v>0.95978800370152295</v>
      </c>
      <c r="AI978" s="73">
        <v>0.92</v>
      </c>
      <c r="AJ978" s="71">
        <v>0.94365710335292097</v>
      </c>
      <c r="AK978" s="71">
        <v>0.93419689119171001</v>
      </c>
      <c r="AL978" s="71">
        <v>0.905019472090004</v>
      </c>
      <c r="AM978" s="71">
        <v>0.93877785875944597</v>
      </c>
      <c r="AN978" s="70">
        <v>0.99</v>
      </c>
      <c r="AO978" s="75">
        <v>1</v>
      </c>
      <c r="AP978" s="75">
        <v>1</v>
      </c>
      <c r="AQ978" s="75">
        <v>1</v>
      </c>
      <c r="AR978" s="75">
        <v>1</v>
      </c>
      <c r="AS978" s="95">
        <v>6.5641848892985799E-2</v>
      </c>
      <c r="AT978" s="79">
        <v>0</v>
      </c>
      <c r="AU978" s="79">
        <v>0</v>
      </c>
      <c r="AV978" s="79">
        <v>0</v>
      </c>
      <c r="AW978" s="79">
        <v>4.5977011494252901E-2</v>
      </c>
      <c r="AX978" s="56"/>
      <c r="AY978" s="54"/>
    </row>
    <row r="979" spans="1:51" ht="15">
      <c r="A979" s="53"/>
      <c r="B979" s="56"/>
      <c r="C979" s="114" t="s">
        <v>921</v>
      </c>
      <c r="D979" s="233" t="s">
        <v>1757</v>
      </c>
      <c r="E979" s="68" t="s">
        <v>922</v>
      </c>
      <c r="F979" s="117" t="s">
        <v>1002</v>
      </c>
      <c r="G979" s="118" t="s">
        <v>1002</v>
      </c>
      <c r="H979" s="118" t="s">
        <v>1002</v>
      </c>
      <c r="I979" s="118" t="s">
        <v>1002</v>
      </c>
      <c r="J979" s="70">
        <v>0.9</v>
      </c>
      <c r="K979" s="71">
        <v>0.96153846153846201</v>
      </c>
      <c r="L979" s="71">
        <v>0.96551724137931005</v>
      </c>
      <c r="M979" s="72">
        <v>0.88235294117647101</v>
      </c>
      <c r="N979" s="71">
        <v>0.919161676646707</v>
      </c>
      <c r="O979" s="73">
        <v>0.9</v>
      </c>
      <c r="P979" s="71">
        <v>0.91176470588235303</v>
      </c>
      <c r="Q979" s="71">
        <v>0.90718732314657602</v>
      </c>
      <c r="R979" s="71">
        <v>0.88847583643122696</v>
      </c>
      <c r="S979" s="71">
        <v>0.90972655762267496</v>
      </c>
      <c r="T979" s="73">
        <v>0.9</v>
      </c>
      <c r="U979" s="71">
        <v>0.91983852364475205</v>
      </c>
      <c r="V979" s="71">
        <v>0.90124504810413097</v>
      </c>
      <c r="W979" s="71">
        <v>0.91416018925312603</v>
      </c>
      <c r="X979" s="71">
        <v>0.91462729429391898</v>
      </c>
      <c r="Y979" s="73">
        <v>0.92</v>
      </c>
      <c r="Z979" s="73" t="s">
        <v>1710</v>
      </c>
      <c r="AA979" s="73" t="s">
        <v>1710</v>
      </c>
      <c r="AB979" s="73" t="s">
        <v>1710</v>
      </c>
      <c r="AC979" s="73" t="s">
        <v>1710</v>
      </c>
      <c r="AD979" s="73">
        <v>0.92</v>
      </c>
      <c r="AE979" s="71">
        <v>0.99824561403508805</v>
      </c>
      <c r="AF979" s="71">
        <v>0.86842105263157898</v>
      </c>
      <c r="AG979" s="71">
        <v>0.98396094839609505</v>
      </c>
      <c r="AH979" s="71">
        <v>0.97737751275588602</v>
      </c>
      <c r="AI979" s="73">
        <v>0.92</v>
      </c>
      <c r="AJ979" s="71">
        <v>0.93425605536332201</v>
      </c>
      <c r="AK979" s="71">
        <v>0.95106082036775097</v>
      </c>
      <c r="AL979" s="71">
        <v>0.95336262250760395</v>
      </c>
      <c r="AM979" s="71">
        <v>0.95505758247245698</v>
      </c>
      <c r="AN979" s="70">
        <v>0.99</v>
      </c>
      <c r="AO979" s="75">
        <v>1</v>
      </c>
      <c r="AP979" s="75">
        <v>1</v>
      </c>
      <c r="AQ979" s="75">
        <v>1</v>
      </c>
      <c r="AR979" s="75">
        <v>1</v>
      </c>
      <c r="AS979" s="95">
        <v>6.5641848892985799E-2</v>
      </c>
      <c r="AT979" s="79">
        <v>0</v>
      </c>
      <c r="AU979" s="79">
        <v>0.05</v>
      </c>
      <c r="AV979" s="79">
        <v>0</v>
      </c>
      <c r="AW979" s="79">
        <v>2.5641025641025599E-2</v>
      </c>
      <c r="AX979" s="56"/>
      <c r="AY979" s="54"/>
    </row>
    <row r="980" spans="1:51" ht="15">
      <c r="A980" s="53"/>
      <c r="B980" s="56"/>
      <c r="C980" s="114" t="s">
        <v>921</v>
      </c>
      <c r="D980" s="233" t="s">
        <v>1757</v>
      </c>
      <c r="E980" s="68" t="s">
        <v>922</v>
      </c>
      <c r="F980" s="117" t="s">
        <v>1003</v>
      </c>
      <c r="G980" s="118" t="s">
        <v>1003</v>
      </c>
      <c r="H980" s="118" t="s">
        <v>1003</v>
      </c>
      <c r="I980" s="118" t="s">
        <v>1003</v>
      </c>
      <c r="J980" s="70">
        <v>0.9</v>
      </c>
      <c r="K980" s="71">
        <v>0.87179487179487203</v>
      </c>
      <c r="L980" s="71">
        <v>0.934782608695652</v>
      </c>
      <c r="M980" s="72">
        <v>0.90476190476190499</v>
      </c>
      <c r="N980" s="71">
        <v>0.91182364729458898</v>
      </c>
      <c r="O980" s="73">
        <v>0.9</v>
      </c>
      <c r="P980" s="71">
        <v>0.95592864637985298</v>
      </c>
      <c r="Q980" s="71">
        <v>0.92702771421306895</v>
      </c>
      <c r="R980" s="71">
        <v>0.90153846153846195</v>
      </c>
      <c r="S980" s="71">
        <v>0.93831260201497202</v>
      </c>
      <c r="T980" s="73">
        <v>0.9</v>
      </c>
      <c r="U980" s="71">
        <v>0.91552990556138503</v>
      </c>
      <c r="V980" s="71">
        <v>0.88278667683701995</v>
      </c>
      <c r="W980" s="71">
        <v>0.88123076923076904</v>
      </c>
      <c r="X980" s="71">
        <v>0.89559295322789401</v>
      </c>
      <c r="Y980" s="73">
        <v>0.92</v>
      </c>
      <c r="Z980" s="73" t="s">
        <v>1710</v>
      </c>
      <c r="AA980" s="73">
        <v>1</v>
      </c>
      <c r="AB980" s="73">
        <v>1</v>
      </c>
      <c r="AC980" s="73">
        <v>1</v>
      </c>
      <c r="AD980" s="73">
        <v>0.92</v>
      </c>
      <c r="AE980" s="71">
        <v>0.98426683448709895</v>
      </c>
      <c r="AF980" s="71">
        <v>0.98041958041957999</v>
      </c>
      <c r="AG980" s="71">
        <v>0.99107142857142905</v>
      </c>
      <c r="AH980" s="71">
        <v>0.97165817607806604</v>
      </c>
      <c r="AI980" s="73">
        <v>0.92</v>
      </c>
      <c r="AJ980" s="71">
        <v>0.95545073375262102</v>
      </c>
      <c r="AK980" s="71">
        <v>0.95806861499364704</v>
      </c>
      <c r="AL980" s="71">
        <v>0.93665436654366496</v>
      </c>
      <c r="AM980" s="71">
        <v>0.95506850856708803</v>
      </c>
      <c r="AN980" s="70">
        <v>0.99</v>
      </c>
      <c r="AO980" s="75">
        <v>1</v>
      </c>
      <c r="AP980" s="75">
        <v>1</v>
      </c>
      <c r="AQ980" s="75">
        <v>1</v>
      </c>
      <c r="AR980" s="75">
        <v>1</v>
      </c>
      <c r="AS980" s="95">
        <v>6.5641848892985799E-2</v>
      </c>
      <c r="AT980" s="79">
        <v>8.3333333333333301E-2</v>
      </c>
      <c r="AU980" s="79">
        <v>0</v>
      </c>
      <c r="AV980" s="79">
        <v>0</v>
      </c>
      <c r="AW980" s="79">
        <v>2.3809523809523801E-2</v>
      </c>
      <c r="AX980" s="56"/>
      <c r="AY980" s="54"/>
    </row>
    <row r="981" spans="1:51" ht="15">
      <c r="A981" s="53"/>
      <c r="B981" s="56"/>
      <c r="C981" s="114" t="s">
        <v>921</v>
      </c>
      <c r="D981" s="233" t="s">
        <v>1757</v>
      </c>
      <c r="E981" s="68" t="s">
        <v>922</v>
      </c>
      <c r="F981" s="117" t="s">
        <v>1004</v>
      </c>
      <c r="G981" s="118" t="s">
        <v>1004</v>
      </c>
      <c r="H981" s="118" t="s">
        <v>1004</v>
      </c>
      <c r="I981" s="118" t="s">
        <v>1004</v>
      </c>
      <c r="J981" s="70">
        <v>0.9</v>
      </c>
      <c r="K981" s="71">
        <v>0.84615384615384603</v>
      </c>
      <c r="L981" s="71">
        <v>1</v>
      </c>
      <c r="M981" s="72">
        <v>0.96551724137931005</v>
      </c>
      <c r="N981" s="71">
        <v>0.94242424242424205</v>
      </c>
      <c r="O981" s="73">
        <v>0.9</v>
      </c>
      <c r="P981" s="71">
        <v>0.93944265809217598</v>
      </c>
      <c r="Q981" s="71">
        <v>0.94016861571933596</v>
      </c>
      <c r="R981" s="71">
        <v>0.93263425484588502</v>
      </c>
      <c r="S981" s="71">
        <v>0.92442837210626705</v>
      </c>
      <c r="T981" s="73">
        <v>0.9</v>
      </c>
      <c r="U981" s="71">
        <v>0.89228295819935699</v>
      </c>
      <c r="V981" s="71">
        <v>0.90127821593690505</v>
      </c>
      <c r="W981" s="71">
        <v>0.87797902764537605</v>
      </c>
      <c r="X981" s="71">
        <v>0.90147783251231495</v>
      </c>
      <c r="Y981" s="73">
        <v>0.92</v>
      </c>
      <c r="Z981" s="73" t="s">
        <v>1710</v>
      </c>
      <c r="AA981" s="73">
        <v>1</v>
      </c>
      <c r="AB981" s="73" t="s">
        <v>1710</v>
      </c>
      <c r="AC981" s="73">
        <v>1</v>
      </c>
      <c r="AD981" s="73">
        <v>0.92</v>
      </c>
      <c r="AE981" s="71">
        <v>0.95881595881595905</v>
      </c>
      <c r="AF981" s="71">
        <v>0.99305555555555602</v>
      </c>
      <c r="AG981" s="71">
        <v>0.98202247191011205</v>
      </c>
      <c r="AH981" s="71">
        <v>0.97782149883741698</v>
      </c>
      <c r="AI981" s="73">
        <v>0.92</v>
      </c>
      <c r="AJ981" s="71">
        <v>0.93837084673097504</v>
      </c>
      <c r="AK981" s="71">
        <v>0.946710168569875</v>
      </c>
      <c r="AL981" s="71">
        <v>0.91960597394343802</v>
      </c>
      <c r="AM981" s="71">
        <v>0.94923265282879199</v>
      </c>
      <c r="AN981" s="70">
        <v>0.99</v>
      </c>
      <c r="AO981" s="75">
        <v>1</v>
      </c>
      <c r="AP981" s="75">
        <v>1</v>
      </c>
      <c r="AQ981" s="75">
        <v>1</v>
      </c>
      <c r="AR981" s="75">
        <v>1</v>
      </c>
      <c r="AS981" s="95">
        <v>6.5641848892985799E-2</v>
      </c>
      <c r="AT981" s="79">
        <v>0</v>
      </c>
      <c r="AU981" s="79">
        <v>0</v>
      </c>
      <c r="AV981" s="79">
        <v>7.69230769230769E-2</v>
      </c>
      <c r="AW981" s="79">
        <v>2.9850746268656699E-2</v>
      </c>
      <c r="AX981" s="56"/>
      <c r="AY981" s="54"/>
    </row>
    <row r="982" spans="1:51" ht="15">
      <c r="A982" s="53"/>
      <c r="B982" s="56"/>
      <c r="C982" s="114" t="s">
        <v>921</v>
      </c>
      <c r="D982" s="233" t="s">
        <v>1759</v>
      </c>
      <c r="E982" s="68" t="s">
        <v>922</v>
      </c>
      <c r="F982" s="117" t="s">
        <v>1005</v>
      </c>
      <c r="G982" s="118" t="s">
        <v>1005</v>
      </c>
      <c r="H982" s="118" t="s">
        <v>1005</v>
      </c>
      <c r="I982" s="118" t="s">
        <v>1005</v>
      </c>
      <c r="J982" s="70">
        <v>0.9</v>
      </c>
      <c r="K982" s="71" t="s">
        <v>1710</v>
      </c>
      <c r="L982" s="71" t="s">
        <v>1710</v>
      </c>
      <c r="M982" s="72" t="s">
        <v>1710</v>
      </c>
      <c r="N982" s="71" t="s">
        <v>1710</v>
      </c>
      <c r="O982" s="73">
        <v>0.9</v>
      </c>
      <c r="P982" s="71" t="s">
        <v>1710</v>
      </c>
      <c r="Q982" s="71" t="s">
        <v>1710</v>
      </c>
      <c r="R982" s="71">
        <v>0</v>
      </c>
      <c r="S982" s="71">
        <v>0</v>
      </c>
      <c r="T982" s="73">
        <v>0.9</v>
      </c>
      <c r="U982" s="71" t="s">
        <v>1710</v>
      </c>
      <c r="V982" s="71" t="s">
        <v>1710</v>
      </c>
      <c r="W982" s="71">
        <v>1</v>
      </c>
      <c r="X982" s="71">
        <v>1</v>
      </c>
      <c r="Y982" s="73">
        <v>0.92</v>
      </c>
      <c r="Z982" s="73" t="s">
        <v>1710</v>
      </c>
      <c r="AA982" s="73" t="s">
        <v>1710</v>
      </c>
      <c r="AB982" s="73" t="s">
        <v>1710</v>
      </c>
      <c r="AC982" s="73" t="s">
        <v>1710</v>
      </c>
      <c r="AD982" s="73">
        <v>0.92</v>
      </c>
      <c r="AE982" s="71">
        <v>0.964566929133858</v>
      </c>
      <c r="AF982" s="71">
        <v>0.94146341463414596</v>
      </c>
      <c r="AG982" s="71">
        <v>0.88602941176470595</v>
      </c>
      <c r="AH982" s="71">
        <v>0.91453566621803495</v>
      </c>
      <c r="AI982" s="73">
        <v>0.92</v>
      </c>
      <c r="AJ982" s="71" t="s">
        <v>1710</v>
      </c>
      <c r="AK982" s="71" t="s">
        <v>1710</v>
      </c>
      <c r="AL982" s="71">
        <v>1</v>
      </c>
      <c r="AM982" s="71">
        <v>1</v>
      </c>
      <c r="AN982" s="70">
        <v>0.99</v>
      </c>
      <c r="AO982" s="75">
        <v>1</v>
      </c>
      <c r="AP982" s="75">
        <v>1</v>
      </c>
      <c r="AQ982" s="75">
        <v>1</v>
      </c>
      <c r="AR982" s="75">
        <v>1</v>
      </c>
      <c r="AS982" s="95">
        <v>6.5641848892985799E-2</v>
      </c>
      <c r="AT982" s="79" t="s">
        <v>1710</v>
      </c>
      <c r="AU982" s="79" t="s">
        <v>1710</v>
      </c>
      <c r="AV982" s="79" t="s">
        <v>1710</v>
      </c>
      <c r="AW982" s="79" t="s">
        <v>1710</v>
      </c>
      <c r="AX982" s="56"/>
      <c r="AY982" s="54"/>
    </row>
    <row r="983" spans="1:51" ht="15">
      <c r="A983" s="53"/>
      <c r="B983" s="56"/>
      <c r="C983" s="114" t="s">
        <v>921</v>
      </c>
      <c r="D983" s="233" t="s">
        <v>1757</v>
      </c>
      <c r="E983" s="68" t="s">
        <v>922</v>
      </c>
      <c r="F983" s="117" t="s">
        <v>1006</v>
      </c>
      <c r="G983" s="118" t="s">
        <v>1006</v>
      </c>
      <c r="H983" s="118" t="s">
        <v>1006</v>
      </c>
      <c r="I983" s="118" t="s">
        <v>1006</v>
      </c>
      <c r="J983" s="70">
        <v>0.9</v>
      </c>
      <c r="K983" s="71">
        <v>0.96551724137931005</v>
      </c>
      <c r="L983" s="71">
        <v>0.97959183673469397</v>
      </c>
      <c r="M983" s="72">
        <v>0.9</v>
      </c>
      <c r="N983" s="71">
        <v>0.91599353796445904</v>
      </c>
      <c r="O983" s="73">
        <v>0.9</v>
      </c>
      <c r="P983" s="71">
        <v>0.94794651384909301</v>
      </c>
      <c r="Q983" s="71">
        <v>0.94921583271097798</v>
      </c>
      <c r="R983" s="71">
        <v>0.89437924644842504</v>
      </c>
      <c r="S983" s="71">
        <v>0.94536628178053295</v>
      </c>
      <c r="T983" s="73">
        <v>0.9</v>
      </c>
      <c r="U983" s="71">
        <v>0.89732569245463201</v>
      </c>
      <c r="V983" s="71">
        <v>0.92730893701767503</v>
      </c>
      <c r="W983" s="71">
        <v>0.88418777022853601</v>
      </c>
      <c r="X983" s="71">
        <v>0.91829626175914003</v>
      </c>
      <c r="Y983" s="73">
        <v>0.92</v>
      </c>
      <c r="Z983" s="73" t="s">
        <v>1710</v>
      </c>
      <c r="AA983" s="73" t="s">
        <v>1710</v>
      </c>
      <c r="AB983" s="73" t="s">
        <v>1710</v>
      </c>
      <c r="AC983" s="73" t="s">
        <v>1710</v>
      </c>
      <c r="AD983" s="73">
        <v>0.92</v>
      </c>
      <c r="AE983" s="71">
        <v>0.99093157460840897</v>
      </c>
      <c r="AF983" s="71">
        <v>0.98062953995157398</v>
      </c>
      <c r="AG983" s="71">
        <v>0.99257057949479899</v>
      </c>
      <c r="AH983" s="71">
        <v>0.981443073900229</v>
      </c>
      <c r="AI983" s="73">
        <v>0.92</v>
      </c>
      <c r="AJ983" s="71">
        <v>0.94890162368672404</v>
      </c>
      <c r="AK983" s="71">
        <v>0.95842668658202601</v>
      </c>
      <c r="AL983" s="71">
        <v>0.92186534898085204</v>
      </c>
      <c r="AM983" s="71">
        <v>0.95771055590598697</v>
      </c>
      <c r="AN983" s="70">
        <v>0.99</v>
      </c>
      <c r="AO983" s="75">
        <v>1</v>
      </c>
      <c r="AP983" s="75">
        <v>1</v>
      </c>
      <c r="AQ983" s="75">
        <v>1</v>
      </c>
      <c r="AR983" s="75">
        <v>1</v>
      </c>
      <c r="AS983" s="95">
        <v>6.5641848892985799E-2</v>
      </c>
      <c r="AT983" s="79">
        <v>5.5555555555555601E-2</v>
      </c>
      <c r="AU983" s="79">
        <v>0</v>
      </c>
      <c r="AV983" s="79">
        <v>0.1</v>
      </c>
      <c r="AW983" s="79">
        <v>3.1914893617021302E-2</v>
      </c>
      <c r="AX983" s="56"/>
      <c r="AY983" s="54"/>
    </row>
    <row r="984" spans="1:51" ht="15">
      <c r="A984" s="53"/>
      <c r="B984" s="56"/>
      <c r="C984" s="114" t="s">
        <v>921</v>
      </c>
      <c r="D984" s="233" t="s">
        <v>1757</v>
      </c>
      <c r="E984" s="68" t="s">
        <v>922</v>
      </c>
      <c r="F984" s="117" t="s">
        <v>1007</v>
      </c>
      <c r="G984" s="118" t="s">
        <v>1007</v>
      </c>
      <c r="H984" s="118" t="s">
        <v>1007</v>
      </c>
      <c r="I984" s="118" t="s">
        <v>1007</v>
      </c>
      <c r="J984" s="70">
        <v>0.9</v>
      </c>
      <c r="K984" s="71">
        <v>0.96296296296296302</v>
      </c>
      <c r="L984" s="71">
        <v>0.94827586206896597</v>
      </c>
      <c r="M984" s="72">
        <v>0.97959183673469397</v>
      </c>
      <c r="N984" s="71">
        <v>0.98694942903752003</v>
      </c>
      <c r="O984" s="73">
        <v>0.9</v>
      </c>
      <c r="P984" s="71">
        <v>0.96230529595015601</v>
      </c>
      <c r="Q984" s="71">
        <v>0.93641712978097402</v>
      </c>
      <c r="R984" s="71">
        <v>0.94358452138492899</v>
      </c>
      <c r="S984" s="71">
        <v>0.95805505494893795</v>
      </c>
      <c r="T984" s="73">
        <v>0.9</v>
      </c>
      <c r="U984" s="71">
        <v>0.93925233644859796</v>
      </c>
      <c r="V984" s="71">
        <v>0.87528604118993103</v>
      </c>
      <c r="W984" s="71">
        <v>0.90529531568228105</v>
      </c>
      <c r="X984" s="71">
        <v>0.92185236227428502</v>
      </c>
      <c r="Y984" s="73">
        <v>0.92</v>
      </c>
      <c r="Z984" s="73" t="s">
        <v>1710</v>
      </c>
      <c r="AA984" s="73" t="s">
        <v>1710</v>
      </c>
      <c r="AB984" s="73" t="s">
        <v>1710</v>
      </c>
      <c r="AC984" s="73" t="s">
        <v>1710</v>
      </c>
      <c r="AD984" s="73">
        <v>0.92</v>
      </c>
      <c r="AE984" s="71">
        <v>0.99806389157792796</v>
      </c>
      <c r="AF984" s="71">
        <v>0.96620278330019904</v>
      </c>
      <c r="AG984" s="71">
        <v>0.99403640929064696</v>
      </c>
      <c r="AH984" s="71">
        <v>0.99219199080283604</v>
      </c>
      <c r="AI984" s="73">
        <v>0.92</v>
      </c>
      <c r="AJ984" s="71">
        <v>0.97259420741202096</v>
      </c>
      <c r="AK984" s="71">
        <v>0.96681922196796299</v>
      </c>
      <c r="AL984" s="71">
        <v>0.94765784114052998</v>
      </c>
      <c r="AM984" s="71">
        <v>0.97194346289752698</v>
      </c>
      <c r="AN984" s="70">
        <v>0.99</v>
      </c>
      <c r="AO984" s="75">
        <v>1</v>
      </c>
      <c r="AP984" s="75">
        <v>1</v>
      </c>
      <c r="AQ984" s="75">
        <v>1</v>
      </c>
      <c r="AR984" s="75">
        <v>1</v>
      </c>
      <c r="AS984" s="95">
        <v>6.5641848892985799E-2</v>
      </c>
      <c r="AT984" s="79">
        <v>2.8571428571428598E-2</v>
      </c>
      <c r="AU984" s="79">
        <v>0</v>
      </c>
      <c r="AV984" s="79">
        <v>3.5714285714285698E-2</v>
      </c>
      <c r="AW984" s="79">
        <v>5.1948051948052E-2</v>
      </c>
      <c r="AX984" s="56"/>
      <c r="AY984" s="54"/>
    </row>
    <row r="985" spans="1:51" ht="15">
      <c r="A985" s="53"/>
      <c r="B985" s="56"/>
      <c r="C985" s="114" t="s">
        <v>921</v>
      </c>
      <c r="D985" s="233" t="s">
        <v>1757</v>
      </c>
      <c r="E985" s="68" t="s">
        <v>922</v>
      </c>
      <c r="F985" s="117" t="s">
        <v>1008</v>
      </c>
      <c r="G985" s="118" t="s">
        <v>1008</v>
      </c>
      <c r="H985" s="118" t="s">
        <v>1008</v>
      </c>
      <c r="I985" s="118" t="s">
        <v>1008</v>
      </c>
      <c r="J985" s="70">
        <v>0.9</v>
      </c>
      <c r="K985" s="71">
        <v>1</v>
      </c>
      <c r="L985" s="71">
        <v>0.95652173913043503</v>
      </c>
      <c r="M985" s="72">
        <v>0.92</v>
      </c>
      <c r="N985" s="71">
        <v>0.94814814814814796</v>
      </c>
      <c r="O985" s="73">
        <v>0.9</v>
      </c>
      <c r="P985" s="71">
        <v>0.94258373205741597</v>
      </c>
      <c r="Q985" s="71">
        <v>0.94000709975150898</v>
      </c>
      <c r="R985" s="71">
        <v>0.97377777777777796</v>
      </c>
      <c r="S985" s="71">
        <v>0.94939310505293395</v>
      </c>
      <c r="T985" s="73">
        <v>0.9</v>
      </c>
      <c r="U985" s="71">
        <v>0.94258373205741597</v>
      </c>
      <c r="V985" s="71">
        <v>0.84771033013844499</v>
      </c>
      <c r="W985" s="71">
        <v>0.91422222222222205</v>
      </c>
      <c r="X985" s="71">
        <v>0.91022608290999296</v>
      </c>
      <c r="Y985" s="73">
        <v>0.92</v>
      </c>
      <c r="Z985" s="73" t="s">
        <v>1710</v>
      </c>
      <c r="AA985" s="73" t="s">
        <v>1710</v>
      </c>
      <c r="AB985" s="73" t="s">
        <v>1710</v>
      </c>
      <c r="AC985" s="73" t="s">
        <v>1710</v>
      </c>
      <c r="AD985" s="73">
        <v>0.92</v>
      </c>
      <c r="AE985" s="71">
        <v>0.96666666666666701</v>
      </c>
      <c r="AF985" s="71">
        <v>0.94818652849740903</v>
      </c>
      <c r="AG985" s="71">
        <v>0.97810218978102204</v>
      </c>
      <c r="AH985" s="71">
        <v>0.96007853403141397</v>
      </c>
      <c r="AI985" s="73">
        <v>0.92</v>
      </c>
      <c r="AJ985" s="71">
        <v>0.96719070403280905</v>
      </c>
      <c r="AK985" s="71">
        <v>0.95811146609868703</v>
      </c>
      <c r="AL985" s="71">
        <v>0.96888888888888902</v>
      </c>
      <c r="AM985" s="71">
        <v>0.96831859779742502</v>
      </c>
      <c r="AN985" s="70">
        <v>0.99</v>
      </c>
      <c r="AO985" s="75">
        <v>1</v>
      </c>
      <c r="AP985" s="75">
        <v>1</v>
      </c>
      <c r="AQ985" s="75">
        <v>1</v>
      </c>
      <c r="AR985" s="75">
        <v>1</v>
      </c>
      <c r="AS985" s="95">
        <v>6.5641848892985799E-2</v>
      </c>
      <c r="AT985" s="79">
        <v>9.0909090909090898E-2</v>
      </c>
      <c r="AU985" s="79">
        <v>8.6956521739130405E-2</v>
      </c>
      <c r="AV985" s="79">
        <v>0</v>
      </c>
      <c r="AW985" s="79">
        <v>5.6910569105691103E-2</v>
      </c>
      <c r="AX985" s="56"/>
      <c r="AY985" s="54"/>
    </row>
    <row r="986" spans="1:51" ht="15">
      <c r="A986" s="53"/>
      <c r="B986" s="56"/>
      <c r="C986" s="114" t="s">
        <v>921</v>
      </c>
      <c r="D986" s="233" t="s">
        <v>1757</v>
      </c>
      <c r="E986" s="68" t="s">
        <v>922</v>
      </c>
      <c r="F986" s="117" t="s">
        <v>1009</v>
      </c>
      <c r="G986" s="118" t="s">
        <v>1009</v>
      </c>
      <c r="H986" s="118" t="s">
        <v>1009</v>
      </c>
      <c r="I986" s="118" t="s">
        <v>1009</v>
      </c>
      <c r="J986" s="70">
        <v>0.9</v>
      </c>
      <c r="K986" s="71">
        <v>0.90909090909090895</v>
      </c>
      <c r="L986" s="71">
        <v>0.97222222222222199</v>
      </c>
      <c r="M986" s="72">
        <v>0.82352941176470595</v>
      </c>
      <c r="N986" s="71">
        <v>0.93421052631578905</v>
      </c>
      <c r="O986" s="73">
        <v>0.9</v>
      </c>
      <c r="P986" s="71">
        <v>0.95040899795500999</v>
      </c>
      <c r="Q986" s="71">
        <v>0.93157614483493101</v>
      </c>
      <c r="R986" s="71">
        <v>0.93390900033211599</v>
      </c>
      <c r="S986" s="71">
        <v>0.94126255945512405</v>
      </c>
      <c r="T986" s="73">
        <v>0.9</v>
      </c>
      <c r="U986" s="71">
        <v>0.92433537832310797</v>
      </c>
      <c r="V986" s="71">
        <v>0.88471778487752895</v>
      </c>
      <c r="W986" s="71">
        <v>0.90169378943872502</v>
      </c>
      <c r="X986" s="71">
        <v>0.90183220286510402</v>
      </c>
      <c r="Y986" s="73">
        <v>0.92</v>
      </c>
      <c r="Z986" s="73" t="s">
        <v>1710</v>
      </c>
      <c r="AA986" s="73" t="s">
        <v>1710</v>
      </c>
      <c r="AB986" s="73" t="s">
        <v>1710</v>
      </c>
      <c r="AC986" s="73" t="s">
        <v>1710</v>
      </c>
      <c r="AD986" s="73">
        <v>0.92</v>
      </c>
      <c r="AE986" s="71">
        <v>0.98456790123456805</v>
      </c>
      <c r="AF986" s="71">
        <v>0.94674556213017702</v>
      </c>
      <c r="AG986" s="71">
        <v>0.99476439790575899</v>
      </c>
      <c r="AH986" s="71">
        <v>0.98032326071679599</v>
      </c>
      <c r="AI986" s="73">
        <v>0.92</v>
      </c>
      <c r="AJ986" s="71">
        <v>0.95092024539877296</v>
      </c>
      <c r="AK986" s="71">
        <v>0.95340788072417504</v>
      </c>
      <c r="AL986" s="71">
        <v>0.943872467618731</v>
      </c>
      <c r="AM986" s="71">
        <v>0.95710787762798699</v>
      </c>
      <c r="AN986" s="70">
        <v>0.99</v>
      </c>
      <c r="AO986" s="75">
        <v>1</v>
      </c>
      <c r="AP986" s="75">
        <v>1</v>
      </c>
      <c r="AQ986" s="75">
        <v>1</v>
      </c>
      <c r="AR986" s="75">
        <v>1</v>
      </c>
      <c r="AS986" s="95">
        <v>6.5641848892985799E-2</v>
      </c>
      <c r="AT986" s="79">
        <v>0</v>
      </c>
      <c r="AU986" s="79">
        <v>0</v>
      </c>
      <c r="AV986" s="79">
        <v>8.3333333333333301E-2</v>
      </c>
      <c r="AW986" s="79">
        <v>4.1095890410958902E-2</v>
      </c>
      <c r="AX986" s="56"/>
      <c r="AY986" s="54"/>
    </row>
    <row r="987" spans="1:51" ht="15">
      <c r="A987" s="53"/>
      <c r="B987" s="56"/>
      <c r="C987" s="114" t="s">
        <v>921</v>
      </c>
      <c r="D987" s="233" t="s">
        <v>1757</v>
      </c>
      <c r="E987" s="68" t="s">
        <v>922</v>
      </c>
      <c r="F987" s="117" t="s">
        <v>1010</v>
      </c>
      <c r="G987" s="118" t="s">
        <v>1010</v>
      </c>
      <c r="H987" s="118" t="s">
        <v>1010</v>
      </c>
      <c r="I987" s="118" t="s">
        <v>1010</v>
      </c>
      <c r="J987" s="70">
        <v>0.9</v>
      </c>
      <c r="K987" s="71">
        <v>0.87096774193548399</v>
      </c>
      <c r="L987" s="71">
        <v>0.97142857142857097</v>
      </c>
      <c r="M987" s="72">
        <v>0.96666666666666701</v>
      </c>
      <c r="N987" s="71">
        <v>0.93800539083557999</v>
      </c>
      <c r="O987" s="73">
        <v>0.9</v>
      </c>
      <c r="P987" s="71">
        <v>0.96984202967927202</v>
      </c>
      <c r="Q987" s="71">
        <v>0.97019867549668903</v>
      </c>
      <c r="R987" s="71">
        <v>0.955666666666667</v>
      </c>
      <c r="S987" s="71">
        <v>0.96265776252910196</v>
      </c>
      <c r="T987" s="73">
        <v>0.9</v>
      </c>
      <c r="U987" s="71">
        <v>0.91144088080421304</v>
      </c>
      <c r="V987" s="71">
        <v>0.89801324503311297</v>
      </c>
      <c r="W987" s="71">
        <v>0.84766666666666701</v>
      </c>
      <c r="X987" s="71">
        <v>0.89100600416615605</v>
      </c>
      <c r="Y987" s="73">
        <v>0.92</v>
      </c>
      <c r="Z987" s="73" t="s">
        <v>1710</v>
      </c>
      <c r="AA987" s="73" t="s">
        <v>1710</v>
      </c>
      <c r="AB987" s="73" t="s">
        <v>1710</v>
      </c>
      <c r="AC987" s="73">
        <v>0</v>
      </c>
      <c r="AD987" s="73">
        <v>0.92</v>
      </c>
      <c r="AE987" s="71">
        <v>0.99431171786120598</v>
      </c>
      <c r="AF987" s="71">
        <v>0.917721518987342</v>
      </c>
      <c r="AG987" s="71">
        <v>0.888712241653418</v>
      </c>
      <c r="AH987" s="71">
        <v>0.97285443338074895</v>
      </c>
      <c r="AI987" s="73">
        <v>0.92</v>
      </c>
      <c r="AJ987" s="71">
        <v>0.95308760172331297</v>
      </c>
      <c r="AK987" s="71">
        <v>0.95231788079470203</v>
      </c>
      <c r="AL987" s="71">
        <v>0.91666666666666696</v>
      </c>
      <c r="AM987" s="71">
        <v>0.95665757956320596</v>
      </c>
      <c r="AN987" s="70">
        <v>0.99</v>
      </c>
      <c r="AO987" s="75">
        <v>1</v>
      </c>
      <c r="AP987" s="75">
        <v>1</v>
      </c>
      <c r="AQ987" s="75">
        <v>1</v>
      </c>
      <c r="AR987" s="75">
        <v>1</v>
      </c>
      <c r="AS987" s="95">
        <v>6.5641848892985799E-2</v>
      </c>
      <c r="AT987" s="79">
        <v>0</v>
      </c>
      <c r="AU987" s="79">
        <v>6.25E-2</v>
      </c>
      <c r="AV987" s="79">
        <v>6.6666666666666693E-2</v>
      </c>
      <c r="AW987" s="79">
        <v>6.6666666666666693E-2</v>
      </c>
      <c r="AX987" s="56"/>
      <c r="AY987" s="54"/>
    </row>
    <row r="988" spans="1:51" ht="15">
      <c r="A988" s="53"/>
      <c r="B988" s="56"/>
      <c r="C988" s="114" t="s">
        <v>921</v>
      </c>
      <c r="D988" s="233" t="s">
        <v>1757</v>
      </c>
      <c r="E988" s="68" t="s">
        <v>922</v>
      </c>
      <c r="F988" s="117" t="s">
        <v>1011</v>
      </c>
      <c r="G988" s="118" t="s">
        <v>1011</v>
      </c>
      <c r="H988" s="118" t="s">
        <v>1011</v>
      </c>
      <c r="I988" s="118" t="s">
        <v>1011</v>
      </c>
      <c r="J988" s="70">
        <v>0.9</v>
      </c>
      <c r="K988" s="71">
        <v>0.90909090909090895</v>
      </c>
      <c r="L988" s="71">
        <v>0.96153846153846201</v>
      </c>
      <c r="M988" s="72">
        <v>0.92</v>
      </c>
      <c r="N988" s="71">
        <v>0.91864406779661001</v>
      </c>
      <c r="O988" s="73">
        <v>0.9</v>
      </c>
      <c r="P988" s="71">
        <v>0.975895316804408</v>
      </c>
      <c r="Q988" s="71">
        <v>0.97855750487329396</v>
      </c>
      <c r="R988" s="71">
        <v>0.97070707070707096</v>
      </c>
      <c r="S988" s="71">
        <v>0.97445981804397297</v>
      </c>
      <c r="T988" s="73">
        <v>0.9</v>
      </c>
      <c r="U988" s="71">
        <v>0.91735537190082606</v>
      </c>
      <c r="V988" s="71">
        <v>0.92543859649122795</v>
      </c>
      <c r="W988" s="71">
        <v>0.91161616161616199</v>
      </c>
      <c r="X988" s="71">
        <v>0.92039423805913601</v>
      </c>
      <c r="Y988" s="73">
        <v>0.92</v>
      </c>
      <c r="Z988" s="73" t="s">
        <v>1710</v>
      </c>
      <c r="AA988" s="73" t="s">
        <v>1710</v>
      </c>
      <c r="AB988" s="73">
        <v>0</v>
      </c>
      <c r="AC988" s="73">
        <v>0</v>
      </c>
      <c r="AD988" s="73">
        <v>0.92</v>
      </c>
      <c r="AE988" s="71">
        <v>0.99195710455764097</v>
      </c>
      <c r="AF988" s="71">
        <v>0.99681528662420404</v>
      </c>
      <c r="AG988" s="71">
        <v>0.98367346938775502</v>
      </c>
      <c r="AH988" s="71">
        <v>0.99260355029585801</v>
      </c>
      <c r="AI988" s="73">
        <v>0.92</v>
      </c>
      <c r="AJ988" s="71">
        <v>0.939393939393939</v>
      </c>
      <c r="AK988" s="71">
        <v>0.96101364522417199</v>
      </c>
      <c r="AL988" s="71">
        <v>0.94750126198889495</v>
      </c>
      <c r="AM988" s="71">
        <v>0.95608300170551497</v>
      </c>
      <c r="AN988" s="70">
        <v>0.99</v>
      </c>
      <c r="AO988" s="75">
        <v>1</v>
      </c>
      <c r="AP988" s="75">
        <v>1</v>
      </c>
      <c r="AQ988" s="75">
        <v>1</v>
      </c>
      <c r="AR988" s="75">
        <v>1</v>
      </c>
      <c r="AS988" s="95">
        <v>6.5641848892985799E-2</v>
      </c>
      <c r="AT988" s="79">
        <v>0</v>
      </c>
      <c r="AU988" s="79">
        <v>0.15384615384615399</v>
      </c>
      <c r="AV988" s="79">
        <v>0</v>
      </c>
      <c r="AW988" s="79">
        <v>7.8947368421052599E-2</v>
      </c>
      <c r="AX988" s="56"/>
      <c r="AY988" s="54"/>
    </row>
    <row r="989" spans="1:51" ht="15">
      <c r="A989" s="53"/>
      <c r="B989" s="56"/>
      <c r="C989" s="114" t="s">
        <v>921</v>
      </c>
      <c r="D989" s="233" t="s">
        <v>1757</v>
      </c>
      <c r="E989" s="68" t="s">
        <v>922</v>
      </c>
      <c r="F989" s="117" t="s">
        <v>1012</v>
      </c>
      <c r="G989" s="118" t="s">
        <v>1012</v>
      </c>
      <c r="H989" s="118" t="s">
        <v>1012</v>
      </c>
      <c r="I989" s="118" t="s">
        <v>1012</v>
      </c>
      <c r="J989" s="70">
        <v>0.9</v>
      </c>
      <c r="K989" s="71">
        <v>0.89285714285714302</v>
      </c>
      <c r="L989" s="71">
        <v>0.91176470588235303</v>
      </c>
      <c r="M989" s="72">
        <v>0.90909090909090895</v>
      </c>
      <c r="N989" s="71">
        <v>0.93074792243767301</v>
      </c>
      <c r="O989" s="73">
        <v>0.9</v>
      </c>
      <c r="P989" s="71">
        <v>0.96140858658948403</v>
      </c>
      <c r="Q989" s="71">
        <v>0.91633986928104605</v>
      </c>
      <c r="R989" s="71">
        <v>0.95256365538890797</v>
      </c>
      <c r="S989" s="71">
        <v>0.95129439901748503</v>
      </c>
      <c r="T989" s="73">
        <v>0.9</v>
      </c>
      <c r="U989" s="71">
        <v>0.88519054510371398</v>
      </c>
      <c r="V989" s="71">
        <v>0.86013071895424797</v>
      </c>
      <c r="W989" s="71">
        <v>0.91663760027903696</v>
      </c>
      <c r="X989" s="71">
        <v>0.90468957047283505</v>
      </c>
      <c r="Y989" s="73">
        <v>0.92</v>
      </c>
      <c r="Z989" s="73" t="s">
        <v>1710</v>
      </c>
      <c r="AA989" s="73">
        <v>0</v>
      </c>
      <c r="AB989" s="73">
        <v>0</v>
      </c>
      <c r="AC989" s="73">
        <v>0</v>
      </c>
      <c r="AD989" s="73">
        <v>0.92</v>
      </c>
      <c r="AE989" s="71">
        <v>0.97094259390503201</v>
      </c>
      <c r="AF989" s="71">
        <v>0.99317871759890897</v>
      </c>
      <c r="AG989" s="71">
        <v>0.92387543252595195</v>
      </c>
      <c r="AH989" s="71">
        <v>0.983665468801045</v>
      </c>
      <c r="AI989" s="73">
        <v>0.92</v>
      </c>
      <c r="AJ989" s="71">
        <v>0.94645441389290896</v>
      </c>
      <c r="AK989" s="71">
        <v>0.93109079033311604</v>
      </c>
      <c r="AL989" s="71">
        <v>0.95746164574616499</v>
      </c>
      <c r="AM989" s="71">
        <v>0.95081914240475696</v>
      </c>
      <c r="AN989" s="70">
        <v>0.99</v>
      </c>
      <c r="AO989" s="75">
        <v>1</v>
      </c>
      <c r="AP989" s="75">
        <v>1</v>
      </c>
      <c r="AQ989" s="75">
        <v>1</v>
      </c>
      <c r="AR989" s="75">
        <v>1</v>
      </c>
      <c r="AS989" s="95">
        <v>6.5641848892985799E-2</v>
      </c>
      <c r="AT989" s="79">
        <v>0</v>
      </c>
      <c r="AU989" s="79">
        <v>0.25</v>
      </c>
      <c r="AV989" s="79">
        <v>0</v>
      </c>
      <c r="AW989" s="79">
        <v>9.3220338983050793E-2</v>
      </c>
      <c r="AX989" s="56"/>
      <c r="AY989" s="54"/>
    </row>
    <row r="990" spans="1:51" ht="15">
      <c r="A990" s="53"/>
      <c r="B990" s="56"/>
      <c r="C990" s="114" t="s">
        <v>921</v>
      </c>
      <c r="D990" s="233" t="s">
        <v>1757</v>
      </c>
      <c r="E990" s="68" t="s">
        <v>922</v>
      </c>
      <c r="F990" s="121" t="s">
        <v>1013</v>
      </c>
      <c r="G990" s="122" t="s">
        <v>1013</v>
      </c>
      <c r="H990" s="122" t="s">
        <v>1013</v>
      </c>
      <c r="I990" s="122" t="s">
        <v>1013</v>
      </c>
      <c r="J990" s="70">
        <v>0.9</v>
      </c>
      <c r="K990" s="71">
        <v>1</v>
      </c>
      <c r="L990" s="71">
        <v>0.96666666666666701</v>
      </c>
      <c r="M990" s="72">
        <v>0.96428571428571397</v>
      </c>
      <c r="N990" s="71">
        <v>0.96604938271604901</v>
      </c>
      <c r="O990" s="73">
        <v>0.9</v>
      </c>
      <c r="P990" s="71">
        <v>0.96118012422360199</v>
      </c>
      <c r="Q990" s="71">
        <v>0.97291393621668898</v>
      </c>
      <c r="R990" s="71">
        <v>0.96237064910630299</v>
      </c>
      <c r="S990" s="71">
        <v>0.96327683615819204</v>
      </c>
      <c r="T990" s="73">
        <v>0.9</v>
      </c>
      <c r="U990" s="71">
        <v>0.92857142857142905</v>
      </c>
      <c r="V990" s="71">
        <v>0.92442114460463098</v>
      </c>
      <c r="W990" s="71">
        <v>0.92756349952963302</v>
      </c>
      <c r="X990" s="71">
        <v>0.93393475487515898</v>
      </c>
      <c r="Y990" s="73">
        <v>0.92</v>
      </c>
      <c r="Z990" s="73">
        <v>0.92907801418439695</v>
      </c>
      <c r="AA990" s="73">
        <v>0.89508196721311495</v>
      </c>
      <c r="AB990" s="73">
        <v>0.85517241379310305</v>
      </c>
      <c r="AC990" s="73">
        <v>0.89510357815442598</v>
      </c>
      <c r="AD990" s="73">
        <v>0.92</v>
      </c>
      <c r="AE990" s="71">
        <v>0.99415204678362601</v>
      </c>
      <c r="AF990" s="71">
        <v>1</v>
      </c>
      <c r="AG990" s="71">
        <v>0.81150159744408901</v>
      </c>
      <c r="AH990" s="71">
        <v>0.97798657718120796</v>
      </c>
      <c r="AI990" s="73">
        <v>0.92</v>
      </c>
      <c r="AJ990" s="71">
        <v>0.96433121019108303</v>
      </c>
      <c r="AK990" s="71">
        <v>0.96619523973784105</v>
      </c>
      <c r="AL990" s="71">
        <v>0.95743850058570901</v>
      </c>
      <c r="AM990" s="71">
        <v>0.96485822236895202</v>
      </c>
      <c r="AN990" s="70">
        <v>0.99</v>
      </c>
      <c r="AO990" s="75">
        <v>1</v>
      </c>
      <c r="AP990" s="75">
        <v>1</v>
      </c>
      <c r="AQ990" s="75">
        <v>1</v>
      </c>
      <c r="AR990" s="75">
        <v>1</v>
      </c>
      <c r="AS990" s="95">
        <v>6.5641848892985799E-2</v>
      </c>
      <c r="AT990" s="79">
        <v>0.125</v>
      </c>
      <c r="AU990" s="79">
        <v>0</v>
      </c>
      <c r="AV990" s="79">
        <v>6.25E-2</v>
      </c>
      <c r="AW990" s="79">
        <v>3.125E-2</v>
      </c>
      <c r="AX990" s="56"/>
      <c r="AY990" s="54"/>
    </row>
    <row r="991" spans="1:51" ht="15">
      <c r="A991" s="53"/>
      <c r="B991" s="56"/>
      <c r="C991" s="114" t="s">
        <v>921</v>
      </c>
      <c r="D991" s="233" t="s">
        <v>1757</v>
      </c>
      <c r="E991" s="68" t="s">
        <v>922</v>
      </c>
      <c r="F991" s="117" t="s">
        <v>1014</v>
      </c>
      <c r="G991" s="118" t="s">
        <v>1014</v>
      </c>
      <c r="H991" s="118" t="s">
        <v>1014</v>
      </c>
      <c r="I991" s="118" t="s">
        <v>1014</v>
      </c>
      <c r="J991" s="70">
        <v>0.9</v>
      </c>
      <c r="K991" s="71">
        <v>0.92857142857142905</v>
      </c>
      <c r="L991" s="71">
        <v>1</v>
      </c>
      <c r="M991" s="72">
        <v>0.90909090909090895</v>
      </c>
      <c r="N991" s="71">
        <v>0.95148247978436695</v>
      </c>
      <c r="O991" s="73">
        <v>0.9</v>
      </c>
      <c r="P991" s="71">
        <v>0.95635229929851895</v>
      </c>
      <c r="Q991" s="71">
        <v>0.90278988666085402</v>
      </c>
      <c r="R991" s="71">
        <v>0.89446768944676902</v>
      </c>
      <c r="S991" s="71">
        <v>0.95343982573969899</v>
      </c>
      <c r="T991" s="73">
        <v>0.9</v>
      </c>
      <c r="U991" s="71">
        <v>0.87529228371005496</v>
      </c>
      <c r="V991" s="71">
        <v>0.89537925021796005</v>
      </c>
      <c r="W991" s="71">
        <v>0.89539748953974896</v>
      </c>
      <c r="X991" s="71">
        <v>0.91141768015973901</v>
      </c>
      <c r="Y991" s="73">
        <v>0.92</v>
      </c>
      <c r="Z991" s="73">
        <v>0.29259259259259301</v>
      </c>
      <c r="AA991" s="73">
        <v>0.465040650406504</v>
      </c>
      <c r="AB991" s="73">
        <v>0.355855855855856</v>
      </c>
      <c r="AC991" s="73">
        <v>0.39064596511404998</v>
      </c>
      <c r="AD991" s="73">
        <v>0.92</v>
      </c>
      <c r="AE991" s="71">
        <v>0.995018679950187</v>
      </c>
      <c r="AF991" s="71">
        <v>0.97942386831275696</v>
      </c>
      <c r="AG991" s="71">
        <v>0.92783505154639201</v>
      </c>
      <c r="AH991" s="71">
        <v>0.98222424794895202</v>
      </c>
      <c r="AI991" s="73">
        <v>0.92</v>
      </c>
      <c r="AJ991" s="71">
        <v>0.81777205408886</v>
      </c>
      <c r="AK991" s="71">
        <v>0.84462014437951205</v>
      </c>
      <c r="AL991" s="71">
        <v>0.83513097072419096</v>
      </c>
      <c r="AM991" s="71">
        <v>0.84499963313522597</v>
      </c>
      <c r="AN991" s="70">
        <v>0.99</v>
      </c>
      <c r="AO991" s="75">
        <v>1</v>
      </c>
      <c r="AP991" s="75">
        <v>1</v>
      </c>
      <c r="AQ991" s="75">
        <v>1</v>
      </c>
      <c r="AR991" s="75">
        <v>1</v>
      </c>
      <c r="AS991" s="95">
        <v>6.5641848892985799E-2</v>
      </c>
      <c r="AT991" s="79">
        <v>0</v>
      </c>
      <c r="AU991" s="79">
        <v>0</v>
      </c>
      <c r="AV991" s="79">
        <v>0</v>
      </c>
      <c r="AW991" s="79">
        <v>7.2072072072072099E-2</v>
      </c>
      <c r="AX991" s="56"/>
      <c r="AY991" s="54"/>
    </row>
    <row r="992" spans="1:51" ht="15">
      <c r="A992" s="53"/>
      <c r="B992" s="56"/>
      <c r="C992" s="114" t="s">
        <v>921</v>
      </c>
      <c r="D992" s="233" t="s">
        <v>1757</v>
      </c>
      <c r="E992" s="68" t="s">
        <v>922</v>
      </c>
      <c r="F992" s="121" t="s">
        <v>1015</v>
      </c>
      <c r="G992" s="122" t="s">
        <v>1015</v>
      </c>
      <c r="H992" s="122" t="s">
        <v>1015</v>
      </c>
      <c r="I992" s="122" t="s">
        <v>1015</v>
      </c>
      <c r="J992" s="70">
        <v>0.9</v>
      </c>
      <c r="K992" s="71">
        <v>0.92307692307692302</v>
      </c>
      <c r="L992" s="71">
        <v>0.97674418604651203</v>
      </c>
      <c r="M992" s="72">
        <v>0.97560975609756095</v>
      </c>
      <c r="N992" s="71">
        <v>0.95717344753747302</v>
      </c>
      <c r="O992" s="73">
        <v>0.9</v>
      </c>
      <c r="P992" s="71">
        <v>0.99023524189968903</v>
      </c>
      <c r="Q992" s="71">
        <v>0.98712335822817399</v>
      </c>
      <c r="R992" s="71">
        <v>0.98280802292263603</v>
      </c>
      <c r="S992" s="71">
        <v>0.98264040471482506</v>
      </c>
      <c r="T992" s="73">
        <v>0.9</v>
      </c>
      <c r="U992" s="71">
        <v>0.92232578783843799</v>
      </c>
      <c r="V992" s="71">
        <v>0.87638423899047102</v>
      </c>
      <c r="W992" s="71">
        <v>0.89893201354519403</v>
      </c>
      <c r="X992" s="71">
        <v>0.91474281605505803</v>
      </c>
      <c r="Y992" s="73">
        <v>0.92</v>
      </c>
      <c r="Z992" s="73">
        <v>0.89772727272727304</v>
      </c>
      <c r="AA992" s="73">
        <v>0.91216834400731905</v>
      </c>
      <c r="AB992" s="73">
        <v>0.85887096774193505</v>
      </c>
      <c r="AC992" s="73">
        <v>0.90229699126496299</v>
      </c>
      <c r="AD992" s="73">
        <v>0.92</v>
      </c>
      <c r="AE992" s="71">
        <v>0.97525597269624598</v>
      </c>
      <c r="AF992" s="71">
        <v>0.99056603773584895</v>
      </c>
      <c r="AG992" s="71">
        <v>0.99779977997799796</v>
      </c>
      <c r="AH992" s="71">
        <v>0.98990690837824602</v>
      </c>
      <c r="AI992" s="73">
        <v>0.92</v>
      </c>
      <c r="AJ992" s="71">
        <v>0.96224379719525399</v>
      </c>
      <c r="AK992" s="71">
        <v>0.957596463022508</v>
      </c>
      <c r="AL992" s="71">
        <v>0.94568062827225097</v>
      </c>
      <c r="AM992" s="71">
        <v>0.96067858476087797</v>
      </c>
      <c r="AN992" s="70">
        <v>0.99</v>
      </c>
      <c r="AO992" s="75">
        <v>1</v>
      </c>
      <c r="AP992" s="75">
        <v>1</v>
      </c>
      <c r="AQ992" s="75">
        <v>1</v>
      </c>
      <c r="AR992" s="75">
        <v>1</v>
      </c>
      <c r="AS992" s="95">
        <v>6.5641848892985799E-2</v>
      </c>
      <c r="AT992" s="79">
        <v>4.3478260869565202E-2</v>
      </c>
      <c r="AU992" s="79">
        <v>0.15</v>
      </c>
      <c r="AV992" s="79">
        <v>0</v>
      </c>
      <c r="AW992" s="79">
        <v>3.2388663967611302E-2</v>
      </c>
      <c r="AX992" s="56"/>
      <c r="AY992" s="54"/>
    </row>
    <row r="993" spans="1:51">
      <c r="A993" s="53"/>
      <c r="B993" s="56"/>
      <c r="C993" s="114" t="s">
        <v>921</v>
      </c>
      <c r="D993" s="233" t="s">
        <v>1757</v>
      </c>
      <c r="E993" s="68" t="s">
        <v>922</v>
      </c>
      <c r="F993" s="125" t="s">
        <v>1016</v>
      </c>
      <c r="G993" s="126" t="s">
        <v>1016</v>
      </c>
      <c r="H993" s="126" t="s">
        <v>1016</v>
      </c>
      <c r="I993" s="126" t="s">
        <v>1016</v>
      </c>
      <c r="J993" s="70">
        <v>0.9</v>
      </c>
      <c r="K993" s="71">
        <v>0.86666666666666703</v>
      </c>
      <c r="L993" s="71">
        <v>0.94594594594594605</v>
      </c>
      <c r="M993" s="72">
        <v>0.91176470588235303</v>
      </c>
      <c r="N993" s="71">
        <v>0.93005181347150301</v>
      </c>
      <c r="O993" s="73">
        <v>0.9</v>
      </c>
      <c r="P993" s="71">
        <v>0.98184912081678999</v>
      </c>
      <c r="Q993" s="71">
        <v>0.98412184057031804</v>
      </c>
      <c r="R993" s="71">
        <v>0.97938852627962902</v>
      </c>
      <c r="S993" s="71">
        <v>0.98165898617511504</v>
      </c>
      <c r="T993" s="73">
        <v>0.9</v>
      </c>
      <c r="U993" s="71">
        <v>0.93647192285876302</v>
      </c>
      <c r="V993" s="71">
        <v>0.942320155541154</v>
      </c>
      <c r="W993" s="71">
        <v>0.92854689110271404</v>
      </c>
      <c r="X993" s="71">
        <v>0.93978494623655895</v>
      </c>
      <c r="Y993" s="73">
        <v>0.92</v>
      </c>
      <c r="Z993" s="73">
        <v>0.93850658857979496</v>
      </c>
      <c r="AA993" s="73">
        <v>0.95345104333868402</v>
      </c>
      <c r="AB993" s="73">
        <v>0.90490797546012303</v>
      </c>
      <c r="AC993" s="73">
        <v>0.94089355777749695</v>
      </c>
      <c r="AD993" s="73">
        <v>0.92</v>
      </c>
      <c r="AE993" s="71">
        <v>0.997325249643367</v>
      </c>
      <c r="AF993" s="71">
        <v>0.11525129982669</v>
      </c>
      <c r="AG993" s="71">
        <v>0.98693647540983598</v>
      </c>
      <c r="AH993" s="71">
        <v>0.94978970192533796</v>
      </c>
      <c r="AI993" s="73">
        <v>0.92</v>
      </c>
      <c r="AJ993" s="71">
        <v>0.95748160261651705</v>
      </c>
      <c r="AK993" s="71">
        <v>0.97115125370719901</v>
      </c>
      <c r="AL993" s="71">
        <v>0.95140138853175604</v>
      </c>
      <c r="AM993" s="71">
        <v>0.96964603519873405</v>
      </c>
      <c r="AN993" s="70">
        <v>0.99</v>
      </c>
      <c r="AO993" s="75">
        <v>1</v>
      </c>
      <c r="AP993" s="75">
        <v>1</v>
      </c>
      <c r="AQ993" s="75">
        <v>1</v>
      </c>
      <c r="AR993" s="75">
        <v>1</v>
      </c>
      <c r="AS993" s="95">
        <v>6.5641848892985799E-2</v>
      </c>
      <c r="AT993" s="79">
        <v>0</v>
      </c>
      <c r="AU993" s="79">
        <v>0.157894736842105</v>
      </c>
      <c r="AV993" s="79">
        <v>6.6666666666666693E-2</v>
      </c>
      <c r="AW993" s="79">
        <v>3.5128805620608897E-2</v>
      </c>
      <c r="AX993" s="56"/>
      <c r="AY993" s="54"/>
    </row>
    <row r="994" spans="1:51">
      <c r="A994" s="53"/>
      <c r="B994" s="56"/>
      <c r="C994" s="114" t="s">
        <v>921</v>
      </c>
      <c r="D994" s="233" t="s">
        <v>1757</v>
      </c>
      <c r="E994" s="68" t="s">
        <v>922</v>
      </c>
      <c r="F994" s="115" t="s">
        <v>1017</v>
      </c>
      <c r="G994" s="116" t="s">
        <v>1017</v>
      </c>
      <c r="H994" s="116" t="s">
        <v>1017</v>
      </c>
      <c r="I994" s="116" t="s">
        <v>1017</v>
      </c>
      <c r="J994" s="70">
        <v>0.9</v>
      </c>
      <c r="K994" s="71">
        <v>0.90476190476190499</v>
      </c>
      <c r="L994" s="71">
        <v>0.81818181818181801</v>
      </c>
      <c r="M994" s="72">
        <v>0.85714285714285698</v>
      </c>
      <c r="N994" s="71">
        <v>0.85232067510548504</v>
      </c>
      <c r="O994" s="73">
        <v>0.9</v>
      </c>
      <c r="P994" s="71">
        <v>0.933018124507486</v>
      </c>
      <c r="Q994" s="71">
        <v>0.87317961165048497</v>
      </c>
      <c r="R994" s="71">
        <v>0.76126984126984099</v>
      </c>
      <c r="S994" s="71">
        <v>0.860012274730793</v>
      </c>
      <c r="T994" s="73">
        <v>0.9</v>
      </c>
      <c r="U994" s="71">
        <v>0.946414499605989</v>
      </c>
      <c r="V994" s="71">
        <v>0.87621359223300999</v>
      </c>
      <c r="W994" s="71">
        <v>0.86095238095238102</v>
      </c>
      <c r="X994" s="71">
        <v>0.88963901132622902</v>
      </c>
      <c r="Y994" s="73">
        <v>0.92</v>
      </c>
      <c r="Z994" s="73">
        <v>0.78140703517587895</v>
      </c>
      <c r="AA994" s="73">
        <v>0.725400457665904</v>
      </c>
      <c r="AB994" s="73">
        <v>0.56343283582089598</v>
      </c>
      <c r="AC994" s="73">
        <v>0.725237592397043</v>
      </c>
      <c r="AD994" s="73">
        <v>0.92</v>
      </c>
      <c r="AE994" s="71">
        <v>0.98490230905861498</v>
      </c>
      <c r="AF994" s="71">
        <v>0.62711864406779705</v>
      </c>
      <c r="AG994" s="71">
        <v>0.97888067581837401</v>
      </c>
      <c r="AH994" s="71">
        <v>0.87444739168877095</v>
      </c>
      <c r="AI994" s="73">
        <v>0.92</v>
      </c>
      <c r="AJ994" s="71">
        <v>0.92741451709658096</v>
      </c>
      <c r="AK994" s="71">
        <v>0.91798561151079106</v>
      </c>
      <c r="AL994" s="71">
        <v>0.847939365229749</v>
      </c>
      <c r="AM994" s="71">
        <v>0.91729555584977296</v>
      </c>
      <c r="AN994" s="70">
        <v>0.99</v>
      </c>
      <c r="AO994" s="75">
        <v>1</v>
      </c>
      <c r="AP994" s="75">
        <v>1</v>
      </c>
      <c r="AQ994" s="75">
        <v>1</v>
      </c>
      <c r="AR994" s="75">
        <v>1</v>
      </c>
      <c r="AS994" s="95">
        <v>6.5641848892985799E-2</v>
      </c>
      <c r="AT994" s="79">
        <v>0</v>
      </c>
      <c r="AU994" s="79">
        <v>8.6956521739130405E-2</v>
      </c>
      <c r="AV994" s="79">
        <v>0.08</v>
      </c>
      <c r="AW994" s="79">
        <v>2.66666666666667E-2</v>
      </c>
      <c r="AX994" s="56"/>
      <c r="AY994" s="54"/>
    </row>
    <row r="995" spans="1:51">
      <c r="A995" s="53"/>
      <c r="B995" s="56"/>
      <c r="C995" s="114" t="s">
        <v>921</v>
      </c>
      <c r="D995" s="233" t="s">
        <v>1757</v>
      </c>
      <c r="E995" s="68" t="s">
        <v>922</v>
      </c>
      <c r="F995" s="115" t="s">
        <v>1018</v>
      </c>
      <c r="G995" s="116" t="s">
        <v>1018</v>
      </c>
      <c r="H995" s="116" t="s">
        <v>1018</v>
      </c>
      <c r="I995" s="116" t="s">
        <v>1018</v>
      </c>
      <c r="J995" s="70">
        <v>0.9</v>
      </c>
      <c r="K995" s="71">
        <v>0.94736842105263197</v>
      </c>
      <c r="L995" s="71">
        <v>0.9</v>
      </c>
      <c r="M995" s="72">
        <v>0.89473684210526305</v>
      </c>
      <c r="N995" s="71">
        <v>0.93693693693693703</v>
      </c>
      <c r="O995" s="73">
        <v>0.9</v>
      </c>
      <c r="P995" s="71">
        <v>0.97614314115308198</v>
      </c>
      <c r="Q995" s="71">
        <v>0.97179788484136298</v>
      </c>
      <c r="R995" s="71">
        <v>0.57587997691863801</v>
      </c>
      <c r="S995" s="71">
        <v>0.92236660215648303</v>
      </c>
      <c r="T995" s="73">
        <v>0.9</v>
      </c>
      <c r="U995" s="71">
        <v>0.92842942345924495</v>
      </c>
      <c r="V995" s="71">
        <v>0.92185663924794403</v>
      </c>
      <c r="W995" s="71">
        <v>0.91748413156376196</v>
      </c>
      <c r="X995" s="71">
        <v>0.90837710810063599</v>
      </c>
      <c r="Y995" s="73">
        <v>0.92</v>
      </c>
      <c r="Z995" s="73">
        <v>0.92757660167130895</v>
      </c>
      <c r="AA995" s="73">
        <v>0.91899441340782095</v>
      </c>
      <c r="AB995" s="73">
        <v>0.91228070175438603</v>
      </c>
      <c r="AC995" s="73">
        <v>0.91941391941391903</v>
      </c>
      <c r="AD995" s="73">
        <v>0.92</v>
      </c>
      <c r="AE995" s="71">
        <v>0.984615384615385</v>
      </c>
      <c r="AF995" s="71">
        <v>0.83669064748201405</v>
      </c>
      <c r="AG995" s="71">
        <v>0.87187499999999996</v>
      </c>
      <c r="AH995" s="71">
        <v>0.81312657771366703</v>
      </c>
      <c r="AI995" s="73">
        <v>0.92</v>
      </c>
      <c r="AJ995" s="71">
        <v>0.94871794871794901</v>
      </c>
      <c r="AK995" s="71">
        <v>0.954039671020803</v>
      </c>
      <c r="AL995" s="71">
        <v>0.95681211041852199</v>
      </c>
      <c r="AM995" s="71">
        <v>0.95786241879505196</v>
      </c>
      <c r="AN995" s="70">
        <v>0.99</v>
      </c>
      <c r="AO995" s="75">
        <v>1</v>
      </c>
      <c r="AP995" s="75">
        <v>1</v>
      </c>
      <c r="AQ995" s="75">
        <v>1</v>
      </c>
      <c r="AR995" s="75">
        <v>1</v>
      </c>
      <c r="AS995" s="95">
        <v>6.5641848892985799E-2</v>
      </c>
      <c r="AT995" s="79">
        <v>4.5454545454545497E-2</v>
      </c>
      <c r="AU995" s="79">
        <v>0.22222222222222199</v>
      </c>
      <c r="AV995" s="79">
        <v>0</v>
      </c>
      <c r="AW995" s="79">
        <v>4.8979591836734698E-2</v>
      </c>
      <c r="AX995" s="56"/>
      <c r="AY995" s="54"/>
    </row>
    <row r="996" spans="1:51">
      <c r="A996" s="53"/>
      <c r="B996" s="56"/>
      <c r="C996" s="114" t="s">
        <v>921</v>
      </c>
      <c r="D996" s="233" t="s">
        <v>1757</v>
      </c>
      <c r="E996" s="68" t="s">
        <v>922</v>
      </c>
      <c r="F996" s="125" t="s">
        <v>1019</v>
      </c>
      <c r="G996" s="126" t="s">
        <v>1019</v>
      </c>
      <c r="H996" s="126" t="s">
        <v>1019</v>
      </c>
      <c r="I996" s="126" t="s">
        <v>1019</v>
      </c>
      <c r="J996" s="70">
        <v>0.9</v>
      </c>
      <c r="K996" s="71">
        <v>0.9</v>
      </c>
      <c r="L996" s="71">
        <v>0.8</v>
      </c>
      <c r="M996" s="72">
        <v>0.66666666666666696</v>
      </c>
      <c r="N996" s="71">
        <v>0.74782608695652197</v>
      </c>
      <c r="O996" s="73">
        <v>0.9</v>
      </c>
      <c r="P996" s="71">
        <v>0.92222222222222205</v>
      </c>
      <c r="Q996" s="71">
        <v>0.92036290322580605</v>
      </c>
      <c r="R996" s="71">
        <v>0.94625922023182296</v>
      </c>
      <c r="S996" s="71">
        <v>0.93811043419398499</v>
      </c>
      <c r="T996" s="73">
        <v>0.9</v>
      </c>
      <c r="U996" s="71">
        <v>0.87301587301587302</v>
      </c>
      <c r="V996" s="71">
        <v>0.89415322580645196</v>
      </c>
      <c r="W996" s="71">
        <v>0.87671232876712302</v>
      </c>
      <c r="X996" s="71">
        <v>0.91625568126873602</v>
      </c>
      <c r="Y996" s="73">
        <v>0.92</v>
      </c>
      <c r="Z996" s="73">
        <v>0.85398230088495597</v>
      </c>
      <c r="AA996" s="73">
        <v>0.83582089552238803</v>
      </c>
      <c r="AB996" s="73">
        <v>0.79611650485436902</v>
      </c>
      <c r="AC996" s="73">
        <v>0.86746062235881705</v>
      </c>
      <c r="AD996" s="73">
        <v>0.92</v>
      </c>
      <c r="AE996" s="71">
        <v>0.99294781382228503</v>
      </c>
      <c r="AF996" s="71">
        <v>0.703125</v>
      </c>
      <c r="AG996" s="71">
        <v>0.98050682261208599</v>
      </c>
      <c r="AH996" s="71">
        <v>0.86639374767398603</v>
      </c>
      <c r="AI996" s="73">
        <v>0.92</v>
      </c>
      <c r="AJ996" s="71">
        <v>0.90303738317756999</v>
      </c>
      <c r="AK996" s="71">
        <v>0.92791282481140003</v>
      </c>
      <c r="AL996" s="71">
        <v>0.90699523052464204</v>
      </c>
      <c r="AM996" s="71">
        <v>0.94638442521631605</v>
      </c>
      <c r="AN996" s="70">
        <v>0.99</v>
      </c>
      <c r="AO996" s="75">
        <v>1</v>
      </c>
      <c r="AP996" s="75">
        <v>1</v>
      </c>
      <c r="AQ996" s="75">
        <v>1</v>
      </c>
      <c r="AR996" s="75">
        <v>1</v>
      </c>
      <c r="AS996" s="95">
        <v>6.5641848892985799E-2</v>
      </c>
      <c r="AT996" s="79">
        <v>7.1428571428571397E-2</v>
      </c>
      <c r="AU996" s="79">
        <v>0</v>
      </c>
      <c r="AV996" s="79">
        <v>0</v>
      </c>
      <c r="AW996" s="79">
        <v>3.5971223021582698E-2</v>
      </c>
      <c r="AX996" s="56"/>
      <c r="AY996" s="54"/>
    </row>
    <row r="997" spans="1:51">
      <c r="A997" s="53"/>
      <c r="B997" s="56"/>
      <c r="C997" s="114" t="s">
        <v>921</v>
      </c>
      <c r="D997" s="233" t="s">
        <v>1759</v>
      </c>
      <c r="E997" s="68" t="s">
        <v>922</v>
      </c>
      <c r="F997" s="115" t="s">
        <v>1020</v>
      </c>
      <c r="G997" s="116" t="s">
        <v>1020</v>
      </c>
      <c r="H997" s="116" t="s">
        <v>1020</v>
      </c>
      <c r="I997" s="116" t="s">
        <v>1020</v>
      </c>
      <c r="J997" s="70">
        <v>0.9</v>
      </c>
      <c r="K997" s="71" t="s">
        <v>1710</v>
      </c>
      <c r="L997" s="71" t="s">
        <v>1710</v>
      </c>
      <c r="M997" s="72" t="s">
        <v>1710</v>
      </c>
      <c r="N997" s="71" t="s">
        <v>1710</v>
      </c>
      <c r="O997" s="73">
        <v>0.9</v>
      </c>
      <c r="P997" s="71" t="s">
        <v>1710</v>
      </c>
      <c r="Q997" s="71" t="s">
        <v>1710</v>
      </c>
      <c r="R997" s="71" t="s">
        <v>1710</v>
      </c>
      <c r="S997" s="71">
        <v>0</v>
      </c>
      <c r="T997" s="73">
        <v>0.9</v>
      </c>
      <c r="U997" s="71" t="s">
        <v>1710</v>
      </c>
      <c r="V997" s="71" t="s">
        <v>1710</v>
      </c>
      <c r="W997" s="71" t="s">
        <v>1710</v>
      </c>
      <c r="X997" s="71">
        <v>0</v>
      </c>
      <c r="Y997" s="73">
        <v>0.92</v>
      </c>
      <c r="Z997" s="73" t="s">
        <v>1710</v>
      </c>
      <c r="AA997" s="73" t="s">
        <v>1710</v>
      </c>
      <c r="AB997" s="73" t="s">
        <v>1710</v>
      </c>
      <c r="AC997" s="73" t="s">
        <v>1710</v>
      </c>
      <c r="AD997" s="73">
        <v>0.92</v>
      </c>
      <c r="AE997" s="71">
        <v>0.98231827111984305</v>
      </c>
      <c r="AF997" s="71">
        <v>0.183520599250936</v>
      </c>
      <c r="AG997" s="71">
        <v>0.98559077809798301</v>
      </c>
      <c r="AH997" s="71">
        <v>0.79286019666524199</v>
      </c>
      <c r="AI997" s="73">
        <v>0.92</v>
      </c>
      <c r="AJ997" s="71" t="s">
        <v>1710</v>
      </c>
      <c r="AK997" s="71" t="s">
        <v>1710</v>
      </c>
      <c r="AL997" s="71" t="s">
        <v>1710</v>
      </c>
      <c r="AM997" s="71">
        <v>0</v>
      </c>
      <c r="AN997" s="70">
        <v>0.99</v>
      </c>
      <c r="AO997" s="75">
        <v>1</v>
      </c>
      <c r="AP997" s="75">
        <v>1</v>
      </c>
      <c r="AQ997" s="75">
        <v>1</v>
      </c>
      <c r="AR997" s="75">
        <v>1</v>
      </c>
      <c r="AS997" s="95">
        <v>6.5641848892985799E-2</v>
      </c>
      <c r="AT997" s="79" t="s">
        <v>1710</v>
      </c>
      <c r="AU997" s="79" t="s">
        <v>1710</v>
      </c>
      <c r="AV997" s="79" t="s">
        <v>1710</v>
      </c>
      <c r="AW997" s="79" t="s">
        <v>1710</v>
      </c>
      <c r="AX997" s="56"/>
      <c r="AY997" s="54"/>
    </row>
    <row r="998" spans="1:51">
      <c r="A998" s="53"/>
      <c r="B998" s="56"/>
      <c r="C998" s="114" t="s">
        <v>921</v>
      </c>
      <c r="D998" s="233" t="s">
        <v>1757</v>
      </c>
      <c r="E998" s="68" t="s">
        <v>922</v>
      </c>
      <c r="F998" s="115" t="s">
        <v>1021</v>
      </c>
      <c r="G998" s="116" t="s">
        <v>1021</v>
      </c>
      <c r="H998" s="116" t="s">
        <v>1021</v>
      </c>
      <c r="I998" s="116" t="s">
        <v>1021</v>
      </c>
      <c r="J998" s="70">
        <v>0.9</v>
      </c>
      <c r="K998" s="71">
        <v>1</v>
      </c>
      <c r="L998" s="71">
        <v>0.89473684210526305</v>
      </c>
      <c r="M998" s="72">
        <v>0.86666666666666703</v>
      </c>
      <c r="N998" s="71">
        <v>0.82318840579710095</v>
      </c>
      <c r="O998" s="73">
        <v>0.9</v>
      </c>
      <c r="P998" s="71">
        <v>0.91459781529294903</v>
      </c>
      <c r="Q998" s="71">
        <v>0.93084216397099795</v>
      </c>
      <c r="R998" s="71">
        <v>0.92118390422347896</v>
      </c>
      <c r="S998" s="71">
        <v>0.93113054745707802</v>
      </c>
      <c r="T998" s="73">
        <v>0.9</v>
      </c>
      <c r="U998" s="71">
        <v>0.89473684210526305</v>
      </c>
      <c r="V998" s="71">
        <v>0.877300613496933</v>
      </c>
      <c r="W998" s="71">
        <v>0.82174925174592595</v>
      </c>
      <c r="X998" s="71">
        <v>0.85574991901522501</v>
      </c>
      <c r="Y998" s="73">
        <v>0.92</v>
      </c>
      <c r="Z998" s="73">
        <v>0.83599419448476098</v>
      </c>
      <c r="AA998" s="73">
        <v>0.90947075208913697</v>
      </c>
      <c r="AB998" s="73">
        <v>0.82649842271293406</v>
      </c>
      <c r="AC998" s="73">
        <v>0.88176810425903496</v>
      </c>
      <c r="AD998" s="73">
        <v>0.92</v>
      </c>
      <c r="AE998" s="71">
        <v>0.99357042395017103</v>
      </c>
      <c r="AF998" s="71">
        <v>0.92483717655342401</v>
      </c>
      <c r="AG998" s="71">
        <v>0.910666341225287</v>
      </c>
      <c r="AH998" s="71">
        <v>0.91789973924179502</v>
      </c>
      <c r="AI998" s="73">
        <v>0.92</v>
      </c>
      <c r="AJ998" s="71">
        <v>0.913429522752497</v>
      </c>
      <c r="AK998" s="71">
        <v>0.94146341463414596</v>
      </c>
      <c r="AL998" s="71">
        <v>0.90757575757575804</v>
      </c>
      <c r="AM998" s="71">
        <v>0.936348234067509</v>
      </c>
      <c r="AN998" s="70">
        <v>0.99</v>
      </c>
      <c r="AO998" s="75">
        <v>1</v>
      </c>
      <c r="AP998" s="75">
        <v>1</v>
      </c>
      <c r="AQ998" s="75">
        <v>1</v>
      </c>
      <c r="AR998" s="75">
        <v>1</v>
      </c>
      <c r="AS998" s="95">
        <v>6.5641848892985799E-2</v>
      </c>
      <c r="AT998" s="79">
        <v>0.125</v>
      </c>
      <c r="AU998" s="79">
        <v>7.4999999999999997E-2</v>
      </c>
      <c r="AV998" s="79">
        <v>0</v>
      </c>
      <c r="AW998" s="79">
        <v>3.4482758620689703E-2</v>
      </c>
      <c r="AX998" s="56"/>
      <c r="AY998" s="54"/>
    </row>
    <row r="999" spans="1:51">
      <c r="A999" s="53"/>
      <c r="B999" s="56"/>
      <c r="C999" s="114" t="s">
        <v>921</v>
      </c>
      <c r="D999" s="233" t="s">
        <v>1759</v>
      </c>
      <c r="E999" s="68" t="s">
        <v>922</v>
      </c>
      <c r="F999" s="115" t="s">
        <v>1022</v>
      </c>
      <c r="G999" s="116" t="s">
        <v>1022</v>
      </c>
      <c r="H999" s="116" t="s">
        <v>1022</v>
      </c>
      <c r="I999" s="116" t="s">
        <v>1022</v>
      </c>
      <c r="J999" s="70">
        <v>0.9</v>
      </c>
      <c r="K999" s="71" t="s">
        <v>1710</v>
      </c>
      <c r="L999" s="71" t="s">
        <v>1710</v>
      </c>
      <c r="M999" s="72" t="s">
        <v>1710</v>
      </c>
      <c r="N999" s="71" t="s">
        <v>1710</v>
      </c>
      <c r="O999" s="73">
        <v>0.9</v>
      </c>
      <c r="P999" s="71" t="s">
        <v>1710</v>
      </c>
      <c r="Q999" s="71">
        <v>0</v>
      </c>
      <c r="R999" s="71" t="s">
        <v>1710</v>
      </c>
      <c r="S999" s="71">
        <v>0</v>
      </c>
      <c r="T999" s="73">
        <v>0.9</v>
      </c>
      <c r="U999" s="71" t="s">
        <v>1710</v>
      </c>
      <c r="V999" s="71">
        <v>1</v>
      </c>
      <c r="W999" s="71" t="s">
        <v>1710</v>
      </c>
      <c r="X999" s="71">
        <v>1</v>
      </c>
      <c r="Y999" s="73">
        <v>0.92</v>
      </c>
      <c r="Z999" s="73" t="s">
        <v>1710</v>
      </c>
      <c r="AA999" s="73" t="s">
        <v>1710</v>
      </c>
      <c r="AB999" s="73" t="s">
        <v>1710</v>
      </c>
      <c r="AC999" s="73" t="s">
        <v>1710</v>
      </c>
      <c r="AD999" s="73">
        <v>0.92</v>
      </c>
      <c r="AE999" s="71">
        <v>1</v>
      </c>
      <c r="AF999" s="71">
        <v>0.95180722891566305</v>
      </c>
      <c r="AG999" s="71">
        <v>0.78703703703703698</v>
      </c>
      <c r="AH999" s="71">
        <v>0.88821250691754305</v>
      </c>
      <c r="AI999" s="73">
        <v>0.92</v>
      </c>
      <c r="AJ999" s="71" t="s">
        <v>1710</v>
      </c>
      <c r="AK999" s="71">
        <v>1</v>
      </c>
      <c r="AL999" s="71" t="s">
        <v>1710</v>
      </c>
      <c r="AM999" s="71">
        <v>1</v>
      </c>
      <c r="AN999" s="70">
        <v>0.99</v>
      </c>
      <c r="AO999" s="75">
        <v>1</v>
      </c>
      <c r="AP999" s="75">
        <v>1</v>
      </c>
      <c r="AQ999" s="75" t="s">
        <v>1710</v>
      </c>
      <c r="AR999" s="75">
        <v>1</v>
      </c>
      <c r="AS999" s="95">
        <v>6.5641848892985799E-2</v>
      </c>
      <c r="AT999" s="79" t="s">
        <v>1710</v>
      </c>
      <c r="AU999" s="79" t="s">
        <v>1710</v>
      </c>
      <c r="AV999" s="79" t="s">
        <v>1710</v>
      </c>
      <c r="AW999" s="79" t="s">
        <v>1710</v>
      </c>
      <c r="AX999" s="56"/>
      <c r="AY999" s="54"/>
    </row>
    <row r="1000" spans="1:51">
      <c r="A1000" s="53"/>
      <c r="B1000" s="56"/>
      <c r="C1000" s="114" t="s">
        <v>921</v>
      </c>
      <c r="D1000" s="233" t="s">
        <v>1757</v>
      </c>
      <c r="E1000" s="68" t="s">
        <v>922</v>
      </c>
      <c r="F1000" s="115" t="s">
        <v>1023</v>
      </c>
      <c r="G1000" s="116" t="s">
        <v>1023</v>
      </c>
      <c r="H1000" s="116" t="s">
        <v>1023</v>
      </c>
      <c r="I1000" s="116" t="s">
        <v>1023</v>
      </c>
      <c r="J1000" s="70">
        <v>0.9</v>
      </c>
      <c r="K1000" s="71" t="s">
        <v>1710</v>
      </c>
      <c r="L1000" s="71" t="s">
        <v>1710</v>
      </c>
      <c r="M1000" s="72" t="s">
        <v>1710</v>
      </c>
      <c r="N1000" s="71">
        <v>1</v>
      </c>
      <c r="O1000" s="73">
        <v>0.9</v>
      </c>
      <c r="P1000" s="71">
        <v>4.739336492891E-3</v>
      </c>
      <c r="Q1000" s="71">
        <v>0.396341463414634</v>
      </c>
      <c r="R1000" s="71">
        <v>1.0810810810810799E-2</v>
      </c>
      <c r="S1000" s="71">
        <v>0.38852696344553</v>
      </c>
      <c r="T1000" s="73">
        <v>0.9</v>
      </c>
      <c r="U1000" s="71">
        <v>1</v>
      </c>
      <c r="V1000" s="71">
        <v>0.99695121951219501</v>
      </c>
      <c r="W1000" s="71">
        <v>0.99459459459459498</v>
      </c>
      <c r="X1000" s="71">
        <v>0.96073108939558405</v>
      </c>
      <c r="Y1000" s="73">
        <v>0.92</v>
      </c>
      <c r="Z1000" s="73">
        <v>1</v>
      </c>
      <c r="AA1000" s="73">
        <v>1</v>
      </c>
      <c r="AB1000" s="73">
        <v>1</v>
      </c>
      <c r="AC1000" s="73">
        <v>0.96162528216704302</v>
      </c>
      <c r="AD1000" s="73">
        <v>0.92</v>
      </c>
      <c r="AE1000" s="71">
        <v>1</v>
      </c>
      <c r="AF1000" s="71">
        <v>0.875</v>
      </c>
      <c r="AG1000" s="71">
        <v>1</v>
      </c>
      <c r="AH1000" s="71">
        <v>0.95346907512606105</v>
      </c>
      <c r="AI1000" s="73">
        <v>0.92</v>
      </c>
      <c r="AJ1000" s="71">
        <v>1</v>
      </c>
      <c r="AK1000" s="71">
        <v>0.99719101123595499</v>
      </c>
      <c r="AL1000" s="71">
        <v>0.99576271186440701</v>
      </c>
      <c r="AM1000" s="71">
        <v>0.98152995927865005</v>
      </c>
      <c r="AN1000" s="70">
        <v>0.99</v>
      </c>
      <c r="AO1000" s="75" t="s">
        <v>1710</v>
      </c>
      <c r="AP1000" s="75" t="s">
        <v>1710</v>
      </c>
      <c r="AQ1000" s="75" t="s">
        <v>1710</v>
      </c>
      <c r="AR1000" s="75">
        <v>1</v>
      </c>
      <c r="AS1000" s="95">
        <v>6.5641848892985799E-2</v>
      </c>
      <c r="AT1000" s="79">
        <v>0</v>
      </c>
      <c r="AU1000" s="79" t="s">
        <v>1710</v>
      </c>
      <c r="AV1000" s="79" t="s">
        <v>1710</v>
      </c>
      <c r="AW1000" s="79">
        <v>4.5454545454545497E-2</v>
      </c>
      <c r="AX1000" s="56"/>
      <c r="AY1000" s="54"/>
    </row>
    <row r="1001" spans="1:51">
      <c r="A1001" s="53"/>
      <c r="B1001" s="56"/>
      <c r="C1001" s="114" t="s">
        <v>921</v>
      </c>
      <c r="D1001" s="233" t="s">
        <v>1757</v>
      </c>
      <c r="E1001" s="68" t="s">
        <v>922</v>
      </c>
      <c r="F1001" s="115" t="s">
        <v>1024</v>
      </c>
      <c r="G1001" s="116" t="s">
        <v>1024</v>
      </c>
      <c r="H1001" s="116" t="s">
        <v>1024</v>
      </c>
      <c r="I1001" s="116" t="s">
        <v>1024</v>
      </c>
      <c r="J1001" s="70">
        <v>0.9</v>
      </c>
      <c r="K1001" s="71">
        <v>0.9375</v>
      </c>
      <c r="L1001" s="71">
        <v>1</v>
      </c>
      <c r="M1001" s="72">
        <v>0.94117647058823495</v>
      </c>
      <c r="N1001" s="71">
        <v>0.94554455445544505</v>
      </c>
      <c r="O1001" s="73">
        <v>0.9</v>
      </c>
      <c r="P1001" s="71">
        <v>0.91111111111111098</v>
      </c>
      <c r="Q1001" s="71">
        <v>0.92113564668769699</v>
      </c>
      <c r="R1001" s="71">
        <v>0.91429860171402799</v>
      </c>
      <c r="S1001" s="71">
        <v>0.86417460906877896</v>
      </c>
      <c r="T1001" s="73">
        <v>0.9</v>
      </c>
      <c r="U1001" s="71">
        <v>0.92091503267973895</v>
      </c>
      <c r="V1001" s="71">
        <v>0.93217665615141998</v>
      </c>
      <c r="W1001" s="71">
        <v>0.91700496165990097</v>
      </c>
      <c r="X1001" s="71">
        <v>0.92263894046292905</v>
      </c>
      <c r="Y1001" s="73">
        <v>0.92</v>
      </c>
      <c r="Z1001" s="73">
        <v>0.91697416974169699</v>
      </c>
      <c r="AA1001" s="73">
        <v>0.93468468468468502</v>
      </c>
      <c r="AB1001" s="73">
        <v>0.90808240887480196</v>
      </c>
      <c r="AC1001" s="73">
        <v>0.92987098908369203</v>
      </c>
      <c r="AD1001" s="73">
        <v>0.92</v>
      </c>
      <c r="AE1001" s="71">
        <v>0.99179279471328097</v>
      </c>
      <c r="AF1001" s="71">
        <v>0.95005753739930998</v>
      </c>
      <c r="AG1001" s="71">
        <v>0.97154836777478304</v>
      </c>
      <c r="AH1001" s="71">
        <v>0.97162892019747604</v>
      </c>
      <c r="AI1001" s="73">
        <v>0.92</v>
      </c>
      <c r="AJ1001" s="71">
        <v>0.95811266249398197</v>
      </c>
      <c r="AK1001" s="71">
        <v>0.97150519611129704</v>
      </c>
      <c r="AL1001" s="71">
        <v>0.95124517713083101</v>
      </c>
      <c r="AM1001" s="71">
        <v>0.96665457304000801</v>
      </c>
      <c r="AN1001" s="70">
        <v>0.99</v>
      </c>
      <c r="AO1001" s="75">
        <v>1</v>
      </c>
      <c r="AP1001" s="75">
        <v>1</v>
      </c>
      <c r="AQ1001" s="75">
        <v>1</v>
      </c>
      <c r="AR1001" s="75">
        <v>1</v>
      </c>
      <c r="AS1001" s="95">
        <v>6.5641848892985799E-2</v>
      </c>
      <c r="AT1001" s="79">
        <v>4.4444444444444398E-2</v>
      </c>
      <c r="AU1001" s="79">
        <v>3.7037037037037E-2</v>
      </c>
      <c r="AV1001" s="79">
        <v>6.1224489795918401E-2</v>
      </c>
      <c r="AW1001" s="79">
        <v>2.96540362438221E-2</v>
      </c>
      <c r="AX1001" s="56"/>
      <c r="AY1001" s="54"/>
    </row>
    <row r="1002" spans="1:51">
      <c r="A1002" s="53"/>
      <c r="B1002" s="56"/>
      <c r="C1002" s="114" t="s">
        <v>921</v>
      </c>
      <c r="D1002" s="233" t="s">
        <v>1759</v>
      </c>
      <c r="E1002" s="68" t="s">
        <v>922</v>
      </c>
      <c r="F1002" s="125" t="s">
        <v>1025</v>
      </c>
      <c r="G1002" s="126" t="s">
        <v>1025</v>
      </c>
      <c r="H1002" s="126" t="s">
        <v>1025</v>
      </c>
      <c r="I1002" s="126" t="s">
        <v>1025</v>
      </c>
      <c r="J1002" s="70">
        <v>0.9</v>
      </c>
      <c r="K1002" s="71" t="s">
        <v>1710</v>
      </c>
      <c r="L1002" s="71" t="s">
        <v>1710</v>
      </c>
      <c r="M1002" s="72" t="s">
        <v>1710</v>
      </c>
      <c r="N1002" s="71" t="s">
        <v>1710</v>
      </c>
      <c r="O1002" s="73">
        <v>0.9</v>
      </c>
      <c r="P1002" s="71">
        <v>0</v>
      </c>
      <c r="Q1002" s="71" t="s">
        <v>1710</v>
      </c>
      <c r="R1002" s="71" t="s">
        <v>1710</v>
      </c>
      <c r="S1002" s="71">
        <v>0</v>
      </c>
      <c r="T1002" s="73">
        <v>0.9</v>
      </c>
      <c r="U1002" s="71">
        <v>1</v>
      </c>
      <c r="V1002" s="71" t="s">
        <v>1710</v>
      </c>
      <c r="W1002" s="71" t="s">
        <v>1710</v>
      </c>
      <c r="X1002" s="71">
        <v>0.5</v>
      </c>
      <c r="Y1002" s="73">
        <v>0.92</v>
      </c>
      <c r="Z1002" s="73" t="s">
        <v>1710</v>
      </c>
      <c r="AA1002" s="73" t="s">
        <v>1710</v>
      </c>
      <c r="AB1002" s="73" t="s">
        <v>1710</v>
      </c>
      <c r="AC1002" s="73">
        <v>0</v>
      </c>
      <c r="AD1002" s="73">
        <v>0.92</v>
      </c>
      <c r="AE1002" s="71">
        <v>0.99275362318840599</v>
      </c>
      <c r="AF1002" s="71">
        <v>0.83002832861189801</v>
      </c>
      <c r="AG1002" s="71">
        <v>0.958990536277603</v>
      </c>
      <c r="AH1002" s="71">
        <v>0.92918250950570302</v>
      </c>
      <c r="AI1002" s="73">
        <v>0.92</v>
      </c>
      <c r="AJ1002" s="71">
        <v>1</v>
      </c>
      <c r="AK1002" s="71" t="s">
        <v>1710</v>
      </c>
      <c r="AL1002" s="71" t="s">
        <v>1710</v>
      </c>
      <c r="AM1002" s="71">
        <v>0.5</v>
      </c>
      <c r="AN1002" s="70">
        <v>0.99</v>
      </c>
      <c r="AO1002" s="75">
        <v>1</v>
      </c>
      <c r="AP1002" s="75" t="s">
        <v>1710</v>
      </c>
      <c r="AQ1002" s="75" t="s">
        <v>1710</v>
      </c>
      <c r="AR1002" s="75">
        <v>1</v>
      </c>
      <c r="AS1002" s="95">
        <v>6.5641848892985799E-2</v>
      </c>
      <c r="AT1002" s="79" t="s">
        <v>1710</v>
      </c>
      <c r="AU1002" s="79" t="s">
        <v>1710</v>
      </c>
      <c r="AV1002" s="79" t="s">
        <v>1710</v>
      </c>
      <c r="AW1002" s="79" t="s">
        <v>1710</v>
      </c>
      <c r="AX1002" s="56"/>
      <c r="AY1002" s="54"/>
    </row>
    <row r="1003" spans="1:51">
      <c r="A1003" s="53"/>
      <c r="B1003" s="56"/>
      <c r="C1003" s="114" t="s">
        <v>921</v>
      </c>
      <c r="D1003" s="233" t="s">
        <v>1757</v>
      </c>
      <c r="E1003" s="68" t="s">
        <v>922</v>
      </c>
      <c r="F1003" s="125" t="s">
        <v>1026</v>
      </c>
      <c r="G1003" s="126" t="s">
        <v>1026</v>
      </c>
      <c r="H1003" s="126" t="s">
        <v>1026</v>
      </c>
      <c r="I1003" s="126" t="s">
        <v>1026</v>
      </c>
      <c r="J1003" s="70">
        <v>0.9</v>
      </c>
      <c r="K1003" s="71">
        <v>0.76923076923076905</v>
      </c>
      <c r="L1003" s="71">
        <v>0.6875</v>
      </c>
      <c r="M1003" s="72">
        <v>0.84615384615384603</v>
      </c>
      <c r="N1003" s="71">
        <v>0.75595238095238104</v>
      </c>
      <c r="O1003" s="73">
        <v>0.9</v>
      </c>
      <c r="P1003" s="71">
        <v>0.98320610687022902</v>
      </c>
      <c r="Q1003" s="71">
        <v>0.97216890595009597</v>
      </c>
      <c r="R1003" s="71">
        <v>0.92787944025834201</v>
      </c>
      <c r="S1003" s="71">
        <v>0.97839816933638402</v>
      </c>
      <c r="T1003" s="73">
        <v>0.9</v>
      </c>
      <c r="U1003" s="71">
        <v>0.92061068702290105</v>
      </c>
      <c r="V1003" s="71">
        <v>0.83301343570057595</v>
      </c>
      <c r="W1003" s="71">
        <v>0.85360602798708296</v>
      </c>
      <c r="X1003" s="71">
        <v>0.864530892448513</v>
      </c>
      <c r="Y1003" s="73">
        <v>0.92</v>
      </c>
      <c r="Z1003" s="73">
        <v>0.71193415637860102</v>
      </c>
      <c r="AA1003" s="73">
        <v>0.81222707423580798</v>
      </c>
      <c r="AB1003" s="73">
        <v>0.46594982078852998</v>
      </c>
      <c r="AC1003" s="73">
        <v>0.69211287988422598</v>
      </c>
      <c r="AD1003" s="73">
        <v>0.92</v>
      </c>
      <c r="AE1003" s="71">
        <v>0.98807053941908696</v>
      </c>
      <c r="AF1003" s="71">
        <v>0.92467298150653998</v>
      </c>
      <c r="AG1003" s="71">
        <v>0.98530276308054099</v>
      </c>
      <c r="AH1003" s="71">
        <v>0.90357427319792905</v>
      </c>
      <c r="AI1003" s="73">
        <v>0.92</v>
      </c>
      <c r="AJ1003" s="71">
        <v>0.89086859688195996</v>
      </c>
      <c r="AK1003" s="71">
        <v>0.93705743509048001</v>
      </c>
      <c r="AL1003" s="71">
        <v>0.80960264900662204</v>
      </c>
      <c r="AM1003" s="71">
        <v>0.90306793279766295</v>
      </c>
      <c r="AN1003" s="70">
        <v>0.99</v>
      </c>
      <c r="AO1003" s="75">
        <v>1</v>
      </c>
      <c r="AP1003" s="75">
        <v>1</v>
      </c>
      <c r="AQ1003" s="75">
        <v>1</v>
      </c>
      <c r="AR1003" s="75">
        <v>1</v>
      </c>
      <c r="AS1003" s="95">
        <v>6.5641848892985799E-2</v>
      </c>
      <c r="AT1003" s="79">
        <v>0.125</v>
      </c>
      <c r="AU1003" s="79">
        <v>0</v>
      </c>
      <c r="AV1003" s="79">
        <v>0</v>
      </c>
      <c r="AW1003" s="79">
        <v>3.9735099337748297E-2</v>
      </c>
      <c r="AX1003" s="56"/>
      <c r="AY1003" s="54"/>
    </row>
    <row r="1004" spans="1:51">
      <c r="A1004" s="53"/>
      <c r="B1004" s="56"/>
      <c r="C1004" s="114" t="s">
        <v>921</v>
      </c>
      <c r="D1004" s="233" t="s">
        <v>1757</v>
      </c>
      <c r="E1004" s="68" t="s">
        <v>922</v>
      </c>
      <c r="F1004" s="115" t="s">
        <v>1027</v>
      </c>
      <c r="G1004" s="116" t="s">
        <v>1027</v>
      </c>
      <c r="H1004" s="116" t="s">
        <v>1027</v>
      </c>
      <c r="I1004" s="116" t="s">
        <v>1027</v>
      </c>
      <c r="J1004" s="70">
        <v>0.9</v>
      </c>
      <c r="K1004" s="71">
        <v>0.91666666666666696</v>
      </c>
      <c r="L1004" s="71">
        <v>0.96296296296296302</v>
      </c>
      <c r="M1004" s="72">
        <v>0.92307692307692302</v>
      </c>
      <c r="N1004" s="71">
        <v>0.94648829431438097</v>
      </c>
      <c r="O1004" s="73">
        <v>0.9</v>
      </c>
      <c r="P1004" s="71">
        <v>0.96971279373368102</v>
      </c>
      <c r="Q1004" s="71">
        <v>0.95350360183366101</v>
      </c>
      <c r="R1004" s="71">
        <v>0.95557257755649205</v>
      </c>
      <c r="S1004" s="71">
        <v>0.96926802646838095</v>
      </c>
      <c r="T1004" s="73">
        <v>0.9</v>
      </c>
      <c r="U1004" s="71">
        <v>0.87624020887728504</v>
      </c>
      <c r="V1004" s="71">
        <v>0.86149312377210197</v>
      </c>
      <c r="W1004" s="71">
        <v>0.88816545384909995</v>
      </c>
      <c r="X1004" s="71">
        <v>0.91124906200968703</v>
      </c>
      <c r="Y1004" s="73">
        <v>0.92</v>
      </c>
      <c r="Z1004" s="73">
        <v>0.89638157894736803</v>
      </c>
      <c r="AA1004" s="73">
        <v>0.88764044943820197</v>
      </c>
      <c r="AB1004" s="73">
        <v>0.87455197132616502</v>
      </c>
      <c r="AC1004" s="73">
        <v>0.91174832962138097</v>
      </c>
      <c r="AD1004" s="73">
        <v>0.92</v>
      </c>
      <c r="AE1004" s="71">
        <v>0.98959958398335901</v>
      </c>
      <c r="AF1004" s="71">
        <v>0.85458167330677304</v>
      </c>
      <c r="AG1004" s="71">
        <v>0.93397129186602901</v>
      </c>
      <c r="AH1004" s="71">
        <v>0.92857674834289095</v>
      </c>
      <c r="AI1004" s="73">
        <v>0.92</v>
      </c>
      <c r="AJ1004" s="71">
        <v>0.93499801823226303</v>
      </c>
      <c r="AK1004" s="71">
        <v>0.93367762979070401</v>
      </c>
      <c r="AL1004" s="71">
        <v>0.90808930124673803</v>
      </c>
      <c r="AM1004" s="71">
        <v>0.94963713542379802</v>
      </c>
      <c r="AN1004" s="70">
        <v>0.99</v>
      </c>
      <c r="AO1004" s="75">
        <v>1</v>
      </c>
      <c r="AP1004" s="75">
        <v>1</v>
      </c>
      <c r="AQ1004" s="75">
        <v>1</v>
      </c>
      <c r="AR1004" s="75">
        <v>1</v>
      </c>
      <c r="AS1004" s="95">
        <v>6.5641848892985799E-2</v>
      </c>
      <c r="AT1004" s="79">
        <v>3.03030303030303E-2</v>
      </c>
      <c r="AU1004" s="79">
        <v>0</v>
      </c>
      <c r="AV1004" s="79">
        <v>0</v>
      </c>
      <c r="AW1004" s="79">
        <v>2.6041666666666699E-2</v>
      </c>
      <c r="AX1004" s="56"/>
      <c r="AY1004" s="54"/>
    </row>
    <row r="1005" spans="1:51">
      <c r="A1005" s="53"/>
      <c r="B1005" s="56"/>
      <c r="C1005" s="114" t="s">
        <v>921</v>
      </c>
      <c r="D1005" s="233" t="s">
        <v>1757</v>
      </c>
      <c r="E1005" s="68" t="s">
        <v>922</v>
      </c>
      <c r="F1005" s="115" t="s">
        <v>1028</v>
      </c>
      <c r="G1005" s="116" t="s">
        <v>1028</v>
      </c>
      <c r="H1005" s="116" t="s">
        <v>1028</v>
      </c>
      <c r="I1005" s="116" t="s">
        <v>1028</v>
      </c>
      <c r="J1005" s="70">
        <v>0.9</v>
      </c>
      <c r="K1005" s="71">
        <v>0.84615384615384603</v>
      </c>
      <c r="L1005" s="71">
        <v>0.75</v>
      </c>
      <c r="M1005" s="72">
        <v>0.71428571428571397</v>
      </c>
      <c r="N1005" s="71">
        <v>0.81656804733727795</v>
      </c>
      <c r="O1005" s="73">
        <v>0.9</v>
      </c>
      <c r="P1005" s="71">
        <v>0.97219251336898405</v>
      </c>
      <c r="Q1005" s="71">
        <v>0.96998722860791797</v>
      </c>
      <c r="R1005" s="71">
        <v>0.95685997171145698</v>
      </c>
      <c r="S1005" s="71">
        <v>0.95480445480445497</v>
      </c>
      <c r="T1005" s="73">
        <v>0.9</v>
      </c>
      <c r="U1005" s="71">
        <v>0.89090909090909098</v>
      </c>
      <c r="V1005" s="71">
        <v>0.91251596424010195</v>
      </c>
      <c r="W1005" s="71">
        <v>0.89816124469589798</v>
      </c>
      <c r="X1005" s="71">
        <v>0.91511266511266498</v>
      </c>
      <c r="Y1005" s="73">
        <v>0.92</v>
      </c>
      <c r="Z1005" s="73" t="s">
        <v>1710</v>
      </c>
      <c r="AA1005" s="73" t="s">
        <v>1710</v>
      </c>
      <c r="AB1005" s="73" t="s">
        <v>1710</v>
      </c>
      <c r="AC1005" s="73">
        <v>0</v>
      </c>
      <c r="AD1005" s="73">
        <v>0.92</v>
      </c>
      <c r="AE1005" s="71">
        <v>0.98275862068965503</v>
      </c>
      <c r="AF1005" s="71">
        <v>0.76666666666666705</v>
      </c>
      <c r="AG1005" s="71">
        <v>0.97891231964483905</v>
      </c>
      <c r="AH1005" s="71">
        <v>0.96702981651376196</v>
      </c>
      <c r="AI1005" s="73">
        <v>0.92</v>
      </c>
      <c r="AJ1005" s="71">
        <v>0.94545454545454499</v>
      </c>
      <c r="AK1005" s="71">
        <v>0.94763729246487904</v>
      </c>
      <c r="AL1005" s="71">
        <v>0.93635077793493604</v>
      </c>
      <c r="AM1005" s="71">
        <v>0.95701708959088605</v>
      </c>
      <c r="AN1005" s="70">
        <v>0.99</v>
      </c>
      <c r="AO1005" s="75">
        <v>1</v>
      </c>
      <c r="AP1005" s="75">
        <v>1</v>
      </c>
      <c r="AQ1005" s="75">
        <v>1</v>
      </c>
      <c r="AR1005" s="75">
        <v>1</v>
      </c>
      <c r="AS1005" s="95">
        <v>6.5641848892985799E-2</v>
      </c>
      <c r="AT1005" s="79">
        <v>0</v>
      </c>
      <c r="AU1005" s="79">
        <v>0</v>
      </c>
      <c r="AV1005" s="79">
        <v>0</v>
      </c>
      <c r="AW1005" s="79">
        <v>1.9230769230769201E-2</v>
      </c>
      <c r="AX1005" s="56"/>
      <c r="AY1005" s="54"/>
    </row>
    <row r="1006" spans="1:51">
      <c r="A1006" s="53"/>
      <c r="B1006" s="56"/>
      <c r="C1006" s="114" t="s">
        <v>921</v>
      </c>
      <c r="D1006" s="233" t="s">
        <v>1757</v>
      </c>
      <c r="E1006" s="68" t="s">
        <v>922</v>
      </c>
      <c r="F1006" s="125" t="s">
        <v>1029</v>
      </c>
      <c r="G1006" s="126" t="s">
        <v>1029</v>
      </c>
      <c r="H1006" s="126" t="s">
        <v>1029</v>
      </c>
      <c r="I1006" s="126" t="s">
        <v>1029</v>
      </c>
      <c r="J1006" s="70">
        <v>0.9</v>
      </c>
      <c r="K1006" s="71">
        <v>0.75</v>
      </c>
      <c r="L1006" s="71">
        <v>0.80952380952380998</v>
      </c>
      <c r="M1006" s="72">
        <v>0.73684210526315796</v>
      </c>
      <c r="N1006" s="71">
        <v>0.90295358649789004</v>
      </c>
      <c r="O1006" s="73">
        <v>0.9</v>
      </c>
      <c r="P1006" s="71">
        <v>0.98300970873786397</v>
      </c>
      <c r="Q1006" s="71">
        <v>0.96890491212257801</v>
      </c>
      <c r="R1006" s="71">
        <v>0.96887550200803196</v>
      </c>
      <c r="S1006" s="71">
        <v>0.97232183908045999</v>
      </c>
      <c r="T1006" s="73">
        <v>0.9</v>
      </c>
      <c r="U1006" s="71">
        <v>0.92637540453074396</v>
      </c>
      <c r="V1006" s="71">
        <v>0.91212257773771999</v>
      </c>
      <c r="W1006" s="71">
        <v>0.90311244979919703</v>
      </c>
      <c r="X1006" s="71">
        <v>0.92685057471264398</v>
      </c>
      <c r="Y1006" s="73">
        <v>0.92</v>
      </c>
      <c r="Z1006" s="73">
        <v>0.89662921348314595</v>
      </c>
      <c r="AA1006" s="73">
        <v>0.86870897155361004</v>
      </c>
      <c r="AB1006" s="73">
        <v>0.84006734006733996</v>
      </c>
      <c r="AC1006" s="73">
        <v>0.87893956247682603</v>
      </c>
      <c r="AD1006" s="73">
        <v>0.92</v>
      </c>
      <c r="AE1006" s="71">
        <v>0.99430066336541201</v>
      </c>
      <c r="AF1006" s="71">
        <v>0.816239316239316</v>
      </c>
      <c r="AG1006" s="71">
        <v>0.99217154526888995</v>
      </c>
      <c r="AH1006" s="71">
        <v>0.98869784332616895</v>
      </c>
      <c r="AI1006" s="73">
        <v>0.92</v>
      </c>
      <c r="AJ1006" s="71">
        <v>0.94229625223081503</v>
      </c>
      <c r="AK1006" s="71">
        <v>0.94656203288490304</v>
      </c>
      <c r="AL1006" s="71">
        <v>0.93276661514683201</v>
      </c>
      <c r="AM1006" s="71">
        <v>0.94958199830589596</v>
      </c>
      <c r="AN1006" s="70">
        <v>0.99</v>
      </c>
      <c r="AO1006" s="75">
        <v>1</v>
      </c>
      <c r="AP1006" s="75">
        <v>1</v>
      </c>
      <c r="AQ1006" s="75">
        <v>1</v>
      </c>
      <c r="AR1006" s="75">
        <v>0.99943278502552502</v>
      </c>
      <c r="AS1006" s="95">
        <v>6.5641848892985799E-2</v>
      </c>
      <c r="AT1006" s="79">
        <v>0</v>
      </c>
      <c r="AU1006" s="79">
        <v>0.10344827586206901</v>
      </c>
      <c r="AV1006" s="79">
        <v>0</v>
      </c>
      <c r="AW1006" s="79">
        <v>5.6603773584905703E-2</v>
      </c>
      <c r="AX1006" s="56"/>
      <c r="AY1006" s="54"/>
    </row>
    <row r="1007" spans="1:51">
      <c r="A1007" s="53"/>
      <c r="B1007" s="56"/>
      <c r="C1007" s="114" t="s">
        <v>921</v>
      </c>
      <c r="D1007" s="233" t="s">
        <v>1757</v>
      </c>
      <c r="E1007" s="68" t="s">
        <v>922</v>
      </c>
      <c r="F1007" s="115" t="s">
        <v>1030</v>
      </c>
      <c r="G1007" s="116" t="s">
        <v>1030</v>
      </c>
      <c r="H1007" s="116" t="s">
        <v>1030</v>
      </c>
      <c r="I1007" s="116" t="s">
        <v>1030</v>
      </c>
      <c r="J1007" s="70">
        <v>0.9</v>
      </c>
      <c r="K1007" s="71">
        <v>0.80769230769230804</v>
      </c>
      <c r="L1007" s="71">
        <v>0.73333333333333295</v>
      </c>
      <c r="M1007" s="72">
        <v>0.69230769230769196</v>
      </c>
      <c r="N1007" s="71">
        <v>0.77960526315789502</v>
      </c>
      <c r="O1007" s="73">
        <v>0.9</v>
      </c>
      <c r="P1007" s="71">
        <v>0.94175352544451296</v>
      </c>
      <c r="Q1007" s="71">
        <v>0.84361851332398297</v>
      </c>
      <c r="R1007" s="71">
        <v>0.64048212801329996</v>
      </c>
      <c r="S1007" s="71">
        <v>0.85773083227098901</v>
      </c>
      <c r="T1007" s="73">
        <v>0.9</v>
      </c>
      <c r="U1007" s="71">
        <v>0.88657265481299796</v>
      </c>
      <c r="V1007" s="71">
        <v>0.80680224403927103</v>
      </c>
      <c r="W1007" s="71">
        <v>0.72776392352452202</v>
      </c>
      <c r="X1007" s="71">
        <v>0.82669823347295601</v>
      </c>
      <c r="Y1007" s="73">
        <v>0.92</v>
      </c>
      <c r="Z1007" s="73">
        <v>0.88461538461538503</v>
      </c>
      <c r="AA1007" s="73">
        <v>0.81996974281391799</v>
      </c>
      <c r="AB1007" s="73">
        <v>0.59510357815442605</v>
      </c>
      <c r="AC1007" s="73">
        <v>0.76045883940620795</v>
      </c>
      <c r="AD1007" s="73">
        <v>0.92</v>
      </c>
      <c r="AE1007" s="71">
        <v>0.980121479845389</v>
      </c>
      <c r="AF1007" s="71">
        <v>0.46922024623802999</v>
      </c>
      <c r="AG1007" s="71">
        <v>0.97270471464019803</v>
      </c>
      <c r="AH1007" s="71">
        <v>0.85711175616836</v>
      </c>
      <c r="AI1007" s="73">
        <v>0.92</v>
      </c>
      <c r="AJ1007" s="71">
        <v>0.93109784106568705</v>
      </c>
      <c r="AK1007" s="71">
        <v>0.92200398519783699</v>
      </c>
      <c r="AL1007" s="71">
        <v>0.76095732410611305</v>
      </c>
      <c r="AM1007" s="71">
        <v>0.88845867033786496</v>
      </c>
      <c r="AN1007" s="70">
        <v>0.99</v>
      </c>
      <c r="AO1007" s="75">
        <v>1</v>
      </c>
      <c r="AP1007" s="75">
        <v>1</v>
      </c>
      <c r="AQ1007" s="75">
        <v>1</v>
      </c>
      <c r="AR1007" s="75">
        <v>1</v>
      </c>
      <c r="AS1007" s="95">
        <v>6.5641848892985799E-2</v>
      </c>
      <c r="AT1007" s="79">
        <v>5.5555555555555601E-2</v>
      </c>
      <c r="AU1007" s="79">
        <v>8.5106382978723402E-2</v>
      </c>
      <c r="AV1007" s="79">
        <v>0</v>
      </c>
      <c r="AW1007" s="79">
        <v>4.8717948717948698E-2</v>
      </c>
      <c r="AX1007" s="56"/>
      <c r="AY1007" s="54"/>
    </row>
    <row r="1008" spans="1:51">
      <c r="A1008" s="53"/>
      <c r="B1008" s="56"/>
      <c r="C1008" s="114" t="s">
        <v>921</v>
      </c>
      <c r="D1008" s="233" t="s">
        <v>1757</v>
      </c>
      <c r="E1008" s="68" t="s">
        <v>922</v>
      </c>
      <c r="F1008" s="115" t="s">
        <v>1031</v>
      </c>
      <c r="G1008" s="116" t="s">
        <v>1031</v>
      </c>
      <c r="H1008" s="116" t="s">
        <v>1031</v>
      </c>
      <c r="I1008" s="116" t="s">
        <v>1031</v>
      </c>
      <c r="J1008" s="70">
        <v>0.9</v>
      </c>
      <c r="K1008" s="71">
        <v>0.96</v>
      </c>
      <c r="L1008" s="71">
        <v>0.92857142857142905</v>
      </c>
      <c r="M1008" s="72">
        <v>0.91304347826086996</v>
      </c>
      <c r="N1008" s="71">
        <v>0.91065292096219896</v>
      </c>
      <c r="O1008" s="73">
        <v>0.9</v>
      </c>
      <c r="P1008" s="71">
        <v>0.98253275109170302</v>
      </c>
      <c r="Q1008" s="71">
        <v>0.96906235126130402</v>
      </c>
      <c r="R1008" s="71">
        <v>0.95429706905116696</v>
      </c>
      <c r="S1008" s="71">
        <v>0.94881871772608894</v>
      </c>
      <c r="T1008" s="73">
        <v>0.9</v>
      </c>
      <c r="U1008" s="71">
        <v>0.87117903930131002</v>
      </c>
      <c r="V1008" s="71">
        <v>0.84198000951927698</v>
      </c>
      <c r="W1008" s="71">
        <v>0.72329855936413301</v>
      </c>
      <c r="X1008" s="71">
        <v>0.83110176849609296</v>
      </c>
      <c r="Y1008" s="73">
        <v>0.92</v>
      </c>
      <c r="Z1008" s="73">
        <v>0.72853828306264501</v>
      </c>
      <c r="AA1008" s="73">
        <v>0.71464646464646497</v>
      </c>
      <c r="AB1008" s="73">
        <v>0.29879101899827298</v>
      </c>
      <c r="AC1008" s="73">
        <v>0.65300896286811805</v>
      </c>
      <c r="AD1008" s="73">
        <v>0.92</v>
      </c>
      <c r="AE1008" s="71">
        <v>0.68597348220516396</v>
      </c>
      <c r="AF1008" s="71">
        <v>0.21809309309309299</v>
      </c>
      <c r="AG1008" s="71">
        <v>0.81968341362697905</v>
      </c>
      <c r="AH1008" s="71">
        <v>0.67090030616149998</v>
      </c>
      <c r="AI1008" s="73">
        <v>0.92</v>
      </c>
      <c r="AJ1008" s="71">
        <v>0.876454293628809</v>
      </c>
      <c r="AK1008" s="71">
        <v>0.89711769415532405</v>
      </c>
      <c r="AL1008" s="71">
        <v>0.70536058619359798</v>
      </c>
      <c r="AM1008" s="71">
        <v>0.861658201483539</v>
      </c>
      <c r="AN1008" s="70">
        <v>0.99</v>
      </c>
      <c r="AO1008" s="75">
        <v>1</v>
      </c>
      <c r="AP1008" s="75">
        <v>1</v>
      </c>
      <c r="AQ1008" s="75">
        <v>1</v>
      </c>
      <c r="AR1008" s="75">
        <v>1</v>
      </c>
      <c r="AS1008" s="95">
        <v>6.5641848892985799E-2</v>
      </c>
      <c r="AT1008" s="79">
        <v>6.5217391304347797E-2</v>
      </c>
      <c r="AU1008" s="79">
        <v>3.5087719298245598E-2</v>
      </c>
      <c r="AV1008" s="79">
        <v>0</v>
      </c>
      <c r="AW1008" s="79">
        <v>3.35731414868106E-2</v>
      </c>
      <c r="AX1008" s="56"/>
      <c r="AY1008" s="54"/>
    </row>
    <row r="1009" spans="1:51">
      <c r="A1009" s="53"/>
      <c r="B1009" s="56"/>
      <c r="C1009" s="114" t="s">
        <v>921</v>
      </c>
      <c r="D1009" s="233" t="s">
        <v>1757</v>
      </c>
      <c r="E1009" s="68" t="s">
        <v>922</v>
      </c>
      <c r="F1009" s="115" t="s">
        <v>1032</v>
      </c>
      <c r="G1009" s="116" t="s">
        <v>1032</v>
      </c>
      <c r="H1009" s="116" t="s">
        <v>1032</v>
      </c>
      <c r="I1009" s="116" t="s">
        <v>1032</v>
      </c>
      <c r="J1009" s="70">
        <v>0.9</v>
      </c>
      <c r="K1009" s="71">
        <v>0.78571428571428603</v>
      </c>
      <c r="L1009" s="71">
        <v>0.73333333333333295</v>
      </c>
      <c r="M1009" s="72">
        <v>0.71428571428571397</v>
      </c>
      <c r="N1009" s="71">
        <v>0.77564102564102599</v>
      </c>
      <c r="O1009" s="73">
        <v>0.9</v>
      </c>
      <c r="P1009" s="71">
        <v>0.88324873096446699</v>
      </c>
      <c r="Q1009" s="71">
        <v>0.730797912005966</v>
      </c>
      <c r="R1009" s="71">
        <v>0.73092698933552103</v>
      </c>
      <c r="S1009" s="71">
        <v>0.81339439038351502</v>
      </c>
      <c r="T1009" s="73">
        <v>0.9</v>
      </c>
      <c r="U1009" s="71">
        <v>0.94416243654822296</v>
      </c>
      <c r="V1009" s="71">
        <v>0.86428038777032101</v>
      </c>
      <c r="W1009" s="71">
        <v>0.64971287940935196</v>
      </c>
      <c r="X1009" s="71">
        <v>0.84065540927303894</v>
      </c>
      <c r="Y1009" s="73">
        <v>0.92</v>
      </c>
      <c r="Z1009" s="73">
        <v>0.93055555555555602</v>
      </c>
      <c r="AA1009" s="73">
        <v>0.86713286713286697</v>
      </c>
      <c r="AB1009" s="73">
        <v>0.73891625615763501</v>
      </c>
      <c r="AC1009" s="73">
        <v>0.85401259928786599</v>
      </c>
      <c r="AD1009" s="73">
        <v>0.92</v>
      </c>
      <c r="AE1009" s="71">
        <v>0.775951638802305</v>
      </c>
      <c r="AF1009" s="71">
        <v>0.93023902167870998</v>
      </c>
      <c r="AG1009" s="71">
        <v>0.98312159709618896</v>
      </c>
      <c r="AH1009" s="71">
        <v>0.85457321304649503</v>
      </c>
      <c r="AI1009" s="73">
        <v>0.92</v>
      </c>
      <c r="AJ1009" s="71">
        <v>0.95171773444753904</v>
      </c>
      <c r="AK1009" s="71">
        <v>0.89858635525507102</v>
      </c>
      <c r="AL1009" s="71">
        <v>0.81661538461538496</v>
      </c>
      <c r="AM1009" s="71">
        <v>0.90123666893578402</v>
      </c>
      <c r="AN1009" s="70">
        <v>0.99</v>
      </c>
      <c r="AO1009" s="75">
        <v>1</v>
      </c>
      <c r="AP1009" s="75">
        <v>1</v>
      </c>
      <c r="AQ1009" s="75">
        <v>1</v>
      </c>
      <c r="AR1009" s="75">
        <v>1</v>
      </c>
      <c r="AS1009" s="95">
        <v>6.5641848892985799E-2</v>
      </c>
      <c r="AT1009" s="79">
        <v>0</v>
      </c>
      <c r="AU1009" s="79">
        <v>7.1428571428571397E-2</v>
      </c>
      <c r="AV1009" s="79">
        <v>0.08</v>
      </c>
      <c r="AW1009" s="79">
        <v>2.7118644067796599E-2</v>
      </c>
      <c r="AX1009" s="56"/>
      <c r="AY1009" s="54"/>
    </row>
    <row r="1010" spans="1:51">
      <c r="A1010" s="53"/>
      <c r="B1010" s="56"/>
      <c r="C1010" s="114" t="s">
        <v>921</v>
      </c>
      <c r="D1010" s="233" t="s">
        <v>1757</v>
      </c>
      <c r="E1010" s="68" t="s">
        <v>922</v>
      </c>
      <c r="F1010" s="115" t="s">
        <v>1033</v>
      </c>
      <c r="G1010" s="116" t="s">
        <v>1033</v>
      </c>
      <c r="H1010" s="116" t="s">
        <v>1033</v>
      </c>
      <c r="I1010" s="116" t="s">
        <v>1033</v>
      </c>
      <c r="J1010" s="70">
        <v>0.9</v>
      </c>
      <c r="K1010" s="71">
        <v>0.875</v>
      </c>
      <c r="L1010" s="71">
        <v>0.625</v>
      </c>
      <c r="M1010" s="72">
        <v>0.75</v>
      </c>
      <c r="N1010" s="71">
        <v>0.74444444444444402</v>
      </c>
      <c r="O1010" s="73">
        <v>0.9</v>
      </c>
      <c r="P1010" s="71">
        <v>0.579345088161209</v>
      </c>
      <c r="Q1010" s="71">
        <v>0.31840000000000002</v>
      </c>
      <c r="R1010" s="71">
        <v>0.44006568144499197</v>
      </c>
      <c r="S1010" s="71">
        <v>0.47954511888938101</v>
      </c>
      <c r="T1010" s="73">
        <v>0.9</v>
      </c>
      <c r="U1010" s="71">
        <v>0.91939546599496202</v>
      </c>
      <c r="V1010" s="71">
        <v>0.91039999999999999</v>
      </c>
      <c r="W1010" s="71">
        <v>0.909688013136289</v>
      </c>
      <c r="X1010" s="71">
        <v>0.87254467582336404</v>
      </c>
      <c r="Y1010" s="73">
        <v>0.92</v>
      </c>
      <c r="Z1010" s="73">
        <v>0</v>
      </c>
      <c r="AA1010" s="73" t="s">
        <v>1710</v>
      </c>
      <c r="AB1010" s="73" t="s">
        <v>1710</v>
      </c>
      <c r="AC1010" s="73">
        <v>0</v>
      </c>
      <c r="AD1010" s="73">
        <v>0.92</v>
      </c>
      <c r="AE1010" s="71">
        <v>0.97674418604651203</v>
      </c>
      <c r="AF1010" s="71">
        <v>0.86</v>
      </c>
      <c r="AG1010" s="71">
        <v>0.33333333333333298</v>
      </c>
      <c r="AH1010" s="71">
        <v>0.83908045977011503</v>
      </c>
      <c r="AI1010" s="73">
        <v>0.92</v>
      </c>
      <c r="AJ1010" s="71">
        <v>0.96984924623115598</v>
      </c>
      <c r="AK1010" s="71">
        <v>0.95840000000000003</v>
      </c>
      <c r="AL1010" s="71">
        <v>0.96059113300492605</v>
      </c>
      <c r="AM1010" s="71">
        <v>0.95451860602480798</v>
      </c>
      <c r="AN1010" s="70">
        <v>0.99</v>
      </c>
      <c r="AO1010" s="75">
        <v>1</v>
      </c>
      <c r="AP1010" s="75">
        <v>1</v>
      </c>
      <c r="AQ1010" s="75">
        <v>1</v>
      </c>
      <c r="AR1010" s="75">
        <v>1</v>
      </c>
      <c r="AS1010" s="95">
        <v>6.5641848892985799E-2</v>
      </c>
      <c r="AT1010" s="79">
        <v>0</v>
      </c>
      <c r="AU1010" s="79">
        <v>0</v>
      </c>
      <c r="AV1010" s="79" t="s">
        <v>1710</v>
      </c>
      <c r="AW1010" s="79">
        <v>0</v>
      </c>
      <c r="AX1010" s="56"/>
      <c r="AY1010" s="54"/>
    </row>
    <row r="1011" spans="1:51" ht="15">
      <c r="A1011" s="53"/>
      <c r="B1011" s="56"/>
      <c r="C1011" s="114" t="s">
        <v>921</v>
      </c>
      <c r="D1011" s="233" t="s">
        <v>1757</v>
      </c>
      <c r="E1011" s="68" t="s">
        <v>922</v>
      </c>
      <c r="F1011" s="117" t="s">
        <v>1034</v>
      </c>
      <c r="G1011" s="118" t="s">
        <v>1034</v>
      </c>
      <c r="H1011" s="118" t="s">
        <v>1034</v>
      </c>
      <c r="I1011" s="118" t="s">
        <v>1034</v>
      </c>
      <c r="J1011" s="70">
        <v>0.9</v>
      </c>
      <c r="K1011" s="71">
        <v>0.77272727272727304</v>
      </c>
      <c r="L1011" s="71">
        <v>0.88</v>
      </c>
      <c r="M1011" s="72">
        <v>0.76190476190476197</v>
      </c>
      <c r="N1011" s="71">
        <v>0.83141762452107304</v>
      </c>
      <c r="O1011" s="73">
        <v>0.9</v>
      </c>
      <c r="P1011" s="71">
        <v>0.97012987012986995</v>
      </c>
      <c r="Q1011" s="71">
        <v>0.91503667481662598</v>
      </c>
      <c r="R1011" s="71">
        <v>0.92603231597845603</v>
      </c>
      <c r="S1011" s="71">
        <v>0.92144976549787805</v>
      </c>
      <c r="T1011" s="73">
        <v>0.9</v>
      </c>
      <c r="U1011" s="71">
        <v>0.92943722943722895</v>
      </c>
      <c r="V1011" s="71">
        <v>0.901894865525672</v>
      </c>
      <c r="W1011" s="71">
        <v>0.83842010771992803</v>
      </c>
      <c r="X1011" s="71">
        <v>0.88932137957438695</v>
      </c>
      <c r="Y1011" s="73">
        <v>0.92</v>
      </c>
      <c r="Z1011" s="73">
        <v>0.96920583468395505</v>
      </c>
      <c r="AA1011" s="73">
        <v>1</v>
      </c>
      <c r="AB1011" s="73">
        <v>0.90850722311396503</v>
      </c>
      <c r="AC1011" s="73">
        <v>0.94292109681029701</v>
      </c>
      <c r="AD1011" s="73">
        <v>0.92</v>
      </c>
      <c r="AE1011" s="71">
        <v>0.99794288480154902</v>
      </c>
      <c r="AF1011" s="71">
        <v>0.99634993174669095</v>
      </c>
      <c r="AG1011" s="71">
        <v>0.99970559371933299</v>
      </c>
      <c r="AH1011" s="71">
        <v>0.99636807811703798</v>
      </c>
      <c r="AI1011" s="73">
        <v>0.92</v>
      </c>
      <c r="AJ1011" s="71">
        <v>0.96841511562323701</v>
      </c>
      <c r="AK1011" s="71">
        <v>0.96775986659255098</v>
      </c>
      <c r="AL1011" s="71">
        <v>0.90733137829912003</v>
      </c>
      <c r="AM1011" s="71">
        <v>0.95603654105678404</v>
      </c>
      <c r="AN1011" s="70">
        <v>0.99</v>
      </c>
      <c r="AO1011" s="75">
        <v>1</v>
      </c>
      <c r="AP1011" s="75">
        <v>1</v>
      </c>
      <c r="AQ1011" s="75">
        <v>1</v>
      </c>
      <c r="AR1011" s="75">
        <v>1</v>
      </c>
      <c r="AS1011" s="95">
        <v>6.5641848892985799E-2</v>
      </c>
      <c r="AT1011" s="79">
        <v>6.6666666666666693E-2</v>
      </c>
      <c r="AU1011" s="79">
        <v>0</v>
      </c>
      <c r="AV1011" s="79">
        <v>0</v>
      </c>
      <c r="AW1011" s="79">
        <v>3.5587188612099599E-2</v>
      </c>
      <c r="AX1011" s="56"/>
      <c r="AY1011" s="54"/>
    </row>
    <row r="1012" spans="1:51" ht="15">
      <c r="A1012" s="53"/>
      <c r="B1012" s="56"/>
      <c r="C1012" s="114" t="s">
        <v>921</v>
      </c>
      <c r="D1012" s="233" t="s">
        <v>1759</v>
      </c>
      <c r="E1012" s="68" t="s">
        <v>922</v>
      </c>
      <c r="F1012" s="117" t="s">
        <v>1035</v>
      </c>
      <c r="G1012" s="118" t="s">
        <v>1035</v>
      </c>
      <c r="H1012" s="118" t="s">
        <v>1035</v>
      </c>
      <c r="I1012" s="118" t="s">
        <v>1035</v>
      </c>
      <c r="J1012" s="70">
        <v>0.9</v>
      </c>
      <c r="K1012" s="71" t="s">
        <v>1710</v>
      </c>
      <c r="L1012" s="71" t="s">
        <v>1710</v>
      </c>
      <c r="M1012" s="72" t="s">
        <v>1710</v>
      </c>
      <c r="N1012" s="71" t="s">
        <v>1710</v>
      </c>
      <c r="O1012" s="73">
        <v>0.9</v>
      </c>
      <c r="P1012" s="71" t="s">
        <v>1710</v>
      </c>
      <c r="Q1012" s="71" t="s">
        <v>1710</v>
      </c>
      <c r="R1012" s="71" t="s">
        <v>1710</v>
      </c>
      <c r="S1012" s="71" t="s">
        <v>1710</v>
      </c>
      <c r="T1012" s="73">
        <v>0.9</v>
      </c>
      <c r="U1012" s="71" t="s">
        <v>1710</v>
      </c>
      <c r="V1012" s="71" t="s">
        <v>1710</v>
      </c>
      <c r="W1012" s="71" t="s">
        <v>1710</v>
      </c>
      <c r="X1012" s="71" t="s">
        <v>1710</v>
      </c>
      <c r="Y1012" s="73">
        <v>0.92</v>
      </c>
      <c r="Z1012" s="73" t="s">
        <v>1710</v>
      </c>
      <c r="AA1012" s="73" t="s">
        <v>1710</v>
      </c>
      <c r="AB1012" s="73" t="s">
        <v>1710</v>
      </c>
      <c r="AC1012" s="73" t="s">
        <v>1710</v>
      </c>
      <c r="AD1012" s="73">
        <v>0.92</v>
      </c>
      <c r="AE1012" s="71" t="s">
        <v>1710</v>
      </c>
      <c r="AF1012" s="71" t="s">
        <v>1710</v>
      </c>
      <c r="AG1012" s="71" t="s">
        <v>1710</v>
      </c>
      <c r="AH1012" s="71" t="s">
        <v>1710</v>
      </c>
      <c r="AI1012" s="73">
        <v>0.92</v>
      </c>
      <c r="AJ1012" s="71" t="s">
        <v>1710</v>
      </c>
      <c r="AK1012" s="71" t="s">
        <v>1710</v>
      </c>
      <c r="AL1012" s="71" t="s">
        <v>1710</v>
      </c>
      <c r="AM1012" s="71" t="s">
        <v>1710</v>
      </c>
      <c r="AN1012" s="70">
        <v>0.99</v>
      </c>
      <c r="AO1012" s="75" t="s">
        <v>1710</v>
      </c>
      <c r="AP1012" s="75" t="s">
        <v>1710</v>
      </c>
      <c r="AQ1012" s="75" t="s">
        <v>1710</v>
      </c>
      <c r="AR1012" s="75" t="s">
        <v>1710</v>
      </c>
      <c r="AS1012" s="95">
        <v>6.5641848892985799E-2</v>
      </c>
      <c r="AT1012" s="79" t="s">
        <v>1710</v>
      </c>
      <c r="AU1012" s="79" t="s">
        <v>1710</v>
      </c>
      <c r="AV1012" s="79" t="s">
        <v>1710</v>
      </c>
      <c r="AW1012" s="79" t="s">
        <v>1710</v>
      </c>
      <c r="AX1012" s="56"/>
      <c r="AY1012" s="54"/>
    </row>
    <row r="1013" spans="1:51" ht="15">
      <c r="A1013" s="53"/>
      <c r="B1013" s="56"/>
      <c r="C1013" s="114" t="s">
        <v>921</v>
      </c>
      <c r="D1013" s="233" t="s">
        <v>1759</v>
      </c>
      <c r="E1013" s="68" t="s">
        <v>922</v>
      </c>
      <c r="F1013" s="119" t="s">
        <v>1036</v>
      </c>
      <c r="G1013" s="120" t="s">
        <v>1036</v>
      </c>
      <c r="H1013" s="120" t="s">
        <v>1036</v>
      </c>
      <c r="I1013" s="120" t="s">
        <v>1036</v>
      </c>
      <c r="J1013" s="70">
        <v>0.9</v>
      </c>
      <c r="K1013" s="71" t="s">
        <v>1710</v>
      </c>
      <c r="L1013" s="71" t="s">
        <v>1710</v>
      </c>
      <c r="M1013" s="72" t="s">
        <v>1710</v>
      </c>
      <c r="N1013" s="71" t="s">
        <v>1710</v>
      </c>
      <c r="O1013" s="73">
        <v>0.9</v>
      </c>
      <c r="P1013" s="71" t="s">
        <v>1710</v>
      </c>
      <c r="Q1013" s="71" t="s">
        <v>1710</v>
      </c>
      <c r="R1013" s="71" t="s">
        <v>1710</v>
      </c>
      <c r="S1013" s="71">
        <v>0</v>
      </c>
      <c r="T1013" s="73">
        <v>0.9</v>
      </c>
      <c r="U1013" s="71" t="s">
        <v>1710</v>
      </c>
      <c r="V1013" s="71" t="s">
        <v>1710</v>
      </c>
      <c r="W1013" s="71" t="s">
        <v>1710</v>
      </c>
      <c r="X1013" s="71">
        <v>1</v>
      </c>
      <c r="Y1013" s="73">
        <v>0.92</v>
      </c>
      <c r="Z1013" s="73" t="s">
        <v>1710</v>
      </c>
      <c r="AA1013" s="73" t="s">
        <v>1710</v>
      </c>
      <c r="AB1013" s="73" t="s">
        <v>1710</v>
      </c>
      <c r="AC1013" s="73" t="s">
        <v>1710</v>
      </c>
      <c r="AD1013" s="73">
        <v>0.92</v>
      </c>
      <c r="AE1013" s="71">
        <v>0.99506172839506202</v>
      </c>
      <c r="AF1013" s="71">
        <v>0.98742138364779897</v>
      </c>
      <c r="AG1013" s="71">
        <v>1</v>
      </c>
      <c r="AH1013" s="71">
        <v>0.99143532191376305</v>
      </c>
      <c r="AI1013" s="73">
        <v>0.92</v>
      </c>
      <c r="AJ1013" s="71" t="s">
        <v>1710</v>
      </c>
      <c r="AK1013" s="71" t="s">
        <v>1710</v>
      </c>
      <c r="AL1013" s="71" t="s">
        <v>1710</v>
      </c>
      <c r="AM1013" s="71">
        <v>1</v>
      </c>
      <c r="AN1013" s="70">
        <v>0.99</v>
      </c>
      <c r="AO1013" s="75" t="s">
        <v>1710</v>
      </c>
      <c r="AP1013" s="75" t="s">
        <v>1710</v>
      </c>
      <c r="AQ1013" s="75" t="s">
        <v>1710</v>
      </c>
      <c r="AR1013" s="75">
        <v>1</v>
      </c>
      <c r="AS1013" s="95">
        <v>6.5641848892985799E-2</v>
      </c>
      <c r="AT1013" s="79" t="s">
        <v>1710</v>
      </c>
      <c r="AU1013" s="79" t="s">
        <v>1710</v>
      </c>
      <c r="AV1013" s="79" t="s">
        <v>1710</v>
      </c>
      <c r="AW1013" s="79" t="s">
        <v>1710</v>
      </c>
      <c r="AX1013" s="56"/>
      <c r="AY1013" s="54"/>
    </row>
    <row r="1014" spans="1:51" ht="15">
      <c r="A1014" s="53"/>
      <c r="B1014" s="56"/>
      <c r="C1014" s="114" t="s">
        <v>921</v>
      </c>
      <c r="D1014" s="233" t="s">
        <v>1759</v>
      </c>
      <c r="E1014" s="68" t="s">
        <v>922</v>
      </c>
      <c r="F1014" s="119" t="s">
        <v>1037</v>
      </c>
      <c r="G1014" s="120" t="s">
        <v>1037</v>
      </c>
      <c r="H1014" s="120" t="s">
        <v>1037</v>
      </c>
      <c r="I1014" s="120" t="s">
        <v>1037</v>
      </c>
      <c r="J1014" s="70">
        <v>0.9</v>
      </c>
      <c r="K1014" s="71" t="s">
        <v>1710</v>
      </c>
      <c r="L1014" s="71" t="s">
        <v>1710</v>
      </c>
      <c r="M1014" s="72" t="s">
        <v>1710</v>
      </c>
      <c r="N1014" s="71" t="s">
        <v>1710</v>
      </c>
      <c r="O1014" s="73">
        <v>0.9</v>
      </c>
      <c r="P1014" s="71" t="s">
        <v>1710</v>
      </c>
      <c r="Q1014" s="71">
        <v>0</v>
      </c>
      <c r="R1014" s="71" t="s">
        <v>1710</v>
      </c>
      <c r="S1014" s="71">
        <v>0</v>
      </c>
      <c r="T1014" s="73">
        <v>0.9</v>
      </c>
      <c r="U1014" s="71" t="s">
        <v>1710</v>
      </c>
      <c r="V1014" s="71">
        <v>0.5</v>
      </c>
      <c r="W1014" s="71" t="s">
        <v>1710</v>
      </c>
      <c r="X1014" s="71">
        <v>0.5</v>
      </c>
      <c r="Y1014" s="73">
        <v>0.92</v>
      </c>
      <c r="Z1014" s="73" t="s">
        <v>1710</v>
      </c>
      <c r="AA1014" s="73" t="s">
        <v>1710</v>
      </c>
      <c r="AB1014" s="73" t="s">
        <v>1710</v>
      </c>
      <c r="AC1014" s="73" t="s">
        <v>1710</v>
      </c>
      <c r="AD1014" s="73">
        <v>0.92</v>
      </c>
      <c r="AE1014" s="71">
        <v>0.90888888888888897</v>
      </c>
      <c r="AF1014" s="71">
        <v>1</v>
      </c>
      <c r="AG1014" s="71">
        <v>1</v>
      </c>
      <c r="AH1014" s="71">
        <v>0.98957298907646496</v>
      </c>
      <c r="AI1014" s="73">
        <v>0.92</v>
      </c>
      <c r="AJ1014" s="71" t="s">
        <v>1710</v>
      </c>
      <c r="AK1014" s="71">
        <v>0.5</v>
      </c>
      <c r="AL1014" s="71" t="s">
        <v>1710</v>
      </c>
      <c r="AM1014" s="71">
        <v>0.5</v>
      </c>
      <c r="AN1014" s="70">
        <v>0.99</v>
      </c>
      <c r="AO1014" s="75">
        <v>1</v>
      </c>
      <c r="AP1014" s="75">
        <v>1</v>
      </c>
      <c r="AQ1014" s="75">
        <v>1</v>
      </c>
      <c r="AR1014" s="75">
        <v>1</v>
      </c>
      <c r="AS1014" s="95">
        <v>6.5641848892985799E-2</v>
      </c>
      <c r="AT1014" s="79" t="s">
        <v>1710</v>
      </c>
      <c r="AU1014" s="79" t="s">
        <v>1710</v>
      </c>
      <c r="AV1014" s="79" t="s">
        <v>1710</v>
      </c>
      <c r="AW1014" s="79" t="s">
        <v>1710</v>
      </c>
      <c r="AX1014" s="56"/>
      <c r="AY1014" s="54"/>
    </row>
    <row r="1015" spans="1:51" ht="15">
      <c r="A1015" s="53"/>
      <c r="B1015" s="56"/>
      <c r="C1015" s="114" t="s">
        <v>921</v>
      </c>
      <c r="D1015" s="233" t="s">
        <v>1757</v>
      </c>
      <c r="E1015" s="68" t="s">
        <v>922</v>
      </c>
      <c r="F1015" s="117" t="s">
        <v>1038</v>
      </c>
      <c r="G1015" s="118" t="s">
        <v>1038</v>
      </c>
      <c r="H1015" s="118" t="s">
        <v>1038</v>
      </c>
      <c r="I1015" s="118" t="s">
        <v>1038</v>
      </c>
      <c r="J1015" s="70">
        <v>0.9</v>
      </c>
      <c r="K1015" s="71">
        <v>0.90243902439024404</v>
      </c>
      <c r="L1015" s="71">
        <v>0.88888888888888895</v>
      </c>
      <c r="M1015" s="72">
        <v>0.85714285714285698</v>
      </c>
      <c r="N1015" s="71">
        <v>0.87096774193548399</v>
      </c>
      <c r="O1015" s="73">
        <v>0.9</v>
      </c>
      <c r="P1015" s="71">
        <v>0.95350241545893699</v>
      </c>
      <c r="Q1015" s="71">
        <v>0.94647568790048997</v>
      </c>
      <c r="R1015" s="71">
        <v>0.92358471694338895</v>
      </c>
      <c r="S1015" s="71">
        <v>0.90183656863884698</v>
      </c>
      <c r="T1015" s="73">
        <v>0.9</v>
      </c>
      <c r="U1015" s="71">
        <v>0.93176328502415495</v>
      </c>
      <c r="V1015" s="71">
        <v>0.90444779494911398</v>
      </c>
      <c r="W1015" s="71">
        <v>0.86137227445489095</v>
      </c>
      <c r="X1015" s="71">
        <v>0.88922468906195495</v>
      </c>
      <c r="Y1015" s="73">
        <v>0.92</v>
      </c>
      <c r="Z1015" s="73">
        <v>0.92624854819976798</v>
      </c>
      <c r="AA1015" s="73">
        <v>0.93928980526918704</v>
      </c>
      <c r="AB1015" s="73">
        <v>0.84179104477611899</v>
      </c>
      <c r="AC1015" s="73">
        <v>0.90054081460199398</v>
      </c>
      <c r="AD1015" s="73">
        <v>0.92</v>
      </c>
      <c r="AE1015" s="71">
        <v>0.99766325467984096</v>
      </c>
      <c r="AF1015" s="71">
        <v>0.99429289998065395</v>
      </c>
      <c r="AG1015" s="71">
        <v>0.99731248473002698</v>
      </c>
      <c r="AH1015" s="71">
        <v>0.99164097057345801</v>
      </c>
      <c r="AI1015" s="73">
        <v>0.92</v>
      </c>
      <c r="AJ1015" s="71">
        <v>0.94967307311273996</v>
      </c>
      <c r="AK1015" s="71">
        <v>0.96184316895715405</v>
      </c>
      <c r="AL1015" s="71">
        <v>0.908319467554077</v>
      </c>
      <c r="AM1015" s="71">
        <v>0.94537894537894496</v>
      </c>
      <c r="AN1015" s="70">
        <v>0.99</v>
      </c>
      <c r="AO1015" s="75">
        <v>1</v>
      </c>
      <c r="AP1015" s="75">
        <v>1</v>
      </c>
      <c r="AQ1015" s="75">
        <v>1</v>
      </c>
      <c r="AR1015" s="75">
        <v>1</v>
      </c>
      <c r="AS1015" s="95">
        <v>6.5641848892985799E-2</v>
      </c>
      <c r="AT1015" s="79">
        <v>9.0909090909090898E-2</v>
      </c>
      <c r="AU1015" s="79">
        <v>0</v>
      </c>
      <c r="AV1015" s="79">
        <v>3.03030303030303E-2</v>
      </c>
      <c r="AW1015" s="79">
        <v>7.25806451612903E-2</v>
      </c>
      <c r="AX1015" s="56"/>
      <c r="AY1015" s="54"/>
    </row>
    <row r="1016" spans="1:51" ht="15">
      <c r="A1016" s="53"/>
      <c r="B1016" s="56"/>
      <c r="C1016" s="114" t="s">
        <v>921</v>
      </c>
      <c r="D1016" s="233" t="s">
        <v>1759</v>
      </c>
      <c r="E1016" s="68" t="s">
        <v>922</v>
      </c>
      <c r="F1016" s="119" t="s">
        <v>1039</v>
      </c>
      <c r="G1016" s="120" t="s">
        <v>1039</v>
      </c>
      <c r="H1016" s="120" t="s">
        <v>1039</v>
      </c>
      <c r="I1016" s="120" t="s">
        <v>1039</v>
      </c>
      <c r="J1016" s="70">
        <v>0.9</v>
      </c>
      <c r="K1016" s="71" t="s">
        <v>1710</v>
      </c>
      <c r="L1016" s="71" t="s">
        <v>1710</v>
      </c>
      <c r="M1016" s="72" t="s">
        <v>1710</v>
      </c>
      <c r="N1016" s="71" t="s">
        <v>1710</v>
      </c>
      <c r="O1016" s="73">
        <v>0.9</v>
      </c>
      <c r="P1016" s="71" t="s">
        <v>1710</v>
      </c>
      <c r="Q1016" s="71" t="s">
        <v>1710</v>
      </c>
      <c r="R1016" s="71" t="s">
        <v>1710</v>
      </c>
      <c r="S1016" s="71">
        <v>0</v>
      </c>
      <c r="T1016" s="73">
        <v>0.9</v>
      </c>
      <c r="U1016" s="71" t="s">
        <v>1710</v>
      </c>
      <c r="V1016" s="71" t="s">
        <v>1710</v>
      </c>
      <c r="W1016" s="71" t="s">
        <v>1710</v>
      </c>
      <c r="X1016" s="71">
        <v>1</v>
      </c>
      <c r="Y1016" s="73">
        <v>0.92</v>
      </c>
      <c r="Z1016" s="73" t="s">
        <v>1710</v>
      </c>
      <c r="AA1016" s="73" t="s">
        <v>1710</v>
      </c>
      <c r="AB1016" s="73" t="s">
        <v>1710</v>
      </c>
      <c r="AC1016" s="73" t="s">
        <v>1710</v>
      </c>
      <c r="AD1016" s="73">
        <v>0.92</v>
      </c>
      <c r="AE1016" s="71">
        <v>1</v>
      </c>
      <c r="AF1016" s="71">
        <v>0.99691358024691401</v>
      </c>
      <c r="AG1016" s="71">
        <v>1</v>
      </c>
      <c r="AH1016" s="71">
        <v>0.99973183159023904</v>
      </c>
      <c r="AI1016" s="73">
        <v>0.92</v>
      </c>
      <c r="AJ1016" s="71" t="s">
        <v>1710</v>
      </c>
      <c r="AK1016" s="71" t="s">
        <v>1710</v>
      </c>
      <c r="AL1016" s="71" t="s">
        <v>1710</v>
      </c>
      <c r="AM1016" s="71">
        <v>1</v>
      </c>
      <c r="AN1016" s="70">
        <v>0.99</v>
      </c>
      <c r="AO1016" s="75">
        <v>1</v>
      </c>
      <c r="AP1016" s="75">
        <v>1</v>
      </c>
      <c r="AQ1016" s="75">
        <v>1</v>
      </c>
      <c r="AR1016" s="75">
        <v>1</v>
      </c>
      <c r="AS1016" s="95">
        <v>6.5641848892985799E-2</v>
      </c>
      <c r="AT1016" s="79" t="s">
        <v>1710</v>
      </c>
      <c r="AU1016" s="79" t="s">
        <v>1710</v>
      </c>
      <c r="AV1016" s="79" t="s">
        <v>1710</v>
      </c>
      <c r="AW1016" s="79" t="s">
        <v>1710</v>
      </c>
      <c r="AX1016" s="56"/>
      <c r="AY1016" s="54"/>
    </row>
    <row r="1017" spans="1:51" ht="15">
      <c r="A1017" s="53"/>
      <c r="B1017" s="56"/>
      <c r="C1017" s="114" t="s">
        <v>921</v>
      </c>
      <c r="D1017" s="233" t="s">
        <v>1757</v>
      </c>
      <c r="E1017" s="68" t="s">
        <v>922</v>
      </c>
      <c r="F1017" s="119" t="s">
        <v>1040</v>
      </c>
      <c r="G1017" s="120" t="s">
        <v>1040</v>
      </c>
      <c r="H1017" s="120" t="s">
        <v>1040</v>
      </c>
      <c r="I1017" s="120" t="s">
        <v>1040</v>
      </c>
      <c r="J1017" s="70">
        <v>0.9</v>
      </c>
      <c r="K1017" s="71">
        <v>0.96551724137931005</v>
      </c>
      <c r="L1017" s="71">
        <v>0.939393939393939</v>
      </c>
      <c r="M1017" s="72">
        <v>0.96296296296296302</v>
      </c>
      <c r="N1017" s="71">
        <v>0.91714285714285704</v>
      </c>
      <c r="O1017" s="73">
        <v>0.9</v>
      </c>
      <c r="P1017" s="71">
        <v>0.94295842732839197</v>
      </c>
      <c r="Q1017" s="71">
        <v>0.91601272534464495</v>
      </c>
      <c r="R1017" s="71">
        <v>0.88540245566166398</v>
      </c>
      <c r="S1017" s="71">
        <v>0.92127169677647902</v>
      </c>
      <c r="T1017" s="73">
        <v>0.9</v>
      </c>
      <c r="U1017" s="71">
        <v>0.90331936835320703</v>
      </c>
      <c r="V1017" s="71">
        <v>0.90222693531283105</v>
      </c>
      <c r="W1017" s="71">
        <v>0.83378808549340599</v>
      </c>
      <c r="X1017" s="71">
        <v>0.90393641516117595</v>
      </c>
      <c r="Y1017" s="73">
        <v>0.92</v>
      </c>
      <c r="Z1017" s="73">
        <v>0.91205862758161205</v>
      </c>
      <c r="AA1017" s="73">
        <v>0.90730337078651702</v>
      </c>
      <c r="AB1017" s="73">
        <v>0.76705882352941201</v>
      </c>
      <c r="AC1017" s="73">
        <v>0.85262849897590998</v>
      </c>
      <c r="AD1017" s="73">
        <v>0.92</v>
      </c>
      <c r="AE1017" s="71">
        <v>0.99857150145400697</v>
      </c>
      <c r="AF1017" s="71">
        <v>0.99267167856465999</v>
      </c>
      <c r="AG1017" s="71">
        <v>0.99871498329478303</v>
      </c>
      <c r="AH1017" s="71">
        <v>0.96753530975435298</v>
      </c>
      <c r="AI1017" s="73">
        <v>0.92</v>
      </c>
      <c r="AJ1017" s="71">
        <v>0.92997622649665002</v>
      </c>
      <c r="AK1017" s="71">
        <v>0.96266323340077298</v>
      </c>
      <c r="AL1017" s="71">
        <v>0.88518659558263502</v>
      </c>
      <c r="AM1017" s="71">
        <v>0.93851196801325598</v>
      </c>
      <c r="AN1017" s="70">
        <v>0.99</v>
      </c>
      <c r="AO1017" s="75">
        <v>1</v>
      </c>
      <c r="AP1017" s="75">
        <v>1</v>
      </c>
      <c r="AQ1017" s="75">
        <v>1</v>
      </c>
      <c r="AR1017" s="75">
        <v>1</v>
      </c>
      <c r="AS1017" s="95">
        <v>6.5641848892985799E-2</v>
      </c>
      <c r="AT1017" s="79">
        <v>0</v>
      </c>
      <c r="AU1017" s="79">
        <v>2.8571428571428598E-2</v>
      </c>
      <c r="AV1017" s="79">
        <v>0.04</v>
      </c>
      <c r="AW1017" s="79">
        <v>7.2674418604651195E-2</v>
      </c>
      <c r="AX1017" s="56"/>
      <c r="AY1017" s="54"/>
    </row>
    <row r="1018" spans="1:51" ht="15">
      <c r="A1018" s="53"/>
      <c r="B1018" s="56"/>
      <c r="C1018" s="114" t="s">
        <v>921</v>
      </c>
      <c r="D1018" s="233" t="s">
        <v>1759</v>
      </c>
      <c r="E1018" s="68" t="s">
        <v>922</v>
      </c>
      <c r="F1018" s="119" t="s">
        <v>1041</v>
      </c>
      <c r="G1018" s="120" t="s">
        <v>1041</v>
      </c>
      <c r="H1018" s="120" t="s">
        <v>1041</v>
      </c>
      <c r="I1018" s="120" t="s">
        <v>1041</v>
      </c>
      <c r="J1018" s="70">
        <v>0.9</v>
      </c>
      <c r="K1018" s="71" t="s">
        <v>1710</v>
      </c>
      <c r="L1018" s="71" t="s">
        <v>1710</v>
      </c>
      <c r="M1018" s="72" t="s">
        <v>1710</v>
      </c>
      <c r="N1018" s="71" t="s">
        <v>1710</v>
      </c>
      <c r="O1018" s="73">
        <v>0.9</v>
      </c>
      <c r="P1018" s="71" t="s">
        <v>1710</v>
      </c>
      <c r="Q1018" s="71" t="s">
        <v>1710</v>
      </c>
      <c r="R1018" s="71" t="s">
        <v>1710</v>
      </c>
      <c r="S1018" s="71">
        <v>0</v>
      </c>
      <c r="T1018" s="73">
        <v>0.9</v>
      </c>
      <c r="U1018" s="71" t="s">
        <v>1710</v>
      </c>
      <c r="V1018" s="71" t="s">
        <v>1710</v>
      </c>
      <c r="W1018" s="71" t="s">
        <v>1710</v>
      </c>
      <c r="X1018" s="71">
        <v>1</v>
      </c>
      <c r="Y1018" s="73">
        <v>0.92</v>
      </c>
      <c r="Z1018" s="73" t="s">
        <v>1710</v>
      </c>
      <c r="AA1018" s="73" t="s">
        <v>1710</v>
      </c>
      <c r="AB1018" s="73" t="s">
        <v>1710</v>
      </c>
      <c r="AC1018" s="73">
        <v>1</v>
      </c>
      <c r="AD1018" s="73">
        <v>0.92</v>
      </c>
      <c r="AE1018" s="71">
        <v>0.99295774647887303</v>
      </c>
      <c r="AF1018" s="71">
        <v>1</v>
      </c>
      <c r="AG1018" s="71">
        <v>0.99447513812154698</v>
      </c>
      <c r="AH1018" s="71">
        <v>0.99854397204426304</v>
      </c>
      <c r="AI1018" s="73">
        <v>0.92</v>
      </c>
      <c r="AJ1018" s="71">
        <v>1</v>
      </c>
      <c r="AK1018" s="71">
        <v>1</v>
      </c>
      <c r="AL1018" s="71" t="s">
        <v>1710</v>
      </c>
      <c r="AM1018" s="71">
        <v>1</v>
      </c>
      <c r="AN1018" s="70">
        <v>0.99</v>
      </c>
      <c r="AO1018" s="75">
        <v>1</v>
      </c>
      <c r="AP1018" s="75">
        <v>1</v>
      </c>
      <c r="AQ1018" s="75">
        <v>1</v>
      </c>
      <c r="AR1018" s="75">
        <v>1</v>
      </c>
      <c r="AS1018" s="95">
        <v>6.5641848892985799E-2</v>
      </c>
      <c r="AT1018" s="79" t="s">
        <v>1710</v>
      </c>
      <c r="AU1018" s="79" t="s">
        <v>1710</v>
      </c>
      <c r="AV1018" s="79" t="s">
        <v>1710</v>
      </c>
      <c r="AW1018" s="79" t="s">
        <v>1710</v>
      </c>
      <c r="AX1018" s="56"/>
      <c r="AY1018" s="54"/>
    </row>
    <row r="1019" spans="1:51" ht="15">
      <c r="A1019" s="53"/>
      <c r="B1019" s="56"/>
      <c r="C1019" s="114" t="s">
        <v>921</v>
      </c>
      <c r="D1019" s="233" t="s">
        <v>1759</v>
      </c>
      <c r="E1019" s="68" t="s">
        <v>922</v>
      </c>
      <c r="F1019" s="119" t="s">
        <v>1042</v>
      </c>
      <c r="G1019" s="120" t="s">
        <v>1042</v>
      </c>
      <c r="H1019" s="120" t="s">
        <v>1042</v>
      </c>
      <c r="I1019" s="120" t="s">
        <v>1042</v>
      </c>
      <c r="J1019" s="70">
        <v>0.9</v>
      </c>
      <c r="K1019" s="71" t="s">
        <v>1710</v>
      </c>
      <c r="L1019" s="71" t="s">
        <v>1710</v>
      </c>
      <c r="M1019" s="72" t="s">
        <v>1710</v>
      </c>
      <c r="N1019" s="71" t="s">
        <v>1710</v>
      </c>
      <c r="O1019" s="73">
        <v>0.9</v>
      </c>
      <c r="P1019" s="71">
        <v>0</v>
      </c>
      <c r="Q1019" s="71" t="s">
        <v>1710</v>
      </c>
      <c r="R1019" s="71" t="s">
        <v>1710</v>
      </c>
      <c r="S1019" s="71">
        <v>0</v>
      </c>
      <c r="T1019" s="73">
        <v>0.9</v>
      </c>
      <c r="U1019" s="71">
        <v>1</v>
      </c>
      <c r="V1019" s="71" t="s">
        <v>1710</v>
      </c>
      <c r="W1019" s="71" t="s">
        <v>1710</v>
      </c>
      <c r="X1019" s="71">
        <v>1</v>
      </c>
      <c r="Y1019" s="73">
        <v>0.92</v>
      </c>
      <c r="Z1019" s="73" t="s">
        <v>1710</v>
      </c>
      <c r="AA1019" s="73" t="s">
        <v>1710</v>
      </c>
      <c r="AB1019" s="73" t="s">
        <v>1710</v>
      </c>
      <c r="AC1019" s="73" t="s">
        <v>1710</v>
      </c>
      <c r="AD1019" s="73">
        <v>0.92</v>
      </c>
      <c r="AE1019" s="71">
        <v>1</v>
      </c>
      <c r="AF1019" s="71">
        <v>1</v>
      </c>
      <c r="AG1019" s="71">
        <v>1</v>
      </c>
      <c r="AH1019" s="71">
        <v>1</v>
      </c>
      <c r="AI1019" s="73">
        <v>0.92</v>
      </c>
      <c r="AJ1019" s="71">
        <v>1</v>
      </c>
      <c r="AK1019" s="71" t="s">
        <v>1710</v>
      </c>
      <c r="AL1019" s="71" t="s">
        <v>1710</v>
      </c>
      <c r="AM1019" s="71">
        <v>1</v>
      </c>
      <c r="AN1019" s="70">
        <v>0.99</v>
      </c>
      <c r="AO1019" s="75">
        <v>1</v>
      </c>
      <c r="AP1019" s="75">
        <v>1</v>
      </c>
      <c r="AQ1019" s="75">
        <v>1</v>
      </c>
      <c r="AR1019" s="75">
        <v>1</v>
      </c>
      <c r="AS1019" s="95">
        <v>6.5641848892985799E-2</v>
      </c>
      <c r="AT1019" s="79" t="s">
        <v>1710</v>
      </c>
      <c r="AU1019" s="79" t="s">
        <v>1710</v>
      </c>
      <c r="AV1019" s="79" t="s">
        <v>1710</v>
      </c>
      <c r="AW1019" s="79" t="s">
        <v>1710</v>
      </c>
      <c r="AX1019" s="56"/>
      <c r="AY1019" s="54"/>
    </row>
    <row r="1020" spans="1:51" ht="15">
      <c r="A1020" s="53"/>
      <c r="B1020" s="56"/>
      <c r="C1020" s="114" t="s">
        <v>921</v>
      </c>
      <c r="D1020" s="233" t="s">
        <v>1759</v>
      </c>
      <c r="E1020" s="68" t="s">
        <v>922</v>
      </c>
      <c r="F1020" s="119" t="s">
        <v>1043</v>
      </c>
      <c r="G1020" s="120" t="s">
        <v>1043</v>
      </c>
      <c r="H1020" s="120" t="s">
        <v>1043</v>
      </c>
      <c r="I1020" s="120" t="s">
        <v>1043</v>
      </c>
      <c r="J1020" s="70">
        <v>0.9</v>
      </c>
      <c r="K1020" s="71" t="s">
        <v>1710</v>
      </c>
      <c r="L1020" s="71" t="s">
        <v>1710</v>
      </c>
      <c r="M1020" s="72" t="s">
        <v>1710</v>
      </c>
      <c r="N1020" s="71" t="s">
        <v>1710</v>
      </c>
      <c r="O1020" s="73">
        <v>0.9</v>
      </c>
      <c r="P1020" s="71" t="s">
        <v>1710</v>
      </c>
      <c r="Q1020" s="71">
        <v>0</v>
      </c>
      <c r="R1020" s="71" t="s">
        <v>1710</v>
      </c>
      <c r="S1020" s="71">
        <v>0</v>
      </c>
      <c r="T1020" s="73">
        <v>0.9</v>
      </c>
      <c r="U1020" s="71" t="s">
        <v>1710</v>
      </c>
      <c r="V1020" s="71">
        <v>1</v>
      </c>
      <c r="W1020" s="71" t="s">
        <v>1710</v>
      </c>
      <c r="X1020" s="71">
        <v>1</v>
      </c>
      <c r="Y1020" s="73">
        <v>0.92</v>
      </c>
      <c r="Z1020" s="73" t="s">
        <v>1710</v>
      </c>
      <c r="AA1020" s="73" t="s">
        <v>1710</v>
      </c>
      <c r="AB1020" s="73" t="s">
        <v>1710</v>
      </c>
      <c r="AC1020" s="73" t="s">
        <v>1710</v>
      </c>
      <c r="AD1020" s="73">
        <v>0.92</v>
      </c>
      <c r="AE1020" s="71">
        <v>1</v>
      </c>
      <c r="AF1020" s="71">
        <v>1</v>
      </c>
      <c r="AG1020" s="71">
        <v>1</v>
      </c>
      <c r="AH1020" s="71">
        <v>1</v>
      </c>
      <c r="AI1020" s="73">
        <v>0.92</v>
      </c>
      <c r="AJ1020" s="71" t="s">
        <v>1710</v>
      </c>
      <c r="AK1020" s="71">
        <v>1</v>
      </c>
      <c r="AL1020" s="71" t="s">
        <v>1710</v>
      </c>
      <c r="AM1020" s="71">
        <v>1</v>
      </c>
      <c r="AN1020" s="70">
        <v>0.99</v>
      </c>
      <c r="AO1020" s="75" t="s">
        <v>1710</v>
      </c>
      <c r="AP1020" s="75" t="s">
        <v>1710</v>
      </c>
      <c r="AQ1020" s="75" t="s">
        <v>1710</v>
      </c>
      <c r="AR1020" s="75" t="s">
        <v>1710</v>
      </c>
      <c r="AS1020" s="95">
        <v>6.5641848892985799E-2</v>
      </c>
      <c r="AT1020" s="79" t="s">
        <v>1710</v>
      </c>
      <c r="AU1020" s="79" t="s">
        <v>1710</v>
      </c>
      <c r="AV1020" s="79" t="s">
        <v>1710</v>
      </c>
      <c r="AW1020" s="79" t="s">
        <v>1710</v>
      </c>
      <c r="AX1020" s="56"/>
      <c r="AY1020" s="54"/>
    </row>
    <row r="1021" spans="1:51" ht="15">
      <c r="A1021" s="53"/>
      <c r="B1021" s="56"/>
      <c r="C1021" s="114" t="s">
        <v>921</v>
      </c>
      <c r="D1021" s="233" t="s">
        <v>1757</v>
      </c>
      <c r="E1021" s="68" t="s">
        <v>922</v>
      </c>
      <c r="F1021" s="119" t="s">
        <v>1044</v>
      </c>
      <c r="G1021" s="120" t="s">
        <v>1044</v>
      </c>
      <c r="H1021" s="120" t="s">
        <v>1044</v>
      </c>
      <c r="I1021" s="120" t="s">
        <v>1044</v>
      </c>
      <c r="J1021" s="70">
        <v>0.9</v>
      </c>
      <c r="K1021" s="71">
        <v>0.875</v>
      </c>
      <c r="L1021" s="71">
        <v>1</v>
      </c>
      <c r="M1021" s="72">
        <v>0.85714285714285698</v>
      </c>
      <c r="N1021" s="71">
        <v>0.94736842105263197</v>
      </c>
      <c r="O1021" s="73">
        <v>0.9</v>
      </c>
      <c r="P1021" s="71">
        <v>0.96680080482897401</v>
      </c>
      <c r="Q1021" s="71">
        <v>0.97045305318450403</v>
      </c>
      <c r="R1021" s="71">
        <v>0.89275147928994103</v>
      </c>
      <c r="S1021" s="71">
        <v>0.93146438439247903</v>
      </c>
      <c r="T1021" s="73">
        <v>0.9</v>
      </c>
      <c r="U1021" s="71">
        <v>0.92052313883299797</v>
      </c>
      <c r="V1021" s="71">
        <v>0.82468811556139199</v>
      </c>
      <c r="W1021" s="71">
        <v>0.695266272189349</v>
      </c>
      <c r="X1021" s="71">
        <v>0.854841970483186</v>
      </c>
      <c r="Y1021" s="73">
        <v>0.92</v>
      </c>
      <c r="Z1021" s="73">
        <v>0.93554006968641101</v>
      </c>
      <c r="AA1021" s="73">
        <v>0.93308550185873596</v>
      </c>
      <c r="AB1021" s="73">
        <v>0.72865853658536595</v>
      </c>
      <c r="AC1021" s="73">
        <v>0.86299511665762296</v>
      </c>
      <c r="AD1021" s="73">
        <v>0.92</v>
      </c>
      <c r="AE1021" s="71">
        <v>0.99189203326881803</v>
      </c>
      <c r="AF1021" s="71">
        <v>0.985323940655353</v>
      </c>
      <c r="AG1021" s="71">
        <v>0.994802890100139</v>
      </c>
      <c r="AH1021" s="71">
        <v>0.98526732038368003</v>
      </c>
      <c r="AI1021" s="73">
        <v>0.92</v>
      </c>
      <c r="AJ1021" s="71">
        <v>0.94522292993630597</v>
      </c>
      <c r="AK1021" s="71">
        <v>0.95147796988287803</v>
      </c>
      <c r="AL1021" s="71">
        <v>0.82461355529131997</v>
      </c>
      <c r="AM1021" s="71">
        <v>0.92079314618244501</v>
      </c>
      <c r="AN1021" s="70">
        <v>0.99</v>
      </c>
      <c r="AO1021" s="75">
        <v>1</v>
      </c>
      <c r="AP1021" s="75">
        <v>1</v>
      </c>
      <c r="AQ1021" s="75">
        <v>1</v>
      </c>
      <c r="AR1021" s="75">
        <v>1</v>
      </c>
      <c r="AS1021" s="95">
        <v>6.5641848892985799E-2</v>
      </c>
      <c r="AT1021" s="79">
        <v>0</v>
      </c>
      <c r="AU1021" s="79">
        <v>0</v>
      </c>
      <c r="AV1021" s="79">
        <v>9.0909090909090898E-2</v>
      </c>
      <c r="AW1021" s="79">
        <v>4.08163265306122E-2</v>
      </c>
      <c r="AX1021" s="56"/>
      <c r="AY1021" s="54"/>
    </row>
    <row r="1022" spans="1:51" ht="15">
      <c r="A1022" s="53"/>
      <c r="B1022" s="56"/>
      <c r="C1022" s="114" t="s">
        <v>921</v>
      </c>
      <c r="D1022" s="233" t="s">
        <v>1759</v>
      </c>
      <c r="E1022" s="68" t="s">
        <v>922</v>
      </c>
      <c r="F1022" s="117" t="s">
        <v>1045</v>
      </c>
      <c r="G1022" s="118" t="s">
        <v>1045</v>
      </c>
      <c r="H1022" s="118" t="s">
        <v>1045</v>
      </c>
      <c r="I1022" s="118" t="s">
        <v>1045</v>
      </c>
      <c r="J1022" s="70">
        <v>0.9</v>
      </c>
      <c r="K1022" s="71" t="s">
        <v>1710</v>
      </c>
      <c r="L1022" s="71" t="s">
        <v>1710</v>
      </c>
      <c r="M1022" s="72" t="s">
        <v>1710</v>
      </c>
      <c r="N1022" s="71" t="s">
        <v>1710</v>
      </c>
      <c r="O1022" s="73">
        <v>0.9</v>
      </c>
      <c r="P1022" s="71" t="s">
        <v>1710</v>
      </c>
      <c r="Q1022" s="71" t="s">
        <v>1710</v>
      </c>
      <c r="R1022" s="71" t="s">
        <v>1710</v>
      </c>
      <c r="S1022" s="71">
        <v>1</v>
      </c>
      <c r="T1022" s="73">
        <v>0.9</v>
      </c>
      <c r="U1022" s="71" t="s">
        <v>1710</v>
      </c>
      <c r="V1022" s="71" t="s">
        <v>1710</v>
      </c>
      <c r="W1022" s="71" t="s">
        <v>1710</v>
      </c>
      <c r="X1022" s="71">
        <v>1</v>
      </c>
      <c r="Y1022" s="73">
        <v>0.92</v>
      </c>
      <c r="Z1022" s="73" t="s">
        <v>1710</v>
      </c>
      <c r="AA1022" s="73" t="s">
        <v>1710</v>
      </c>
      <c r="AB1022" s="73" t="s">
        <v>1710</v>
      </c>
      <c r="AC1022" s="73" t="s">
        <v>1710</v>
      </c>
      <c r="AD1022" s="73">
        <v>0.92</v>
      </c>
      <c r="AE1022" s="71">
        <v>0.994773519163763</v>
      </c>
      <c r="AF1022" s="71">
        <v>0.995398773006135</v>
      </c>
      <c r="AG1022" s="71">
        <v>0.98898071625344397</v>
      </c>
      <c r="AH1022" s="71">
        <v>0.99573006590550495</v>
      </c>
      <c r="AI1022" s="73">
        <v>0.92</v>
      </c>
      <c r="AJ1022" s="71" t="s">
        <v>1710</v>
      </c>
      <c r="AK1022" s="71" t="s">
        <v>1710</v>
      </c>
      <c r="AL1022" s="71" t="s">
        <v>1710</v>
      </c>
      <c r="AM1022" s="71">
        <v>1</v>
      </c>
      <c r="AN1022" s="70">
        <v>0.99</v>
      </c>
      <c r="AO1022" s="75">
        <v>1</v>
      </c>
      <c r="AP1022" s="75">
        <v>1</v>
      </c>
      <c r="AQ1022" s="75">
        <v>1</v>
      </c>
      <c r="AR1022" s="75">
        <v>1</v>
      </c>
      <c r="AS1022" s="95">
        <v>6.5641848892985799E-2</v>
      </c>
      <c r="AT1022" s="79">
        <v>0</v>
      </c>
      <c r="AU1022" s="79">
        <v>0</v>
      </c>
      <c r="AV1022" s="79" t="s">
        <v>1710</v>
      </c>
      <c r="AW1022" s="79">
        <v>4.5454545454545497E-2</v>
      </c>
      <c r="AX1022" s="56"/>
      <c r="AY1022" s="54"/>
    </row>
    <row r="1023" spans="1:51" ht="15">
      <c r="A1023" s="53"/>
      <c r="B1023" s="56"/>
      <c r="C1023" s="114" t="s">
        <v>921</v>
      </c>
      <c r="D1023" s="233" t="s">
        <v>1759</v>
      </c>
      <c r="E1023" s="68" t="s">
        <v>922</v>
      </c>
      <c r="F1023" s="117" t="s">
        <v>1046</v>
      </c>
      <c r="G1023" s="118" t="s">
        <v>1046</v>
      </c>
      <c r="H1023" s="118" t="s">
        <v>1046</v>
      </c>
      <c r="I1023" s="118" t="s">
        <v>1046</v>
      </c>
      <c r="J1023" s="70">
        <v>0.9</v>
      </c>
      <c r="K1023" s="71" t="s">
        <v>1710</v>
      </c>
      <c r="L1023" s="71" t="s">
        <v>1710</v>
      </c>
      <c r="M1023" s="72" t="s">
        <v>1710</v>
      </c>
      <c r="N1023" s="71" t="s">
        <v>1710</v>
      </c>
      <c r="O1023" s="73">
        <v>0.9</v>
      </c>
      <c r="P1023" s="71" t="s">
        <v>1710</v>
      </c>
      <c r="Q1023" s="71" t="s">
        <v>1710</v>
      </c>
      <c r="R1023" s="71" t="s">
        <v>1710</v>
      </c>
      <c r="S1023" s="71" t="s">
        <v>1710</v>
      </c>
      <c r="T1023" s="73">
        <v>0.9</v>
      </c>
      <c r="U1023" s="71" t="s">
        <v>1710</v>
      </c>
      <c r="V1023" s="71" t="s">
        <v>1710</v>
      </c>
      <c r="W1023" s="71" t="s">
        <v>1710</v>
      </c>
      <c r="X1023" s="71" t="s">
        <v>1710</v>
      </c>
      <c r="Y1023" s="73">
        <v>0.92</v>
      </c>
      <c r="Z1023" s="73" t="s">
        <v>1710</v>
      </c>
      <c r="AA1023" s="73" t="s">
        <v>1710</v>
      </c>
      <c r="AB1023" s="73" t="s">
        <v>1710</v>
      </c>
      <c r="AC1023" s="73" t="s">
        <v>1710</v>
      </c>
      <c r="AD1023" s="73">
        <v>0.92</v>
      </c>
      <c r="AE1023" s="71">
        <v>1</v>
      </c>
      <c r="AF1023" s="71">
        <v>1</v>
      </c>
      <c r="AG1023" s="71">
        <v>1</v>
      </c>
      <c r="AH1023" s="71">
        <v>0.99969696969696997</v>
      </c>
      <c r="AI1023" s="73">
        <v>0.92</v>
      </c>
      <c r="AJ1023" s="71" t="s">
        <v>1710</v>
      </c>
      <c r="AK1023" s="71" t="s">
        <v>1710</v>
      </c>
      <c r="AL1023" s="71" t="s">
        <v>1710</v>
      </c>
      <c r="AM1023" s="71" t="s">
        <v>1710</v>
      </c>
      <c r="AN1023" s="70">
        <v>0.99</v>
      </c>
      <c r="AO1023" s="75">
        <v>1</v>
      </c>
      <c r="AP1023" s="75">
        <v>1</v>
      </c>
      <c r="AQ1023" s="75" t="s">
        <v>1710</v>
      </c>
      <c r="AR1023" s="75">
        <v>1</v>
      </c>
      <c r="AS1023" s="95">
        <v>6.5641848892985799E-2</v>
      </c>
      <c r="AT1023" s="79" t="s">
        <v>1710</v>
      </c>
      <c r="AU1023" s="79" t="s">
        <v>1710</v>
      </c>
      <c r="AV1023" s="79" t="s">
        <v>1710</v>
      </c>
      <c r="AW1023" s="79" t="s">
        <v>1710</v>
      </c>
      <c r="AX1023" s="56"/>
      <c r="AY1023" s="54"/>
    </row>
    <row r="1024" spans="1:51" ht="15">
      <c r="A1024" s="53"/>
      <c r="B1024" s="56"/>
      <c r="C1024" s="114" t="s">
        <v>921</v>
      </c>
      <c r="D1024" s="233" t="s">
        <v>1759</v>
      </c>
      <c r="E1024" s="68" t="s">
        <v>922</v>
      </c>
      <c r="F1024" s="117" t="s">
        <v>1047</v>
      </c>
      <c r="G1024" s="118" t="s">
        <v>1047</v>
      </c>
      <c r="H1024" s="118" t="s">
        <v>1047</v>
      </c>
      <c r="I1024" s="118" t="s">
        <v>1047</v>
      </c>
      <c r="J1024" s="70">
        <v>0.9</v>
      </c>
      <c r="K1024" s="71" t="s">
        <v>1710</v>
      </c>
      <c r="L1024" s="71" t="s">
        <v>1710</v>
      </c>
      <c r="M1024" s="72" t="s">
        <v>1710</v>
      </c>
      <c r="N1024" s="71" t="s">
        <v>1710</v>
      </c>
      <c r="O1024" s="73">
        <v>0.9</v>
      </c>
      <c r="P1024" s="71" t="s">
        <v>1710</v>
      </c>
      <c r="Q1024" s="71" t="s">
        <v>1710</v>
      </c>
      <c r="R1024" s="71" t="s">
        <v>1710</v>
      </c>
      <c r="S1024" s="71" t="s">
        <v>1710</v>
      </c>
      <c r="T1024" s="73">
        <v>0.9</v>
      </c>
      <c r="U1024" s="71" t="s">
        <v>1710</v>
      </c>
      <c r="V1024" s="71" t="s">
        <v>1710</v>
      </c>
      <c r="W1024" s="71" t="s">
        <v>1710</v>
      </c>
      <c r="X1024" s="71" t="s">
        <v>1710</v>
      </c>
      <c r="Y1024" s="73">
        <v>0.92</v>
      </c>
      <c r="Z1024" s="73" t="s">
        <v>1710</v>
      </c>
      <c r="AA1024" s="73" t="s">
        <v>1710</v>
      </c>
      <c r="AB1024" s="73" t="s">
        <v>1710</v>
      </c>
      <c r="AC1024" s="73" t="s">
        <v>1710</v>
      </c>
      <c r="AD1024" s="73">
        <v>0.92</v>
      </c>
      <c r="AE1024" s="71">
        <v>1</v>
      </c>
      <c r="AF1024" s="71">
        <v>0.99770378874856502</v>
      </c>
      <c r="AG1024" s="71">
        <v>1</v>
      </c>
      <c r="AH1024" s="71">
        <v>0.99982572324851904</v>
      </c>
      <c r="AI1024" s="73">
        <v>0.92</v>
      </c>
      <c r="AJ1024" s="71" t="s">
        <v>1710</v>
      </c>
      <c r="AK1024" s="71" t="s">
        <v>1710</v>
      </c>
      <c r="AL1024" s="71" t="s">
        <v>1710</v>
      </c>
      <c r="AM1024" s="71" t="s">
        <v>1710</v>
      </c>
      <c r="AN1024" s="70">
        <v>0.99</v>
      </c>
      <c r="AO1024" s="75">
        <v>1</v>
      </c>
      <c r="AP1024" s="75">
        <v>1</v>
      </c>
      <c r="AQ1024" s="75">
        <v>1</v>
      </c>
      <c r="AR1024" s="75">
        <v>1</v>
      </c>
      <c r="AS1024" s="95">
        <v>6.5641848892985799E-2</v>
      </c>
      <c r="AT1024" s="79" t="s">
        <v>1710</v>
      </c>
      <c r="AU1024" s="79" t="s">
        <v>1710</v>
      </c>
      <c r="AV1024" s="79" t="s">
        <v>1710</v>
      </c>
      <c r="AW1024" s="79" t="s">
        <v>1710</v>
      </c>
      <c r="AX1024" s="56"/>
      <c r="AY1024" s="54"/>
    </row>
    <row r="1025" spans="1:51" ht="15">
      <c r="A1025" s="53"/>
      <c r="B1025" s="56"/>
      <c r="C1025" s="114" t="s">
        <v>921</v>
      </c>
      <c r="D1025" s="233" t="s">
        <v>1759</v>
      </c>
      <c r="E1025" s="68" t="s">
        <v>922</v>
      </c>
      <c r="F1025" s="119" t="s">
        <v>1048</v>
      </c>
      <c r="G1025" s="120" t="s">
        <v>1048</v>
      </c>
      <c r="H1025" s="120" t="s">
        <v>1048</v>
      </c>
      <c r="I1025" s="120" t="s">
        <v>1048</v>
      </c>
      <c r="J1025" s="70">
        <v>0.9</v>
      </c>
      <c r="K1025" s="71" t="s">
        <v>1710</v>
      </c>
      <c r="L1025" s="71" t="s">
        <v>1710</v>
      </c>
      <c r="M1025" s="72" t="s">
        <v>1710</v>
      </c>
      <c r="N1025" s="71" t="s">
        <v>1710</v>
      </c>
      <c r="O1025" s="73">
        <v>0.9</v>
      </c>
      <c r="P1025" s="71" t="s">
        <v>1710</v>
      </c>
      <c r="Q1025" s="71">
        <v>0</v>
      </c>
      <c r="R1025" s="71" t="s">
        <v>1710</v>
      </c>
      <c r="S1025" s="71">
        <v>0</v>
      </c>
      <c r="T1025" s="73">
        <v>0.9</v>
      </c>
      <c r="U1025" s="71" t="s">
        <v>1710</v>
      </c>
      <c r="V1025" s="71">
        <v>1</v>
      </c>
      <c r="W1025" s="71" t="s">
        <v>1710</v>
      </c>
      <c r="X1025" s="71">
        <v>1</v>
      </c>
      <c r="Y1025" s="73">
        <v>0.92</v>
      </c>
      <c r="Z1025" s="73" t="s">
        <v>1710</v>
      </c>
      <c r="AA1025" s="73" t="s">
        <v>1710</v>
      </c>
      <c r="AB1025" s="73" t="s">
        <v>1710</v>
      </c>
      <c r="AC1025" s="73" t="s">
        <v>1710</v>
      </c>
      <c r="AD1025" s="73">
        <v>0.92</v>
      </c>
      <c r="AE1025" s="71">
        <v>1</v>
      </c>
      <c r="AF1025" s="71">
        <v>1</v>
      </c>
      <c r="AG1025" s="71">
        <v>1</v>
      </c>
      <c r="AH1025" s="71">
        <v>0.99980905098338702</v>
      </c>
      <c r="AI1025" s="73">
        <v>0.92</v>
      </c>
      <c r="AJ1025" s="71" t="s">
        <v>1710</v>
      </c>
      <c r="AK1025" s="71">
        <v>1</v>
      </c>
      <c r="AL1025" s="71" t="s">
        <v>1710</v>
      </c>
      <c r="AM1025" s="71">
        <v>1</v>
      </c>
      <c r="AN1025" s="70">
        <v>0.99</v>
      </c>
      <c r="AO1025" s="75" t="s">
        <v>1710</v>
      </c>
      <c r="AP1025" s="75" t="s">
        <v>1710</v>
      </c>
      <c r="AQ1025" s="75" t="s">
        <v>1710</v>
      </c>
      <c r="AR1025" s="75" t="s">
        <v>1710</v>
      </c>
      <c r="AS1025" s="95">
        <v>6.5641848892985799E-2</v>
      </c>
      <c r="AT1025" s="79" t="s">
        <v>1710</v>
      </c>
      <c r="AU1025" s="79" t="s">
        <v>1710</v>
      </c>
      <c r="AV1025" s="79" t="s">
        <v>1710</v>
      </c>
      <c r="AW1025" s="79" t="s">
        <v>1710</v>
      </c>
      <c r="AX1025" s="56"/>
      <c r="AY1025" s="54"/>
    </row>
    <row r="1026" spans="1:51" ht="15">
      <c r="A1026" s="53"/>
      <c r="B1026" s="56"/>
      <c r="C1026" s="114" t="s">
        <v>921</v>
      </c>
      <c r="D1026" s="233" t="s">
        <v>1757</v>
      </c>
      <c r="E1026" s="68" t="s">
        <v>922</v>
      </c>
      <c r="F1026" s="119" t="s">
        <v>1049</v>
      </c>
      <c r="G1026" s="120" t="s">
        <v>1049</v>
      </c>
      <c r="H1026" s="120" t="s">
        <v>1049</v>
      </c>
      <c r="I1026" s="120" t="s">
        <v>1049</v>
      </c>
      <c r="J1026" s="70">
        <v>0.9</v>
      </c>
      <c r="K1026" s="71">
        <v>1</v>
      </c>
      <c r="L1026" s="71">
        <v>0.9</v>
      </c>
      <c r="M1026" s="72">
        <v>0.8125</v>
      </c>
      <c r="N1026" s="71">
        <v>0.93301435406698596</v>
      </c>
      <c r="O1026" s="73">
        <v>0.9</v>
      </c>
      <c r="P1026" s="71">
        <v>0.97804265997490603</v>
      </c>
      <c r="Q1026" s="71">
        <v>0.98031664527171603</v>
      </c>
      <c r="R1026" s="71">
        <v>0.96513187304425596</v>
      </c>
      <c r="S1026" s="71">
        <v>0.96078258570547304</v>
      </c>
      <c r="T1026" s="73">
        <v>0.9</v>
      </c>
      <c r="U1026" s="71">
        <v>0.91969887076537005</v>
      </c>
      <c r="V1026" s="71">
        <v>0.89131364997860496</v>
      </c>
      <c r="W1026" s="71">
        <v>0.73535985695127404</v>
      </c>
      <c r="X1026" s="71">
        <v>0.86859962985811201</v>
      </c>
      <c r="Y1026" s="73">
        <v>0.92</v>
      </c>
      <c r="Z1026" s="73">
        <v>0.93458980044345896</v>
      </c>
      <c r="AA1026" s="73">
        <v>0.96437659033078904</v>
      </c>
      <c r="AB1026" s="73">
        <v>0.769574944071588</v>
      </c>
      <c r="AC1026" s="73">
        <v>0.90349544072948296</v>
      </c>
      <c r="AD1026" s="73">
        <v>0.92</v>
      </c>
      <c r="AE1026" s="71">
        <v>0.99071627508391102</v>
      </c>
      <c r="AF1026" s="71">
        <v>0.994726097312011</v>
      </c>
      <c r="AG1026" s="71">
        <v>0.99655312246553096</v>
      </c>
      <c r="AH1026" s="71">
        <v>0.98171909709330496</v>
      </c>
      <c r="AI1026" s="73">
        <v>0.92</v>
      </c>
      <c r="AJ1026" s="71">
        <v>0.94877951180472198</v>
      </c>
      <c r="AK1026" s="71">
        <v>0.96263736263736299</v>
      </c>
      <c r="AL1026" s="71">
        <v>0.82309124767225295</v>
      </c>
      <c r="AM1026" s="71">
        <v>0.93199613858200103</v>
      </c>
      <c r="AN1026" s="70">
        <v>0.99</v>
      </c>
      <c r="AO1026" s="75">
        <v>1</v>
      </c>
      <c r="AP1026" s="75">
        <v>1</v>
      </c>
      <c r="AQ1026" s="75">
        <v>1</v>
      </c>
      <c r="AR1026" s="75">
        <v>1</v>
      </c>
      <c r="AS1026" s="95">
        <v>6.5641848892985799E-2</v>
      </c>
      <c r="AT1026" s="79">
        <v>0.31578947368421101</v>
      </c>
      <c r="AU1026" s="79">
        <v>3.2258064516128997E-2</v>
      </c>
      <c r="AV1026" s="79">
        <v>0.05</v>
      </c>
      <c r="AW1026" s="79">
        <v>7.2164948453608199E-2</v>
      </c>
      <c r="AX1026" s="56"/>
      <c r="AY1026" s="54"/>
    </row>
    <row r="1027" spans="1:51" ht="15">
      <c r="A1027" s="53"/>
      <c r="B1027" s="56"/>
      <c r="C1027" s="114" t="s">
        <v>921</v>
      </c>
      <c r="D1027" s="233" t="s">
        <v>1757</v>
      </c>
      <c r="E1027" s="68" t="s">
        <v>922</v>
      </c>
      <c r="F1027" s="117" t="s">
        <v>1050</v>
      </c>
      <c r="G1027" s="118" t="s">
        <v>1050</v>
      </c>
      <c r="H1027" s="118" t="s">
        <v>1050</v>
      </c>
      <c r="I1027" s="118" t="s">
        <v>1050</v>
      </c>
      <c r="J1027" s="70">
        <v>0.9</v>
      </c>
      <c r="K1027" s="71">
        <v>0.92307692307692302</v>
      </c>
      <c r="L1027" s="71">
        <v>1</v>
      </c>
      <c r="M1027" s="72">
        <v>1</v>
      </c>
      <c r="N1027" s="71">
        <v>0.97523219814241502</v>
      </c>
      <c r="O1027" s="73">
        <v>0.9</v>
      </c>
      <c r="P1027" s="71">
        <v>0.97731045932484795</v>
      </c>
      <c r="Q1027" s="71">
        <v>0.94475686404234205</v>
      </c>
      <c r="R1027" s="71">
        <v>0.97709666554395402</v>
      </c>
      <c r="S1027" s="71">
        <v>0.97743676441901295</v>
      </c>
      <c r="T1027" s="73">
        <v>0.9</v>
      </c>
      <c r="U1027" s="71">
        <v>0.91311566131709998</v>
      </c>
      <c r="V1027" s="71">
        <v>0.90671518359245795</v>
      </c>
      <c r="W1027" s="71">
        <v>0.87470528797574898</v>
      </c>
      <c r="X1027" s="71">
        <v>0.92096365173288297</v>
      </c>
      <c r="Y1027" s="73">
        <v>0.92</v>
      </c>
      <c r="Z1027" s="73">
        <v>0.945983379501385</v>
      </c>
      <c r="AA1027" s="73">
        <v>0.86601307189542498</v>
      </c>
      <c r="AB1027" s="73">
        <v>0.89803921568627498</v>
      </c>
      <c r="AC1027" s="73">
        <v>0.92900200937709299</v>
      </c>
      <c r="AD1027" s="73">
        <v>0.92</v>
      </c>
      <c r="AE1027" s="71">
        <v>0.99844630025247605</v>
      </c>
      <c r="AF1027" s="71">
        <v>0.99817684594348199</v>
      </c>
      <c r="AG1027" s="71">
        <v>0.99895342752485605</v>
      </c>
      <c r="AH1027" s="71">
        <v>0.99111176949855595</v>
      </c>
      <c r="AI1027" s="73">
        <v>0.92</v>
      </c>
      <c r="AJ1027" s="71">
        <v>0.95691699604743097</v>
      </c>
      <c r="AK1027" s="71">
        <v>0.95800839832033602</v>
      </c>
      <c r="AL1027" s="71">
        <v>0.92959770114942497</v>
      </c>
      <c r="AM1027" s="71">
        <v>0.96372394274206696</v>
      </c>
      <c r="AN1027" s="70">
        <v>0.99</v>
      </c>
      <c r="AO1027" s="75">
        <v>1</v>
      </c>
      <c r="AP1027" s="75">
        <v>1</v>
      </c>
      <c r="AQ1027" s="75">
        <v>1</v>
      </c>
      <c r="AR1027" s="75">
        <v>1</v>
      </c>
      <c r="AS1027" s="95">
        <v>6.5641848892985799E-2</v>
      </c>
      <c r="AT1027" s="79">
        <v>0</v>
      </c>
      <c r="AU1027" s="79">
        <v>-0.1</v>
      </c>
      <c r="AV1027" s="79">
        <v>0</v>
      </c>
      <c r="AW1027" s="79">
        <v>2.5510204081632699E-2</v>
      </c>
      <c r="AX1027" s="56"/>
      <c r="AY1027" s="54"/>
    </row>
    <row r="1028" spans="1:51" ht="15">
      <c r="A1028" s="53"/>
      <c r="B1028" s="56"/>
      <c r="C1028" s="114" t="s">
        <v>921</v>
      </c>
      <c r="D1028" s="233" t="s">
        <v>1757</v>
      </c>
      <c r="E1028" s="68" t="s">
        <v>922</v>
      </c>
      <c r="F1028" s="117" t="s">
        <v>1051</v>
      </c>
      <c r="G1028" s="118" t="s">
        <v>1051</v>
      </c>
      <c r="H1028" s="118" t="s">
        <v>1051</v>
      </c>
      <c r="I1028" s="118" t="s">
        <v>1051</v>
      </c>
      <c r="J1028" s="70">
        <v>0.9</v>
      </c>
      <c r="K1028" s="71">
        <v>0.76</v>
      </c>
      <c r="L1028" s="71">
        <v>0.92592592592592604</v>
      </c>
      <c r="M1028" s="72">
        <v>0.75</v>
      </c>
      <c r="N1028" s="71">
        <v>0.78136200716845905</v>
      </c>
      <c r="O1028" s="73">
        <v>0.9</v>
      </c>
      <c r="P1028" s="71">
        <v>0.453453453453453</v>
      </c>
      <c r="Q1028" s="71">
        <v>0.35968278332054199</v>
      </c>
      <c r="R1028" s="71">
        <v>0.35462139585017499</v>
      </c>
      <c r="S1028" s="71">
        <v>0.358918493240583</v>
      </c>
      <c r="T1028" s="73">
        <v>0.9</v>
      </c>
      <c r="U1028" s="71">
        <v>0.598884598884599</v>
      </c>
      <c r="V1028" s="71">
        <v>0.51803530314658497</v>
      </c>
      <c r="W1028" s="71">
        <v>0.41794664510913498</v>
      </c>
      <c r="X1028" s="71">
        <v>0.52033075206720003</v>
      </c>
      <c r="Y1028" s="73">
        <v>0.92</v>
      </c>
      <c r="Z1028" s="73">
        <v>0.64397905759162299</v>
      </c>
      <c r="AA1028" s="73">
        <v>0.668686868686869</v>
      </c>
      <c r="AB1028" s="73">
        <v>0.51960784313725505</v>
      </c>
      <c r="AC1028" s="73">
        <v>0.59851103429938801</v>
      </c>
      <c r="AD1028" s="73">
        <v>0.92</v>
      </c>
      <c r="AE1028" s="71">
        <v>0.99504486406856796</v>
      </c>
      <c r="AF1028" s="71">
        <v>0.83696283391405302</v>
      </c>
      <c r="AG1028" s="71">
        <v>0.98952556993222396</v>
      </c>
      <c r="AH1028" s="71">
        <v>0.97645731124312296</v>
      </c>
      <c r="AI1028" s="73">
        <v>0.92</v>
      </c>
      <c r="AJ1028" s="71">
        <v>0.77770597738287595</v>
      </c>
      <c r="AK1028" s="71">
        <v>0.82447774750227099</v>
      </c>
      <c r="AL1028" s="71">
        <v>0.66219653179190796</v>
      </c>
      <c r="AM1028" s="71">
        <v>0.78738466259013296</v>
      </c>
      <c r="AN1028" s="70">
        <v>0.99</v>
      </c>
      <c r="AO1028" s="75">
        <v>1</v>
      </c>
      <c r="AP1028" s="75">
        <v>1</v>
      </c>
      <c r="AQ1028" s="75">
        <v>1</v>
      </c>
      <c r="AR1028" s="75">
        <v>1</v>
      </c>
      <c r="AS1028" s="95">
        <v>6.5641848892985799E-2</v>
      </c>
      <c r="AT1028" s="79">
        <v>0.133333333333333</v>
      </c>
      <c r="AU1028" s="79">
        <v>0</v>
      </c>
      <c r="AV1028" s="79">
        <v>7.1428571428571397E-2</v>
      </c>
      <c r="AW1028" s="79">
        <v>4.9079754601227002E-2</v>
      </c>
      <c r="AX1028" s="56"/>
      <c r="AY1028" s="54"/>
    </row>
    <row r="1029" spans="1:51" ht="15">
      <c r="A1029" s="53"/>
      <c r="B1029" s="56"/>
      <c r="C1029" s="114" t="s">
        <v>921</v>
      </c>
      <c r="D1029" s="233" t="s">
        <v>1757</v>
      </c>
      <c r="E1029" s="68" t="s">
        <v>922</v>
      </c>
      <c r="F1029" s="117" t="s">
        <v>1052</v>
      </c>
      <c r="G1029" s="118" t="s">
        <v>1052</v>
      </c>
      <c r="H1029" s="118" t="s">
        <v>1052</v>
      </c>
      <c r="I1029" s="118" t="s">
        <v>1052</v>
      </c>
      <c r="J1029" s="70">
        <v>0.9</v>
      </c>
      <c r="K1029" s="71">
        <v>0.95833333333333304</v>
      </c>
      <c r="L1029" s="71">
        <v>0.92</v>
      </c>
      <c r="M1029" s="72">
        <v>0.96</v>
      </c>
      <c r="N1029" s="71">
        <v>0.93309859154929597</v>
      </c>
      <c r="O1029" s="73">
        <v>0.9</v>
      </c>
      <c r="P1029" s="71">
        <v>0.96744930629669201</v>
      </c>
      <c r="Q1029" s="71">
        <v>0.71297468354430404</v>
      </c>
      <c r="R1029" s="71">
        <v>0.90371344068353598</v>
      </c>
      <c r="S1029" s="71">
        <v>0.89474381918207702</v>
      </c>
      <c r="T1029" s="73">
        <v>0.9</v>
      </c>
      <c r="U1029" s="71">
        <v>0.88794023479188899</v>
      </c>
      <c r="V1029" s="71">
        <v>0.79303797468354398</v>
      </c>
      <c r="W1029" s="71">
        <v>0.85244824186657897</v>
      </c>
      <c r="X1029" s="71">
        <v>0.85464307019288099</v>
      </c>
      <c r="Y1029" s="73">
        <v>0.92</v>
      </c>
      <c r="Z1029" s="73">
        <v>0.83726708074534195</v>
      </c>
      <c r="AA1029" s="73">
        <v>0.78716216216216195</v>
      </c>
      <c r="AB1029" s="73">
        <v>0.84923664122137399</v>
      </c>
      <c r="AC1029" s="73">
        <v>0.86505588428665303</v>
      </c>
      <c r="AD1029" s="73">
        <v>0.92</v>
      </c>
      <c r="AE1029" s="71">
        <v>0.99630655586334305</v>
      </c>
      <c r="AF1029" s="71">
        <v>0.99405057015369402</v>
      </c>
      <c r="AG1029" s="71">
        <v>0.99870045484080605</v>
      </c>
      <c r="AH1029" s="71">
        <v>0.99636969440783796</v>
      </c>
      <c r="AI1029" s="73">
        <v>0.92</v>
      </c>
      <c r="AJ1029" s="71">
        <v>0.91713325867861095</v>
      </c>
      <c r="AK1029" s="71">
        <v>0.94417124674573305</v>
      </c>
      <c r="AL1029" s="71">
        <v>0.94366591928251098</v>
      </c>
      <c r="AM1029" s="71">
        <v>0.95027715727641304</v>
      </c>
      <c r="AN1029" s="70">
        <v>0.99</v>
      </c>
      <c r="AO1029" s="75">
        <v>1</v>
      </c>
      <c r="AP1029" s="75">
        <v>1</v>
      </c>
      <c r="AQ1029" s="75">
        <v>1</v>
      </c>
      <c r="AR1029" s="75">
        <v>1</v>
      </c>
      <c r="AS1029" s="95">
        <v>6.5641848892985799E-2</v>
      </c>
      <c r="AT1029" s="79">
        <v>0</v>
      </c>
      <c r="AU1029" s="79">
        <v>0</v>
      </c>
      <c r="AV1029" s="79">
        <v>0</v>
      </c>
      <c r="AW1029" s="79">
        <v>0</v>
      </c>
      <c r="AX1029" s="56"/>
      <c r="AY1029" s="54"/>
    </row>
    <row r="1030" spans="1:51" ht="15">
      <c r="A1030" s="53"/>
      <c r="B1030" s="56"/>
      <c r="C1030" s="114" t="s">
        <v>921</v>
      </c>
      <c r="D1030" s="233" t="s">
        <v>1757</v>
      </c>
      <c r="E1030" s="68" t="s">
        <v>922</v>
      </c>
      <c r="F1030" s="117" t="s">
        <v>1053</v>
      </c>
      <c r="G1030" s="118" t="s">
        <v>1053</v>
      </c>
      <c r="H1030" s="118" t="s">
        <v>1053</v>
      </c>
      <c r="I1030" s="118" t="s">
        <v>1053</v>
      </c>
      <c r="J1030" s="70">
        <v>0.9</v>
      </c>
      <c r="K1030" s="71">
        <v>0.875</v>
      </c>
      <c r="L1030" s="71">
        <v>0.939393939393939</v>
      </c>
      <c r="M1030" s="72">
        <v>1</v>
      </c>
      <c r="N1030" s="71">
        <v>0.96100278551532003</v>
      </c>
      <c r="O1030" s="73">
        <v>0.9</v>
      </c>
      <c r="P1030" s="71">
        <v>0.95532646048110004</v>
      </c>
      <c r="Q1030" s="71">
        <v>0.91530944625407196</v>
      </c>
      <c r="R1030" s="71">
        <v>0.90274314214463802</v>
      </c>
      <c r="S1030" s="71">
        <v>0.94063888420223796</v>
      </c>
      <c r="T1030" s="73">
        <v>0.9</v>
      </c>
      <c r="U1030" s="71">
        <v>0.92783505154639201</v>
      </c>
      <c r="V1030" s="71">
        <v>0.88680781758957605</v>
      </c>
      <c r="W1030" s="71">
        <v>0.87198669991687405</v>
      </c>
      <c r="X1030" s="71">
        <v>0.89165401271019595</v>
      </c>
      <c r="Y1030" s="73">
        <v>0.92</v>
      </c>
      <c r="Z1030" s="73">
        <v>0.87034035656401898</v>
      </c>
      <c r="AA1030" s="73">
        <v>0.95681818181818201</v>
      </c>
      <c r="AB1030" s="73">
        <v>0.93848857644991202</v>
      </c>
      <c r="AC1030" s="73">
        <v>0.93276949541284404</v>
      </c>
      <c r="AD1030" s="73">
        <v>0.92</v>
      </c>
      <c r="AE1030" s="71">
        <v>0.99909090909090903</v>
      </c>
      <c r="AF1030" s="71">
        <v>0.996592844974446</v>
      </c>
      <c r="AG1030" s="71">
        <v>0.99007092198581603</v>
      </c>
      <c r="AH1030" s="71">
        <v>0.99224889654430004</v>
      </c>
      <c r="AI1030" s="73">
        <v>0.92</v>
      </c>
      <c r="AJ1030" s="71">
        <v>0.95178268251273301</v>
      </c>
      <c r="AK1030" s="71">
        <v>0.97187878787878801</v>
      </c>
      <c r="AL1030" s="71">
        <v>0.967448539971278</v>
      </c>
      <c r="AM1030" s="71">
        <v>0.97000540654897605</v>
      </c>
      <c r="AN1030" s="70">
        <v>0.99</v>
      </c>
      <c r="AO1030" s="75">
        <v>1</v>
      </c>
      <c r="AP1030" s="75">
        <v>1</v>
      </c>
      <c r="AQ1030" s="75">
        <v>1</v>
      </c>
      <c r="AR1030" s="75">
        <v>1</v>
      </c>
      <c r="AS1030" s="95">
        <v>6.5641848892985799E-2</v>
      </c>
      <c r="AT1030" s="79">
        <v>0</v>
      </c>
      <c r="AU1030" s="79">
        <v>0</v>
      </c>
      <c r="AV1030" s="79">
        <v>0</v>
      </c>
      <c r="AW1030" s="79">
        <v>5.0724637681159403E-2</v>
      </c>
      <c r="AX1030" s="56"/>
      <c r="AY1030" s="54"/>
    </row>
    <row r="1031" spans="1:51" ht="15">
      <c r="A1031" s="53"/>
      <c r="B1031" s="56"/>
      <c r="C1031" s="114" t="s">
        <v>921</v>
      </c>
      <c r="D1031" s="233" t="s">
        <v>1757</v>
      </c>
      <c r="E1031" s="68" t="s">
        <v>922</v>
      </c>
      <c r="F1031" s="117" t="s">
        <v>1054</v>
      </c>
      <c r="G1031" s="118" t="s">
        <v>1054</v>
      </c>
      <c r="H1031" s="118" t="s">
        <v>1054</v>
      </c>
      <c r="I1031" s="118" t="s">
        <v>1054</v>
      </c>
      <c r="J1031" s="70">
        <v>0.9</v>
      </c>
      <c r="K1031" s="71">
        <v>0.91666666666666696</v>
      </c>
      <c r="L1031" s="71">
        <v>0.92307692307692302</v>
      </c>
      <c r="M1031" s="72">
        <v>0.92682926829268297</v>
      </c>
      <c r="N1031" s="71">
        <v>0.84893617021276602</v>
      </c>
      <c r="O1031" s="73">
        <v>0.9</v>
      </c>
      <c r="P1031" s="71">
        <v>0.97913216296786998</v>
      </c>
      <c r="Q1031" s="71">
        <v>0.95253841665045702</v>
      </c>
      <c r="R1031" s="71">
        <v>0.96570182394924697</v>
      </c>
      <c r="S1031" s="71">
        <v>0.97005918756868303</v>
      </c>
      <c r="T1031" s="73">
        <v>0.9</v>
      </c>
      <c r="U1031" s="71">
        <v>0.95263332229215003</v>
      </c>
      <c r="V1031" s="71">
        <v>0.89943590741100998</v>
      </c>
      <c r="W1031" s="71">
        <v>0.916931007137193</v>
      </c>
      <c r="X1031" s="71">
        <v>0.939250804912375</v>
      </c>
      <c r="Y1031" s="73">
        <v>0.92</v>
      </c>
      <c r="Z1031" s="73">
        <v>0</v>
      </c>
      <c r="AA1031" s="73" t="s">
        <v>1710</v>
      </c>
      <c r="AB1031" s="73">
        <v>1</v>
      </c>
      <c r="AC1031" s="73">
        <v>0.2</v>
      </c>
      <c r="AD1031" s="73">
        <v>0.92</v>
      </c>
      <c r="AE1031" s="71">
        <v>0.98477263245723801</v>
      </c>
      <c r="AF1031" s="71">
        <v>0.999381698268755</v>
      </c>
      <c r="AG1031" s="71">
        <v>0.99833008627887598</v>
      </c>
      <c r="AH1031" s="71">
        <v>0.99745220413967495</v>
      </c>
      <c r="AI1031" s="73">
        <v>0.92</v>
      </c>
      <c r="AJ1031" s="71">
        <v>0.98412698412698396</v>
      </c>
      <c r="AK1031" s="71">
        <v>0.97550544323483701</v>
      </c>
      <c r="AL1031" s="71">
        <v>0.97542608006341702</v>
      </c>
      <c r="AM1031" s="71">
        <v>0.98471826100362303</v>
      </c>
      <c r="AN1031" s="70">
        <v>0.99</v>
      </c>
      <c r="AO1031" s="75">
        <v>1</v>
      </c>
      <c r="AP1031" s="75">
        <v>1</v>
      </c>
      <c r="AQ1031" s="75">
        <v>1</v>
      </c>
      <c r="AR1031" s="75">
        <v>1</v>
      </c>
      <c r="AS1031" s="95">
        <v>6.5641848892985799E-2</v>
      </c>
      <c r="AT1031" s="79">
        <v>0</v>
      </c>
      <c r="AU1031" s="79">
        <v>0</v>
      </c>
      <c r="AV1031" s="79">
        <v>0.16666666666666699</v>
      </c>
      <c r="AW1031" s="79">
        <v>0.111731843575419</v>
      </c>
      <c r="AX1031" s="56"/>
      <c r="AY1031" s="54"/>
    </row>
    <row r="1032" spans="1:51" ht="15">
      <c r="A1032" s="53"/>
      <c r="B1032" s="56"/>
      <c r="C1032" s="114" t="s">
        <v>921</v>
      </c>
      <c r="D1032" s="233" t="s">
        <v>1757</v>
      </c>
      <c r="E1032" s="68" t="s">
        <v>922</v>
      </c>
      <c r="F1032" s="117" t="s">
        <v>1055</v>
      </c>
      <c r="G1032" s="118" t="s">
        <v>1055</v>
      </c>
      <c r="H1032" s="118" t="s">
        <v>1055</v>
      </c>
      <c r="I1032" s="118" t="s">
        <v>1055</v>
      </c>
      <c r="J1032" s="70">
        <v>0.9</v>
      </c>
      <c r="K1032" s="71">
        <v>0.87878787878787901</v>
      </c>
      <c r="L1032" s="71">
        <v>0.82352941176470595</v>
      </c>
      <c r="M1032" s="72">
        <v>0.85714285714285698</v>
      </c>
      <c r="N1032" s="71">
        <v>0.86991869918699205</v>
      </c>
      <c r="O1032" s="73">
        <v>0.9</v>
      </c>
      <c r="P1032" s="71">
        <v>0.83587001234060099</v>
      </c>
      <c r="Q1032" s="71">
        <v>0.90657680687892195</v>
      </c>
      <c r="R1032" s="71">
        <v>0.86676499508357896</v>
      </c>
      <c r="S1032" s="71">
        <v>0.89709682676413804</v>
      </c>
      <c r="T1032" s="73">
        <v>0.9</v>
      </c>
      <c r="U1032" s="71">
        <v>0.79514603044014798</v>
      </c>
      <c r="V1032" s="71">
        <v>0.70857541250290501</v>
      </c>
      <c r="W1032" s="71">
        <v>0.75368731563421798</v>
      </c>
      <c r="X1032" s="71">
        <v>0.77484692570949598</v>
      </c>
      <c r="Y1032" s="73">
        <v>0.92</v>
      </c>
      <c r="Z1032" s="73" t="s">
        <v>1710</v>
      </c>
      <c r="AA1032" s="73" t="s">
        <v>1710</v>
      </c>
      <c r="AB1032" s="73" t="s">
        <v>1710</v>
      </c>
      <c r="AC1032" s="73" t="s">
        <v>1710</v>
      </c>
      <c r="AD1032" s="73">
        <v>0.92</v>
      </c>
      <c r="AE1032" s="71">
        <v>0.99890109890109902</v>
      </c>
      <c r="AF1032" s="71">
        <v>0.99082568807339499</v>
      </c>
      <c r="AG1032" s="71">
        <v>1</v>
      </c>
      <c r="AH1032" s="71">
        <v>0.99088164435363402</v>
      </c>
      <c r="AI1032" s="73">
        <v>0.92</v>
      </c>
      <c r="AJ1032" s="71">
        <v>0.94366776315789502</v>
      </c>
      <c r="AK1032" s="71">
        <v>0.95052264808362397</v>
      </c>
      <c r="AL1032" s="71">
        <v>0.95796460176991105</v>
      </c>
      <c r="AM1032" s="71">
        <v>0.95230446927374302</v>
      </c>
      <c r="AN1032" s="70">
        <v>0.99</v>
      </c>
      <c r="AO1032" s="75">
        <v>1</v>
      </c>
      <c r="AP1032" s="75">
        <v>1</v>
      </c>
      <c r="AQ1032" s="75">
        <v>1</v>
      </c>
      <c r="AR1032" s="75">
        <v>1</v>
      </c>
      <c r="AS1032" s="95">
        <v>6.5641848892985799E-2</v>
      </c>
      <c r="AT1032" s="79">
        <v>0</v>
      </c>
      <c r="AU1032" s="79">
        <v>5.8823529411764698E-2</v>
      </c>
      <c r="AV1032" s="79">
        <v>0.15384615384615399</v>
      </c>
      <c r="AW1032" s="79">
        <v>3.1446540880503103E-2</v>
      </c>
      <c r="AX1032" s="56"/>
      <c r="AY1032" s="54"/>
    </row>
    <row r="1033" spans="1:51" ht="15">
      <c r="A1033" s="53"/>
      <c r="B1033" s="56"/>
      <c r="C1033" s="114" t="s">
        <v>921</v>
      </c>
      <c r="D1033" s="233" t="s">
        <v>1757</v>
      </c>
      <c r="E1033" s="68" t="s">
        <v>922</v>
      </c>
      <c r="F1033" s="121" t="s">
        <v>1056</v>
      </c>
      <c r="G1033" s="122" t="s">
        <v>1056</v>
      </c>
      <c r="H1033" s="122" t="s">
        <v>1056</v>
      </c>
      <c r="I1033" s="122" t="s">
        <v>1056</v>
      </c>
      <c r="J1033" s="70">
        <v>0.9</v>
      </c>
      <c r="K1033" s="71">
        <v>0.78260869565217395</v>
      </c>
      <c r="L1033" s="71">
        <v>1</v>
      </c>
      <c r="M1033" s="72">
        <v>0.95454545454545503</v>
      </c>
      <c r="N1033" s="71">
        <v>0.93975903614457801</v>
      </c>
      <c r="O1033" s="73">
        <v>0.9</v>
      </c>
      <c r="P1033" s="71">
        <v>0.94117647058823495</v>
      </c>
      <c r="Q1033" s="71">
        <v>0.94217575955570099</v>
      </c>
      <c r="R1033" s="71">
        <v>0.94886753603294405</v>
      </c>
      <c r="S1033" s="71">
        <v>0.94613622583035795</v>
      </c>
      <c r="T1033" s="73">
        <v>0.9</v>
      </c>
      <c r="U1033" s="71">
        <v>0.90695187165775404</v>
      </c>
      <c r="V1033" s="71">
        <v>0.86573015354459304</v>
      </c>
      <c r="W1033" s="71">
        <v>0.90219629375429</v>
      </c>
      <c r="X1033" s="71">
        <v>0.89506838240247899</v>
      </c>
      <c r="Y1033" s="73">
        <v>0.92</v>
      </c>
      <c r="Z1033" s="73">
        <v>0.93256059009483705</v>
      </c>
      <c r="AA1033" s="73">
        <v>0.87335092348285004</v>
      </c>
      <c r="AB1033" s="73">
        <v>0.86236933797909399</v>
      </c>
      <c r="AC1033" s="73">
        <v>0.90130441615590096</v>
      </c>
      <c r="AD1033" s="73">
        <v>0.92</v>
      </c>
      <c r="AE1033" s="71">
        <v>0.99388646288209603</v>
      </c>
      <c r="AF1033" s="71">
        <v>0.85571252228775196</v>
      </c>
      <c r="AG1033" s="71">
        <v>0.99340735600277597</v>
      </c>
      <c r="AH1033" s="71">
        <v>0.92731389441130996</v>
      </c>
      <c r="AI1033" s="73">
        <v>0.92</v>
      </c>
      <c r="AJ1033" s="71">
        <v>0.95710740872031197</v>
      </c>
      <c r="AK1033" s="71">
        <v>0.95845438698431096</v>
      </c>
      <c r="AL1033" s="71">
        <v>0.944699140401146</v>
      </c>
      <c r="AM1033" s="71">
        <v>0.95759844703272301</v>
      </c>
      <c r="AN1033" s="70">
        <v>0.99</v>
      </c>
      <c r="AO1033" s="75">
        <v>1</v>
      </c>
      <c r="AP1033" s="75">
        <v>1</v>
      </c>
      <c r="AQ1033" s="75">
        <v>1</v>
      </c>
      <c r="AR1033" s="75">
        <v>1</v>
      </c>
      <c r="AS1033" s="95">
        <v>6.5641848892985799E-2</v>
      </c>
      <c r="AT1033" s="79">
        <v>0</v>
      </c>
      <c r="AU1033" s="79">
        <v>0</v>
      </c>
      <c r="AV1033" s="79">
        <v>0.11111111111111099</v>
      </c>
      <c r="AW1033" s="79">
        <v>1.1904761904761901E-2</v>
      </c>
      <c r="AX1033" s="56"/>
      <c r="AY1033" s="54"/>
    </row>
    <row r="1034" spans="1:51" ht="15">
      <c r="A1034" s="53"/>
      <c r="B1034" s="56"/>
      <c r="C1034" s="114" t="s">
        <v>921</v>
      </c>
      <c r="D1034" s="233" t="s">
        <v>1757</v>
      </c>
      <c r="E1034" s="68" t="s">
        <v>922</v>
      </c>
      <c r="F1034" s="117" t="s">
        <v>1057</v>
      </c>
      <c r="G1034" s="118" t="s">
        <v>1057</v>
      </c>
      <c r="H1034" s="118" t="s">
        <v>1057</v>
      </c>
      <c r="I1034" s="118" t="s">
        <v>1057</v>
      </c>
      <c r="J1034" s="70">
        <v>0.9</v>
      </c>
      <c r="K1034" s="71">
        <v>0.91666666666666696</v>
      </c>
      <c r="L1034" s="71">
        <v>0.91666666666666696</v>
      </c>
      <c r="M1034" s="72">
        <v>0.94871794871794901</v>
      </c>
      <c r="N1034" s="71">
        <v>0.96519721577726203</v>
      </c>
      <c r="O1034" s="73">
        <v>0.9</v>
      </c>
      <c r="P1034" s="71">
        <v>0.96641657734905295</v>
      </c>
      <c r="Q1034" s="71">
        <v>0.91919623770842196</v>
      </c>
      <c r="R1034" s="71">
        <v>0.93307172443863096</v>
      </c>
      <c r="S1034" s="71">
        <v>0.935809097057829</v>
      </c>
      <c r="T1034" s="73">
        <v>0.9</v>
      </c>
      <c r="U1034" s="71">
        <v>0.92818863879957103</v>
      </c>
      <c r="V1034" s="71">
        <v>0.88264215476699404</v>
      </c>
      <c r="W1034" s="71">
        <v>0.89165031611074796</v>
      </c>
      <c r="X1034" s="71">
        <v>0.90588011498139998</v>
      </c>
      <c r="Y1034" s="73">
        <v>0.92</v>
      </c>
      <c r="Z1034" s="73" t="s">
        <v>1710</v>
      </c>
      <c r="AA1034" s="73" t="s">
        <v>1710</v>
      </c>
      <c r="AB1034" s="73">
        <v>0</v>
      </c>
      <c r="AC1034" s="73">
        <v>0</v>
      </c>
      <c r="AD1034" s="73">
        <v>0.92</v>
      </c>
      <c r="AE1034" s="71">
        <v>0.99734748010610097</v>
      </c>
      <c r="AF1034" s="71">
        <v>0.99910634495084905</v>
      </c>
      <c r="AG1034" s="71">
        <v>0.99896049896049899</v>
      </c>
      <c r="AH1034" s="71">
        <v>0.99711894295010295</v>
      </c>
      <c r="AI1034" s="73">
        <v>0.92</v>
      </c>
      <c r="AJ1034" s="71">
        <v>0.97320471596998903</v>
      </c>
      <c r="AK1034" s="71">
        <v>0.97820978423413796</v>
      </c>
      <c r="AL1034" s="71">
        <v>0.96817785527462996</v>
      </c>
      <c r="AM1034" s="71">
        <v>0.97240650750052804</v>
      </c>
      <c r="AN1034" s="70">
        <v>0.99</v>
      </c>
      <c r="AO1034" s="75">
        <v>1</v>
      </c>
      <c r="AP1034" s="75">
        <v>1</v>
      </c>
      <c r="AQ1034" s="75">
        <v>1</v>
      </c>
      <c r="AR1034" s="75">
        <v>1</v>
      </c>
      <c r="AS1034" s="95">
        <v>6.5641848892985799E-2</v>
      </c>
      <c r="AT1034" s="79">
        <v>5.5555555555555601E-2</v>
      </c>
      <c r="AU1034" s="79">
        <v>0</v>
      </c>
      <c r="AV1034" s="79">
        <v>7.1428571428571397E-2</v>
      </c>
      <c r="AW1034" s="79">
        <v>4.3956043956044001E-2</v>
      </c>
      <c r="AX1034" s="56"/>
      <c r="AY1034" s="54"/>
    </row>
    <row r="1035" spans="1:51" ht="15">
      <c r="A1035" s="53"/>
      <c r="B1035" s="56"/>
      <c r="C1035" s="114" t="s">
        <v>921</v>
      </c>
      <c r="D1035" s="233" t="s">
        <v>1759</v>
      </c>
      <c r="E1035" s="68" t="s">
        <v>922</v>
      </c>
      <c r="F1035" s="117" t="s">
        <v>1058</v>
      </c>
      <c r="G1035" s="118" t="s">
        <v>1058</v>
      </c>
      <c r="H1035" s="118" t="s">
        <v>1058</v>
      </c>
      <c r="I1035" s="118" t="s">
        <v>1058</v>
      </c>
      <c r="J1035" s="70">
        <v>0.9</v>
      </c>
      <c r="K1035" s="71" t="s">
        <v>1710</v>
      </c>
      <c r="L1035" s="71" t="s">
        <v>1710</v>
      </c>
      <c r="M1035" s="72" t="s">
        <v>1710</v>
      </c>
      <c r="N1035" s="71" t="s">
        <v>1710</v>
      </c>
      <c r="O1035" s="73">
        <v>0.9</v>
      </c>
      <c r="P1035" s="71" t="s">
        <v>1710</v>
      </c>
      <c r="Q1035" s="71" t="s">
        <v>1710</v>
      </c>
      <c r="R1035" s="71">
        <v>1</v>
      </c>
      <c r="S1035" s="71">
        <v>1</v>
      </c>
      <c r="T1035" s="73">
        <v>0.9</v>
      </c>
      <c r="U1035" s="71" t="s">
        <v>1710</v>
      </c>
      <c r="V1035" s="71" t="s">
        <v>1710</v>
      </c>
      <c r="W1035" s="71">
        <v>1</v>
      </c>
      <c r="X1035" s="71">
        <v>1</v>
      </c>
      <c r="Y1035" s="73">
        <v>0.92</v>
      </c>
      <c r="Z1035" s="73" t="s">
        <v>1710</v>
      </c>
      <c r="AA1035" s="73" t="s">
        <v>1710</v>
      </c>
      <c r="AB1035" s="73" t="s">
        <v>1710</v>
      </c>
      <c r="AC1035" s="73" t="s">
        <v>1710</v>
      </c>
      <c r="AD1035" s="73">
        <v>0.92</v>
      </c>
      <c r="AE1035" s="71">
        <v>1</v>
      </c>
      <c r="AF1035" s="71">
        <v>0.997361477572559</v>
      </c>
      <c r="AG1035" s="71">
        <v>1</v>
      </c>
      <c r="AH1035" s="71">
        <v>0.99914456800684304</v>
      </c>
      <c r="AI1035" s="73">
        <v>0.92</v>
      </c>
      <c r="AJ1035" s="71" t="s">
        <v>1710</v>
      </c>
      <c r="AK1035" s="71">
        <v>1</v>
      </c>
      <c r="AL1035" s="71">
        <v>1</v>
      </c>
      <c r="AM1035" s="71">
        <v>1</v>
      </c>
      <c r="AN1035" s="70">
        <v>0.99</v>
      </c>
      <c r="AO1035" s="75">
        <v>1</v>
      </c>
      <c r="AP1035" s="75">
        <v>1</v>
      </c>
      <c r="AQ1035" s="75" t="s">
        <v>1710</v>
      </c>
      <c r="AR1035" s="75">
        <v>1</v>
      </c>
      <c r="AS1035" s="95">
        <v>6.5641848892985799E-2</v>
      </c>
      <c r="AT1035" s="79" t="s">
        <v>1710</v>
      </c>
      <c r="AU1035" s="79" t="s">
        <v>1710</v>
      </c>
      <c r="AV1035" s="79" t="s">
        <v>1710</v>
      </c>
      <c r="AW1035" s="79" t="s">
        <v>1710</v>
      </c>
      <c r="AX1035" s="56"/>
      <c r="AY1035" s="54"/>
    </row>
    <row r="1036" spans="1:51" ht="15">
      <c r="A1036" s="53"/>
      <c r="B1036" s="56"/>
      <c r="C1036" s="114" t="s">
        <v>921</v>
      </c>
      <c r="D1036" s="233" t="s">
        <v>1757</v>
      </c>
      <c r="E1036" s="68" t="s">
        <v>922</v>
      </c>
      <c r="F1036" s="117" t="s">
        <v>1059</v>
      </c>
      <c r="G1036" s="118" t="s">
        <v>1059</v>
      </c>
      <c r="H1036" s="118" t="s">
        <v>1059</v>
      </c>
      <c r="I1036" s="118" t="s">
        <v>1059</v>
      </c>
      <c r="J1036" s="70">
        <v>0.9</v>
      </c>
      <c r="K1036" s="71">
        <v>1</v>
      </c>
      <c r="L1036" s="71">
        <v>1</v>
      </c>
      <c r="M1036" s="72">
        <v>1</v>
      </c>
      <c r="N1036" s="71">
        <v>0.97540983606557397</v>
      </c>
      <c r="O1036" s="73">
        <v>0.9</v>
      </c>
      <c r="P1036" s="71">
        <v>0.98811544991511002</v>
      </c>
      <c r="Q1036" s="71">
        <v>0.99460334592552602</v>
      </c>
      <c r="R1036" s="71">
        <v>0.99586532782043702</v>
      </c>
      <c r="S1036" s="71">
        <v>0.99370385209776202</v>
      </c>
      <c r="T1036" s="73">
        <v>0.9</v>
      </c>
      <c r="U1036" s="71">
        <v>0.94651952461799704</v>
      </c>
      <c r="V1036" s="71">
        <v>0.93308148947652503</v>
      </c>
      <c r="W1036" s="71">
        <v>0.91907855877141198</v>
      </c>
      <c r="X1036" s="71">
        <v>0.93326083223627698</v>
      </c>
      <c r="Y1036" s="73">
        <v>0.92</v>
      </c>
      <c r="Z1036" s="73">
        <v>0.95246179966044098</v>
      </c>
      <c r="AA1036" s="73">
        <v>0.96527777777777801</v>
      </c>
      <c r="AB1036" s="73">
        <v>0.95161290322580605</v>
      </c>
      <c r="AC1036" s="73">
        <v>0.95404966349500997</v>
      </c>
      <c r="AD1036" s="73">
        <v>0.92</v>
      </c>
      <c r="AE1036" s="71">
        <v>0.99971217499760101</v>
      </c>
      <c r="AF1036" s="71">
        <v>0.99410163339382895</v>
      </c>
      <c r="AG1036" s="71">
        <v>0.99725860493451102</v>
      </c>
      <c r="AH1036" s="71">
        <v>0.99852979581572199</v>
      </c>
      <c r="AI1036" s="73">
        <v>0.92</v>
      </c>
      <c r="AJ1036" s="71">
        <v>0.95868704018109796</v>
      </c>
      <c r="AK1036" s="71">
        <v>0.98038299859878597</v>
      </c>
      <c r="AL1036" s="71">
        <v>0.96949152542372896</v>
      </c>
      <c r="AM1036" s="71">
        <v>0.97282284350181303</v>
      </c>
      <c r="AN1036" s="70">
        <v>0.99</v>
      </c>
      <c r="AO1036" s="75">
        <v>1</v>
      </c>
      <c r="AP1036" s="75">
        <v>1</v>
      </c>
      <c r="AQ1036" s="75">
        <v>1</v>
      </c>
      <c r="AR1036" s="75">
        <v>1</v>
      </c>
      <c r="AS1036" s="95">
        <v>6.5641848892985799E-2</v>
      </c>
      <c r="AT1036" s="79">
        <v>3.3333333333333298E-2</v>
      </c>
      <c r="AU1036" s="79">
        <v>0</v>
      </c>
      <c r="AV1036" s="79">
        <v>6.4516129032258104E-2</v>
      </c>
      <c r="AW1036" s="79">
        <v>2.5751072961373401E-2</v>
      </c>
      <c r="AX1036" s="56"/>
      <c r="AY1036" s="54"/>
    </row>
    <row r="1037" spans="1:51" ht="15">
      <c r="A1037" s="53"/>
      <c r="B1037" s="56"/>
      <c r="C1037" s="114" t="s">
        <v>921</v>
      </c>
      <c r="D1037" s="233" t="s">
        <v>1757</v>
      </c>
      <c r="E1037" s="68" t="s">
        <v>922</v>
      </c>
      <c r="F1037" s="117" t="s">
        <v>1060</v>
      </c>
      <c r="G1037" s="118" t="s">
        <v>1060</v>
      </c>
      <c r="H1037" s="118" t="s">
        <v>1060</v>
      </c>
      <c r="I1037" s="118" t="s">
        <v>1060</v>
      </c>
      <c r="J1037" s="70">
        <v>0.9</v>
      </c>
      <c r="K1037" s="71">
        <v>0.96428571428571397</v>
      </c>
      <c r="L1037" s="71">
        <v>0.96875</v>
      </c>
      <c r="M1037" s="72">
        <v>0.92</v>
      </c>
      <c r="N1037" s="71">
        <v>0.91842900302114805</v>
      </c>
      <c r="O1037" s="73">
        <v>0.9</v>
      </c>
      <c r="P1037" s="71">
        <v>0.78881179531656598</v>
      </c>
      <c r="Q1037" s="71">
        <v>0.73647469458987802</v>
      </c>
      <c r="R1037" s="71">
        <v>0.73041678983151004</v>
      </c>
      <c r="S1037" s="71">
        <v>0.79536168498590099</v>
      </c>
      <c r="T1037" s="73">
        <v>0.9</v>
      </c>
      <c r="U1037" s="71">
        <v>0.81049436253252405</v>
      </c>
      <c r="V1037" s="71">
        <v>0.81791739383362405</v>
      </c>
      <c r="W1037" s="71">
        <v>0.66775051729234403</v>
      </c>
      <c r="X1037" s="71">
        <v>0.82672498129711702</v>
      </c>
      <c r="Y1037" s="73">
        <v>0.92</v>
      </c>
      <c r="Z1037" s="73">
        <v>0.91634241245136205</v>
      </c>
      <c r="AA1037" s="73">
        <v>0.88726513569937404</v>
      </c>
      <c r="AB1037" s="73">
        <v>0.73631123919308406</v>
      </c>
      <c r="AC1037" s="73">
        <v>0.87917737789203099</v>
      </c>
      <c r="AD1037" s="73">
        <v>0.92</v>
      </c>
      <c r="AE1037" s="71">
        <v>0.68708425720620803</v>
      </c>
      <c r="AF1037" s="71">
        <v>0.93436352509179899</v>
      </c>
      <c r="AG1037" s="71">
        <v>0.99797085408596198</v>
      </c>
      <c r="AH1037" s="71">
        <v>0.89705558872513602</v>
      </c>
      <c r="AI1037" s="73">
        <v>0.92</v>
      </c>
      <c r="AJ1037" s="71">
        <v>0.94096493856757601</v>
      </c>
      <c r="AK1037" s="71">
        <v>0.93722888491962197</v>
      </c>
      <c r="AL1037" s="71">
        <v>0.82961510174062303</v>
      </c>
      <c r="AM1037" s="71">
        <v>0.93353850491002199</v>
      </c>
      <c r="AN1037" s="70">
        <v>0.99</v>
      </c>
      <c r="AO1037" s="75">
        <v>1</v>
      </c>
      <c r="AP1037" s="75">
        <v>1</v>
      </c>
      <c r="AQ1037" s="75">
        <v>1</v>
      </c>
      <c r="AR1037" s="75">
        <v>1</v>
      </c>
      <c r="AS1037" s="95">
        <v>6.5641848892985799E-2</v>
      </c>
      <c r="AT1037" s="79">
        <v>3.125E-2</v>
      </c>
      <c r="AU1037" s="79">
        <v>0</v>
      </c>
      <c r="AV1037" s="79">
        <v>5.5555555555555601E-2</v>
      </c>
      <c r="AW1037" s="79">
        <v>1.9543973941368101E-2</v>
      </c>
      <c r="AX1037" s="56"/>
      <c r="AY1037" s="54"/>
    </row>
    <row r="1038" spans="1:51" ht="15">
      <c r="A1038" s="53"/>
      <c r="B1038" s="56"/>
      <c r="C1038" s="114" t="s">
        <v>921</v>
      </c>
      <c r="D1038" s="233" t="s">
        <v>1757</v>
      </c>
      <c r="E1038" s="68" t="s">
        <v>922</v>
      </c>
      <c r="F1038" s="117" t="s">
        <v>1061</v>
      </c>
      <c r="G1038" s="118" t="s">
        <v>1061</v>
      </c>
      <c r="H1038" s="118" t="s">
        <v>1061</v>
      </c>
      <c r="I1038" s="118" t="s">
        <v>1061</v>
      </c>
      <c r="J1038" s="70">
        <v>0.9</v>
      </c>
      <c r="K1038" s="71">
        <v>1</v>
      </c>
      <c r="L1038" s="71">
        <v>0.92857142857142905</v>
      </c>
      <c r="M1038" s="72">
        <v>0.95833333333333304</v>
      </c>
      <c r="N1038" s="71">
        <v>0.94684385382059799</v>
      </c>
      <c r="O1038" s="73">
        <v>0.9</v>
      </c>
      <c r="P1038" s="71">
        <v>0.89921068609593202</v>
      </c>
      <c r="Q1038" s="71">
        <v>0.91077676696990895</v>
      </c>
      <c r="R1038" s="71">
        <v>0.89250686543742597</v>
      </c>
      <c r="S1038" s="71">
        <v>0.94449217436778599</v>
      </c>
      <c r="T1038" s="73">
        <v>0.9</v>
      </c>
      <c r="U1038" s="71">
        <v>0.82210078931390396</v>
      </c>
      <c r="V1038" s="71">
        <v>0.88663400979706097</v>
      </c>
      <c r="W1038" s="71">
        <v>0.65829737151824197</v>
      </c>
      <c r="X1038" s="71">
        <v>0.85857831235291904</v>
      </c>
      <c r="Y1038" s="73">
        <v>0.92</v>
      </c>
      <c r="Z1038" s="73">
        <v>0.93638170974155099</v>
      </c>
      <c r="AA1038" s="73">
        <v>0.90495049504950498</v>
      </c>
      <c r="AB1038" s="73">
        <v>0.75173611111111105</v>
      </c>
      <c r="AC1038" s="73">
        <v>0.90654490106544905</v>
      </c>
      <c r="AD1038" s="73">
        <v>0.92</v>
      </c>
      <c r="AE1038" s="71">
        <v>0.99817057234950801</v>
      </c>
      <c r="AF1038" s="71">
        <v>0.98138354135815498</v>
      </c>
      <c r="AG1038" s="71">
        <v>0.97781794281958601</v>
      </c>
      <c r="AH1038" s="71">
        <v>0.96771664665583701</v>
      </c>
      <c r="AI1038" s="73">
        <v>0.92</v>
      </c>
      <c r="AJ1038" s="71">
        <v>0.955898982284207</v>
      </c>
      <c r="AK1038" s="71">
        <v>0.95958395245170902</v>
      </c>
      <c r="AL1038" s="71">
        <v>0.89983999999999997</v>
      </c>
      <c r="AM1038" s="71">
        <v>0.95432872522265899</v>
      </c>
      <c r="AN1038" s="70">
        <v>0.99</v>
      </c>
      <c r="AO1038" s="75">
        <v>1</v>
      </c>
      <c r="AP1038" s="75">
        <v>1</v>
      </c>
      <c r="AQ1038" s="75">
        <v>1</v>
      </c>
      <c r="AR1038" s="75">
        <v>1</v>
      </c>
      <c r="AS1038" s="95">
        <v>6.5641848892985799E-2</v>
      </c>
      <c r="AT1038" s="79">
        <v>3.5714285714285698E-2</v>
      </c>
      <c r="AU1038" s="79">
        <v>0</v>
      </c>
      <c r="AV1038" s="79">
        <v>0</v>
      </c>
      <c r="AW1038" s="79">
        <v>2.14592274678112E-2</v>
      </c>
      <c r="AX1038" s="56"/>
      <c r="AY1038" s="54"/>
    </row>
    <row r="1039" spans="1:51" ht="15">
      <c r="A1039" s="53"/>
      <c r="B1039" s="56"/>
      <c r="C1039" s="114" t="s">
        <v>921</v>
      </c>
      <c r="D1039" s="233" t="s">
        <v>1759</v>
      </c>
      <c r="E1039" s="68" t="s">
        <v>922</v>
      </c>
      <c r="F1039" s="117" t="s">
        <v>1062</v>
      </c>
      <c r="G1039" s="118" t="s">
        <v>1062</v>
      </c>
      <c r="H1039" s="118" t="s">
        <v>1062</v>
      </c>
      <c r="I1039" s="118" t="s">
        <v>1062</v>
      </c>
      <c r="J1039" s="70">
        <v>0.9</v>
      </c>
      <c r="K1039" s="71" t="s">
        <v>1710</v>
      </c>
      <c r="L1039" s="71" t="s">
        <v>1710</v>
      </c>
      <c r="M1039" s="72" t="s">
        <v>1710</v>
      </c>
      <c r="N1039" s="71" t="s">
        <v>1710</v>
      </c>
      <c r="O1039" s="73">
        <v>0.9</v>
      </c>
      <c r="P1039" s="71" t="s">
        <v>1710</v>
      </c>
      <c r="Q1039" s="71" t="s">
        <v>1710</v>
      </c>
      <c r="R1039" s="71" t="s">
        <v>1710</v>
      </c>
      <c r="S1039" s="71" t="s">
        <v>1710</v>
      </c>
      <c r="T1039" s="73">
        <v>0.9</v>
      </c>
      <c r="U1039" s="71" t="s">
        <v>1710</v>
      </c>
      <c r="V1039" s="71" t="s">
        <v>1710</v>
      </c>
      <c r="W1039" s="71" t="s">
        <v>1710</v>
      </c>
      <c r="X1039" s="71" t="s">
        <v>1710</v>
      </c>
      <c r="Y1039" s="73">
        <v>0.92</v>
      </c>
      <c r="Z1039" s="73" t="s">
        <v>1710</v>
      </c>
      <c r="AA1039" s="73" t="s">
        <v>1710</v>
      </c>
      <c r="AB1039" s="73" t="s">
        <v>1710</v>
      </c>
      <c r="AC1039" s="73" t="s">
        <v>1710</v>
      </c>
      <c r="AD1039" s="73">
        <v>0.92</v>
      </c>
      <c r="AE1039" s="71">
        <v>0.98839458413926495</v>
      </c>
      <c r="AF1039" s="71">
        <v>0.9375</v>
      </c>
      <c r="AG1039" s="71">
        <v>1</v>
      </c>
      <c r="AH1039" s="71">
        <v>0.99699586932031503</v>
      </c>
      <c r="AI1039" s="73">
        <v>0.92</v>
      </c>
      <c r="AJ1039" s="71" t="s">
        <v>1710</v>
      </c>
      <c r="AK1039" s="71" t="s">
        <v>1710</v>
      </c>
      <c r="AL1039" s="71" t="s">
        <v>1710</v>
      </c>
      <c r="AM1039" s="71" t="s">
        <v>1710</v>
      </c>
      <c r="AN1039" s="70">
        <v>0.99</v>
      </c>
      <c r="AO1039" s="75" t="s">
        <v>1710</v>
      </c>
      <c r="AP1039" s="75" t="s">
        <v>1710</v>
      </c>
      <c r="AQ1039" s="75" t="s">
        <v>1710</v>
      </c>
      <c r="AR1039" s="75">
        <v>1</v>
      </c>
      <c r="AS1039" s="95">
        <v>6.5641848892985799E-2</v>
      </c>
      <c r="AT1039" s="79" t="s">
        <v>1710</v>
      </c>
      <c r="AU1039" s="79" t="s">
        <v>1710</v>
      </c>
      <c r="AV1039" s="79" t="s">
        <v>1710</v>
      </c>
      <c r="AW1039" s="79" t="s">
        <v>1710</v>
      </c>
      <c r="AX1039" s="56"/>
      <c r="AY1039" s="54"/>
    </row>
    <row r="1040" spans="1:51" ht="15">
      <c r="A1040" s="53"/>
      <c r="B1040" s="56"/>
      <c r="C1040" s="114" t="s">
        <v>921</v>
      </c>
      <c r="D1040" s="233" t="s">
        <v>1757</v>
      </c>
      <c r="E1040" s="68" t="s">
        <v>922</v>
      </c>
      <c r="F1040" s="117" t="s">
        <v>1063</v>
      </c>
      <c r="G1040" s="118" t="s">
        <v>1063</v>
      </c>
      <c r="H1040" s="118" t="s">
        <v>1063</v>
      </c>
      <c r="I1040" s="118" t="s">
        <v>1063</v>
      </c>
      <c r="J1040" s="70">
        <v>0.9</v>
      </c>
      <c r="K1040" s="71">
        <v>0.88235294117647101</v>
      </c>
      <c r="L1040" s="71">
        <v>0.88888888888888895</v>
      </c>
      <c r="M1040" s="72">
        <v>0.79411764705882304</v>
      </c>
      <c r="N1040" s="71">
        <v>0.86855670103092797</v>
      </c>
      <c r="O1040" s="73">
        <v>0.9</v>
      </c>
      <c r="P1040" s="71">
        <v>0.79751006957158599</v>
      </c>
      <c r="Q1040" s="71">
        <v>0.90536828963795302</v>
      </c>
      <c r="R1040" s="71">
        <v>0.62871424604276605</v>
      </c>
      <c r="S1040" s="71">
        <v>0.79088390065332903</v>
      </c>
      <c r="T1040" s="73">
        <v>0.9</v>
      </c>
      <c r="U1040" s="71">
        <v>0.87184181618454804</v>
      </c>
      <c r="V1040" s="71">
        <v>0.82147315855181002</v>
      </c>
      <c r="W1040" s="71">
        <v>0.68231046931407902</v>
      </c>
      <c r="X1040" s="71">
        <v>0.81849149655540598</v>
      </c>
      <c r="Y1040" s="73">
        <v>0.92</v>
      </c>
      <c r="Z1040" s="73">
        <v>0.9</v>
      </c>
      <c r="AA1040" s="73">
        <v>0.90750436300174497</v>
      </c>
      <c r="AB1040" s="73">
        <v>0.77791878172588802</v>
      </c>
      <c r="AC1040" s="73">
        <v>0.88903758224601304</v>
      </c>
      <c r="AD1040" s="73">
        <v>0.92</v>
      </c>
      <c r="AE1040" s="71">
        <v>0.99383993228627898</v>
      </c>
      <c r="AF1040" s="71">
        <v>0.80420138715632905</v>
      </c>
      <c r="AG1040" s="71">
        <v>0.99673954737245896</v>
      </c>
      <c r="AH1040" s="71">
        <v>0.96182550805886502</v>
      </c>
      <c r="AI1040" s="73">
        <v>0.92</v>
      </c>
      <c r="AJ1040" s="71">
        <v>0.935346979530704</v>
      </c>
      <c r="AK1040" s="71">
        <v>0.95067656045394999</v>
      </c>
      <c r="AL1040" s="71">
        <v>0.89045775449783604</v>
      </c>
      <c r="AM1040" s="71">
        <v>0.94398924063728495</v>
      </c>
      <c r="AN1040" s="70">
        <v>0.99</v>
      </c>
      <c r="AO1040" s="75">
        <v>1</v>
      </c>
      <c r="AP1040" s="75">
        <v>1</v>
      </c>
      <c r="AQ1040" s="75">
        <v>1</v>
      </c>
      <c r="AR1040" s="75">
        <v>1</v>
      </c>
      <c r="AS1040" s="95">
        <v>6.5641848892985799E-2</v>
      </c>
      <c r="AT1040" s="79">
        <v>2.5641025641025599E-2</v>
      </c>
      <c r="AU1040" s="79">
        <v>6.8181818181818205E-2</v>
      </c>
      <c r="AV1040" s="79">
        <v>0.05</v>
      </c>
      <c r="AW1040" s="79">
        <v>0.05</v>
      </c>
      <c r="AX1040" s="56"/>
      <c r="AY1040" s="54"/>
    </row>
    <row r="1041" spans="1:51" ht="15">
      <c r="A1041" s="53"/>
      <c r="B1041" s="56"/>
      <c r="C1041" s="114" t="s">
        <v>921</v>
      </c>
      <c r="D1041" s="233" t="s">
        <v>1757</v>
      </c>
      <c r="E1041" s="68" t="s">
        <v>922</v>
      </c>
      <c r="F1041" s="117" t="s">
        <v>1064</v>
      </c>
      <c r="G1041" s="118" t="s">
        <v>1064</v>
      </c>
      <c r="H1041" s="118" t="s">
        <v>1064</v>
      </c>
      <c r="I1041" s="118" t="s">
        <v>1064</v>
      </c>
      <c r="J1041" s="70">
        <v>0.9</v>
      </c>
      <c r="K1041" s="71">
        <v>1</v>
      </c>
      <c r="L1041" s="71">
        <v>0.952380952380952</v>
      </c>
      <c r="M1041" s="72">
        <v>0.952380952380952</v>
      </c>
      <c r="N1041" s="71">
        <v>0.95196506550218296</v>
      </c>
      <c r="O1041" s="73">
        <v>0.9</v>
      </c>
      <c r="P1041" s="71">
        <v>0.98961713173264099</v>
      </c>
      <c r="Q1041" s="71">
        <v>0.99645390070922002</v>
      </c>
      <c r="R1041" s="71">
        <v>0.99575871819038597</v>
      </c>
      <c r="S1041" s="71">
        <v>0.990771812080537</v>
      </c>
      <c r="T1041" s="73">
        <v>0.9</v>
      </c>
      <c r="U1041" s="71">
        <v>0.89162881245944203</v>
      </c>
      <c r="V1041" s="71">
        <v>0.92287234042553201</v>
      </c>
      <c r="W1041" s="71">
        <v>0.88218661639962304</v>
      </c>
      <c r="X1041" s="71">
        <v>0.89570823030731195</v>
      </c>
      <c r="Y1041" s="73">
        <v>0.92</v>
      </c>
      <c r="Z1041" s="73">
        <v>0.92366412213740501</v>
      </c>
      <c r="AA1041" s="73">
        <v>0.932721712538226</v>
      </c>
      <c r="AB1041" s="73">
        <v>0.88863109048723898</v>
      </c>
      <c r="AC1041" s="73">
        <v>0.919351726799151</v>
      </c>
      <c r="AD1041" s="73">
        <v>0.92</v>
      </c>
      <c r="AE1041" s="71">
        <v>0.99807963128920796</v>
      </c>
      <c r="AF1041" s="71">
        <v>0.99045386032490401</v>
      </c>
      <c r="AG1041" s="71">
        <v>0.97281553398058296</v>
      </c>
      <c r="AH1041" s="71">
        <v>0.94583027354507099</v>
      </c>
      <c r="AI1041" s="73">
        <v>0.92</v>
      </c>
      <c r="AJ1041" s="71">
        <v>0.95084205735093297</v>
      </c>
      <c r="AK1041" s="71">
        <v>0.97020123839009298</v>
      </c>
      <c r="AL1041" s="71">
        <v>0.94163728946337599</v>
      </c>
      <c r="AM1041" s="71">
        <v>0.96080474223100398</v>
      </c>
      <c r="AN1041" s="70">
        <v>0.99</v>
      </c>
      <c r="AO1041" s="75">
        <v>1</v>
      </c>
      <c r="AP1041" s="75">
        <v>1</v>
      </c>
      <c r="AQ1041" s="75">
        <v>1</v>
      </c>
      <c r="AR1041" s="75">
        <v>1</v>
      </c>
      <c r="AS1041" s="95">
        <v>6.5641848892985799E-2</v>
      </c>
      <c r="AT1041" s="79">
        <v>0</v>
      </c>
      <c r="AU1041" s="79">
        <v>0</v>
      </c>
      <c r="AV1041" s="79">
        <v>5.8823529411764698E-2</v>
      </c>
      <c r="AW1041" s="79">
        <v>3.2051282051282E-2</v>
      </c>
      <c r="AX1041" s="56"/>
      <c r="AY1041" s="54"/>
    </row>
    <row r="1042" spans="1:51" ht="15">
      <c r="A1042" s="53"/>
      <c r="B1042" s="56"/>
      <c r="C1042" s="114" t="s">
        <v>921</v>
      </c>
      <c r="D1042" s="233" t="s">
        <v>1757</v>
      </c>
      <c r="E1042" s="68" t="s">
        <v>922</v>
      </c>
      <c r="F1042" s="117" t="s">
        <v>1065</v>
      </c>
      <c r="G1042" s="118" t="s">
        <v>1065</v>
      </c>
      <c r="H1042" s="118" t="s">
        <v>1065</v>
      </c>
      <c r="I1042" s="118" t="s">
        <v>1065</v>
      </c>
      <c r="J1042" s="70">
        <v>0.9</v>
      </c>
      <c r="K1042" s="71">
        <v>0.939393939393939</v>
      </c>
      <c r="L1042" s="71">
        <v>0.97560975609756095</v>
      </c>
      <c r="M1042" s="72">
        <v>0.939393939393939</v>
      </c>
      <c r="N1042" s="71">
        <v>0.96402877697841705</v>
      </c>
      <c r="O1042" s="73">
        <v>0.9</v>
      </c>
      <c r="P1042" s="71">
        <v>0.84540540540540499</v>
      </c>
      <c r="Q1042" s="71">
        <v>0.89107187266848997</v>
      </c>
      <c r="R1042" s="71">
        <v>0.67439353099730504</v>
      </c>
      <c r="S1042" s="71">
        <v>0.83147922381387795</v>
      </c>
      <c r="T1042" s="73">
        <v>0.9</v>
      </c>
      <c r="U1042" s="71">
        <v>0.82270270270270296</v>
      </c>
      <c r="V1042" s="71">
        <v>0.866699825913952</v>
      </c>
      <c r="W1042" s="71">
        <v>0.728301886792453</v>
      </c>
      <c r="X1042" s="71">
        <v>0.83861627552575402</v>
      </c>
      <c r="Y1042" s="73">
        <v>0.92</v>
      </c>
      <c r="Z1042" s="73">
        <v>0.85375816993464004</v>
      </c>
      <c r="AA1042" s="73">
        <v>0.935606060606061</v>
      </c>
      <c r="AB1042" s="73">
        <v>0.78476420798065305</v>
      </c>
      <c r="AC1042" s="73">
        <v>0.877066228790367</v>
      </c>
      <c r="AD1042" s="73">
        <v>0.92</v>
      </c>
      <c r="AE1042" s="71">
        <v>0.99837378033525104</v>
      </c>
      <c r="AF1042" s="71">
        <v>0.96853232811603696</v>
      </c>
      <c r="AG1042" s="71">
        <v>0.99870205723927596</v>
      </c>
      <c r="AH1042" s="71">
        <v>0.97588657057544104</v>
      </c>
      <c r="AI1042" s="73">
        <v>0.92</v>
      </c>
      <c r="AJ1042" s="71">
        <v>0.91372843210802701</v>
      </c>
      <c r="AK1042" s="71">
        <v>0.96923076923076901</v>
      </c>
      <c r="AL1042" s="71">
        <v>0.86816578483245199</v>
      </c>
      <c r="AM1042" s="71">
        <v>0.93840318291451097</v>
      </c>
      <c r="AN1042" s="70">
        <v>0.99</v>
      </c>
      <c r="AO1042" s="75">
        <v>1</v>
      </c>
      <c r="AP1042" s="75">
        <v>1</v>
      </c>
      <c r="AQ1042" s="75">
        <v>1</v>
      </c>
      <c r="AR1042" s="75">
        <v>1</v>
      </c>
      <c r="AS1042" s="95">
        <v>6.5641848892985799E-2</v>
      </c>
      <c r="AT1042" s="79">
        <v>7.69230769230769E-2</v>
      </c>
      <c r="AU1042" s="79">
        <v>8.5714285714285701E-2</v>
      </c>
      <c r="AV1042" s="79">
        <v>0.157894736842105</v>
      </c>
      <c r="AW1042" s="79">
        <v>3.97553516819572E-2</v>
      </c>
      <c r="AX1042" s="56"/>
      <c r="AY1042" s="54"/>
    </row>
    <row r="1043" spans="1:51" ht="15">
      <c r="A1043" s="53"/>
      <c r="B1043" s="56"/>
      <c r="C1043" s="114" t="s">
        <v>921</v>
      </c>
      <c r="D1043" s="233" t="s">
        <v>1757</v>
      </c>
      <c r="E1043" s="68" t="s">
        <v>922</v>
      </c>
      <c r="F1043" s="117" t="s">
        <v>1066</v>
      </c>
      <c r="G1043" s="118" t="s">
        <v>1066</v>
      </c>
      <c r="H1043" s="118" t="s">
        <v>1066</v>
      </c>
      <c r="I1043" s="118" t="s">
        <v>1066</v>
      </c>
      <c r="J1043" s="70">
        <v>0.9</v>
      </c>
      <c r="K1043" s="71">
        <v>1</v>
      </c>
      <c r="L1043" s="71">
        <v>0.92682926829268297</v>
      </c>
      <c r="M1043" s="72">
        <v>0.94736842105263197</v>
      </c>
      <c r="N1043" s="71">
        <v>0.966740576496674</v>
      </c>
      <c r="O1043" s="73">
        <v>0.9</v>
      </c>
      <c r="P1043" s="71">
        <v>0.94691485694588096</v>
      </c>
      <c r="Q1043" s="71">
        <v>0.89463912740775098</v>
      </c>
      <c r="R1043" s="71">
        <v>0.75525946704067304</v>
      </c>
      <c r="S1043" s="71">
        <v>0.90365864771277604</v>
      </c>
      <c r="T1043" s="73">
        <v>0.9</v>
      </c>
      <c r="U1043" s="71">
        <v>0.875904860392968</v>
      </c>
      <c r="V1043" s="71">
        <v>0.73497331167324198</v>
      </c>
      <c r="W1043" s="71">
        <v>0.58438522674146798</v>
      </c>
      <c r="X1043" s="71">
        <v>0.78328321487151498</v>
      </c>
      <c r="Y1043" s="73">
        <v>0.92</v>
      </c>
      <c r="Z1043" s="73">
        <v>0.92789968652037602</v>
      </c>
      <c r="AA1043" s="73">
        <v>0.820359281437126</v>
      </c>
      <c r="AB1043" s="73">
        <v>0.66027088036117398</v>
      </c>
      <c r="AC1043" s="73">
        <v>0.85296450525480905</v>
      </c>
      <c r="AD1043" s="73">
        <v>0.92</v>
      </c>
      <c r="AE1043" s="71">
        <v>0.99280955905678303</v>
      </c>
      <c r="AF1043" s="71">
        <v>0.99325236167341402</v>
      </c>
      <c r="AG1043" s="71">
        <v>0.98770649250864395</v>
      </c>
      <c r="AH1043" s="71">
        <v>0.98167498742211401</v>
      </c>
      <c r="AI1043" s="73">
        <v>0.92</v>
      </c>
      <c r="AJ1043" s="71">
        <v>0.96028708133971297</v>
      </c>
      <c r="AK1043" s="71">
        <v>0.93372163084956805</v>
      </c>
      <c r="AL1043" s="71">
        <v>0.84414327202323303</v>
      </c>
      <c r="AM1043" s="71">
        <v>0.93749421242707698</v>
      </c>
      <c r="AN1043" s="70">
        <v>0.99</v>
      </c>
      <c r="AO1043" s="75">
        <v>1</v>
      </c>
      <c r="AP1043" s="75">
        <v>1</v>
      </c>
      <c r="AQ1043" s="75">
        <v>1</v>
      </c>
      <c r="AR1043" s="75">
        <v>1</v>
      </c>
      <c r="AS1043" s="95">
        <v>6.5641848892985799E-2</v>
      </c>
      <c r="AT1043" s="79">
        <v>2.5641025641025599E-2</v>
      </c>
      <c r="AU1043" s="79">
        <v>8.5714285714285701E-2</v>
      </c>
      <c r="AV1043" s="79">
        <v>0.11764705882352899</v>
      </c>
      <c r="AW1043" s="79">
        <v>3.9215686274509803E-2</v>
      </c>
      <c r="AX1043" s="56"/>
      <c r="AY1043" s="54"/>
    </row>
    <row r="1044" spans="1:51" ht="15">
      <c r="A1044" s="53"/>
      <c r="B1044" s="56"/>
      <c r="C1044" s="114" t="s">
        <v>921</v>
      </c>
      <c r="D1044" s="233" t="s">
        <v>1757</v>
      </c>
      <c r="E1044" s="68" t="s">
        <v>922</v>
      </c>
      <c r="F1044" s="117" t="s">
        <v>1067</v>
      </c>
      <c r="G1044" s="118" t="s">
        <v>1067</v>
      </c>
      <c r="H1044" s="118" t="s">
        <v>1067</v>
      </c>
      <c r="I1044" s="118" t="s">
        <v>1067</v>
      </c>
      <c r="J1044" s="70">
        <v>0.9</v>
      </c>
      <c r="K1044" s="71">
        <v>0.9375</v>
      </c>
      <c r="L1044" s="71">
        <v>1</v>
      </c>
      <c r="M1044" s="72">
        <v>0.88888888888888895</v>
      </c>
      <c r="N1044" s="71">
        <v>0.88947368421052597</v>
      </c>
      <c r="O1044" s="73">
        <v>0.9</v>
      </c>
      <c r="P1044" s="71">
        <v>0.890625</v>
      </c>
      <c r="Q1044" s="71">
        <v>0.90251299826689801</v>
      </c>
      <c r="R1044" s="71">
        <v>0.90265866209262402</v>
      </c>
      <c r="S1044" s="71">
        <v>0.89131329765335499</v>
      </c>
      <c r="T1044" s="73">
        <v>0.9</v>
      </c>
      <c r="U1044" s="71">
        <v>0.80803571428571397</v>
      </c>
      <c r="V1044" s="71">
        <v>0.83752166377816295</v>
      </c>
      <c r="W1044" s="71">
        <v>0.78216123499142398</v>
      </c>
      <c r="X1044" s="71">
        <v>0.79411280362289005</v>
      </c>
      <c r="Y1044" s="73">
        <v>0.92</v>
      </c>
      <c r="Z1044" s="73" t="s">
        <v>1710</v>
      </c>
      <c r="AA1044" s="73" t="s">
        <v>1710</v>
      </c>
      <c r="AB1044" s="73" t="s">
        <v>1710</v>
      </c>
      <c r="AC1044" s="73" t="s">
        <v>1710</v>
      </c>
      <c r="AD1044" s="73">
        <v>0.92</v>
      </c>
      <c r="AE1044" s="71">
        <v>1</v>
      </c>
      <c r="AF1044" s="71">
        <v>0.98879551820728295</v>
      </c>
      <c r="AG1044" s="71">
        <v>0.99564270152505496</v>
      </c>
      <c r="AH1044" s="71">
        <v>0.99550837076357701</v>
      </c>
      <c r="AI1044" s="73">
        <v>0.92</v>
      </c>
      <c r="AJ1044" s="71">
        <v>0.95163690476190499</v>
      </c>
      <c r="AK1044" s="71">
        <v>0.96490467937608304</v>
      </c>
      <c r="AL1044" s="71">
        <v>0.94897084048027402</v>
      </c>
      <c r="AM1044" s="71">
        <v>0.94590589107076695</v>
      </c>
      <c r="AN1044" s="70">
        <v>0.99</v>
      </c>
      <c r="AO1044" s="75">
        <v>1</v>
      </c>
      <c r="AP1044" s="75">
        <v>1</v>
      </c>
      <c r="AQ1044" s="75">
        <v>1</v>
      </c>
      <c r="AR1044" s="75">
        <v>1</v>
      </c>
      <c r="AS1044" s="95">
        <v>6.5641848892985799E-2</v>
      </c>
      <c r="AT1044" s="79">
        <v>0.125</v>
      </c>
      <c r="AU1044" s="79">
        <v>0</v>
      </c>
      <c r="AV1044" s="79">
        <v>0</v>
      </c>
      <c r="AW1044" s="79">
        <v>5.5555555555555601E-2</v>
      </c>
      <c r="AX1044" s="56"/>
      <c r="AY1044" s="54"/>
    </row>
    <row r="1045" spans="1:51" ht="15">
      <c r="A1045" s="53"/>
      <c r="B1045" s="56"/>
      <c r="C1045" s="114" t="s">
        <v>921</v>
      </c>
      <c r="D1045" s="233" t="s">
        <v>1757</v>
      </c>
      <c r="E1045" s="68" t="s">
        <v>922</v>
      </c>
      <c r="F1045" s="117" t="s">
        <v>1068</v>
      </c>
      <c r="G1045" s="118" t="s">
        <v>1068</v>
      </c>
      <c r="H1045" s="118" t="s">
        <v>1068</v>
      </c>
      <c r="I1045" s="118" t="s">
        <v>1068</v>
      </c>
      <c r="J1045" s="70">
        <v>0.9</v>
      </c>
      <c r="K1045" s="71">
        <v>0.96551724137931005</v>
      </c>
      <c r="L1045" s="71">
        <v>1</v>
      </c>
      <c r="M1045" s="72">
        <v>1</v>
      </c>
      <c r="N1045" s="71">
        <v>0.96979865771812102</v>
      </c>
      <c r="O1045" s="73">
        <v>0.9</v>
      </c>
      <c r="P1045" s="71">
        <v>0.92956959195081001</v>
      </c>
      <c r="Q1045" s="71">
        <v>0.94335736354273902</v>
      </c>
      <c r="R1045" s="71">
        <v>0.94155019059720502</v>
      </c>
      <c r="S1045" s="71">
        <v>0.94413961995102103</v>
      </c>
      <c r="T1045" s="73">
        <v>0.9</v>
      </c>
      <c r="U1045" s="71">
        <v>0.93068753493571799</v>
      </c>
      <c r="V1045" s="71">
        <v>0.94335736354273902</v>
      </c>
      <c r="W1045" s="71">
        <v>0.92058449809402798</v>
      </c>
      <c r="X1045" s="71">
        <v>0.91859636070553996</v>
      </c>
      <c r="Y1045" s="73">
        <v>0.92</v>
      </c>
      <c r="Z1045" s="73" t="s">
        <v>1710</v>
      </c>
      <c r="AA1045" s="73" t="s">
        <v>1710</v>
      </c>
      <c r="AB1045" s="73" t="s">
        <v>1710</v>
      </c>
      <c r="AC1045" s="73" t="s">
        <v>1710</v>
      </c>
      <c r="AD1045" s="73">
        <v>0.92</v>
      </c>
      <c r="AE1045" s="71">
        <v>0.99632690541781499</v>
      </c>
      <c r="AF1045" s="71">
        <v>0.99228543876566999</v>
      </c>
      <c r="AG1045" s="71">
        <v>0.99932249322493205</v>
      </c>
      <c r="AH1045" s="71">
        <v>0.98977069303554699</v>
      </c>
      <c r="AI1045" s="73">
        <v>0.92</v>
      </c>
      <c r="AJ1045" s="71">
        <v>0.96254891000558995</v>
      </c>
      <c r="AK1045" s="71">
        <v>0.96841743906625499</v>
      </c>
      <c r="AL1045" s="71">
        <v>0.949507780247698</v>
      </c>
      <c r="AM1045" s="71">
        <v>0.96280453784638298</v>
      </c>
      <c r="AN1045" s="70">
        <v>0.99</v>
      </c>
      <c r="AO1045" s="75">
        <v>1</v>
      </c>
      <c r="AP1045" s="75">
        <v>1</v>
      </c>
      <c r="AQ1045" s="75">
        <v>1</v>
      </c>
      <c r="AR1045" s="75">
        <v>1</v>
      </c>
      <c r="AS1045" s="95">
        <v>6.5641848892985799E-2</v>
      </c>
      <c r="AT1045" s="79">
        <v>7.69230769230769E-2</v>
      </c>
      <c r="AU1045" s="79">
        <v>0</v>
      </c>
      <c r="AV1045" s="79">
        <v>0</v>
      </c>
      <c r="AW1045" s="79">
        <v>6.7307692307692304E-2</v>
      </c>
      <c r="AX1045" s="56"/>
      <c r="AY1045" s="54"/>
    </row>
    <row r="1046" spans="1:51" ht="15">
      <c r="A1046" s="53"/>
      <c r="B1046" s="56"/>
      <c r="C1046" s="114" t="s">
        <v>921</v>
      </c>
      <c r="D1046" s="233" t="s">
        <v>1757</v>
      </c>
      <c r="E1046" s="68" t="s">
        <v>922</v>
      </c>
      <c r="F1046" s="121" t="s">
        <v>1069</v>
      </c>
      <c r="G1046" s="122" t="s">
        <v>1069</v>
      </c>
      <c r="H1046" s="122" t="s">
        <v>1069</v>
      </c>
      <c r="I1046" s="122" t="s">
        <v>1069</v>
      </c>
      <c r="J1046" s="70">
        <v>0.9</v>
      </c>
      <c r="K1046" s="71">
        <v>1</v>
      </c>
      <c r="L1046" s="71">
        <v>1</v>
      </c>
      <c r="M1046" s="72">
        <v>0.96666666666666701</v>
      </c>
      <c r="N1046" s="71">
        <v>0.984375</v>
      </c>
      <c r="O1046" s="73">
        <v>0.9</v>
      </c>
      <c r="P1046" s="71">
        <v>0.95565927654609095</v>
      </c>
      <c r="Q1046" s="71">
        <v>0.94619183779568505</v>
      </c>
      <c r="R1046" s="71">
        <v>0.91473608789109195</v>
      </c>
      <c r="S1046" s="71">
        <v>0.94686779400461196</v>
      </c>
      <c r="T1046" s="73">
        <v>0.9</v>
      </c>
      <c r="U1046" s="71">
        <v>0.931155192532089</v>
      </c>
      <c r="V1046" s="71">
        <v>0.907460358721081</v>
      </c>
      <c r="W1046" s="71">
        <v>0.89873417721519</v>
      </c>
      <c r="X1046" s="71">
        <v>0.91187067640276698</v>
      </c>
      <c r="Y1046" s="73">
        <v>0.92</v>
      </c>
      <c r="Z1046" s="73" t="s">
        <v>1710</v>
      </c>
      <c r="AA1046" s="73" t="s">
        <v>1710</v>
      </c>
      <c r="AB1046" s="73" t="s">
        <v>1710</v>
      </c>
      <c r="AC1046" s="73">
        <v>1</v>
      </c>
      <c r="AD1046" s="73">
        <v>0.92</v>
      </c>
      <c r="AE1046" s="71">
        <v>0.99750623441396502</v>
      </c>
      <c r="AF1046" s="71">
        <v>0.99772899318698005</v>
      </c>
      <c r="AG1046" s="71">
        <v>0.99927285948009403</v>
      </c>
      <c r="AH1046" s="71">
        <v>0.99728173107977203</v>
      </c>
      <c r="AI1046" s="73">
        <v>0.92</v>
      </c>
      <c r="AJ1046" s="71">
        <v>0.968494749124854</v>
      </c>
      <c r="AK1046" s="71">
        <v>0.96568754873927698</v>
      </c>
      <c r="AL1046" s="71">
        <v>0.96298065440649605</v>
      </c>
      <c r="AM1046" s="71">
        <v>0.97045683816111805</v>
      </c>
      <c r="AN1046" s="70">
        <v>0.99</v>
      </c>
      <c r="AO1046" s="75">
        <v>1</v>
      </c>
      <c r="AP1046" s="75">
        <v>1</v>
      </c>
      <c r="AQ1046" s="75">
        <v>1</v>
      </c>
      <c r="AR1046" s="75">
        <v>1</v>
      </c>
      <c r="AS1046" s="95">
        <v>6.5641848892985799E-2</v>
      </c>
      <c r="AT1046" s="79">
        <v>0</v>
      </c>
      <c r="AU1046" s="79">
        <v>0.3</v>
      </c>
      <c r="AV1046" s="79">
        <v>0.27272727272727298</v>
      </c>
      <c r="AW1046" s="79">
        <v>6.6115702479338803E-2</v>
      </c>
      <c r="AX1046" s="56"/>
      <c r="AY1046" s="54"/>
    </row>
    <row r="1047" spans="1:51" ht="15">
      <c r="A1047" s="53"/>
      <c r="B1047" s="56"/>
      <c r="C1047" s="114" t="s">
        <v>921</v>
      </c>
      <c r="D1047" s="233" t="s">
        <v>1757</v>
      </c>
      <c r="E1047" s="68" t="s">
        <v>922</v>
      </c>
      <c r="F1047" s="117" t="s">
        <v>1070</v>
      </c>
      <c r="G1047" s="118" t="s">
        <v>1070</v>
      </c>
      <c r="H1047" s="118" t="s">
        <v>1070</v>
      </c>
      <c r="I1047" s="118" t="s">
        <v>1070</v>
      </c>
      <c r="J1047" s="70">
        <v>0.9</v>
      </c>
      <c r="K1047" s="71">
        <v>1</v>
      </c>
      <c r="L1047" s="71">
        <v>1</v>
      </c>
      <c r="M1047" s="72">
        <v>0.94117647058823495</v>
      </c>
      <c r="N1047" s="71">
        <v>0.88571428571428601</v>
      </c>
      <c r="O1047" s="73">
        <v>0.9</v>
      </c>
      <c r="P1047" s="71">
        <v>0.972350230414747</v>
      </c>
      <c r="Q1047" s="71">
        <v>0.96102150537634401</v>
      </c>
      <c r="R1047" s="71">
        <v>0.95103926096997704</v>
      </c>
      <c r="S1047" s="71">
        <v>0.94010204519144203</v>
      </c>
      <c r="T1047" s="73">
        <v>0.9</v>
      </c>
      <c r="U1047" s="71">
        <v>0.90245775729646704</v>
      </c>
      <c r="V1047" s="71">
        <v>0.87320788530465998</v>
      </c>
      <c r="W1047" s="71">
        <v>0.90854503464203196</v>
      </c>
      <c r="X1047" s="71">
        <v>0.88856493590018404</v>
      </c>
      <c r="Y1047" s="73">
        <v>0.92</v>
      </c>
      <c r="Z1047" s="73" t="s">
        <v>1710</v>
      </c>
      <c r="AA1047" s="73" t="s">
        <v>1710</v>
      </c>
      <c r="AB1047" s="73" t="s">
        <v>1710</v>
      </c>
      <c r="AC1047" s="73" t="s">
        <v>1710</v>
      </c>
      <c r="AD1047" s="73">
        <v>0.92</v>
      </c>
      <c r="AE1047" s="71">
        <v>0.990783410138249</v>
      </c>
      <c r="AF1047" s="71">
        <v>0.99456521739130399</v>
      </c>
      <c r="AG1047" s="71">
        <v>1</v>
      </c>
      <c r="AH1047" s="71">
        <v>0.99304045237059602</v>
      </c>
      <c r="AI1047" s="73">
        <v>0.92</v>
      </c>
      <c r="AJ1047" s="71">
        <v>0.963133640552995</v>
      </c>
      <c r="AK1047" s="71">
        <v>0.91890681003584196</v>
      </c>
      <c r="AL1047" s="71">
        <v>0.96766743648960696</v>
      </c>
      <c r="AM1047" s="71">
        <v>0.96016807443296304</v>
      </c>
      <c r="AN1047" s="70">
        <v>0.99</v>
      </c>
      <c r="AO1047" s="75">
        <v>1</v>
      </c>
      <c r="AP1047" s="75">
        <v>1</v>
      </c>
      <c r="AQ1047" s="75">
        <v>1</v>
      </c>
      <c r="AR1047" s="75">
        <v>1</v>
      </c>
      <c r="AS1047" s="95">
        <v>6.5641848892985799E-2</v>
      </c>
      <c r="AT1047" s="79">
        <v>0</v>
      </c>
      <c r="AU1047" s="79">
        <v>0</v>
      </c>
      <c r="AV1047" s="79">
        <v>0</v>
      </c>
      <c r="AW1047" s="79">
        <v>1.6949152542372899E-2</v>
      </c>
      <c r="AX1047" s="56"/>
      <c r="AY1047" s="54"/>
    </row>
    <row r="1048" spans="1:51" ht="15">
      <c r="A1048" s="53"/>
      <c r="B1048" s="56"/>
      <c r="C1048" s="114" t="s">
        <v>921</v>
      </c>
      <c r="D1048" s="233" t="s">
        <v>1757</v>
      </c>
      <c r="E1048" s="68" t="s">
        <v>922</v>
      </c>
      <c r="F1048" s="117" t="s">
        <v>1071</v>
      </c>
      <c r="G1048" s="118" t="s">
        <v>1071</v>
      </c>
      <c r="H1048" s="118" t="s">
        <v>1071</v>
      </c>
      <c r="I1048" s="118" t="s">
        <v>1071</v>
      </c>
      <c r="J1048" s="70">
        <v>0.9</v>
      </c>
      <c r="K1048" s="71">
        <v>1</v>
      </c>
      <c r="L1048" s="71">
        <v>1</v>
      </c>
      <c r="M1048" s="72">
        <v>0.90909090909090895</v>
      </c>
      <c r="N1048" s="71">
        <v>0.98319327731092399</v>
      </c>
      <c r="O1048" s="73">
        <v>0.9</v>
      </c>
      <c r="P1048" s="71">
        <v>0.92958801498127297</v>
      </c>
      <c r="Q1048" s="71">
        <v>0.90175754844524603</v>
      </c>
      <c r="R1048" s="71">
        <v>0.92013888888888895</v>
      </c>
      <c r="S1048" s="71">
        <v>0.93210351012042003</v>
      </c>
      <c r="T1048" s="73">
        <v>0.9</v>
      </c>
      <c r="U1048" s="71">
        <v>0.90411985018726604</v>
      </c>
      <c r="V1048" s="71">
        <v>0.90265885534024304</v>
      </c>
      <c r="W1048" s="71">
        <v>0.89019097222222199</v>
      </c>
      <c r="X1048" s="71">
        <v>0.90895892048851301</v>
      </c>
      <c r="Y1048" s="73">
        <v>0.92</v>
      </c>
      <c r="Z1048" s="73" t="s">
        <v>1710</v>
      </c>
      <c r="AA1048" s="73" t="s">
        <v>1710</v>
      </c>
      <c r="AB1048" s="73" t="s">
        <v>1710</v>
      </c>
      <c r="AC1048" s="73" t="s">
        <v>1710</v>
      </c>
      <c r="AD1048" s="73">
        <v>0.92</v>
      </c>
      <c r="AE1048" s="71">
        <v>0.99740529320186799</v>
      </c>
      <c r="AF1048" s="71">
        <v>0.99879372738238803</v>
      </c>
      <c r="AG1048" s="71">
        <v>0.99475065616797897</v>
      </c>
      <c r="AH1048" s="71">
        <v>0.99558930918650501</v>
      </c>
      <c r="AI1048" s="73">
        <v>0.92</v>
      </c>
      <c r="AJ1048" s="71">
        <v>0.95580524344569295</v>
      </c>
      <c r="AK1048" s="71">
        <v>0.96124380351509697</v>
      </c>
      <c r="AL1048" s="71">
        <v>0.96485900216919696</v>
      </c>
      <c r="AM1048" s="71">
        <v>0.96370778361299703</v>
      </c>
      <c r="AN1048" s="70">
        <v>0.99</v>
      </c>
      <c r="AO1048" s="75">
        <v>1</v>
      </c>
      <c r="AP1048" s="75">
        <v>1</v>
      </c>
      <c r="AQ1048" s="75">
        <v>1</v>
      </c>
      <c r="AR1048" s="75">
        <v>1</v>
      </c>
      <c r="AS1048" s="95">
        <v>6.5641848892985799E-2</v>
      </c>
      <c r="AT1048" s="79">
        <v>0</v>
      </c>
      <c r="AU1048" s="79">
        <v>0.125</v>
      </c>
      <c r="AV1048" s="79">
        <v>0</v>
      </c>
      <c r="AW1048" s="79">
        <v>5.7142857142857099E-2</v>
      </c>
      <c r="AX1048" s="56"/>
      <c r="AY1048" s="54"/>
    </row>
    <row r="1049" spans="1:51" ht="15">
      <c r="A1049" s="53"/>
      <c r="B1049" s="56"/>
      <c r="C1049" s="114" t="s">
        <v>921</v>
      </c>
      <c r="D1049" s="233" t="s">
        <v>1757</v>
      </c>
      <c r="E1049" s="68" t="s">
        <v>922</v>
      </c>
      <c r="F1049" s="117" t="s">
        <v>1072</v>
      </c>
      <c r="G1049" s="118" t="s">
        <v>1072</v>
      </c>
      <c r="H1049" s="118" t="s">
        <v>1072</v>
      </c>
      <c r="I1049" s="118" t="s">
        <v>1072</v>
      </c>
      <c r="J1049" s="70">
        <v>0.9</v>
      </c>
      <c r="K1049" s="71">
        <v>1</v>
      </c>
      <c r="L1049" s="71">
        <v>0.97222222222222199</v>
      </c>
      <c r="M1049" s="72">
        <v>1</v>
      </c>
      <c r="N1049" s="71">
        <v>0.95901639344262302</v>
      </c>
      <c r="O1049" s="73">
        <v>0.9</v>
      </c>
      <c r="P1049" s="71">
        <v>0.96417197452229297</v>
      </c>
      <c r="Q1049" s="71">
        <v>0.96046353101567805</v>
      </c>
      <c r="R1049" s="71">
        <v>0.93032694475761002</v>
      </c>
      <c r="S1049" s="71">
        <v>0.95454449085165505</v>
      </c>
      <c r="T1049" s="73">
        <v>0.9</v>
      </c>
      <c r="U1049" s="71">
        <v>0.93789808917197404</v>
      </c>
      <c r="V1049" s="71">
        <v>0.93660531697341498</v>
      </c>
      <c r="W1049" s="71">
        <v>0.90033821871476905</v>
      </c>
      <c r="X1049" s="71">
        <v>0.918756757902771</v>
      </c>
      <c r="Y1049" s="73">
        <v>0.92</v>
      </c>
      <c r="Z1049" s="73" t="s">
        <v>1710</v>
      </c>
      <c r="AA1049" s="73" t="s">
        <v>1710</v>
      </c>
      <c r="AB1049" s="73" t="s">
        <v>1710</v>
      </c>
      <c r="AC1049" s="73" t="s">
        <v>1710</v>
      </c>
      <c r="AD1049" s="73">
        <v>0.92</v>
      </c>
      <c r="AE1049" s="71">
        <v>0.99872286079182604</v>
      </c>
      <c r="AF1049" s="71">
        <v>0.99755102040816301</v>
      </c>
      <c r="AG1049" s="71">
        <v>0.99459459459459498</v>
      </c>
      <c r="AH1049" s="71">
        <v>0.99512135626295894</v>
      </c>
      <c r="AI1049" s="73">
        <v>0.92</v>
      </c>
      <c r="AJ1049" s="71">
        <v>0.96536624203821697</v>
      </c>
      <c r="AK1049" s="71">
        <v>0.96819627442071798</v>
      </c>
      <c r="AL1049" s="71">
        <v>0.93416009019165702</v>
      </c>
      <c r="AM1049" s="71">
        <v>0.96118295526817898</v>
      </c>
      <c r="AN1049" s="70">
        <v>0.99</v>
      </c>
      <c r="AO1049" s="75">
        <v>1</v>
      </c>
      <c r="AP1049" s="75">
        <v>1</v>
      </c>
      <c r="AQ1049" s="75">
        <v>1</v>
      </c>
      <c r="AR1049" s="75">
        <v>1</v>
      </c>
      <c r="AS1049" s="95">
        <v>6.5641848892985799E-2</v>
      </c>
      <c r="AT1049" s="79">
        <v>0</v>
      </c>
      <c r="AU1049" s="79">
        <v>0.12</v>
      </c>
      <c r="AV1049" s="79">
        <v>0</v>
      </c>
      <c r="AW1049" s="79">
        <v>7.7777777777777807E-2</v>
      </c>
      <c r="AX1049" s="56"/>
      <c r="AY1049" s="54"/>
    </row>
    <row r="1050" spans="1:51" ht="15">
      <c r="A1050" s="53"/>
      <c r="B1050" s="56"/>
      <c r="C1050" s="114" t="s">
        <v>921</v>
      </c>
      <c r="D1050" s="233" t="s">
        <v>1757</v>
      </c>
      <c r="E1050" s="68" t="s">
        <v>922</v>
      </c>
      <c r="F1050" s="117" t="s">
        <v>1073</v>
      </c>
      <c r="G1050" s="118" t="s">
        <v>1073</v>
      </c>
      <c r="H1050" s="118" t="s">
        <v>1073</v>
      </c>
      <c r="I1050" s="118" t="s">
        <v>1073</v>
      </c>
      <c r="J1050" s="70">
        <v>0.9</v>
      </c>
      <c r="K1050" s="71">
        <v>1</v>
      </c>
      <c r="L1050" s="71">
        <v>1</v>
      </c>
      <c r="M1050" s="72">
        <v>1</v>
      </c>
      <c r="N1050" s="71">
        <v>0.989547038327526</v>
      </c>
      <c r="O1050" s="73">
        <v>0.9</v>
      </c>
      <c r="P1050" s="71">
        <v>0.94962362478286</v>
      </c>
      <c r="Q1050" s="71">
        <v>0.96582671729375202</v>
      </c>
      <c r="R1050" s="71">
        <v>0.95742506811989103</v>
      </c>
      <c r="S1050" s="71">
        <v>0.95738198861734203</v>
      </c>
      <c r="T1050" s="73">
        <v>0.9</v>
      </c>
      <c r="U1050" s="71">
        <v>0.89808917197452198</v>
      </c>
      <c r="V1050" s="71">
        <v>0.934760096651709</v>
      </c>
      <c r="W1050" s="71">
        <v>0.923705722070845</v>
      </c>
      <c r="X1050" s="71">
        <v>0.92212922664881103</v>
      </c>
      <c r="Y1050" s="73">
        <v>0.92</v>
      </c>
      <c r="Z1050" s="73" t="s">
        <v>1710</v>
      </c>
      <c r="AA1050" s="73" t="s">
        <v>1710</v>
      </c>
      <c r="AB1050" s="73" t="s">
        <v>1710</v>
      </c>
      <c r="AC1050" s="73" t="s">
        <v>1710</v>
      </c>
      <c r="AD1050" s="73">
        <v>0.92</v>
      </c>
      <c r="AE1050" s="71">
        <v>0.99874023683547497</v>
      </c>
      <c r="AF1050" s="71">
        <v>0.993342210386152</v>
      </c>
      <c r="AG1050" s="71">
        <v>0.99820852740953103</v>
      </c>
      <c r="AH1050" s="71">
        <v>0.99559115538653098</v>
      </c>
      <c r="AI1050" s="73">
        <v>0.92</v>
      </c>
      <c r="AJ1050" s="71">
        <v>0.95830920671685005</v>
      </c>
      <c r="AK1050" s="71">
        <v>0.96444597859854997</v>
      </c>
      <c r="AL1050" s="71">
        <v>0.96321525885558601</v>
      </c>
      <c r="AM1050" s="71">
        <v>0.96437897556076302</v>
      </c>
      <c r="AN1050" s="70">
        <v>0.99</v>
      </c>
      <c r="AO1050" s="75">
        <v>1</v>
      </c>
      <c r="AP1050" s="75">
        <v>1</v>
      </c>
      <c r="AQ1050" s="75">
        <v>1</v>
      </c>
      <c r="AR1050" s="75">
        <v>1</v>
      </c>
      <c r="AS1050" s="95">
        <v>6.5641848892985799E-2</v>
      </c>
      <c r="AT1050" s="79">
        <v>0</v>
      </c>
      <c r="AU1050" s="79">
        <v>0.3</v>
      </c>
      <c r="AV1050" s="79">
        <v>0.11111111111111099</v>
      </c>
      <c r="AW1050" s="79">
        <v>0.118421052631579</v>
      </c>
      <c r="AX1050" s="56"/>
      <c r="AY1050" s="54"/>
    </row>
    <row r="1051" spans="1:51" ht="15">
      <c r="A1051" s="53"/>
      <c r="B1051" s="56"/>
      <c r="C1051" s="114" t="s">
        <v>921</v>
      </c>
      <c r="D1051" s="233" t="s">
        <v>1757</v>
      </c>
      <c r="E1051" s="68" t="s">
        <v>922</v>
      </c>
      <c r="F1051" s="121" t="s">
        <v>1074</v>
      </c>
      <c r="G1051" s="122" t="s">
        <v>1074</v>
      </c>
      <c r="H1051" s="122" t="s">
        <v>1074</v>
      </c>
      <c r="I1051" s="122" t="s">
        <v>1074</v>
      </c>
      <c r="J1051" s="70">
        <v>0.9</v>
      </c>
      <c r="K1051" s="71">
        <v>0.94736842105263197</v>
      </c>
      <c r="L1051" s="71">
        <v>1</v>
      </c>
      <c r="M1051" s="72">
        <v>0.83333333333333304</v>
      </c>
      <c r="N1051" s="71">
        <v>0.89393939393939403</v>
      </c>
      <c r="O1051" s="73">
        <v>0.9</v>
      </c>
      <c r="P1051" s="71">
        <v>0.96267942583732102</v>
      </c>
      <c r="Q1051" s="71">
        <v>0.95824411134903598</v>
      </c>
      <c r="R1051" s="71">
        <v>0.93380358111774298</v>
      </c>
      <c r="S1051" s="71">
        <v>0.93994024930462505</v>
      </c>
      <c r="T1051" s="73">
        <v>0.9</v>
      </c>
      <c r="U1051" s="71">
        <v>0.92344497607655496</v>
      </c>
      <c r="V1051" s="71">
        <v>0.91809421841541805</v>
      </c>
      <c r="W1051" s="71">
        <v>0.87357569180683703</v>
      </c>
      <c r="X1051" s="71">
        <v>0.886370660348202</v>
      </c>
      <c r="Y1051" s="73">
        <v>0.92</v>
      </c>
      <c r="Z1051" s="73" t="s">
        <v>1710</v>
      </c>
      <c r="AA1051" s="73" t="s">
        <v>1710</v>
      </c>
      <c r="AB1051" s="73" t="s">
        <v>1710</v>
      </c>
      <c r="AC1051" s="73" t="s">
        <v>1710</v>
      </c>
      <c r="AD1051" s="73">
        <v>0.92</v>
      </c>
      <c r="AE1051" s="71">
        <v>0.97445972495088395</v>
      </c>
      <c r="AF1051" s="71">
        <v>0.92592592592592604</v>
      </c>
      <c r="AG1051" s="71">
        <v>0.987341772151899</v>
      </c>
      <c r="AH1051" s="71">
        <v>0.97155011964902904</v>
      </c>
      <c r="AI1051" s="73">
        <v>0.92</v>
      </c>
      <c r="AJ1051" s="71">
        <v>0.95119617224880404</v>
      </c>
      <c r="AK1051" s="71">
        <v>0.960385438972163</v>
      </c>
      <c r="AL1051" s="71">
        <v>0.90558871405317398</v>
      </c>
      <c r="AM1051" s="71">
        <v>0.93587102091274299</v>
      </c>
      <c r="AN1051" s="70">
        <v>0.99</v>
      </c>
      <c r="AO1051" s="75">
        <v>1</v>
      </c>
      <c r="AP1051" s="75">
        <v>1</v>
      </c>
      <c r="AQ1051" s="75">
        <v>1</v>
      </c>
      <c r="AR1051" s="75">
        <v>1</v>
      </c>
      <c r="AS1051" s="95">
        <v>6.5641848892985799E-2</v>
      </c>
      <c r="AT1051" s="79">
        <v>0</v>
      </c>
      <c r="AU1051" s="79">
        <v>0</v>
      </c>
      <c r="AV1051" s="79">
        <v>0</v>
      </c>
      <c r="AW1051" s="79">
        <v>5.6603773584905703E-2</v>
      </c>
      <c r="AX1051" s="56"/>
      <c r="AY1051" s="54"/>
    </row>
    <row r="1052" spans="1:51" ht="15">
      <c r="A1052" s="53"/>
      <c r="B1052" s="56"/>
      <c r="C1052" s="114" t="s">
        <v>921</v>
      </c>
      <c r="D1052" s="233" t="s">
        <v>1757</v>
      </c>
      <c r="E1052" s="68" t="s">
        <v>922</v>
      </c>
      <c r="F1052" s="119" t="s">
        <v>1075</v>
      </c>
      <c r="G1052" s="120" t="s">
        <v>1075</v>
      </c>
      <c r="H1052" s="120" t="s">
        <v>1075</v>
      </c>
      <c r="I1052" s="120" t="s">
        <v>1075</v>
      </c>
      <c r="J1052" s="70">
        <v>0.9</v>
      </c>
      <c r="K1052" s="71">
        <v>1</v>
      </c>
      <c r="L1052" s="71">
        <v>1</v>
      </c>
      <c r="M1052" s="72">
        <v>1</v>
      </c>
      <c r="N1052" s="71">
        <v>0.98728813559322004</v>
      </c>
      <c r="O1052" s="73">
        <v>0.9</v>
      </c>
      <c r="P1052" s="71">
        <v>0.95737704918032795</v>
      </c>
      <c r="Q1052" s="71">
        <v>0.93352601156069404</v>
      </c>
      <c r="R1052" s="71">
        <v>0.935133630289532</v>
      </c>
      <c r="S1052" s="71">
        <v>0.95210418094585303</v>
      </c>
      <c r="T1052" s="73">
        <v>0.9</v>
      </c>
      <c r="U1052" s="71">
        <v>0.89039812646369998</v>
      </c>
      <c r="V1052" s="71">
        <v>0.88930635838150296</v>
      </c>
      <c r="W1052" s="71">
        <v>0.88891982182628104</v>
      </c>
      <c r="X1052" s="71">
        <v>0.88710075394105503</v>
      </c>
      <c r="Y1052" s="73">
        <v>0.92</v>
      </c>
      <c r="Z1052" s="73" t="s">
        <v>1710</v>
      </c>
      <c r="AA1052" s="73" t="s">
        <v>1710</v>
      </c>
      <c r="AB1052" s="73" t="s">
        <v>1710</v>
      </c>
      <c r="AC1052" s="73">
        <v>0</v>
      </c>
      <c r="AD1052" s="73">
        <v>0.92</v>
      </c>
      <c r="AE1052" s="71">
        <v>0.99938442597722399</v>
      </c>
      <c r="AF1052" s="71">
        <v>1</v>
      </c>
      <c r="AG1052" s="71">
        <v>0.99894542578433998</v>
      </c>
      <c r="AH1052" s="71">
        <v>0.96324423540208803</v>
      </c>
      <c r="AI1052" s="73">
        <v>0.92</v>
      </c>
      <c r="AJ1052" s="71">
        <v>0.96956928838951295</v>
      </c>
      <c r="AK1052" s="71">
        <v>0.97341040462427697</v>
      </c>
      <c r="AL1052" s="71">
        <v>0.97577951002227203</v>
      </c>
      <c r="AM1052" s="71">
        <v>0.975300858027906</v>
      </c>
      <c r="AN1052" s="70">
        <v>0.99</v>
      </c>
      <c r="AO1052" s="75">
        <v>1</v>
      </c>
      <c r="AP1052" s="75">
        <v>1</v>
      </c>
      <c r="AQ1052" s="75">
        <v>1</v>
      </c>
      <c r="AR1052" s="75">
        <v>1</v>
      </c>
      <c r="AS1052" s="95">
        <v>6.5641848892985799E-2</v>
      </c>
      <c r="AT1052" s="79">
        <v>0</v>
      </c>
      <c r="AU1052" s="79">
        <v>0</v>
      </c>
      <c r="AV1052" s="79">
        <v>0</v>
      </c>
      <c r="AW1052" s="79">
        <v>3.7499999999999999E-2</v>
      </c>
      <c r="AX1052" s="56"/>
      <c r="AY1052" s="54"/>
    </row>
    <row r="1053" spans="1:51" ht="15">
      <c r="A1053" s="53"/>
      <c r="B1053" s="56"/>
      <c r="C1053" s="114" t="s">
        <v>921</v>
      </c>
      <c r="D1053" s="233" t="s">
        <v>1757</v>
      </c>
      <c r="E1053" s="68" t="s">
        <v>922</v>
      </c>
      <c r="F1053" s="117" t="s">
        <v>1076</v>
      </c>
      <c r="G1053" s="118" t="s">
        <v>1076</v>
      </c>
      <c r="H1053" s="118" t="s">
        <v>1076</v>
      </c>
      <c r="I1053" s="118" t="s">
        <v>1076</v>
      </c>
      <c r="J1053" s="70">
        <v>0.9</v>
      </c>
      <c r="K1053" s="71">
        <v>0.86764705882352899</v>
      </c>
      <c r="L1053" s="71">
        <v>0.89855072463768104</v>
      </c>
      <c r="M1053" s="72">
        <v>0.81538461538461504</v>
      </c>
      <c r="N1053" s="71">
        <v>0.84531886024423297</v>
      </c>
      <c r="O1053" s="73">
        <v>0.9</v>
      </c>
      <c r="P1053" s="71">
        <v>0.91389312977099202</v>
      </c>
      <c r="Q1053" s="71">
        <v>0.89411764705882402</v>
      </c>
      <c r="R1053" s="71">
        <v>0.90643393545768203</v>
      </c>
      <c r="S1053" s="71">
        <v>0.92957346308200495</v>
      </c>
      <c r="T1053" s="73">
        <v>0.9</v>
      </c>
      <c r="U1053" s="71">
        <v>0.88610687022900803</v>
      </c>
      <c r="V1053" s="71">
        <v>0.85584092792046396</v>
      </c>
      <c r="W1053" s="71">
        <v>0.87213314390095398</v>
      </c>
      <c r="X1053" s="71">
        <v>0.86964165216464795</v>
      </c>
      <c r="Y1053" s="73">
        <v>0.92</v>
      </c>
      <c r="Z1053" s="73" t="s">
        <v>1710</v>
      </c>
      <c r="AA1053" s="73" t="s">
        <v>1710</v>
      </c>
      <c r="AB1053" s="73" t="s">
        <v>1710</v>
      </c>
      <c r="AC1053" s="73">
        <v>1</v>
      </c>
      <c r="AD1053" s="73">
        <v>0.92</v>
      </c>
      <c r="AE1053" s="71">
        <v>0.97724039829303</v>
      </c>
      <c r="AF1053" s="71">
        <v>0.95054945054945095</v>
      </c>
      <c r="AG1053" s="71">
        <v>0.96452702702702697</v>
      </c>
      <c r="AH1053" s="71">
        <v>0.96895806312148702</v>
      </c>
      <c r="AI1053" s="73">
        <v>0.92</v>
      </c>
      <c r="AJ1053" s="71">
        <v>0.93374045801526695</v>
      </c>
      <c r="AK1053" s="71">
        <v>0.92841756420878196</v>
      </c>
      <c r="AL1053" s="71">
        <v>0.92997767404099896</v>
      </c>
      <c r="AM1053" s="71">
        <v>0.94253955288811597</v>
      </c>
      <c r="AN1053" s="70">
        <v>0.99</v>
      </c>
      <c r="AO1053" s="75">
        <v>1</v>
      </c>
      <c r="AP1053" s="75">
        <v>1</v>
      </c>
      <c r="AQ1053" s="75">
        <v>1</v>
      </c>
      <c r="AR1053" s="75">
        <v>1</v>
      </c>
      <c r="AS1053" s="95">
        <v>6.5641848892985799E-2</v>
      </c>
      <c r="AT1053" s="79">
        <v>0.17647058823529399</v>
      </c>
      <c r="AU1053" s="79">
        <v>0</v>
      </c>
      <c r="AV1053" s="79">
        <v>4.3478260869565202E-2</v>
      </c>
      <c r="AW1053" s="79">
        <v>3.6630036630036597E-2</v>
      </c>
      <c r="AX1053" s="56"/>
      <c r="AY1053" s="54"/>
    </row>
    <row r="1054" spans="1:51" ht="15">
      <c r="A1054" s="53"/>
      <c r="B1054" s="56"/>
      <c r="C1054" s="114" t="s">
        <v>921</v>
      </c>
      <c r="D1054" s="233" t="s">
        <v>1757</v>
      </c>
      <c r="E1054" s="68" t="s">
        <v>922</v>
      </c>
      <c r="F1054" s="117" t="s">
        <v>1077</v>
      </c>
      <c r="G1054" s="118" t="s">
        <v>1077</v>
      </c>
      <c r="H1054" s="118" t="s">
        <v>1077</v>
      </c>
      <c r="I1054" s="118" t="s">
        <v>1077</v>
      </c>
      <c r="J1054" s="70">
        <v>0.9</v>
      </c>
      <c r="K1054" s="71">
        <v>1</v>
      </c>
      <c r="L1054" s="71">
        <v>1</v>
      </c>
      <c r="M1054" s="72">
        <v>0.97777777777777797</v>
      </c>
      <c r="N1054" s="71">
        <v>0.98739495798319299</v>
      </c>
      <c r="O1054" s="73">
        <v>0.9</v>
      </c>
      <c r="P1054" s="71">
        <v>0.94539657233957797</v>
      </c>
      <c r="Q1054" s="71">
        <v>0.93790372994373805</v>
      </c>
      <c r="R1054" s="71">
        <v>0.94955129759883605</v>
      </c>
      <c r="S1054" s="71">
        <v>0.95496671164097202</v>
      </c>
      <c r="T1054" s="73">
        <v>0.9</v>
      </c>
      <c r="U1054" s="71">
        <v>0.90793144679155002</v>
      </c>
      <c r="V1054" s="71">
        <v>0.91498228797666203</v>
      </c>
      <c r="W1054" s="71">
        <v>0.92529711375212198</v>
      </c>
      <c r="X1054" s="71">
        <v>0.927451283979562</v>
      </c>
      <c r="Y1054" s="73">
        <v>0.92</v>
      </c>
      <c r="Z1054" s="73" t="s">
        <v>1710</v>
      </c>
      <c r="AA1054" s="73" t="s">
        <v>1710</v>
      </c>
      <c r="AB1054" s="73" t="s">
        <v>1710</v>
      </c>
      <c r="AC1054" s="73" t="s">
        <v>1710</v>
      </c>
      <c r="AD1054" s="73">
        <v>0.92</v>
      </c>
      <c r="AE1054" s="71">
        <v>1</v>
      </c>
      <c r="AF1054" s="71">
        <v>0.99056603773584895</v>
      </c>
      <c r="AG1054" s="71">
        <v>0.99826086956521698</v>
      </c>
      <c r="AH1054" s="71">
        <v>0.99584990489365399</v>
      </c>
      <c r="AI1054" s="73">
        <v>0.92</v>
      </c>
      <c r="AJ1054" s="71">
        <v>0.93343961737744097</v>
      </c>
      <c r="AK1054" s="71">
        <v>0.95165659512398404</v>
      </c>
      <c r="AL1054" s="71">
        <v>0.94833858840649998</v>
      </c>
      <c r="AM1054" s="71">
        <v>0.95554474277878498</v>
      </c>
      <c r="AN1054" s="70">
        <v>0.99</v>
      </c>
      <c r="AO1054" s="75">
        <v>1</v>
      </c>
      <c r="AP1054" s="75">
        <v>1</v>
      </c>
      <c r="AQ1054" s="75">
        <v>1</v>
      </c>
      <c r="AR1054" s="75">
        <v>1</v>
      </c>
      <c r="AS1054" s="95">
        <v>6.5641848892985799E-2</v>
      </c>
      <c r="AT1054" s="79">
        <v>0</v>
      </c>
      <c r="AU1054" s="79">
        <v>0</v>
      </c>
      <c r="AV1054" s="79">
        <v>5.8823529411764698E-2</v>
      </c>
      <c r="AW1054" s="79">
        <v>4.4843049327354299E-2</v>
      </c>
      <c r="AX1054" s="56"/>
      <c r="AY1054" s="54"/>
    </row>
    <row r="1055" spans="1:51" ht="15">
      <c r="A1055" s="53"/>
      <c r="B1055" s="56"/>
      <c r="C1055" s="114" t="s">
        <v>921</v>
      </c>
      <c r="D1055" s="233" t="s">
        <v>1757</v>
      </c>
      <c r="E1055" s="68" t="s">
        <v>922</v>
      </c>
      <c r="F1055" s="117" t="s">
        <v>1078</v>
      </c>
      <c r="G1055" s="118" t="s">
        <v>1078</v>
      </c>
      <c r="H1055" s="118" t="s">
        <v>1078</v>
      </c>
      <c r="I1055" s="118" t="s">
        <v>1078</v>
      </c>
      <c r="J1055" s="70">
        <v>0.9</v>
      </c>
      <c r="K1055" s="71">
        <v>0.96428571428571397</v>
      </c>
      <c r="L1055" s="71">
        <v>0.96969696969696995</v>
      </c>
      <c r="M1055" s="72">
        <v>0.89655172413793105</v>
      </c>
      <c r="N1055" s="71">
        <v>0.91964285714285698</v>
      </c>
      <c r="O1055" s="73">
        <v>0.9</v>
      </c>
      <c r="P1055" s="71">
        <v>0.93604263824117295</v>
      </c>
      <c r="Q1055" s="71">
        <v>0.96703296703296704</v>
      </c>
      <c r="R1055" s="71">
        <v>0.95482456140350902</v>
      </c>
      <c r="S1055" s="71">
        <v>0.96966580976863703</v>
      </c>
      <c r="T1055" s="73">
        <v>0.9</v>
      </c>
      <c r="U1055" s="71">
        <v>0.90939373750832797</v>
      </c>
      <c r="V1055" s="71">
        <v>0.87765567765567798</v>
      </c>
      <c r="W1055" s="71">
        <v>0.88201754385964903</v>
      </c>
      <c r="X1055" s="71">
        <v>0.87783270713862005</v>
      </c>
      <c r="Y1055" s="73">
        <v>0.92</v>
      </c>
      <c r="Z1055" s="73" t="s">
        <v>1710</v>
      </c>
      <c r="AA1055" s="73" t="s">
        <v>1710</v>
      </c>
      <c r="AB1055" s="73" t="s">
        <v>1710</v>
      </c>
      <c r="AC1055" s="73" t="s">
        <v>1710</v>
      </c>
      <c r="AD1055" s="73">
        <v>0.92</v>
      </c>
      <c r="AE1055" s="71">
        <v>0.99424184261036497</v>
      </c>
      <c r="AF1055" s="71">
        <v>1</v>
      </c>
      <c r="AG1055" s="71">
        <v>0.99734042553191504</v>
      </c>
      <c r="AH1055" s="71">
        <v>0.99590629974982903</v>
      </c>
      <c r="AI1055" s="73">
        <v>0.92</v>
      </c>
      <c r="AJ1055" s="71">
        <v>0.94670219853431004</v>
      </c>
      <c r="AK1055" s="71">
        <v>0.96336996336996294</v>
      </c>
      <c r="AL1055" s="71">
        <v>0.95396755808855804</v>
      </c>
      <c r="AM1055" s="71">
        <v>0.96061061456932695</v>
      </c>
      <c r="AN1055" s="70">
        <v>0.99</v>
      </c>
      <c r="AO1055" s="75">
        <v>1</v>
      </c>
      <c r="AP1055" s="75">
        <v>1</v>
      </c>
      <c r="AQ1055" s="75">
        <v>1</v>
      </c>
      <c r="AR1055" s="75">
        <v>1</v>
      </c>
      <c r="AS1055" s="95">
        <v>6.5641848892985799E-2</v>
      </c>
      <c r="AT1055" s="79">
        <v>0</v>
      </c>
      <c r="AU1055" s="79">
        <v>0</v>
      </c>
      <c r="AV1055" s="79">
        <v>0</v>
      </c>
      <c r="AW1055" s="79">
        <v>4.92957746478873E-2</v>
      </c>
      <c r="AX1055" s="56"/>
      <c r="AY1055" s="54"/>
    </row>
    <row r="1056" spans="1:51">
      <c r="A1056" s="53"/>
      <c r="B1056" s="56"/>
      <c r="C1056" s="92"/>
      <c r="D1056" s="230"/>
      <c r="E1056" s="93"/>
      <c r="F1056" s="93"/>
      <c r="G1056" s="93"/>
      <c r="H1056" s="93"/>
      <c r="I1056" s="93"/>
      <c r="J1056" s="84"/>
      <c r="K1056" s="127"/>
      <c r="L1056" s="127"/>
      <c r="M1056" s="127"/>
      <c r="N1056" s="127"/>
      <c r="O1056" s="88"/>
      <c r="P1056" s="85"/>
      <c r="Q1056" s="85"/>
      <c r="R1056" s="71"/>
      <c r="S1056" s="85"/>
      <c r="T1056" s="88"/>
      <c r="U1056" s="85"/>
      <c r="V1056" s="85"/>
      <c r="W1056" s="71"/>
      <c r="X1056" s="85"/>
      <c r="Y1056" s="88"/>
      <c r="Z1056" s="88"/>
      <c r="AA1056" s="88"/>
      <c r="AB1056" s="73"/>
      <c r="AC1056" s="88"/>
      <c r="AD1056" s="85"/>
      <c r="AE1056" s="85"/>
      <c r="AF1056" s="85"/>
      <c r="AG1056" s="71"/>
      <c r="AH1056" s="85"/>
      <c r="AI1056" s="85"/>
      <c r="AJ1056" s="85"/>
      <c r="AK1056" s="85"/>
      <c r="AL1056" s="71"/>
      <c r="AM1056" s="85"/>
      <c r="AN1056" s="84"/>
      <c r="AO1056" s="84"/>
      <c r="AP1056" s="84"/>
      <c r="AQ1056" s="75"/>
      <c r="AR1056" s="84"/>
      <c r="AS1056" s="85"/>
      <c r="AT1056" s="84"/>
      <c r="AU1056" s="84"/>
      <c r="AV1056" s="79"/>
      <c r="AW1056" s="84"/>
      <c r="AX1056" s="56"/>
      <c r="AY1056" s="54"/>
    </row>
    <row r="1057" spans="1:51">
      <c r="A1057" s="53"/>
      <c r="B1057" s="56"/>
      <c r="C1057" s="90" t="s">
        <v>1079</v>
      </c>
      <c r="D1057" s="230" t="s">
        <v>1757</v>
      </c>
      <c r="E1057" s="68" t="s">
        <v>1080</v>
      </c>
      <c r="F1057" s="128" t="s">
        <v>1081</v>
      </c>
      <c r="G1057" s="128" t="s">
        <v>1081</v>
      </c>
      <c r="H1057" s="128" t="s">
        <v>1081</v>
      </c>
      <c r="I1057" s="128" t="s">
        <v>1081</v>
      </c>
      <c r="J1057" s="70">
        <v>0.9</v>
      </c>
      <c r="K1057" s="71">
        <v>0.96153846153846201</v>
      </c>
      <c r="L1057" s="71">
        <v>1</v>
      </c>
      <c r="M1057" s="72">
        <v>0.96153846153846201</v>
      </c>
      <c r="N1057" s="71">
        <v>0.94444444444444398</v>
      </c>
      <c r="O1057" s="73">
        <v>0.9</v>
      </c>
      <c r="P1057" s="71">
        <v>0.98664571877454799</v>
      </c>
      <c r="Q1057" s="71">
        <v>0.98927875243664698</v>
      </c>
      <c r="R1057" s="71">
        <v>0.98062243100410995</v>
      </c>
      <c r="S1057" s="71">
        <v>0.97230922197365199</v>
      </c>
      <c r="T1057" s="73">
        <v>0.9</v>
      </c>
      <c r="U1057" s="71">
        <v>0.93558523173605701</v>
      </c>
      <c r="V1057" s="71">
        <v>0.92884990253411304</v>
      </c>
      <c r="W1057" s="71">
        <v>0.93834409864944202</v>
      </c>
      <c r="X1057" s="71">
        <v>0.92811334824757596</v>
      </c>
      <c r="Y1057" s="73">
        <v>0.92</v>
      </c>
      <c r="Z1057" s="73">
        <v>0.95341614906832295</v>
      </c>
      <c r="AA1057" s="73">
        <v>0.94909502262443401</v>
      </c>
      <c r="AB1057" s="73">
        <v>0.95058139534883701</v>
      </c>
      <c r="AC1057" s="73">
        <v>0.95550957061562303</v>
      </c>
      <c r="AD1057" s="73">
        <v>0.92</v>
      </c>
      <c r="AE1057" s="71">
        <v>0.99784946236559102</v>
      </c>
      <c r="AF1057" s="71">
        <v>0.99850074962518698</v>
      </c>
      <c r="AG1057" s="71">
        <v>1</v>
      </c>
      <c r="AH1057" s="71">
        <v>0.99501363459291003</v>
      </c>
      <c r="AI1057" s="73">
        <v>0.92</v>
      </c>
      <c r="AJ1057" s="71">
        <v>0.97141581062974502</v>
      </c>
      <c r="AK1057" s="71">
        <v>0.97275204359672995</v>
      </c>
      <c r="AL1057" s="71">
        <v>0.96636197440585003</v>
      </c>
      <c r="AM1057" s="71">
        <v>0.97196909979504997</v>
      </c>
      <c r="AN1057" s="70">
        <v>0.99</v>
      </c>
      <c r="AO1057" s="75">
        <v>1</v>
      </c>
      <c r="AP1057" s="75">
        <v>1</v>
      </c>
      <c r="AQ1057" s="75">
        <v>1</v>
      </c>
      <c r="AR1057" s="75">
        <v>1</v>
      </c>
      <c r="AS1057" s="95">
        <v>7.2186152540827803E-2</v>
      </c>
      <c r="AT1057" s="79">
        <v>0.2</v>
      </c>
      <c r="AU1057" s="79">
        <v>0.25</v>
      </c>
      <c r="AV1057" s="79">
        <v>0</v>
      </c>
      <c r="AW1057" s="79">
        <v>0.103896103896104</v>
      </c>
      <c r="AX1057" s="56"/>
      <c r="AY1057" s="54"/>
    </row>
    <row r="1058" spans="1:51">
      <c r="A1058" s="53"/>
      <c r="B1058" s="56"/>
      <c r="C1058" s="90" t="s">
        <v>1079</v>
      </c>
      <c r="D1058" s="230" t="s">
        <v>1757</v>
      </c>
      <c r="E1058" s="68" t="s">
        <v>1080</v>
      </c>
      <c r="F1058" s="128" t="s">
        <v>1082</v>
      </c>
      <c r="G1058" s="128" t="s">
        <v>1082</v>
      </c>
      <c r="H1058" s="128" t="s">
        <v>1082</v>
      </c>
      <c r="I1058" s="128" t="s">
        <v>1082</v>
      </c>
      <c r="J1058" s="70">
        <v>0.9</v>
      </c>
      <c r="K1058" s="71">
        <v>0.89473684210526305</v>
      </c>
      <c r="L1058" s="71">
        <v>0.95652173913043503</v>
      </c>
      <c r="M1058" s="72">
        <v>0.91304347826086996</v>
      </c>
      <c r="N1058" s="71">
        <v>0.93574297188754996</v>
      </c>
      <c r="O1058" s="73">
        <v>0.9</v>
      </c>
      <c r="P1058" s="71">
        <v>0.984615384615385</v>
      </c>
      <c r="Q1058" s="71">
        <v>0.990789473684211</v>
      </c>
      <c r="R1058" s="71">
        <v>0.99021526418786698</v>
      </c>
      <c r="S1058" s="71">
        <v>0.98128396055544398</v>
      </c>
      <c r="T1058" s="73">
        <v>0.9</v>
      </c>
      <c r="U1058" s="71">
        <v>0.86848635235731997</v>
      </c>
      <c r="V1058" s="71">
        <v>0.90953947368421095</v>
      </c>
      <c r="W1058" s="71">
        <v>0.91389432485322897</v>
      </c>
      <c r="X1058" s="71">
        <v>0.89813510431341004</v>
      </c>
      <c r="Y1058" s="73">
        <v>0.92</v>
      </c>
      <c r="Z1058" s="73">
        <v>0.92687747035573098</v>
      </c>
      <c r="AA1058" s="73">
        <v>0.960030165912519</v>
      </c>
      <c r="AB1058" s="73">
        <v>0.95936639118457301</v>
      </c>
      <c r="AC1058" s="73">
        <v>0.94449313467718399</v>
      </c>
      <c r="AD1058" s="73">
        <v>0.92</v>
      </c>
      <c r="AE1058" s="71">
        <v>0.99903100775193798</v>
      </c>
      <c r="AF1058" s="71">
        <v>0.99657924743443604</v>
      </c>
      <c r="AG1058" s="71">
        <v>0.88823529411764701</v>
      </c>
      <c r="AH1058" s="71">
        <v>0.87620520283791203</v>
      </c>
      <c r="AI1058" s="73">
        <v>0.92</v>
      </c>
      <c r="AJ1058" s="71">
        <v>0.95131616190206603</v>
      </c>
      <c r="AK1058" s="71">
        <v>0.97457627118644097</v>
      </c>
      <c r="AL1058" s="71">
        <v>0.97529323683553804</v>
      </c>
      <c r="AM1058" s="71">
        <v>0.96494704766775297</v>
      </c>
      <c r="AN1058" s="70">
        <v>0.99</v>
      </c>
      <c r="AO1058" s="75">
        <v>1</v>
      </c>
      <c r="AP1058" s="75">
        <v>1</v>
      </c>
      <c r="AQ1058" s="75">
        <v>1</v>
      </c>
      <c r="AR1058" s="75">
        <v>1</v>
      </c>
      <c r="AS1058" s="95">
        <v>7.2186152540827803E-2</v>
      </c>
      <c r="AT1058" s="79">
        <v>0</v>
      </c>
      <c r="AU1058" s="79">
        <v>-0.1</v>
      </c>
      <c r="AV1058" s="79">
        <v>0</v>
      </c>
      <c r="AW1058" s="79">
        <v>3.1496062992125998E-2</v>
      </c>
      <c r="AX1058" s="56"/>
      <c r="AY1058" s="54"/>
    </row>
    <row r="1059" spans="1:51">
      <c r="A1059" s="53"/>
      <c r="B1059" s="56"/>
      <c r="C1059" s="90" t="s">
        <v>1079</v>
      </c>
      <c r="D1059" s="230" t="s">
        <v>1757</v>
      </c>
      <c r="E1059" s="68" t="s">
        <v>1080</v>
      </c>
      <c r="F1059" s="128" t="s">
        <v>1083</v>
      </c>
      <c r="G1059" s="128" t="s">
        <v>1083</v>
      </c>
      <c r="H1059" s="128" t="s">
        <v>1083</v>
      </c>
      <c r="I1059" s="128" t="s">
        <v>1083</v>
      </c>
      <c r="J1059" s="70">
        <v>0.9</v>
      </c>
      <c r="K1059" s="71">
        <v>0.80952380952380998</v>
      </c>
      <c r="L1059" s="71">
        <v>0.93023255813953498</v>
      </c>
      <c r="M1059" s="72">
        <v>0.75</v>
      </c>
      <c r="N1059" s="71">
        <v>0.82806324110671903</v>
      </c>
      <c r="O1059" s="73">
        <v>0.9</v>
      </c>
      <c r="P1059" s="71">
        <v>0.87901990811638597</v>
      </c>
      <c r="Q1059" s="71">
        <v>0.90139860139860095</v>
      </c>
      <c r="R1059" s="71">
        <v>0.97338877338877305</v>
      </c>
      <c r="S1059" s="71">
        <v>0.94843049327354301</v>
      </c>
      <c r="T1059" s="73">
        <v>0.9</v>
      </c>
      <c r="U1059" s="71">
        <v>0.94333843797856098</v>
      </c>
      <c r="V1059" s="71">
        <v>0.93671328671328702</v>
      </c>
      <c r="W1059" s="71">
        <v>0.94760914760914805</v>
      </c>
      <c r="X1059" s="71">
        <v>0.94323439390704</v>
      </c>
      <c r="Y1059" s="73">
        <v>0.92</v>
      </c>
      <c r="Z1059" s="73">
        <v>0.9375</v>
      </c>
      <c r="AA1059" s="73">
        <v>0.95522388059701502</v>
      </c>
      <c r="AB1059" s="73">
        <v>0.95633187772925798</v>
      </c>
      <c r="AC1059" s="73">
        <v>0.95665219611848795</v>
      </c>
      <c r="AD1059" s="73">
        <v>0.92</v>
      </c>
      <c r="AE1059" s="71">
        <v>0.99912280701754397</v>
      </c>
      <c r="AF1059" s="71">
        <v>0.95102040816326505</v>
      </c>
      <c r="AG1059" s="71">
        <v>0.98930180180180205</v>
      </c>
      <c r="AH1059" s="71">
        <v>0.972578217177265</v>
      </c>
      <c r="AI1059" s="73">
        <v>0.92</v>
      </c>
      <c r="AJ1059" s="71">
        <v>0.96257986005476104</v>
      </c>
      <c r="AK1059" s="71">
        <v>0.97261904761904805</v>
      </c>
      <c r="AL1059" s="71">
        <v>0.97274411219899404</v>
      </c>
      <c r="AM1059" s="71">
        <v>0.97312921284131204</v>
      </c>
      <c r="AN1059" s="70">
        <v>0.99</v>
      </c>
      <c r="AO1059" s="75">
        <v>1</v>
      </c>
      <c r="AP1059" s="75">
        <v>1</v>
      </c>
      <c r="AQ1059" s="75">
        <v>1</v>
      </c>
      <c r="AR1059" s="75">
        <v>1</v>
      </c>
      <c r="AS1059" s="95">
        <v>7.2186152540827803E-2</v>
      </c>
      <c r="AT1059" s="79">
        <v>0</v>
      </c>
      <c r="AU1059" s="79">
        <v>0</v>
      </c>
      <c r="AV1059" s="79">
        <v>0</v>
      </c>
      <c r="AW1059" s="79">
        <v>1.6666666666666701E-2</v>
      </c>
      <c r="AX1059" s="56"/>
      <c r="AY1059" s="54"/>
    </row>
    <row r="1060" spans="1:51">
      <c r="A1060" s="53"/>
      <c r="B1060" s="56"/>
      <c r="C1060" s="90" t="s">
        <v>1079</v>
      </c>
      <c r="D1060" s="230" t="s">
        <v>1757</v>
      </c>
      <c r="E1060" s="68" t="s">
        <v>1080</v>
      </c>
      <c r="F1060" s="128" t="s">
        <v>1084</v>
      </c>
      <c r="G1060" s="128" t="s">
        <v>1084</v>
      </c>
      <c r="H1060" s="128" t="s">
        <v>1084</v>
      </c>
      <c r="I1060" s="128" t="s">
        <v>1084</v>
      </c>
      <c r="J1060" s="70">
        <v>0.9</v>
      </c>
      <c r="K1060" s="71">
        <v>0.86111111111111105</v>
      </c>
      <c r="L1060" s="71">
        <v>0.93181818181818199</v>
      </c>
      <c r="M1060" s="72">
        <v>0.92682926829268297</v>
      </c>
      <c r="N1060" s="71">
        <v>0.92537313432835799</v>
      </c>
      <c r="O1060" s="73">
        <v>0.9</v>
      </c>
      <c r="P1060" s="71">
        <v>0.96531791907514497</v>
      </c>
      <c r="Q1060" s="71">
        <v>0.96252644303414903</v>
      </c>
      <c r="R1060" s="71">
        <v>0.96966413867822299</v>
      </c>
      <c r="S1060" s="71">
        <v>0.96412623702630895</v>
      </c>
      <c r="T1060" s="73">
        <v>0.9</v>
      </c>
      <c r="U1060" s="71">
        <v>0.90929301911960903</v>
      </c>
      <c r="V1060" s="71">
        <v>0.93925657298277399</v>
      </c>
      <c r="W1060" s="71">
        <v>0.93210545323221405</v>
      </c>
      <c r="X1060" s="71">
        <v>0.93772628530050695</v>
      </c>
      <c r="Y1060" s="73">
        <v>0.92</v>
      </c>
      <c r="Z1060" s="73">
        <v>0.94546532305868403</v>
      </c>
      <c r="AA1060" s="73">
        <v>0.95931341385886804</v>
      </c>
      <c r="AB1060" s="73">
        <v>0.95886267392619495</v>
      </c>
      <c r="AC1060" s="73">
        <v>0.95540685224839395</v>
      </c>
      <c r="AD1060" s="73">
        <v>0.92</v>
      </c>
      <c r="AE1060" s="71">
        <v>0.99454697986577201</v>
      </c>
      <c r="AF1060" s="71">
        <v>0.98582230623818501</v>
      </c>
      <c r="AG1060" s="71">
        <v>0.98154657293497405</v>
      </c>
      <c r="AH1060" s="71">
        <v>0.98902322621699001</v>
      </c>
      <c r="AI1060" s="73">
        <v>0.92</v>
      </c>
      <c r="AJ1060" s="71">
        <v>0.95832274459974598</v>
      </c>
      <c r="AK1060" s="71">
        <v>0.97234739860712804</v>
      </c>
      <c r="AL1060" s="71">
        <v>0.97038209360162797</v>
      </c>
      <c r="AM1060" s="71">
        <v>0.97322065945090797</v>
      </c>
      <c r="AN1060" s="70">
        <v>0.99</v>
      </c>
      <c r="AO1060" s="75">
        <v>1</v>
      </c>
      <c r="AP1060" s="75">
        <v>1</v>
      </c>
      <c r="AQ1060" s="75">
        <v>1</v>
      </c>
      <c r="AR1060" s="75">
        <v>1</v>
      </c>
      <c r="AS1060" s="95">
        <v>7.2186152540827803E-2</v>
      </c>
      <c r="AT1060" s="79">
        <v>0</v>
      </c>
      <c r="AU1060" s="79">
        <v>0</v>
      </c>
      <c r="AV1060" s="79">
        <v>0</v>
      </c>
      <c r="AW1060" s="79">
        <v>2.8901734104046201E-2</v>
      </c>
      <c r="AX1060" s="56"/>
      <c r="AY1060" s="54"/>
    </row>
    <row r="1061" spans="1:51">
      <c r="A1061" s="53"/>
      <c r="B1061" s="56"/>
      <c r="C1061" s="90" t="s">
        <v>1079</v>
      </c>
      <c r="D1061" s="230" t="s">
        <v>1757</v>
      </c>
      <c r="E1061" s="68" t="s">
        <v>1080</v>
      </c>
      <c r="F1061" s="128" t="s">
        <v>1085</v>
      </c>
      <c r="G1061" s="128" t="s">
        <v>1085</v>
      </c>
      <c r="H1061" s="128" t="s">
        <v>1085</v>
      </c>
      <c r="I1061" s="128" t="s">
        <v>1085</v>
      </c>
      <c r="J1061" s="70">
        <v>0.9</v>
      </c>
      <c r="K1061" s="71">
        <v>0.97619047619047605</v>
      </c>
      <c r="L1061" s="71">
        <v>1</v>
      </c>
      <c r="M1061" s="72">
        <v>0.97619047619047605</v>
      </c>
      <c r="N1061" s="71">
        <v>0.95381526104417702</v>
      </c>
      <c r="O1061" s="73">
        <v>0.9</v>
      </c>
      <c r="P1061" s="71">
        <v>0.91870202372644805</v>
      </c>
      <c r="Q1061" s="71">
        <v>0.97911294481691602</v>
      </c>
      <c r="R1061" s="71">
        <v>0.97723187537447598</v>
      </c>
      <c r="S1061" s="71">
        <v>0.97016730497883497</v>
      </c>
      <c r="T1061" s="73">
        <v>0.9</v>
      </c>
      <c r="U1061" s="71">
        <v>0.84403349616189804</v>
      </c>
      <c r="V1061" s="71">
        <v>0.89118102114492004</v>
      </c>
      <c r="W1061" s="71">
        <v>0.90623127621330102</v>
      </c>
      <c r="X1061" s="71">
        <v>0.91047671840354805</v>
      </c>
      <c r="Y1061" s="73">
        <v>0.92</v>
      </c>
      <c r="Z1061" s="73">
        <v>0.91315929675013296</v>
      </c>
      <c r="AA1061" s="73">
        <v>0.94164037854889604</v>
      </c>
      <c r="AB1061" s="73">
        <v>0.91477832512315305</v>
      </c>
      <c r="AC1061" s="73">
        <v>0.93737444318281105</v>
      </c>
      <c r="AD1061" s="73">
        <v>0.92</v>
      </c>
      <c r="AE1061" s="71">
        <v>0.97354497354497305</v>
      </c>
      <c r="AF1061" s="71">
        <v>0.99662162162162204</v>
      </c>
      <c r="AG1061" s="71">
        <v>0.95458937198067595</v>
      </c>
      <c r="AH1061" s="71">
        <v>0.97939560439560402</v>
      </c>
      <c r="AI1061" s="73">
        <v>0.92</v>
      </c>
      <c r="AJ1061" s="71">
        <v>0.93548387096774199</v>
      </c>
      <c r="AK1061" s="71">
        <v>0.96159169550172996</v>
      </c>
      <c r="AL1061" s="71">
        <v>0.94225037257824096</v>
      </c>
      <c r="AM1061" s="71">
        <v>0.95969584178661005</v>
      </c>
      <c r="AN1061" s="70">
        <v>0.99</v>
      </c>
      <c r="AO1061" s="75">
        <v>1</v>
      </c>
      <c r="AP1061" s="75">
        <v>1</v>
      </c>
      <c r="AQ1061" s="75">
        <v>1</v>
      </c>
      <c r="AR1061" s="75">
        <v>1</v>
      </c>
      <c r="AS1061" s="95">
        <v>7.2186152540827803E-2</v>
      </c>
      <c r="AT1061" s="79">
        <v>7.69230769230769E-2</v>
      </c>
      <c r="AU1061" s="79">
        <v>3.8461538461538498E-2</v>
      </c>
      <c r="AV1061" s="79">
        <v>0.10344827586206901</v>
      </c>
      <c r="AW1061" s="79">
        <v>2.68456375838926E-2</v>
      </c>
      <c r="AX1061" s="56"/>
      <c r="AY1061" s="54"/>
    </row>
    <row r="1062" spans="1:51">
      <c r="A1062" s="53"/>
      <c r="B1062" s="56"/>
      <c r="C1062" s="90" t="s">
        <v>1079</v>
      </c>
      <c r="D1062" s="230" t="s">
        <v>1757</v>
      </c>
      <c r="E1062" s="68" t="s">
        <v>1080</v>
      </c>
      <c r="F1062" s="128" t="s">
        <v>1086</v>
      </c>
      <c r="G1062" s="128" t="s">
        <v>1086</v>
      </c>
      <c r="H1062" s="128" t="s">
        <v>1086</v>
      </c>
      <c r="I1062" s="128" t="s">
        <v>1086</v>
      </c>
      <c r="J1062" s="70">
        <v>0.9</v>
      </c>
      <c r="K1062" s="71">
        <v>1</v>
      </c>
      <c r="L1062" s="71">
        <v>0.89473684210526305</v>
      </c>
      <c r="M1062" s="72">
        <v>1</v>
      </c>
      <c r="N1062" s="71">
        <v>0.97727272727272696</v>
      </c>
      <c r="O1062" s="73">
        <v>0.9</v>
      </c>
      <c r="P1062" s="71">
        <v>0.99112426035502998</v>
      </c>
      <c r="Q1062" s="71">
        <v>0.91799109980928195</v>
      </c>
      <c r="R1062" s="71">
        <v>0.98394160583941603</v>
      </c>
      <c r="S1062" s="71">
        <v>0.96606851549755302</v>
      </c>
      <c r="T1062" s="73">
        <v>0.9</v>
      </c>
      <c r="U1062" s="71">
        <v>0.95069033530572</v>
      </c>
      <c r="V1062" s="71">
        <v>0.92943420216147499</v>
      </c>
      <c r="W1062" s="71">
        <v>0.95474452554744504</v>
      </c>
      <c r="X1062" s="71">
        <v>0.94727569331158201</v>
      </c>
      <c r="Y1062" s="73">
        <v>0.92</v>
      </c>
      <c r="Z1062" s="73">
        <v>0.95990279465370598</v>
      </c>
      <c r="AA1062" s="73">
        <v>0.94767441860465096</v>
      </c>
      <c r="AB1062" s="73">
        <v>0.95833333333333304</v>
      </c>
      <c r="AC1062" s="73">
        <v>0.96085530037334499</v>
      </c>
      <c r="AD1062" s="73">
        <v>0.92</v>
      </c>
      <c r="AE1062" s="71">
        <v>1</v>
      </c>
      <c r="AF1062" s="71">
        <v>1</v>
      </c>
      <c r="AG1062" s="71">
        <v>0.99074074074074103</v>
      </c>
      <c r="AH1062" s="71">
        <v>0.97990892043932498</v>
      </c>
      <c r="AI1062" s="73">
        <v>0.92</v>
      </c>
      <c r="AJ1062" s="71">
        <v>0.97659227000544402</v>
      </c>
      <c r="AK1062" s="71">
        <v>0.97655904467050003</v>
      </c>
      <c r="AL1062" s="71">
        <v>0.97849954254345795</v>
      </c>
      <c r="AM1062" s="71">
        <v>0.97811064674970005</v>
      </c>
      <c r="AN1062" s="70">
        <v>0.99</v>
      </c>
      <c r="AO1062" s="75">
        <v>1</v>
      </c>
      <c r="AP1062" s="75">
        <v>1</v>
      </c>
      <c r="AQ1062" s="75">
        <v>1</v>
      </c>
      <c r="AR1062" s="75">
        <v>1</v>
      </c>
      <c r="AS1062" s="95">
        <v>7.2186152540827803E-2</v>
      </c>
      <c r="AT1062" s="79">
        <v>0</v>
      </c>
      <c r="AU1062" s="79">
        <v>0</v>
      </c>
      <c r="AV1062" s="79">
        <v>0</v>
      </c>
      <c r="AW1062" s="79">
        <v>2.32558139534884E-2</v>
      </c>
      <c r="AX1062" s="56"/>
      <c r="AY1062" s="54"/>
    </row>
    <row r="1063" spans="1:51">
      <c r="A1063" s="53"/>
      <c r="B1063" s="56"/>
      <c r="C1063" s="90" t="s">
        <v>1079</v>
      </c>
      <c r="D1063" s="230" t="s">
        <v>1757</v>
      </c>
      <c r="E1063" s="68" t="s">
        <v>1080</v>
      </c>
      <c r="F1063" s="128" t="s">
        <v>1087</v>
      </c>
      <c r="G1063" s="128" t="s">
        <v>1087</v>
      </c>
      <c r="H1063" s="128" t="s">
        <v>1087</v>
      </c>
      <c r="I1063" s="128" t="s">
        <v>1087</v>
      </c>
      <c r="J1063" s="70">
        <v>0.9</v>
      </c>
      <c r="K1063" s="71">
        <v>0.97222222222222199</v>
      </c>
      <c r="L1063" s="71">
        <v>0.90909090909090895</v>
      </c>
      <c r="M1063" s="72">
        <v>1</v>
      </c>
      <c r="N1063" s="71">
        <v>0.96025104602510503</v>
      </c>
      <c r="O1063" s="73">
        <v>0.9</v>
      </c>
      <c r="P1063" s="71">
        <v>0.96978851963746204</v>
      </c>
      <c r="Q1063" s="71">
        <v>0.98334010564811003</v>
      </c>
      <c r="R1063" s="71">
        <v>0.98599033816425097</v>
      </c>
      <c r="S1063" s="71">
        <v>0.94667164674634796</v>
      </c>
      <c r="T1063" s="73">
        <v>0.9</v>
      </c>
      <c r="U1063" s="71">
        <v>0.91359516616314196</v>
      </c>
      <c r="V1063" s="71">
        <v>0.92848435595286505</v>
      </c>
      <c r="W1063" s="71">
        <v>0.91159420289855098</v>
      </c>
      <c r="X1063" s="71">
        <v>0.90496347941567101</v>
      </c>
      <c r="Y1063" s="73">
        <v>0.92</v>
      </c>
      <c r="Z1063" s="73">
        <v>0.96054750402576505</v>
      </c>
      <c r="AA1063" s="73">
        <v>0.96698523023457905</v>
      </c>
      <c r="AB1063" s="73">
        <v>0.98491198658843204</v>
      </c>
      <c r="AC1063" s="73">
        <v>0.97623906705539398</v>
      </c>
      <c r="AD1063" s="73">
        <v>0.92</v>
      </c>
      <c r="AE1063" s="71">
        <v>0.93833333333333302</v>
      </c>
      <c r="AF1063" s="71">
        <v>0.95306859205776195</v>
      </c>
      <c r="AG1063" s="71">
        <v>0.99449035812672204</v>
      </c>
      <c r="AH1063" s="71">
        <v>0.95881421136003597</v>
      </c>
      <c r="AI1063" s="73">
        <v>0.92</v>
      </c>
      <c r="AJ1063" s="71">
        <v>0.97342078011736299</v>
      </c>
      <c r="AK1063" s="71">
        <v>0.980343300110742</v>
      </c>
      <c r="AL1063" s="71">
        <v>0.98774134232301602</v>
      </c>
      <c r="AM1063" s="71">
        <v>0.98433213758176796</v>
      </c>
      <c r="AN1063" s="70">
        <v>0.99</v>
      </c>
      <c r="AO1063" s="75">
        <v>1</v>
      </c>
      <c r="AP1063" s="75">
        <v>1</v>
      </c>
      <c r="AQ1063" s="75">
        <v>1</v>
      </c>
      <c r="AR1063" s="75">
        <v>1</v>
      </c>
      <c r="AS1063" s="95">
        <v>7.2186152540827803E-2</v>
      </c>
      <c r="AT1063" s="79">
        <v>0</v>
      </c>
      <c r="AU1063" s="79">
        <v>8.3333333333333301E-2</v>
      </c>
      <c r="AV1063" s="79">
        <v>0</v>
      </c>
      <c r="AW1063" s="79">
        <v>1.2500000000000001E-2</v>
      </c>
      <c r="AX1063" s="56"/>
      <c r="AY1063" s="54"/>
    </row>
    <row r="1064" spans="1:51">
      <c r="A1064" s="53"/>
      <c r="B1064" s="56"/>
      <c r="C1064" s="90" t="s">
        <v>1079</v>
      </c>
      <c r="D1064" s="230" t="s">
        <v>1757</v>
      </c>
      <c r="E1064" s="68" t="s">
        <v>1080</v>
      </c>
      <c r="F1064" s="128" t="s">
        <v>1088</v>
      </c>
      <c r="G1064" s="128" t="s">
        <v>1088</v>
      </c>
      <c r="H1064" s="128" t="s">
        <v>1088</v>
      </c>
      <c r="I1064" s="128" t="s">
        <v>1088</v>
      </c>
      <c r="J1064" s="70">
        <v>0.9</v>
      </c>
      <c r="K1064" s="71">
        <v>0.85507246376811596</v>
      </c>
      <c r="L1064" s="71">
        <v>0.891891891891892</v>
      </c>
      <c r="M1064" s="72">
        <v>0.91549295774647899</v>
      </c>
      <c r="N1064" s="71">
        <v>0.87544483985765098</v>
      </c>
      <c r="O1064" s="73">
        <v>0.9</v>
      </c>
      <c r="P1064" s="71">
        <v>0.95210113960113996</v>
      </c>
      <c r="Q1064" s="71">
        <v>0.92374727668845302</v>
      </c>
      <c r="R1064" s="71">
        <v>0.93716047570107197</v>
      </c>
      <c r="S1064" s="71">
        <v>0.95587145886019398</v>
      </c>
      <c r="T1064" s="73">
        <v>0.9</v>
      </c>
      <c r="U1064" s="71">
        <v>0.825320512820513</v>
      </c>
      <c r="V1064" s="71">
        <v>0.76316801230296005</v>
      </c>
      <c r="W1064" s="71">
        <v>0.82322713257965097</v>
      </c>
      <c r="X1064" s="71">
        <v>0.80413569366745896</v>
      </c>
      <c r="Y1064" s="73">
        <v>0.92</v>
      </c>
      <c r="Z1064" s="73">
        <v>0.16666666666666699</v>
      </c>
      <c r="AA1064" s="73">
        <v>0</v>
      </c>
      <c r="AB1064" s="73" t="s">
        <v>1710</v>
      </c>
      <c r="AC1064" s="73">
        <v>0.4</v>
      </c>
      <c r="AD1064" s="73">
        <v>0.92</v>
      </c>
      <c r="AE1064" s="71">
        <v>0.99858876658199303</v>
      </c>
      <c r="AF1064" s="71">
        <v>0.99448656099241906</v>
      </c>
      <c r="AG1064" s="71">
        <v>0.93047034764826198</v>
      </c>
      <c r="AH1064" s="71">
        <v>0.85568987437240096</v>
      </c>
      <c r="AI1064" s="73">
        <v>0.92</v>
      </c>
      <c r="AJ1064" s="71">
        <v>0.93151903237282097</v>
      </c>
      <c r="AK1064" s="71">
        <v>0.94118400820092296</v>
      </c>
      <c r="AL1064" s="71">
        <v>0.92791073263837898</v>
      </c>
      <c r="AM1064" s="71">
        <v>0.95027073968124198</v>
      </c>
      <c r="AN1064" s="70">
        <v>0.99</v>
      </c>
      <c r="AO1064" s="75">
        <v>1</v>
      </c>
      <c r="AP1064" s="75">
        <v>1</v>
      </c>
      <c r="AQ1064" s="75">
        <v>1</v>
      </c>
      <c r="AR1064" s="75">
        <v>1</v>
      </c>
      <c r="AS1064" s="95">
        <v>7.2186152540827803E-2</v>
      </c>
      <c r="AT1064" s="79">
        <v>5.2631578947368397E-2</v>
      </c>
      <c r="AU1064" s="79">
        <v>0</v>
      </c>
      <c r="AV1064" s="79">
        <v>0</v>
      </c>
      <c r="AW1064" s="79">
        <v>4.6632124352331598E-2</v>
      </c>
      <c r="AX1064" s="56"/>
      <c r="AY1064" s="54"/>
    </row>
    <row r="1065" spans="1:51">
      <c r="A1065" s="53"/>
      <c r="B1065" s="56"/>
      <c r="C1065" s="90" t="s">
        <v>1079</v>
      </c>
      <c r="D1065" s="230" t="s">
        <v>1757</v>
      </c>
      <c r="E1065" s="68" t="s">
        <v>1080</v>
      </c>
      <c r="F1065" s="128" t="s">
        <v>1089</v>
      </c>
      <c r="G1065" s="128" t="s">
        <v>1089</v>
      </c>
      <c r="H1065" s="128" t="s">
        <v>1089</v>
      </c>
      <c r="I1065" s="128" t="s">
        <v>1089</v>
      </c>
      <c r="J1065" s="70">
        <v>0.9</v>
      </c>
      <c r="K1065" s="71">
        <v>1</v>
      </c>
      <c r="L1065" s="71">
        <v>0.95744680851063801</v>
      </c>
      <c r="M1065" s="72">
        <v>0.97777777777777797</v>
      </c>
      <c r="N1065" s="71">
        <v>0.97249508840864396</v>
      </c>
      <c r="O1065" s="73">
        <v>0.9</v>
      </c>
      <c r="P1065" s="71">
        <v>0.89712078651685401</v>
      </c>
      <c r="Q1065" s="71">
        <v>0.97783505154639205</v>
      </c>
      <c r="R1065" s="71">
        <v>0.96760895170789196</v>
      </c>
      <c r="S1065" s="71">
        <v>0.96741149757456901</v>
      </c>
      <c r="T1065" s="73">
        <v>0.9</v>
      </c>
      <c r="U1065" s="71">
        <v>0.94803370786516805</v>
      </c>
      <c r="V1065" s="71">
        <v>0.94561855670103101</v>
      </c>
      <c r="W1065" s="71">
        <v>0.95465253239104797</v>
      </c>
      <c r="X1065" s="71">
        <v>0.95306533181958897</v>
      </c>
      <c r="Y1065" s="73">
        <v>0.92</v>
      </c>
      <c r="Z1065" s="73">
        <v>0.94349403836184598</v>
      </c>
      <c r="AA1065" s="73">
        <v>0.95055264688772501</v>
      </c>
      <c r="AB1065" s="73">
        <v>0.96037056098816298</v>
      </c>
      <c r="AC1065" s="73">
        <v>0.96001275219747695</v>
      </c>
      <c r="AD1065" s="73">
        <v>0.92</v>
      </c>
      <c r="AE1065" s="71">
        <v>0.99467680608364994</v>
      </c>
      <c r="AF1065" s="71">
        <v>0.98135593220339001</v>
      </c>
      <c r="AG1065" s="71">
        <v>0.99476439790575899</v>
      </c>
      <c r="AH1065" s="71">
        <v>0.99388537109003405</v>
      </c>
      <c r="AI1065" s="73">
        <v>0.92</v>
      </c>
      <c r="AJ1065" s="71">
        <v>0.96525742988698204</v>
      </c>
      <c r="AK1065" s="71">
        <v>0.97213788176460103</v>
      </c>
      <c r="AL1065" s="71">
        <v>0.97584269662921397</v>
      </c>
      <c r="AM1065" s="71">
        <v>0.97691002816251904</v>
      </c>
      <c r="AN1065" s="70">
        <v>0.99</v>
      </c>
      <c r="AO1065" s="75">
        <v>1</v>
      </c>
      <c r="AP1065" s="75">
        <v>1</v>
      </c>
      <c r="AQ1065" s="75">
        <v>1</v>
      </c>
      <c r="AR1065" s="75">
        <v>1</v>
      </c>
      <c r="AS1065" s="95">
        <v>7.2186152540827803E-2</v>
      </c>
      <c r="AT1065" s="79">
        <v>3.09597523219814E-3</v>
      </c>
      <c r="AU1065" s="79">
        <v>6.6225165562913899E-3</v>
      </c>
      <c r="AV1065" s="79">
        <v>1.13636363636364E-2</v>
      </c>
      <c r="AW1065" s="79">
        <v>3.7650602409638602E-3</v>
      </c>
      <c r="AX1065" s="56"/>
      <c r="AY1065" s="54"/>
    </row>
    <row r="1066" spans="1:51">
      <c r="A1066" s="53"/>
      <c r="B1066" s="56"/>
      <c r="C1066" s="90" t="s">
        <v>1079</v>
      </c>
      <c r="D1066" s="230" t="s">
        <v>1757</v>
      </c>
      <c r="E1066" s="68" t="s">
        <v>1080</v>
      </c>
      <c r="F1066" s="128" t="s">
        <v>1090</v>
      </c>
      <c r="G1066" s="128" t="s">
        <v>1090</v>
      </c>
      <c r="H1066" s="128" t="s">
        <v>1090</v>
      </c>
      <c r="I1066" s="128" t="s">
        <v>1090</v>
      </c>
      <c r="J1066" s="70">
        <v>0.9</v>
      </c>
      <c r="K1066" s="71">
        <v>0.85294117647058798</v>
      </c>
      <c r="L1066" s="71">
        <v>0.92105263157894701</v>
      </c>
      <c r="M1066" s="72">
        <v>0.86842105263157898</v>
      </c>
      <c r="N1066" s="71">
        <v>0.89140271493212697</v>
      </c>
      <c r="O1066" s="73">
        <v>0.9</v>
      </c>
      <c r="P1066" s="71">
        <v>0.98250265111346802</v>
      </c>
      <c r="Q1066" s="71">
        <v>0.98257322951427495</v>
      </c>
      <c r="R1066" s="71">
        <v>0.98244880902632703</v>
      </c>
      <c r="S1066" s="71">
        <v>0.96227688615569196</v>
      </c>
      <c r="T1066" s="73">
        <v>0.9</v>
      </c>
      <c r="U1066" s="71">
        <v>0.93796394485683998</v>
      </c>
      <c r="V1066" s="71">
        <v>0.91954022988505701</v>
      </c>
      <c r="W1066" s="71">
        <v>0.95528625156707103</v>
      </c>
      <c r="X1066" s="71">
        <v>0.927966101694915</v>
      </c>
      <c r="Y1066" s="73">
        <v>0.92</v>
      </c>
      <c r="Z1066" s="73">
        <v>0.93440233236151604</v>
      </c>
      <c r="AA1066" s="73">
        <v>0.93889845094664404</v>
      </c>
      <c r="AB1066" s="73">
        <v>0.95424354243542397</v>
      </c>
      <c r="AC1066" s="73">
        <v>0.94869109947644004</v>
      </c>
      <c r="AD1066" s="73">
        <v>0.92</v>
      </c>
      <c r="AE1066" s="71">
        <v>0.97448979591836704</v>
      </c>
      <c r="AF1066" s="71">
        <v>0.92957746478873204</v>
      </c>
      <c r="AG1066" s="71">
        <v>0.90697674418604601</v>
      </c>
      <c r="AH1066" s="71">
        <v>0.94762419006479504</v>
      </c>
      <c r="AI1066" s="73">
        <v>0.92</v>
      </c>
      <c r="AJ1066" s="71">
        <v>0.96101903007980405</v>
      </c>
      <c r="AK1066" s="71">
        <v>0.96968126457631498</v>
      </c>
      <c r="AL1066" s="71">
        <v>0.97518676627534695</v>
      </c>
      <c r="AM1066" s="71">
        <v>0.97260894440736101</v>
      </c>
      <c r="AN1066" s="70">
        <v>0.99</v>
      </c>
      <c r="AO1066" s="75">
        <v>1</v>
      </c>
      <c r="AP1066" s="75">
        <v>1</v>
      </c>
      <c r="AQ1066" s="75">
        <v>1</v>
      </c>
      <c r="AR1066" s="75">
        <v>1</v>
      </c>
      <c r="AS1066" s="95">
        <v>7.2186152540827803E-2</v>
      </c>
      <c r="AT1066" s="79">
        <v>0.1</v>
      </c>
      <c r="AU1066" s="79">
        <v>0</v>
      </c>
      <c r="AV1066" s="79">
        <v>0.22222222222222199</v>
      </c>
      <c r="AW1066" s="79">
        <v>5.4054054054054099E-2</v>
      </c>
      <c r="AX1066" s="56"/>
      <c r="AY1066" s="54"/>
    </row>
    <row r="1067" spans="1:51">
      <c r="A1067" s="53"/>
      <c r="B1067" s="56"/>
      <c r="C1067" s="90" t="s">
        <v>1079</v>
      </c>
      <c r="D1067" s="230" t="s">
        <v>1757</v>
      </c>
      <c r="E1067" s="68" t="s">
        <v>1080</v>
      </c>
      <c r="F1067" s="128" t="s">
        <v>1091</v>
      </c>
      <c r="G1067" s="128" t="s">
        <v>1091</v>
      </c>
      <c r="H1067" s="128" t="s">
        <v>1091</v>
      </c>
      <c r="I1067" s="128" t="s">
        <v>1091</v>
      </c>
      <c r="J1067" s="70">
        <v>0.9</v>
      </c>
      <c r="K1067" s="71">
        <v>0.97499999999999998</v>
      </c>
      <c r="L1067" s="71">
        <v>1</v>
      </c>
      <c r="M1067" s="72">
        <v>0.92307692307692302</v>
      </c>
      <c r="N1067" s="71">
        <v>0.96613995485327298</v>
      </c>
      <c r="O1067" s="73">
        <v>0.9</v>
      </c>
      <c r="P1067" s="71">
        <v>0.97874493927125505</v>
      </c>
      <c r="Q1067" s="71">
        <v>0.98058583106267005</v>
      </c>
      <c r="R1067" s="71">
        <v>0.974180327868852</v>
      </c>
      <c r="S1067" s="71">
        <v>0.98102914261579599</v>
      </c>
      <c r="T1067" s="73">
        <v>0.9</v>
      </c>
      <c r="U1067" s="71">
        <v>0.94888663967611298</v>
      </c>
      <c r="V1067" s="71">
        <v>0.93664850136239797</v>
      </c>
      <c r="W1067" s="71">
        <v>0.93196721311475395</v>
      </c>
      <c r="X1067" s="71">
        <v>0.94248908911727403</v>
      </c>
      <c r="Y1067" s="73">
        <v>0.92</v>
      </c>
      <c r="Z1067" s="73">
        <v>0.96436363636363598</v>
      </c>
      <c r="AA1067" s="73">
        <v>0.95636623748211702</v>
      </c>
      <c r="AB1067" s="73">
        <v>0.95101781170483501</v>
      </c>
      <c r="AC1067" s="73">
        <v>0.95793589667634305</v>
      </c>
      <c r="AD1067" s="73">
        <v>0.92</v>
      </c>
      <c r="AE1067" s="71">
        <v>0.99832026875699897</v>
      </c>
      <c r="AF1067" s="71">
        <v>0.98063380281690105</v>
      </c>
      <c r="AG1067" s="71">
        <v>0.99739357080799296</v>
      </c>
      <c r="AH1067" s="71">
        <v>0.99529885829415699</v>
      </c>
      <c r="AI1067" s="73">
        <v>0.92</v>
      </c>
      <c r="AJ1067" s="71">
        <v>0.97104477611940299</v>
      </c>
      <c r="AK1067" s="71">
        <v>0.97208121827411198</v>
      </c>
      <c r="AL1067" s="71">
        <v>0.96835285322701203</v>
      </c>
      <c r="AM1067" s="71">
        <v>0.97390728476821198</v>
      </c>
      <c r="AN1067" s="70">
        <v>0.99</v>
      </c>
      <c r="AO1067" s="75">
        <v>1</v>
      </c>
      <c r="AP1067" s="75">
        <v>1</v>
      </c>
      <c r="AQ1067" s="75">
        <v>1</v>
      </c>
      <c r="AR1067" s="75">
        <v>1</v>
      </c>
      <c r="AS1067" s="95">
        <v>7.2186152540827803E-2</v>
      </c>
      <c r="AT1067" s="79">
        <v>0</v>
      </c>
      <c r="AU1067" s="79">
        <v>9.0909090909090898E-2</v>
      </c>
      <c r="AV1067" s="79">
        <v>9.0909090909090898E-2</v>
      </c>
      <c r="AW1067" s="79">
        <v>3.8043478260869602E-2</v>
      </c>
      <c r="AX1067" s="56"/>
      <c r="AY1067" s="54"/>
    </row>
    <row r="1068" spans="1:51">
      <c r="A1068" s="53"/>
      <c r="B1068" s="56"/>
      <c r="C1068" s="90" t="s">
        <v>1079</v>
      </c>
      <c r="D1068" s="230" t="s">
        <v>1757</v>
      </c>
      <c r="E1068" s="68" t="s">
        <v>1080</v>
      </c>
      <c r="F1068" s="128" t="s">
        <v>1092</v>
      </c>
      <c r="G1068" s="128" t="s">
        <v>1092</v>
      </c>
      <c r="H1068" s="128" t="s">
        <v>1092</v>
      </c>
      <c r="I1068" s="128" t="s">
        <v>1092</v>
      </c>
      <c r="J1068" s="70">
        <v>0.9</v>
      </c>
      <c r="K1068" s="71">
        <v>0.95918367346938804</v>
      </c>
      <c r="L1068" s="71">
        <v>0.98113207547169801</v>
      </c>
      <c r="M1068" s="72">
        <v>0.98113207547169801</v>
      </c>
      <c r="N1068" s="71">
        <v>0.92524916943521596</v>
      </c>
      <c r="O1068" s="73">
        <v>0.9</v>
      </c>
      <c r="P1068" s="71">
        <v>0.98966408268733896</v>
      </c>
      <c r="Q1068" s="71">
        <v>0.983815028901734</v>
      </c>
      <c r="R1068" s="71">
        <v>0.98453261600538</v>
      </c>
      <c r="S1068" s="71">
        <v>0.97999592347785602</v>
      </c>
      <c r="T1068" s="73">
        <v>0.9</v>
      </c>
      <c r="U1068" s="71">
        <v>0.92894056847545203</v>
      </c>
      <c r="V1068" s="71">
        <v>0.947398843930636</v>
      </c>
      <c r="W1068" s="71">
        <v>0.93644922663079999</v>
      </c>
      <c r="X1068" s="71">
        <v>0.93896863989750501</v>
      </c>
      <c r="Y1068" s="73">
        <v>0.92</v>
      </c>
      <c r="Z1068" s="73">
        <v>0.94906003638568803</v>
      </c>
      <c r="AA1068" s="73">
        <v>0.94871794871794901</v>
      </c>
      <c r="AB1068" s="73">
        <v>0.95383727639930804</v>
      </c>
      <c r="AC1068" s="73">
        <v>0.96036772216547495</v>
      </c>
      <c r="AD1068" s="73">
        <v>0.92</v>
      </c>
      <c r="AE1068" s="71">
        <v>0.99846331156358004</v>
      </c>
      <c r="AF1068" s="71">
        <v>0.98611111111111105</v>
      </c>
      <c r="AG1068" s="71">
        <v>0.99945205479452104</v>
      </c>
      <c r="AH1068" s="71">
        <v>0.99680018284669403</v>
      </c>
      <c r="AI1068" s="73">
        <v>0.92</v>
      </c>
      <c r="AJ1068" s="71">
        <v>0.96499622261395102</v>
      </c>
      <c r="AK1068" s="71">
        <v>0.97794415216511499</v>
      </c>
      <c r="AL1068" s="71">
        <v>0.97451146983857295</v>
      </c>
      <c r="AM1068" s="71">
        <v>0.97784082480344203</v>
      </c>
      <c r="AN1068" s="70">
        <v>0.99</v>
      </c>
      <c r="AO1068" s="75">
        <v>1</v>
      </c>
      <c r="AP1068" s="75">
        <v>1</v>
      </c>
      <c r="AQ1068" s="75">
        <v>1</v>
      </c>
      <c r="AR1068" s="75">
        <v>1</v>
      </c>
      <c r="AS1068" s="95">
        <v>7.2186152540827803E-2</v>
      </c>
      <c r="AT1068" s="79">
        <v>0</v>
      </c>
      <c r="AU1068" s="79">
        <v>5.5555555555555601E-2</v>
      </c>
      <c r="AV1068" s="79">
        <v>0</v>
      </c>
      <c r="AW1068" s="79">
        <v>2.23463687150838E-2</v>
      </c>
      <c r="AX1068" s="56"/>
      <c r="AY1068" s="54"/>
    </row>
    <row r="1069" spans="1:51">
      <c r="A1069" s="53"/>
      <c r="B1069" s="56"/>
      <c r="C1069" s="90" t="s">
        <v>1079</v>
      </c>
      <c r="D1069" s="230" t="s">
        <v>1757</v>
      </c>
      <c r="E1069" s="68" t="s">
        <v>1080</v>
      </c>
      <c r="F1069" s="128" t="s">
        <v>1093</v>
      </c>
      <c r="G1069" s="128" t="s">
        <v>1093</v>
      </c>
      <c r="H1069" s="128" t="s">
        <v>1093</v>
      </c>
      <c r="I1069" s="128" t="s">
        <v>1093</v>
      </c>
      <c r="J1069" s="70">
        <v>0.9</v>
      </c>
      <c r="K1069" s="71">
        <v>0.89285714285714302</v>
      </c>
      <c r="L1069" s="71">
        <v>0.875</v>
      </c>
      <c r="M1069" s="72">
        <v>0.93333333333333302</v>
      </c>
      <c r="N1069" s="71">
        <v>0.87087087087087101</v>
      </c>
      <c r="O1069" s="73">
        <v>0.9</v>
      </c>
      <c r="P1069" s="71">
        <v>0.87184226740603799</v>
      </c>
      <c r="Q1069" s="71">
        <v>0.96418732782369099</v>
      </c>
      <c r="R1069" s="71">
        <v>0.95979381443298994</v>
      </c>
      <c r="S1069" s="71">
        <v>0.95605302995550301</v>
      </c>
      <c r="T1069" s="73">
        <v>0.9</v>
      </c>
      <c r="U1069" s="71">
        <v>0.96179913739987699</v>
      </c>
      <c r="V1069" s="71">
        <v>0.94995408631772305</v>
      </c>
      <c r="W1069" s="71">
        <v>0.89484536082474198</v>
      </c>
      <c r="X1069" s="71">
        <v>0.93674021744116698</v>
      </c>
      <c r="Y1069" s="73">
        <v>0.92</v>
      </c>
      <c r="Z1069" s="73">
        <v>0.94225481209899198</v>
      </c>
      <c r="AA1069" s="73">
        <v>0.93884120171673802</v>
      </c>
      <c r="AB1069" s="73">
        <v>0.94662921348314599</v>
      </c>
      <c r="AC1069" s="73">
        <v>0.94426995248449697</v>
      </c>
      <c r="AD1069" s="73">
        <v>0.92</v>
      </c>
      <c r="AE1069" s="71">
        <v>0.97216000000000002</v>
      </c>
      <c r="AF1069" s="71">
        <v>0.46486343145054398</v>
      </c>
      <c r="AG1069" s="71">
        <v>0.62729723107081603</v>
      </c>
      <c r="AH1069" s="71">
        <v>0.84553316206534701</v>
      </c>
      <c r="AI1069" s="73">
        <v>0.92</v>
      </c>
      <c r="AJ1069" s="71">
        <v>0.96720707442888698</v>
      </c>
      <c r="AK1069" s="71">
        <v>0.97009646302250796</v>
      </c>
      <c r="AL1069" s="71">
        <v>0.96642287234042601</v>
      </c>
      <c r="AM1069" s="71">
        <v>0.96999532546453204</v>
      </c>
      <c r="AN1069" s="70">
        <v>0.99</v>
      </c>
      <c r="AO1069" s="75">
        <v>1</v>
      </c>
      <c r="AP1069" s="75">
        <v>1</v>
      </c>
      <c r="AQ1069" s="75">
        <v>1</v>
      </c>
      <c r="AR1069" s="75">
        <v>1</v>
      </c>
      <c r="AS1069" s="95">
        <v>7.2186152540827803E-2</v>
      </c>
      <c r="AT1069" s="79">
        <v>0</v>
      </c>
      <c r="AU1069" s="79">
        <v>0</v>
      </c>
      <c r="AV1069" s="79">
        <v>0</v>
      </c>
      <c r="AW1069" s="79">
        <v>2.3809523809523801E-2</v>
      </c>
      <c r="AX1069" s="56"/>
      <c r="AY1069" s="54"/>
    </row>
    <row r="1070" spans="1:51">
      <c r="A1070" s="53"/>
      <c r="B1070" s="56"/>
      <c r="C1070" s="90" t="s">
        <v>1079</v>
      </c>
      <c r="D1070" s="230" t="s">
        <v>1757</v>
      </c>
      <c r="E1070" s="68" t="s">
        <v>1080</v>
      </c>
      <c r="F1070" s="128" t="s">
        <v>1094</v>
      </c>
      <c r="G1070" s="128" t="s">
        <v>1094</v>
      </c>
      <c r="H1070" s="128" t="s">
        <v>1094</v>
      </c>
      <c r="I1070" s="128" t="s">
        <v>1094</v>
      </c>
      <c r="J1070" s="70">
        <v>0.9</v>
      </c>
      <c r="K1070" s="71">
        <v>1</v>
      </c>
      <c r="L1070" s="71">
        <v>1</v>
      </c>
      <c r="M1070" s="72">
        <v>0.97619047619047605</v>
      </c>
      <c r="N1070" s="71">
        <v>0.99176954732510303</v>
      </c>
      <c r="O1070" s="73">
        <v>0.9</v>
      </c>
      <c r="P1070" s="71">
        <v>0.97713097713097696</v>
      </c>
      <c r="Q1070" s="71">
        <v>0.97183565275016603</v>
      </c>
      <c r="R1070" s="71">
        <v>0.98131229235880402</v>
      </c>
      <c r="S1070" s="71">
        <v>0.98132816018290803</v>
      </c>
      <c r="T1070" s="73">
        <v>0.9</v>
      </c>
      <c r="U1070" s="71">
        <v>0.95634095634095595</v>
      </c>
      <c r="V1070" s="71">
        <v>0.95228628230616297</v>
      </c>
      <c r="W1070" s="71">
        <v>0.97300664451827201</v>
      </c>
      <c r="X1070" s="71">
        <v>0.96047389753005197</v>
      </c>
      <c r="Y1070" s="73">
        <v>0.92</v>
      </c>
      <c r="Z1070" s="73">
        <v>0.96576319543509304</v>
      </c>
      <c r="AA1070" s="73">
        <v>0.91753343239227303</v>
      </c>
      <c r="AB1070" s="73">
        <v>0.97197452229299397</v>
      </c>
      <c r="AC1070" s="73">
        <v>0.96786275220490503</v>
      </c>
      <c r="AD1070" s="73">
        <v>0.92</v>
      </c>
      <c r="AE1070" s="71">
        <v>0.99900744416873399</v>
      </c>
      <c r="AF1070" s="71">
        <v>0.98205312275664003</v>
      </c>
      <c r="AG1070" s="71">
        <v>0.99844720496894401</v>
      </c>
      <c r="AH1070" s="71">
        <v>0.99529548578073801</v>
      </c>
      <c r="AI1070" s="73">
        <v>0.92</v>
      </c>
      <c r="AJ1070" s="71">
        <v>0.97955502104630199</v>
      </c>
      <c r="AK1070" s="71">
        <v>0.96585701191567397</v>
      </c>
      <c r="AL1070" s="71">
        <v>0.98265460030165896</v>
      </c>
      <c r="AM1070" s="71">
        <v>0.98234413525889397</v>
      </c>
      <c r="AN1070" s="70">
        <v>0.99</v>
      </c>
      <c r="AO1070" s="75">
        <v>1</v>
      </c>
      <c r="AP1070" s="75">
        <v>1</v>
      </c>
      <c r="AQ1070" s="75">
        <v>1</v>
      </c>
      <c r="AR1070" s="75">
        <v>1</v>
      </c>
      <c r="AS1070" s="95">
        <v>7.2186152540827803E-2</v>
      </c>
      <c r="AT1070" s="79">
        <v>0</v>
      </c>
      <c r="AU1070" s="79">
        <v>0.02</v>
      </c>
      <c r="AV1070" s="79">
        <v>0</v>
      </c>
      <c r="AW1070" s="79">
        <v>8.0128205128205104E-3</v>
      </c>
      <c r="AX1070" s="56"/>
      <c r="AY1070" s="54"/>
    </row>
    <row r="1071" spans="1:51">
      <c r="A1071" s="53"/>
      <c r="B1071" s="56"/>
      <c r="C1071" s="90" t="s">
        <v>1079</v>
      </c>
      <c r="D1071" s="230" t="s">
        <v>1757</v>
      </c>
      <c r="E1071" s="68" t="s">
        <v>1080</v>
      </c>
      <c r="F1071" s="128" t="s">
        <v>1095</v>
      </c>
      <c r="G1071" s="128" t="s">
        <v>1095</v>
      </c>
      <c r="H1071" s="128" t="s">
        <v>1095</v>
      </c>
      <c r="I1071" s="128" t="s">
        <v>1095</v>
      </c>
      <c r="J1071" s="70">
        <v>0.9</v>
      </c>
      <c r="K1071" s="71">
        <v>1</v>
      </c>
      <c r="L1071" s="71">
        <v>1</v>
      </c>
      <c r="M1071" s="72">
        <v>0.952380952380952</v>
      </c>
      <c r="N1071" s="71">
        <v>0.92050209205020905</v>
      </c>
      <c r="O1071" s="73">
        <v>0.9</v>
      </c>
      <c r="P1071" s="71">
        <v>0.95925661186561795</v>
      </c>
      <c r="Q1071" s="71">
        <v>0.97714575926866398</v>
      </c>
      <c r="R1071" s="71">
        <v>0.95141168745896298</v>
      </c>
      <c r="S1071" s="71">
        <v>0.95436142804563895</v>
      </c>
      <c r="T1071" s="73">
        <v>0.9</v>
      </c>
      <c r="U1071" s="71">
        <v>0.92852037169406698</v>
      </c>
      <c r="V1071" s="71">
        <v>0.92077196546470297</v>
      </c>
      <c r="W1071" s="71">
        <v>0.93171372291529897</v>
      </c>
      <c r="X1071" s="71">
        <v>0.93122666806877297</v>
      </c>
      <c r="Y1071" s="73">
        <v>0.92</v>
      </c>
      <c r="Z1071" s="73">
        <v>0.96026490066225201</v>
      </c>
      <c r="AA1071" s="73">
        <v>0.85357548240635595</v>
      </c>
      <c r="AB1071" s="73">
        <v>0.96787564766839396</v>
      </c>
      <c r="AC1071" s="73">
        <v>0.95227686703096504</v>
      </c>
      <c r="AD1071" s="73">
        <v>0.92</v>
      </c>
      <c r="AE1071" s="71">
        <v>0.98891966759002803</v>
      </c>
      <c r="AF1071" s="71">
        <v>0.998188405797101</v>
      </c>
      <c r="AG1071" s="71">
        <v>0.99726027397260297</v>
      </c>
      <c r="AH1071" s="71">
        <v>0.96051856216853304</v>
      </c>
      <c r="AI1071" s="73">
        <v>0.92</v>
      </c>
      <c r="AJ1071" s="71">
        <v>0.97068403908794798</v>
      </c>
      <c r="AK1071" s="71">
        <v>0.94140350877193002</v>
      </c>
      <c r="AL1071" s="71">
        <v>0.98151125401929296</v>
      </c>
      <c r="AM1071" s="71">
        <v>0.97526749108363098</v>
      </c>
      <c r="AN1071" s="70">
        <v>0.99</v>
      </c>
      <c r="AO1071" s="75">
        <v>1</v>
      </c>
      <c r="AP1071" s="75">
        <v>1</v>
      </c>
      <c r="AQ1071" s="75">
        <v>1</v>
      </c>
      <c r="AR1071" s="75">
        <v>1</v>
      </c>
      <c r="AS1071" s="95">
        <v>7.2186152540827803E-2</v>
      </c>
      <c r="AT1071" s="79">
        <v>0.25</v>
      </c>
      <c r="AU1071" s="79">
        <v>0</v>
      </c>
      <c r="AV1071" s="79">
        <v>0.5</v>
      </c>
      <c r="AW1071" s="79">
        <v>8.1081081081081099E-2</v>
      </c>
      <c r="AX1071" s="56"/>
      <c r="AY1071" s="54"/>
    </row>
    <row r="1072" spans="1:51">
      <c r="A1072" s="53"/>
      <c r="B1072" s="56"/>
      <c r="C1072" s="90" t="s">
        <v>1079</v>
      </c>
      <c r="D1072" s="230" t="s">
        <v>1757</v>
      </c>
      <c r="E1072" s="68" t="s">
        <v>1080</v>
      </c>
      <c r="F1072" s="128" t="s">
        <v>1096</v>
      </c>
      <c r="G1072" s="128" t="s">
        <v>1096</v>
      </c>
      <c r="H1072" s="128" t="s">
        <v>1096</v>
      </c>
      <c r="I1072" s="128" t="s">
        <v>1096</v>
      </c>
      <c r="J1072" s="70">
        <v>0.9</v>
      </c>
      <c r="K1072" s="71">
        <v>1</v>
      </c>
      <c r="L1072" s="71">
        <v>0.96551724137931005</v>
      </c>
      <c r="M1072" s="72">
        <v>0.96428571428571397</v>
      </c>
      <c r="N1072" s="71">
        <v>0.96594427244582004</v>
      </c>
      <c r="O1072" s="73">
        <v>0.9</v>
      </c>
      <c r="P1072" s="71">
        <v>0.95732107682206202</v>
      </c>
      <c r="Q1072" s="71">
        <v>0.96744186046511604</v>
      </c>
      <c r="R1072" s="71">
        <v>0.96273972602739699</v>
      </c>
      <c r="S1072" s="71">
        <v>0.95213626415453401</v>
      </c>
      <c r="T1072" s="73">
        <v>0.9</v>
      </c>
      <c r="U1072" s="71">
        <v>0.94944189100459597</v>
      </c>
      <c r="V1072" s="71">
        <v>0.94651162790697696</v>
      </c>
      <c r="W1072" s="71">
        <v>0.92219178082191799</v>
      </c>
      <c r="X1072" s="71">
        <v>0.94052716719002805</v>
      </c>
      <c r="Y1072" s="73">
        <v>0.92</v>
      </c>
      <c r="Z1072" s="73">
        <v>0.95682210708117399</v>
      </c>
      <c r="AA1072" s="73">
        <v>0.95024390243902401</v>
      </c>
      <c r="AB1072" s="73">
        <v>0.94497816593886497</v>
      </c>
      <c r="AC1072" s="73">
        <v>0.95289942737317501</v>
      </c>
      <c r="AD1072" s="73">
        <v>0.92</v>
      </c>
      <c r="AE1072" s="71">
        <v>0.989375</v>
      </c>
      <c r="AF1072" s="71">
        <v>0.91317829457364297</v>
      </c>
      <c r="AG1072" s="71">
        <v>0.99530956848030006</v>
      </c>
      <c r="AH1072" s="71">
        <v>0.96472122595370102</v>
      </c>
      <c r="AI1072" s="73">
        <v>0.92</v>
      </c>
      <c r="AJ1072" s="71">
        <v>0.972771353972398</v>
      </c>
      <c r="AK1072" s="71">
        <v>0.97165354330708698</v>
      </c>
      <c r="AL1072" s="71">
        <v>0.96869740828004003</v>
      </c>
      <c r="AM1072" s="71">
        <v>0.97226128848858395</v>
      </c>
      <c r="AN1072" s="70">
        <v>0.99</v>
      </c>
      <c r="AO1072" s="75">
        <v>1</v>
      </c>
      <c r="AP1072" s="75">
        <v>1</v>
      </c>
      <c r="AQ1072" s="75">
        <v>1</v>
      </c>
      <c r="AR1072" s="75">
        <v>1</v>
      </c>
      <c r="AS1072" s="95">
        <v>7.2186152540827803E-2</v>
      </c>
      <c r="AT1072" s="79">
        <v>0</v>
      </c>
      <c r="AU1072" s="79">
        <v>-0.16666666666666699</v>
      </c>
      <c r="AV1072" s="79">
        <v>0</v>
      </c>
      <c r="AW1072" s="79">
        <v>3.2258064516128997E-2</v>
      </c>
      <c r="AX1072" s="56"/>
      <c r="AY1072" s="54"/>
    </row>
    <row r="1073" spans="1:51">
      <c r="A1073" s="53"/>
      <c r="B1073" s="56"/>
      <c r="C1073" s="90" t="s">
        <v>1079</v>
      </c>
      <c r="D1073" s="230" t="s">
        <v>1757</v>
      </c>
      <c r="E1073" s="68" t="s">
        <v>1080</v>
      </c>
      <c r="F1073" s="128" t="s">
        <v>1097</v>
      </c>
      <c r="G1073" s="128" t="s">
        <v>1097</v>
      </c>
      <c r="H1073" s="128" t="s">
        <v>1097</v>
      </c>
      <c r="I1073" s="128" t="s">
        <v>1097</v>
      </c>
      <c r="J1073" s="70">
        <v>0.9</v>
      </c>
      <c r="K1073" s="71">
        <v>0.95652173913043503</v>
      </c>
      <c r="L1073" s="71">
        <v>0.98</v>
      </c>
      <c r="M1073" s="72">
        <v>1</v>
      </c>
      <c r="N1073" s="71">
        <v>0.98188405797101497</v>
      </c>
      <c r="O1073" s="73">
        <v>0.9</v>
      </c>
      <c r="P1073" s="71">
        <v>0.94586112200863104</v>
      </c>
      <c r="Q1073" s="71">
        <v>0.95683060109289597</v>
      </c>
      <c r="R1073" s="71">
        <v>0.95314426633785498</v>
      </c>
      <c r="S1073" s="71">
        <v>0.95949594959495998</v>
      </c>
      <c r="T1073" s="73">
        <v>0.9</v>
      </c>
      <c r="U1073" s="71">
        <v>0.929776382895253</v>
      </c>
      <c r="V1073" s="71">
        <v>0.93661202185792303</v>
      </c>
      <c r="W1073" s="71">
        <v>0.95653514180024701</v>
      </c>
      <c r="X1073" s="71">
        <v>0.94108501759266805</v>
      </c>
      <c r="Y1073" s="73">
        <v>0.92</v>
      </c>
      <c r="Z1073" s="73">
        <v>0.94770206022186998</v>
      </c>
      <c r="AA1073" s="73">
        <v>0.96590204587724704</v>
      </c>
      <c r="AB1073" s="73">
        <v>0.95851293103448298</v>
      </c>
      <c r="AC1073" s="73">
        <v>0.96255623820811798</v>
      </c>
      <c r="AD1073" s="73">
        <v>0.92</v>
      </c>
      <c r="AE1073" s="71">
        <v>0.99224204809930205</v>
      </c>
      <c r="AF1073" s="71">
        <v>0.38547175062621802</v>
      </c>
      <c r="AG1073" s="71">
        <v>0.77714390872285599</v>
      </c>
      <c r="AH1073" s="71">
        <v>0.846319879127995</v>
      </c>
      <c r="AI1073" s="73">
        <v>0.92</v>
      </c>
      <c r="AJ1073" s="71">
        <v>0.96443043674020701</v>
      </c>
      <c r="AK1073" s="71">
        <v>0.97686765263557096</v>
      </c>
      <c r="AL1073" s="71">
        <v>0.97588235294117598</v>
      </c>
      <c r="AM1073" s="71">
        <v>0.97788667794422801</v>
      </c>
      <c r="AN1073" s="70">
        <v>0.99</v>
      </c>
      <c r="AO1073" s="75">
        <v>1</v>
      </c>
      <c r="AP1073" s="75">
        <v>1</v>
      </c>
      <c r="AQ1073" s="75">
        <v>1</v>
      </c>
      <c r="AR1073" s="75">
        <v>1</v>
      </c>
      <c r="AS1073" s="95">
        <v>7.2186152540827803E-2</v>
      </c>
      <c r="AT1073" s="79">
        <v>9.0909090909090898E-2</v>
      </c>
      <c r="AU1073" s="79">
        <v>0</v>
      </c>
      <c r="AV1073" s="79">
        <v>0</v>
      </c>
      <c r="AW1073" s="79">
        <v>2.5974025974026E-2</v>
      </c>
      <c r="AX1073" s="56"/>
      <c r="AY1073" s="54"/>
    </row>
    <row r="1074" spans="1:51">
      <c r="A1074" s="53"/>
      <c r="B1074" s="56"/>
      <c r="C1074" s="90" t="s">
        <v>1079</v>
      </c>
      <c r="D1074" s="230" t="s">
        <v>1757</v>
      </c>
      <c r="E1074" s="68" t="s">
        <v>1080</v>
      </c>
      <c r="F1074" s="128" t="s">
        <v>1098</v>
      </c>
      <c r="G1074" s="128" t="s">
        <v>1098</v>
      </c>
      <c r="H1074" s="128" t="s">
        <v>1098</v>
      </c>
      <c r="I1074" s="128" t="s">
        <v>1098</v>
      </c>
      <c r="J1074" s="70">
        <v>0.9</v>
      </c>
      <c r="K1074" s="71">
        <v>0.96875</v>
      </c>
      <c r="L1074" s="71">
        <v>1</v>
      </c>
      <c r="M1074" s="72">
        <v>0.96969696969696995</v>
      </c>
      <c r="N1074" s="71">
        <v>0.97457627118644097</v>
      </c>
      <c r="O1074" s="73">
        <v>0.9</v>
      </c>
      <c r="P1074" s="71">
        <v>0.96714922048997798</v>
      </c>
      <c r="Q1074" s="71">
        <v>0.98061448427212905</v>
      </c>
      <c r="R1074" s="71">
        <v>0.97633872976338698</v>
      </c>
      <c r="S1074" s="71">
        <v>0.97566623782392903</v>
      </c>
      <c r="T1074" s="73">
        <v>0.9</v>
      </c>
      <c r="U1074" s="71">
        <v>0.94376391982182595</v>
      </c>
      <c r="V1074" s="71">
        <v>0.942574981711778</v>
      </c>
      <c r="W1074" s="71">
        <v>0.96139476961394799</v>
      </c>
      <c r="X1074" s="71">
        <v>0.94589229920970397</v>
      </c>
      <c r="Y1074" s="73">
        <v>0.92</v>
      </c>
      <c r="Z1074" s="73">
        <v>0.94122383252817998</v>
      </c>
      <c r="AA1074" s="73">
        <v>0.95714285714285696</v>
      </c>
      <c r="AB1074" s="73">
        <v>0.95515695067264605</v>
      </c>
      <c r="AC1074" s="73">
        <v>0.96077793677637602</v>
      </c>
      <c r="AD1074" s="73">
        <v>0.92</v>
      </c>
      <c r="AE1074" s="71">
        <v>1</v>
      </c>
      <c r="AF1074" s="71">
        <v>0.99100719424460404</v>
      </c>
      <c r="AG1074" s="71">
        <v>1</v>
      </c>
      <c r="AH1074" s="71">
        <v>0.99498451098982199</v>
      </c>
      <c r="AI1074" s="73">
        <v>0.92</v>
      </c>
      <c r="AJ1074" s="71">
        <v>0.96247531270572795</v>
      </c>
      <c r="AK1074" s="71">
        <v>0.96945418127190797</v>
      </c>
      <c r="AL1074" s="71">
        <v>0.97437950360288195</v>
      </c>
      <c r="AM1074" s="71">
        <v>0.976119473078639</v>
      </c>
      <c r="AN1074" s="70">
        <v>0.99</v>
      </c>
      <c r="AO1074" s="75">
        <v>1</v>
      </c>
      <c r="AP1074" s="75">
        <v>1</v>
      </c>
      <c r="AQ1074" s="75">
        <v>1</v>
      </c>
      <c r="AR1074" s="75">
        <v>1</v>
      </c>
      <c r="AS1074" s="95">
        <v>7.2186152540827803E-2</v>
      </c>
      <c r="AT1074" s="79">
        <v>0</v>
      </c>
      <c r="AU1074" s="79">
        <v>0.25</v>
      </c>
      <c r="AV1074" s="79">
        <v>0</v>
      </c>
      <c r="AW1074" s="79">
        <v>6.14035087719298E-2</v>
      </c>
      <c r="AX1074" s="56"/>
      <c r="AY1074" s="54"/>
    </row>
    <row r="1075" spans="1:51">
      <c r="A1075" s="53"/>
      <c r="B1075" s="56"/>
      <c r="C1075" s="90" t="s">
        <v>1079</v>
      </c>
      <c r="D1075" s="230" t="s">
        <v>1757</v>
      </c>
      <c r="E1075" s="68" t="s">
        <v>1080</v>
      </c>
      <c r="F1075" s="128" t="s">
        <v>1099</v>
      </c>
      <c r="G1075" s="128" t="s">
        <v>1099</v>
      </c>
      <c r="H1075" s="128" t="s">
        <v>1099</v>
      </c>
      <c r="I1075" s="128" t="s">
        <v>1099</v>
      </c>
      <c r="J1075" s="70">
        <v>0.9</v>
      </c>
      <c r="K1075" s="71">
        <v>1</v>
      </c>
      <c r="L1075" s="71">
        <v>1</v>
      </c>
      <c r="M1075" s="72">
        <v>1</v>
      </c>
      <c r="N1075" s="71">
        <v>0.99408284023668603</v>
      </c>
      <c r="O1075" s="73">
        <v>0.9</v>
      </c>
      <c r="P1075" s="71">
        <v>0.98670694864048303</v>
      </c>
      <c r="Q1075" s="71">
        <v>0.98803136607511399</v>
      </c>
      <c r="R1075" s="71">
        <v>0.98525798525798503</v>
      </c>
      <c r="S1075" s="71">
        <v>0.98722961730449299</v>
      </c>
      <c r="T1075" s="73">
        <v>0.9</v>
      </c>
      <c r="U1075" s="71">
        <v>0.934743202416918</v>
      </c>
      <c r="V1075" s="71">
        <v>0.92282294676021503</v>
      </c>
      <c r="W1075" s="71">
        <v>0.93071253071253102</v>
      </c>
      <c r="X1075" s="71">
        <v>0.94317803660565702</v>
      </c>
      <c r="Y1075" s="73">
        <v>0.92</v>
      </c>
      <c r="Z1075" s="73">
        <v>0.97380585516178697</v>
      </c>
      <c r="AA1075" s="73">
        <v>0.97271268057784899</v>
      </c>
      <c r="AB1075" s="73">
        <v>0.95511811023622095</v>
      </c>
      <c r="AC1075" s="73">
        <v>0.97364330607555605</v>
      </c>
      <c r="AD1075" s="73">
        <v>0.92</v>
      </c>
      <c r="AE1075" s="71">
        <v>0.99794661190965095</v>
      </c>
      <c r="AF1075" s="71">
        <v>0.99694376528117401</v>
      </c>
      <c r="AG1075" s="71">
        <v>0.998623537508603</v>
      </c>
      <c r="AH1075" s="71">
        <v>0.96671918077983499</v>
      </c>
      <c r="AI1075" s="73">
        <v>0.92</v>
      </c>
      <c r="AJ1075" s="71">
        <v>0.97663393159498801</v>
      </c>
      <c r="AK1075" s="71">
        <v>0.97710547833197103</v>
      </c>
      <c r="AL1075" s="71">
        <v>0.96945872391896004</v>
      </c>
      <c r="AM1075" s="71">
        <v>0.98267294868824195</v>
      </c>
      <c r="AN1075" s="70">
        <v>0.99</v>
      </c>
      <c r="AO1075" s="75">
        <v>1</v>
      </c>
      <c r="AP1075" s="75">
        <v>1</v>
      </c>
      <c r="AQ1075" s="75">
        <v>1</v>
      </c>
      <c r="AR1075" s="75">
        <v>1</v>
      </c>
      <c r="AS1075" s="95">
        <v>7.2186152540827803E-2</v>
      </c>
      <c r="AT1075" s="79">
        <v>0.105263157894737</v>
      </c>
      <c r="AU1075" s="79">
        <v>8.3333333333333301E-2</v>
      </c>
      <c r="AV1075" s="79">
        <v>0.04</v>
      </c>
      <c r="AW1075" s="79">
        <v>2.7237354085603099E-2</v>
      </c>
      <c r="AX1075" s="56"/>
      <c r="AY1075" s="54"/>
    </row>
    <row r="1076" spans="1:51">
      <c r="A1076" s="53"/>
      <c r="B1076" s="56"/>
      <c r="C1076" s="90" t="s">
        <v>1079</v>
      </c>
      <c r="D1076" s="230" t="s">
        <v>1757</v>
      </c>
      <c r="E1076" s="68" t="s">
        <v>1080</v>
      </c>
      <c r="F1076" s="128" t="s">
        <v>1100</v>
      </c>
      <c r="G1076" s="128" t="s">
        <v>1100</v>
      </c>
      <c r="H1076" s="128" t="s">
        <v>1100</v>
      </c>
      <c r="I1076" s="128" t="s">
        <v>1100</v>
      </c>
      <c r="J1076" s="70">
        <v>0.9</v>
      </c>
      <c r="K1076" s="71">
        <v>1</v>
      </c>
      <c r="L1076" s="71">
        <v>0.89285714285714302</v>
      </c>
      <c r="M1076" s="72">
        <v>0.96428571428571397</v>
      </c>
      <c r="N1076" s="71">
        <v>0.96369636963696403</v>
      </c>
      <c r="O1076" s="73">
        <v>0.9</v>
      </c>
      <c r="P1076" s="71">
        <v>0.93795620437956195</v>
      </c>
      <c r="Q1076" s="71">
        <v>0.96428571428571397</v>
      </c>
      <c r="R1076" s="71">
        <v>0.96199376947040505</v>
      </c>
      <c r="S1076" s="71">
        <v>0.95525727069351196</v>
      </c>
      <c r="T1076" s="73">
        <v>0.9</v>
      </c>
      <c r="U1076" s="71">
        <v>0.92700729927007297</v>
      </c>
      <c r="V1076" s="71">
        <v>0.92959183673469403</v>
      </c>
      <c r="W1076" s="71">
        <v>0.95825545171339599</v>
      </c>
      <c r="X1076" s="71">
        <v>0.92638260236199998</v>
      </c>
      <c r="Y1076" s="73">
        <v>0.92</v>
      </c>
      <c r="Z1076" s="73">
        <v>0.93200836820083699</v>
      </c>
      <c r="AA1076" s="73">
        <v>0.94663820704375701</v>
      </c>
      <c r="AB1076" s="73">
        <v>0.94806517311608995</v>
      </c>
      <c r="AC1076" s="73">
        <v>0.93998020336542798</v>
      </c>
      <c r="AD1076" s="73">
        <v>0.92</v>
      </c>
      <c r="AE1076" s="71">
        <v>0.99834345665378199</v>
      </c>
      <c r="AF1076" s="71">
        <v>0.99210822998872605</v>
      </c>
      <c r="AG1076" s="71">
        <v>0.99861014593467701</v>
      </c>
      <c r="AH1076" s="71">
        <v>0.99590187261654095</v>
      </c>
      <c r="AI1076" s="73">
        <v>0.92</v>
      </c>
      <c r="AJ1076" s="71">
        <v>0.94969905417024902</v>
      </c>
      <c r="AK1076" s="71">
        <v>0.96444597859854997</v>
      </c>
      <c r="AL1076" s="71">
        <v>0.97023579435639695</v>
      </c>
      <c r="AM1076" s="71">
        <v>0.96252224932427999</v>
      </c>
      <c r="AN1076" s="70">
        <v>0.99</v>
      </c>
      <c r="AO1076" s="75">
        <v>1</v>
      </c>
      <c r="AP1076" s="75">
        <v>1</v>
      </c>
      <c r="AQ1076" s="75">
        <v>1</v>
      </c>
      <c r="AR1076" s="75">
        <v>1</v>
      </c>
      <c r="AS1076" s="95">
        <v>7.2186152540827803E-2</v>
      </c>
      <c r="AT1076" s="79">
        <v>0</v>
      </c>
      <c r="AU1076" s="79">
        <v>0</v>
      </c>
      <c r="AV1076" s="79">
        <v>0.14285714285714299</v>
      </c>
      <c r="AW1076" s="79">
        <v>3.2608695652173898E-2</v>
      </c>
      <c r="AX1076" s="56"/>
      <c r="AY1076" s="54"/>
    </row>
    <row r="1077" spans="1:51">
      <c r="A1077" s="53"/>
      <c r="B1077" s="56"/>
      <c r="C1077" s="90" t="s">
        <v>1079</v>
      </c>
      <c r="D1077" s="230" t="s">
        <v>1757</v>
      </c>
      <c r="E1077" s="68" t="s">
        <v>1080</v>
      </c>
      <c r="F1077" s="128" t="s">
        <v>1101</v>
      </c>
      <c r="G1077" s="128" t="s">
        <v>1101</v>
      </c>
      <c r="H1077" s="128" t="s">
        <v>1101</v>
      </c>
      <c r="I1077" s="128" t="s">
        <v>1101</v>
      </c>
      <c r="J1077" s="70">
        <v>0.9</v>
      </c>
      <c r="K1077" s="71">
        <v>0.89285714285714302</v>
      </c>
      <c r="L1077" s="71">
        <v>0.86567164179104505</v>
      </c>
      <c r="M1077" s="72">
        <v>0.931034482758621</v>
      </c>
      <c r="N1077" s="71">
        <v>0.81575246132208201</v>
      </c>
      <c r="O1077" s="73">
        <v>0.9</v>
      </c>
      <c r="P1077" s="71">
        <v>0.95978552278820395</v>
      </c>
      <c r="Q1077" s="71">
        <v>0.94993455497382195</v>
      </c>
      <c r="R1077" s="71">
        <v>0.860983423875192</v>
      </c>
      <c r="S1077" s="71">
        <v>0.89779316674314802</v>
      </c>
      <c r="T1077" s="73">
        <v>0.9</v>
      </c>
      <c r="U1077" s="71">
        <v>0.90214477211796296</v>
      </c>
      <c r="V1077" s="71">
        <v>0.91393979057591601</v>
      </c>
      <c r="W1077" s="71">
        <v>0.795375400473604</v>
      </c>
      <c r="X1077" s="71">
        <v>0.85721635865559798</v>
      </c>
      <c r="Y1077" s="73">
        <v>0.92</v>
      </c>
      <c r="Z1077" s="73">
        <v>0.93217174859987595</v>
      </c>
      <c r="AA1077" s="73">
        <v>0.96408529741863103</v>
      </c>
      <c r="AB1077" s="73">
        <v>0.90521739130434797</v>
      </c>
      <c r="AC1077" s="73">
        <v>0.93025809994508502</v>
      </c>
      <c r="AD1077" s="73">
        <v>0.92</v>
      </c>
      <c r="AE1077" s="71">
        <v>0.961012183692596</v>
      </c>
      <c r="AF1077" s="71">
        <v>0.92703777335984106</v>
      </c>
      <c r="AG1077" s="71">
        <v>0.98992805755395696</v>
      </c>
      <c r="AH1077" s="71">
        <v>0.850545578744899</v>
      </c>
      <c r="AI1077" s="73">
        <v>0.92</v>
      </c>
      <c r="AJ1077" s="71">
        <v>0.95939503534440196</v>
      </c>
      <c r="AK1077" s="71">
        <v>0.98029697315819497</v>
      </c>
      <c r="AL1077" s="71">
        <v>0.93208543316534698</v>
      </c>
      <c r="AM1077" s="71">
        <v>0.96421305714814098</v>
      </c>
      <c r="AN1077" s="70">
        <v>0.99</v>
      </c>
      <c r="AO1077" s="75">
        <v>1</v>
      </c>
      <c r="AP1077" s="75">
        <v>1</v>
      </c>
      <c r="AQ1077" s="75">
        <v>1</v>
      </c>
      <c r="AR1077" s="75">
        <v>1</v>
      </c>
      <c r="AS1077" s="95">
        <v>7.2186152540827803E-2</v>
      </c>
      <c r="AT1077" s="79">
        <v>2.1739130434782601E-2</v>
      </c>
      <c r="AU1077" s="79">
        <v>6.8965517241379296E-2</v>
      </c>
      <c r="AV1077" s="79">
        <v>0</v>
      </c>
      <c r="AW1077" s="79">
        <v>2.8571428571428598E-2</v>
      </c>
      <c r="AX1077" s="56"/>
      <c r="AY1077" s="54"/>
    </row>
    <row r="1078" spans="1:51">
      <c r="A1078" s="53"/>
      <c r="B1078" s="56"/>
      <c r="C1078" s="90" t="s">
        <v>1079</v>
      </c>
      <c r="D1078" s="230" t="s">
        <v>1757</v>
      </c>
      <c r="E1078" s="68" t="s">
        <v>1080</v>
      </c>
      <c r="F1078" s="128" t="s">
        <v>1102</v>
      </c>
      <c r="G1078" s="128" t="s">
        <v>1102</v>
      </c>
      <c r="H1078" s="128" t="s">
        <v>1102</v>
      </c>
      <c r="I1078" s="128" t="s">
        <v>1102</v>
      </c>
      <c r="J1078" s="70">
        <v>0.9</v>
      </c>
      <c r="K1078" s="71">
        <v>1</v>
      </c>
      <c r="L1078" s="71">
        <v>0.96666666666666701</v>
      </c>
      <c r="M1078" s="72">
        <v>0.93548387096774199</v>
      </c>
      <c r="N1078" s="71">
        <v>0.94736842105263197</v>
      </c>
      <c r="O1078" s="73">
        <v>0.9</v>
      </c>
      <c r="P1078" s="71">
        <v>0.97448747152619597</v>
      </c>
      <c r="Q1078" s="71">
        <v>0.95076726342711004</v>
      </c>
      <c r="R1078" s="71">
        <v>0.97254207263064696</v>
      </c>
      <c r="S1078" s="71">
        <v>0.95893455098934599</v>
      </c>
      <c r="T1078" s="73">
        <v>0.9</v>
      </c>
      <c r="U1078" s="71">
        <v>0.94533029612756303</v>
      </c>
      <c r="V1078" s="71">
        <v>0.95300511508951402</v>
      </c>
      <c r="W1078" s="71">
        <v>0.93504576321228206</v>
      </c>
      <c r="X1078" s="71">
        <v>0.960304414003044</v>
      </c>
      <c r="Y1078" s="73">
        <v>0.92</v>
      </c>
      <c r="Z1078" s="73">
        <v>0.85329744279946196</v>
      </c>
      <c r="AA1078" s="73">
        <v>0.95909090909090899</v>
      </c>
      <c r="AB1078" s="73">
        <v>0.94942528735632203</v>
      </c>
      <c r="AC1078" s="73">
        <v>0.94547053649956003</v>
      </c>
      <c r="AD1078" s="73">
        <v>0.92</v>
      </c>
      <c r="AE1078" s="71">
        <v>0.99576956575836795</v>
      </c>
      <c r="AF1078" s="71">
        <v>0.99756598463527801</v>
      </c>
      <c r="AG1078" s="71">
        <v>0.97334123222748803</v>
      </c>
      <c r="AH1078" s="71">
        <v>0.99478312908177902</v>
      </c>
      <c r="AI1078" s="73">
        <v>0.92</v>
      </c>
      <c r="AJ1078" s="71">
        <v>0.942818243703199</v>
      </c>
      <c r="AK1078" s="71">
        <v>0.97897982062780298</v>
      </c>
      <c r="AL1078" s="71">
        <v>0.98351648351648302</v>
      </c>
      <c r="AM1078" s="71">
        <v>0.98069167170800597</v>
      </c>
      <c r="AN1078" s="70">
        <v>0.99</v>
      </c>
      <c r="AO1078" s="75">
        <v>1</v>
      </c>
      <c r="AP1078" s="75">
        <v>1</v>
      </c>
      <c r="AQ1078" s="75">
        <v>1</v>
      </c>
      <c r="AR1078" s="75">
        <v>1</v>
      </c>
      <c r="AS1078" s="95">
        <v>7.2186152540827803E-2</v>
      </c>
      <c r="AT1078" s="79">
        <v>0.1</v>
      </c>
      <c r="AU1078" s="79">
        <v>-7.69230769230769E-2</v>
      </c>
      <c r="AV1078" s="79">
        <v>0</v>
      </c>
      <c r="AW1078" s="79">
        <v>4.5112781954887202E-2</v>
      </c>
      <c r="AX1078" s="56"/>
      <c r="AY1078" s="54"/>
    </row>
    <row r="1079" spans="1:51">
      <c r="A1079" s="53"/>
      <c r="B1079" s="56"/>
      <c r="C1079" s="90" t="s">
        <v>1079</v>
      </c>
      <c r="D1079" s="230" t="s">
        <v>1757</v>
      </c>
      <c r="E1079" s="68" t="s">
        <v>1080</v>
      </c>
      <c r="F1079" s="128" t="s">
        <v>1103</v>
      </c>
      <c r="G1079" s="128" t="s">
        <v>1103</v>
      </c>
      <c r="H1079" s="128" t="s">
        <v>1103</v>
      </c>
      <c r="I1079" s="128" t="s">
        <v>1103</v>
      </c>
      <c r="J1079" s="70">
        <v>0.9</v>
      </c>
      <c r="K1079" s="71">
        <v>0.93181818181818199</v>
      </c>
      <c r="L1079" s="71">
        <v>0.97727272727272696</v>
      </c>
      <c r="M1079" s="72">
        <v>1</v>
      </c>
      <c r="N1079" s="71">
        <v>0.94549266247379504</v>
      </c>
      <c r="O1079" s="73">
        <v>0.9</v>
      </c>
      <c r="P1079" s="71">
        <v>0.97494033412887804</v>
      </c>
      <c r="Q1079" s="71">
        <v>0.93004729897933802</v>
      </c>
      <c r="R1079" s="71">
        <v>0.91715285880980202</v>
      </c>
      <c r="S1079" s="71">
        <v>0.90572101022902096</v>
      </c>
      <c r="T1079" s="73">
        <v>0.9</v>
      </c>
      <c r="U1079" s="71">
        <v>0.86992840095465396</v>
      </c>
      <c r="V1079" s="71">
        <v>0.82773213841174997</v>
      </c>
      <c r="W1079" s="71">
        <v>0.83150525087514604</v>
      </c>
      <c r="X1079" s="71">
        <v>0.81927220059744699</v>
      </c>
      <c r="Y1079" s="73">
        <v>0.92</v>
      </c>
      <c r="Z1079" s="73">
        <v>0.91816223977028</v>
      </c>
      <c r="AA1079" s="73">
        <v>0.88839285714285698</v>
      </c>
      <c r="AB1079" s="73">
        <v>0.88490099009901002</v>
      </c>
      <c r="AC1079" s="73">
        <v>0.90098239470868602</v>
      </c>
      <c r="AD1079" s="73">
        <v>0.92</v>
      </c>
      <c r="AE1079" s="71">
        <v>0.99598292744162698</v>
      </c>
      <c r="AF1079" s="71">
        <v>0.96319796954314696</v>
      </c>
      <c r="AG1079" s="71">
        <v>0.99803493449781699</v>
      </c>
      <c r="AH1079" s="71">
        <v>0.99405971549163696</v>
      </c>
      <c r="AI1079" s="73">
        <v>0.92</v>
      </c>
      <c r="AJ1079" s="71">
        <v>0.94521702486304304</v>
      </c>
      <c r="AK1079" s="71">
        <v>0.94817658349328204</v>
      </c>
      <c r="AL1079" s="71">
        <v>0.93619945033372598</v>
      </c>
      <c r="AM1079" s="71">
        <v>0.94573259165427503</v>
      </c>
      <c r="AN1079" s="70">
        <v>0.99</v>
      </c>
      <c r="AO1079" s="75">
        <v>1</v>
      </c>
      <c r="AP1079" s="75">
        <v>1</v>
      </c>
      <c r="AQ1079" s="75">
        <v>1</v>
      </c>
      <c r="AR1079" s="75">
        <v>1</v>
      </c>
      <c r="AS1079" s="95">
        <v>7.2186152540827803E-2</v>
      </c>
      <c r="AT1079" s="79">
        <v>0</v>
      </c>
      <c r="AU1079" s="79">
        <v>-0.02</v>
      </c>
      <c r="AV1079" s="79">
        <v>1.8181818181818198E-2</v>
      </c>
      <c r="AW1079" s="79">
        <v>1.0504201680672299E-2</v>
      </c>
      <c r="AX1079" s="56"/>
      <c r="AY1079" s="54"/>
    </row>
    <row r="1080" spans="1:51">
      <c r="A1080" s="53"/>
      <c r="B1080" s="56"/>
      <c r="C1080" s="90" t="s">
        <v>1079</v>
      </c>
      <c r="D1080" s="230" t="s">
        <v>1757</v>
      </c>
      <c r="E1080" s="68" t="s">
        <v>1080</v>
      </c>
      <c r="F1080" s="128" t="s">
        <v>1104</v>
      </c>
      <c r="G1080" s="128" t="s">
        <v>1104</v>
      </c>
      <c r="H1080" s="128" t="s">
        <v>1104</v>
      </c>
      <c r="I1080" s="128" t="s">
        <v>1104</v>
      </c>
      <c r="J1080" s="70">
        <v>0.9</v>
      </c>
      <c r="K1080" s="71" t="s">
        <v>1710</v>
      </c>
      <c r="L1080" s="71" t="s">
        <v>1710</v>
      </c>
      <c r="M1080" s="72" t="s">
        <v>1710</v>
      </c>
      <c r="N1080" s="71" t="s">
        <v>1710</v>
      </c>
      <c r="O1080" s="73">
        <v>0.9</v>
      </c>
      <c r="P1080" s="71">
        <v>0</v>
      </c>
      <c r="Q1080" s="71">
        <v>0</v>
      </c>
      <c r="R1080" s="71">
        <v>0</v>
      </c>
      <c r="S1080" s="71">
        <v>0</v>
      </c>
      <c r="T1080" s="73">
        <v>0.9</v>
      </c>
      <c r="U1080" s="71">
        <v>0</v>
      </c>
      <c r="V1080" s="71">
        <v>0</v>
      </c>
      <c r="W1080" s="71">
        <v>0</v>
      </c>
      <c r="X1080" s="71">
        <v>9.0909090909090898E-2</v>
      </c>
      <c r="Y1080" s="73">
        <v>0.92</v>
      </c>
      <c r="Z1080" s="73" t="s">
        <v>1710</v>
      </c>
      <c r="AA1080" s="73" t="s">
        <v>1710</v>
      </c>
      <c r="AB1080" s="73" t="s">
        <v>1710</v>
      </c>
      <c r="AC1080" s="73">
        <v>0</v>
      </c>
      <c r="AD1080" s="73">
        <v>0.92</v>
      </c>
      <c r="AE1080" s="71" t="s">
        <v>1710</v>
      </c>
      <c r="AF1080" s="71" t="s">
        <v>1710</v>
      </c>
      <c r="AG1080" s="71">
        <v>0</v>
      </c>
      <c r="AH1080" s="71">
        <v>0.5</v>
      </c>
      <c r="AI1080" s="73">
        <v>0.92</v>
      </c>
      <c r="AJ1080" s="71">
        <v>0</v>
      </c>
      <c r="AK1080" s="71">
        <v>4.2194092827004199E-3</v>
      </c>
      <c r="AL1080" s="71">
        <v>5.2447552447552398E-3</v>
      </c>
      <c r="AM1080" s="71">
        <v>5.0993106487456303E-3</v>
      </c>
      <c r="AN1080" s="70">
        <v>0.99</v>
      </c>
      <c r="AO1080" s="75" t="s">
        <v>1710</v>
      </c>
      <c r="AP1080" s="75" t="s">
        <v>1710</v>
      </c>
      <c r="AQ1080" s="75" t="s">
        <v>1710</v>
      </c>
      <c r="AR1080" s="75" t="s">
        <v>1710</v>
      </c>
      <c r="AS1080" s="95">
        <v>7.2186152540827803E-2</v>
      </c>
      <c r="AT1080" s="79">
        <v>0</v>
      </c>
      <c r="AU1080" s="79">
        <v>0</v>
      </c>
      <c r="AV1080" s="79">
        <v>0.5</v>
      </c>
      <c r="AW1080" s="79">
        <v>8.6956521739130405E-2</v>
      </c>
      <c r="AX1080" s="56"/>
      <c r="AY1080" s="54"/>
    </row>
    <row r="1081" spans="1:51">
      <c r="A1081" s="53"/>
      <c r="B1081" s="56"/>
      <c r="C1081" s="90" t="s">
        <v>1079</v>
      </c>
      <c r="D1081" s="230" t="s">
        <v>1757</v>
      </c>
      <c r="E1081" s="68" t="s">
        <v>1080</v>
      </c>
      <c r="F1081" s="128" t="s">
        <v>1105</v>
      </c>
      <c r="G1081" s="128" t="s">
        <v>1105</v>
      </c>
      <c r="H1081" s="128" t="s">
        <v>1105</v>
      </c>
      <c r="I1081" s="128" t="s">
        <v>1105</v>
      </c>
      <c r="J1081" s="70">
        <v>0.9</v>
      </c>
      <c r="K1081" s="71">
        <v>1</v>
      </c>
      <c r="L1081" s="71">
        <v>0.96296296296296302</v>
      </c>
      <c r="M1081" s="72">
        <v>0.92307692307692302</v>
      </c>
      <c r="N1081" s="71">
        <v>0.95439739413680802</v>
      </c>
      <c r="O1081" s="73">
        <v>0.9</v>
      </c>
      <c r="P1081" s="71">
        <v>0.99773755656108598</v>
      </c>
      <c r="Q1081" s="71">
        <v>0.99132546842470504</v>
      </c>
      <c r="R1081" s="71">
        <v>0.99005964214711695</v>
      </c>
      <c r="S1081" s="71">
        <v>0.98186622625928999</v>
      </c>
      <c r="T1081" s="73">
        <v>0.9</v>
      </c>
      <c r="U1081" s="71">
        <v>0.95475113122171995</v>
      </c>
      <c r="V1081" s="71">
        <v>0.92158223455933397</v>
      </c>
      <c r="W1081" s="71">
        <v>0.91451292246520899</v>
      </c>
      <c r="X1081" s="71">
        <v>0.94160198183319599</v>
      </c>
      <c r="Y1081" s="73">
        <v>0.92</v>
      </c>
      <c r="Z1081" s="73">
        <v>0.94432548179871501</v>
      </c>
      <c r="AA1081" s="73">
        <v>0.95528455284552805</v>
      </c>
      <c r="AB1081" s="73">
        <v>0.94983818770226502</v>
      </c>
      <c r="AC1081" s="73">
        <v>0.95578461955784599</v>
      </c>
      <c r="AD1081" s="73">
        <v>0.92</v>
      </c>
      <c r="AE1081" s="71">
        <v>0.999198259076853</v>
      </c>
      <c r="AF1081" s="71">
        <v>0.98511514697622204</v>
      </c>
      <c r="AG1081" s="71">
        <v>0.995681562147953</v>
      </c>
      <c r="AH1081" s="71">
        <v>0.98351383044767904</v>
      </c>
      <c r="AI1081" s="73">
        <v>0.92</v>
      </c>
      <c r="AJ1081" s="71">
        <v>0.969465648854962</v>
      </c>
      <c r="AK1081" s="71">
        <v>0.97717842323651405</v>
      </c>
      <c r="AL1081" s="71">
        <v>0.97744774477447705</v>
      </c>
      <c r="AM1081" s="71">
        <v>0.97702523240371797</v>
      </c>
      <c r="AN1081" s="70">
        <v>0.99</v>
      </c>
      <c r="AO1081" s="75">
        <v>1</v>
      </c>
      <c r="AP1081" s="75">
        <v>1</v>
      </c>
      <c r="AQ1081" s="75">
        <v>1</v>
      </c>
      <c r="AR1081" s="75">
        <v>1</v>
      </c>
      <c r="AS1081" s="95">
        <v>7.2186152540827803E-2</v>
      </c>
      <c r="AT1081" s="79">
        <v>0</v>
      </c>
      <c r="AU1081" s="79">
        <v>0</v>
      </c>
      <c r="AV1081" s="79">
        <v>0</v>
      </c>
      <c r="AW1081" s="79">
        <v>3.4482758620689703E-2</v>
      </c>
      <c r="AX1081" s="56"/>
      <c r="AY1081" s="54"/>
    </row>
    <row r="1082" spans="1:51">
      <c r="A1082" s="53"/>
      <c r="B1082" s="56"/>
      <c r="C1082" s="90" t="s">
        <v>1079</v>
      </c>
      <c r="D1082" s="230" t="s">
        <v>1757</v>
      </c>
      <c r="E1082" s="68" t="s">
        <v>1080</v>
      </c>
      <c r="F1082" s="128" t="s">
        <v>1106</v>
      </c>
      <c r="G1082" s="128" t="s">
        <v>1106</v>
      </c>
      <c r="H1082" s="128" t="s">
        <v>1106</v>
      </c>
      <c r="I1082" s="128" t="s">
        <v>1106</v>
      </c>
      <c r="J1082" s="70">
        <v>0.9</v>
      </c>
      <c r="K1082" s="71">
        <v>0.952380952380952</v>
      </c>
      <c r="L1082" s="71">
        <v>0.91304347826086996</v>
      </c>
      <c r="M1082" s="72">
        <v>0.91304347826086996</v>
      </c>
      <c r="N1082" s="71">
        <v>0.95199999999999996</v>
      </c>
      <c r="O1082" s="73">
        <v>0.9</v>
      </c>
      <c r="P1082" s="71">
        <v>0.972760607647983</v>
      </c>
      <c r="Q1082" s="71">
        <v>0.98516949152542399</v>
      </c>
      <c r="R1082" s="71">
        <v>0.97507788161993803</v>
      </c>
      <c r="S1082" s="71">
        <v>0.91657989124146699</v>
      </c>
      <c r="T1082" s="73">
        <v>0.9</v>
      </c>
      <c r="U1082" s="71">
        <v>0.95861707700366705</v>
      </c>
      <c r="V1082" s="71">
        <v>0.94661016949152499</v>
      </c>
      <c r="W1082" s="71">
        <v>0.93224299065420602</v>
      </c>
      <c r="X1082" s="71">
        <v>0.94731767518994203</v>
      </c>
      <c r="Y1082" s="73">
        <v>0.92</v>
      </c>
      <c r="Z1082" s="73">
        <v>0.95077355836849498</v>
      </c>
      <c r="AA1082" s="73">
        <v>0.95812807881773399</v>
      </c>
      <c r="AB1082" s="73">
        <v>0.96703296703296704</v>
      </c>
      <c r="AC1082" s="73">
        <v>0.96510851419031696</v>
      </c>
      <c r="AD1082" s="73">
        <v>0.92</v>
      </c>
      <c r="AE1082" s="71">
        <v>1</v>
      </c>
      <c r="AF1082" s="71">
        <v>0.998046875</v>
      </c>
      <c r="AG1082" s="71">
        <v>0.99946638207043803</v>
      </c>
      <c r="AH1082" s="71">
        <v>0.99488926746166995</v>
      </c>
      <c r="AI1082" s="73">
        <v>0.92</v>
      </c>
      <c r="AJ1082" s="71">
        <v>0.97405570392979801</v>
      </c>
      <c r="AK1082" s="71">
        <v>0.97650036153289999</v>
      </c>
      <c r="AL1082" s="71">
        <v>0.97419781673833905</v>
      </c>
      <c r="AM1082" s="71">
        <v>0.98107769423558899</v>
      </c>
      <c r="AN1082" s="70">
        <v>0.99</v>
      </c>
      <c r="AO1082" s="75">
        <v>1</v>
      </c>
      <c r="AP1082" s="75">
        <v>1</v>
      </c>
      <c r="AQ1082" s="75">
        <v>1</v>
      </c>
      <c r="AR1082" s="75">
        <v>1</v>
      </c>
      <c r="AS1082" s="95">
        <v>7.2186152540827803E-2</v>
      </c>
      <c r="AT1082" s="79">
        <v>4.5454545454545497E-2</v>
      </c>
      <c r="AU1082" s="79">
        <v>4.5454545454545497E-2</v>
      </c>
      <c r="AV1082" s="79">
        <v>0</v>
      </c>
      <c r="AW1082" s="79">
        <v>3.9525691699604702E-2</v>
      </c>
      <c r="AX1082" s="56"/>
      <c r="AY1082" s="54"/>
    </row>
    <row r="1083" spans="1:51">
      <c r="A1083" s="53"/>
      <c r="B1083" s="56"/>
      <c r="C1083" s="90" t="s">
        <v>1079</v>
      </c>
      <c r="D1083" s="230" t="s">
        <v>1757</v>
      </c>
      <c r="E1083" s="68" t="s">
        <v>1080</v>
      </c>
      <c r="F1083" s="128" t="s">
        <v>1107</v>
      </c>
      <c r="G1083" s="128" t="s">
        <v>1107</v>
      </c>
      <c r="H1083" s="128" t="s">
        <v>1107</v>
      </c>
      <c r="I1083" s="128" t="s">
        <v>1107</v>
      </c>
      <c r="J1083" s="70">
        <v>0.9</v>
      </c>
      <c r="K1083" s="71">
        <v>0.95833333333333304</v>
      </c>
      <c r="L1083" s="71">
        <v>0.95890410958904104</v>
      </c>
      <c r="M1083" s="72">
        <v>0.94444444444444398</v>
      </c>
      <c r="N1083" s="71">
        <v>0.97055214723926397</v>
      </c>
      <c r="O1083" s="73">
        <v>0.9</v>
      </c>
      <c r="P1083" s="71">
        <v>0.97800248359056197</v>
      </c>
      <c r="Q1083" s="71">
        <v>0.95770736018179503</v>
      </c>
      <c r="R1083" s="71">
        <v>0.94351851851851898</v>
      </c>
      <c r="S1083" s="71">
        <v>0.94012080380996599</v>
      </c>
      <c r="T1083" s="73">
        <v>0.9</v>
      </c>
      <c r="U1083" s="71">
        <v>0.94092602448110696</v>
      </c>
      <c r="V1083" s="71">
        <v>0.93283676303496998</v>
      </c>
      <c r="W1083" s="71">
        <v>0.87268518518518501</v>
      </c>
      <c r="X1083" s="71">
        <v>0.90261354396561699</v>
      </c>
      <c r="Y1083" s="73">
        <v>0.92</v>
      </c>
      <c r="Z1083" s="73">
        <v>0.94081439393939403</v>
      </c>
      <c r="AA1083" s="73">
        <v>0.94353369763205797</v>
      </c>
      <c r="AB1083" s="73">
        <v>0.94226804123711305</v>
      </c>
      <c r="AC1083" s="73">
        <v>0.94937058303886901</v>
      </c>
      <c r="AD1083" s="73">
        <v>0.92</v>
      </c>
      <c r="AE1083" s="71">
        <v>0.99805854241338099</v>
      </c>
      <c r="AF1083" s="71">
        <v>0.98444022770398498</v>
      </c>
      <c r="AG1083" s="71">
        <v>0.99881516587677699</v>
      </c>
      <c r="AH1083" s="71">
        <v>0.99664537382989804</v>
      </c>
      <c r="AI1083" s="73">
        <v>0.92</v>
      </c>
      <c r="AJ1083" s="71">
        <v>0.96671397239065904</v>
      </c>
      <c r="AK1083" s="71">
        <v>0.97705099778270499</v>
      </c>
      <c r="AL1083" s="71">
        <v>0.97019211725094101</v>
      </c>
      <c r="AM1083" s="71">
        <v>0.97577077715831995</v>
      </c>
      <c r="AN1083" s="70">
        <v>0.99</v>
      </c>
      <c r="AO1083" s="75">
        <v>1</v>
      </c>
      <c r="AP1083" s="75">
        <v>1</v>
      </c>
      <c r="AQ1083" s="75">
        <v>1</v>
      </c>
      <c r="AR1083" s="75">
        <v>1</v>
      </c>
      <c r="AS1083" s="95">
        <v>7.2186152540827803E-2</v>
      </c>
      <c r="AT1083" s="79">
        <v>9.375E-2</v>
      </c>
      <c r="AU1083" s="79">
        <v>0.148148148148148</v>
      </c>
      <c r="AV1083" s="79">
        <v>0</v>
      </c>
      <c r="AW1083" s="79">
        <v>5.2777777777777798E-2</v>
      </c>
      <c r="AX1083" s="56"/>
      <c r="AY1083" s="54"/>
    </row>
    <row r="1084" spans="1:51">
      <c r="A1084" s="53"/>
      <c r="B1084" s="56"/>
      <c r="C1084" s="90" t="s">
        <v>1079</v>
      </c>
      <c r="D1084" s="230" t="s">
        <v>1757</v>
      </c>
      <c r="E1084" s="68" t="s">
        <v>1080</v>
      </c>
      <c r="F1084" s="128" t="s">
        <v>1108</v>
      </c>
      <c r="G1084" s="128" t="s">
        <v>1108</v>
      </c>
      <c r="H1084" s="128" t="s">
        <v>1108</v>
      </c>
      <c r="I1084" s="128" t="s">
        <v>1108</v>
      </c>
      <c r="J1084" s="70">
        <v>0.9</v>
      </c>
      <c r="K1084" s="71">
        <v>0.95454545454545503</v>
      </c>
      <c r="L1084" s="71">
        <v>1</v>
      </c>
      <c r="M1084" s="72">
        <v>1</v>
      </c>
      <c r="N1084" s="71">
        <v>0.98785425101214597</v>
      </c>
      <c r="O1084" s="73">
        <v>0.9</v>
      </c>
      <c r="P1084" s="71">
        <v>0.97472456254050599</v>
      </c>
      <c r="Q1084" s="71">
        <v>0.97388914338066901</v>
      </c>
      <c r="R1084" s="71">
        <v>0.97826086956521696</v>
      </c>
      <c r="S1084" s="71">
        <v>0.96466796148601197</v>
      </c>
      <c r="T1084" s="73">
        <v>0.9</v>
      </c>
      <c r="U1084" s="71">
        <v>0.95139338950097196</v>
      </c>
      <c r="V1084" s="71">
        <v>0.95968850206138301</v>
      </c>
      <c r="W1084" s="71">
        <v>0.924834193072955</v>
      </c>
      <c r="X1084" s="71">
        <v>0.93710483904293596</v>
      </c>
      <c r="Y1084" s="73">
        <v>0.92</v>
      </c>
      <c r="Z1084" s="73">
        <v>0.96518105849582203</v>
      </c>
      <c r="AA1084" s="73">
        <v>0.95955882352941202</v>
      </c>
      <c r="AB1084" s="73">
        <v>0.95873786407767003</v>
      </c>
      <c r="AC1084" s="73">
        <v>0.95618305744887999</v>
      </c>
      <c r="AD1084" s="73">
        <v>0.92</v>
      </c>
      <c r="AE1084" s="71">
        <v>0.993952721275426</v>
      </c>
      <c r="AF1084" s="71">
        <v>0.99038461538461497</v>
      </c>
      <c r="AG1084" s="71">
        <v>0.99407699901283297</v>
      </c>
      <c r="AH1084" s="71">
        <v>0.99718021020251202</v>
      </c>
      <c r="AI1084" s="73">
        <v>0.92</v>
      </c>
      <c r="AJ1084" s="71">
        <v>0.97700132684652796</v>
      </c>
      <c r="AK1084" s="71">
        <v>0.98371335504886004</v>
      </c>
      <c r="AL1084" s="71">
        <v>0.97761432683082805</v>
      </c>
      <c r="AM1084" s="71">
        <v>0.98104717752931503</v>
      </c>
      <c r="AN1084" s="70">
        <v>0.99</v>
      </c>
      <c r="AO1084" s="75">
        <v>1</v>
      </c>
      <c r="AP1084" s="75">
        <v>1</v>
      </c>
      <c r="AQ1084" s="75">
        <v>1</v>
      </c>
      <c r="AR1084" s="75">
        <v>1</v>
      </c>
      <c r="AS1084" s="95">
        <v>7.2186152540827803E-2</v>
      </c>
      <c r="AT1084" s="79">
        <v>0</v>
      </c>
      <c r="AU1084" s="79">
        <v>0</v>
      </c>
      <c r="AV1084" s="79">
        <v>0.5</v>
      </c>
      <c r="AW1084" s="79">
        <v>7.4074074074074098E-2</v>
      </c>
      <c r="AX1084" s="56"/>
      <c r="AY1084" s="54"/>
    </row>
    <row r="1085" spans="1:51">
      <c r="A1085" s="53"/>
      <c r="B1085" s="56"/>
      <c r="C1085" s="90" t="s">
        <v>1079</v>
      </c>
      <c r="D1085" s="230" t="s">
        <v>1757</v>
      </c>
      <c r="E1085" s="68" t="s">
        <v>1080</v>
      </c>
      <c r="F1085" s="128" t="s">
        <v>1109</v>
      </c>
      <c r="G1085" s="128" t="s">
        <v>1109</v>
      </c>
      <c r="H1085" s="128" t="s">
        <v>1109</v>
      </c>
      <c r="I1085" s="128" t="s">
        <v>1109</v>
      </c>
      <c r="J1085" s="70">
        <v>0.9</v>
      </c>
      <c r="K1085" s="71">
        <v>0.94444444444444398</v>
      </c>
      <c r="L1085" s="71">
        <v>0.95652173913043503</v>
      </c>
      <c r="M1085" s="72">
        <v>0.95454545454545503</v>
      </c>
      <c r="N1085" s="71">
        <v>0.94399999999999995</v>
      </c>
      <c r="O1085" s="73">
        <v>0.9</v>
      </c>
      <c r="P1085" s="71">
        <v>0.96536144578313299</v>
      </c>
      <c r="Q1085" s="71">
        <v>0.95800524934383202</v>
      </c>
      <c r="R1085" s="71">
        <v>0.92759562841530097</v>
      </c>
      <c r="S1085" s="71">
        <v>0.88251238433498502</v>
      </c>
      <c r="T1085" s="73">
        <v>0.9</v>
      </c>
      <c r="U1085" s="71">
        <v>0.95406626506024095</v>
      </c>
      <c r="V1085" s="71">
        <v>0.92178477690288696</v>
      </c>
      <c r="W1085" s="71">
        <v>0.89845173041894399</v>
      </c>
      <c r="X1085" s="71">
        <v>0.93653612487148297</v>
      </c>
      <c r="Y1085" s="73">
        <v>0.92</v>
      </c>
      <c r="Z1085" s="73">
        <v>0.93781512605041994</v>
      </c>
      <c r="AA1085" s="73">
        <v>0.96072507552870101</v>
      </c>
      <c r="AB1085" s="73">
        <v>0.95165394402035597</v>
      </c>
      <c r="AC1085" s="73">
        <v>0.96027049873203696</v>
      </c>
      <c r="AD1085" s="73">
        <v>0.92</v>
      </c>
      <c r="AE1085" s="71">
        <v>0.99543057996485096</v>
      </c>
      <c r="AF1085" s="71">
        <v>0.897826086956522</v>
      </c>
      <c r="AG1085" s="71">
        <v>0.99888579387186605</v>
      </c>
      <c r="AH1085" s="71">
        <v>0.99463083927157603</v>
      </c>
      <c r="AI1085" s="73">
        <v>0.92</v>
      </c>
      <c r="AJ1085" s="71">
        <v>0.96827873114924601</v>
      </c>
      <c r="AK1085" s="71">
        <v>0.97763864042933801</v>
      </c>
      <c r="AL1085" s="71">
        <v>0.96254826254826298</v>
      </c>
      <c r="AM1085" s="71">
        <v>0.97926232017141102</v>
      </c>
      <c r="AN1085" s="70">
        <v>0.99</v>
      </c>
      <c r="AO1085" s="75">
        <v>1</v>
      </c>
      <c r="AP1085" s="75">
        <v>1</v>
      </c>
      <c r="AQ1085" s="75">
        <v>1</v>
      </c>
      <c r="AR1085" s="75">
        <v>1</v>
      </c>
      <c r="AS1085" s="95">
        <v>7.2186152540827803E-2</v>
      </c>
      <c r="AT1085" s="79">
        <v>0</v>
      </c>
      <c r="AU1085" s="79">
        <v>0</v>
      </c>
      <c r="AV1085" s="79">
        <v>0</v>
      </c>
      <c r="AW1085" s="79">
        <v>1.1904761904761901E-2</v>
      </c>
      <c r="AX1085" s="56"/>
      <c r="AY1085" s="54"/>
    </row>
    <row r="1086" spans="1:51">
      <c r="A1086" s="53"/>
      <c r="B1086" s="56"/>
      <c r="C1086" s="90" t="s">
        <v>1079</v>
      </c>
      <c r="D1086" s="230" t="s">
        <v>1757</v>
      </c>
      <c r="E1086" s="68" t="s">
        <v>1080</v>
      </c>
      <c r="F1086" s="128" t="s">
        <v>1110</v>
      </c>
      <c r="G1086" s="128" t="s">
        <v>1110</v>
      </c>
      <c r="H1086" s="128" t="s">
        <v>1110</v>
      </c>
      <c r="I1086" s="128" t="s">
        <v>1110</v>
      </c>
      <c r="J1086" s="70">
        <v>0.9</v>
      </c>
      <c r="K1086" s="71">
        <v>1</v>
      </c>
      <c r="L1086" s="71">
        <v>1</v>
      </c>
      <c r="M1086" s="72">
        <v>0.97058823529411797</v>
      </c>
      <c r="N1086" s="71">
        <v>0.97289972899729005</v>
      </c>
      <c r="O1086" s="73">
        <v>0.9</v>
      </c>
      <c r="P1086" s="71">
        <v>0.98063380281690105</v>
      </c>
      <c r="Q1086" s="71">
        <v>0.98479087452471503</v>
      </c>
      <c r="R1086" s="71">
        <v>0.97244642360144695</v>
      </c>
      <c r="S1086" s="71">
        <v>0.98240312833274102</v>
      </c>
      <c r="T1086" s="73">
        <v>0.9</v>
      </c>
      <c r="U1086" s="71">
        <v>0.93661971830985902</v>
      </c>
      <c r="V1086" s="71">
        <v>0.91888466413181202</v>
      </c>
      <c r="W1086" s="71">
        <v>0.92290564987475598</v>
      </c>
      <c r="X1086" s="71">
        <v>0.94430619741675603</v>
      </c>
      <c r="Y1086" s="73">
        <v>0.92</v>
      </c>
      <c r="Z1086" s="73">
        <v>0.91871921182266003</v>
      </c>
      <c r="AA1086" s="73">
        <v>0.94838709677419397</v>
      </c>
      <c r="AB1086" s="73">
        <v>0.87480680061823801</v>
      </c>
      <c r="AC1086" s="73">
        <v>0.91572257529704304</v>
      </c>
      <c r="AD1086" s="73">
        <v>0.92</v>
      </c>
      <c r="AE1086" s="71">
        <v>0.996223758320533</v>
      </c>
      <c r="AF1086" s="71">
        <v>0.97273816656680601</v>
      </c>
      <c r="AG1086" s="71">
        <v>0.999073731011486</v>
      </c>
      <c r="AH1086" s="71">
        <v>0.99618452296389504</v>
      </c>
      <c r="AI1086" s="73">
        <v>0.92</v>
      </c>
      <c r="AJ1086" s="71">
        <v>0.96303501945525305</v>
      </c>
      <c r="AK1086" s="71">
        <v>0.97321181993924299</v>
      </c>
      <c r="AL1086" s="71">
        <v>0.959198113207547</v>
      </c>
      <c r="AM1086" s="71">
        <v>0.97065424208420703</v>
      </c>
      <c r="AN1086" s="70">
        <v>0.99</v>
      </c>
      <c r="AO1086" s="75">
        <v>1</v>
      </c>
      <c r="AP1086" s="75">
        <v>1</v>
      </c>
      <c r="AQ1086" s="75">
        <v>1</v>
      </c>
      <c r="AR1086" s="75">
        <v>1</v>
      </c>
      <c r="AS1086" s="95">
        <v>7.2186152540827803E-2</v>
      </c>
      <c r="AT1086" s="79">
        <v>0</v>
      </c>
      <c r="AU1086" s="79">
        <v>7.1428571428571397E-2</v>
      </c>
      <c r="AV1086" s="79">
        <v>7.69230769230769E-2</v>
      </c>
      <c r="AW1086" s="79">
        <v>2.51572327044025E-2</v>
      </c>
      <c r="AX1086" s="56"/>
      <c r="AY1086" s="54"/>
    </row>
    <row r="1087" spans="1:51">
      <c r="A1087" s="53"/>
      <c r="B1087" s="56"/>
      <c r="C1087" s="90" t="s">
        <v>1079</v>
      </c>
      <c r="D1087" s="230" t="s">
        <v>1757</v>
      </c>
      <c r="E1087" s="68" t="s">
        <v>1080</v>
      </c>
      <c r="F1087" s="128" t="s">
        <v>1111</v>
      </c>
      <c r="G1087" s="128" t="s">
        <v>1111</v>
      </c>
      <c r="H1087" s="128" t="s">
        <v>1111</v>
      </c>
      <c r="I1087" s="128" t="s">
        <v>1111</v>
      </c>
      <c r="J1087" s="70">
        <v>0.9</v>
      </c>
      <c r="K1087" s="71">
        <v>0.92</v>
      </c>
      <c r="L1087" s="71">
        <v>0.77419354838709697</v>
      </c>
      <c r="M1087" s="72">
        <v>0.88</v>
      </c>
      <c r="N1087" s="71">
        <v>0.89024390243902396</v>
      </c>
      <c r="O1087" s="73">
        <v>0.9</v>
      </c>
      <c r="P1087" s="71">
        <v>0.97648165569143897</v>
      </c>
      <c r="Q1087" s="71">
        <v>0.92733333333333301</v>
      </c>
      <c r="R1087" s="71">
        <v>0.53598374927452097</v>
      </c>
      <c r="S1087" s="71">
        <v>0.82773594072634504</v>
      </c>
      <c r="T1087" s="73">
        <v>0.9</v>
      </c>
      <c r="U1087" s="71">
        <v>0.92568203198494803</v>
      </c>
      <c r="V1087" s="71">
        <v>0.911333333333333</v>
      </c>
      <c r="W1087" s="71">
        <v>0.77278003482298296</v>
      </c>
      <c r="X1087" s="71">
        <v>0.90049192274990897</v>
      </c>
      <c r="Y1087" s="73">
        <v>0.92</v>
      </c>
      <c r="Z1087" s="73">
        <v>0.89544235924933002</v>
      </c>
      <c r="AA1087" s="73">
        <v>0.82014388489208601</v>
      </c>
      <c r="AB1087" s="73">
        <v>0.84972170686456405</v>
      </c>
      <c r="AC1087" s="73">
        <v>0.87976495404550203</v>
      </c>
      <c r="AD1087" s="73">
        <v>0.92</v>
      </c>
      <c r="AE1087" s="71">
        <v>0.98196605374823198</v>
      </c>
      <c r="AF1087" s="71">
        <v>0.99339248631300703</v>
      </c>
      <c r="AG1087" s="71">
        <v>0.98287671232876705</v>
      </c>
      <c r="AH1087" s="71">
        <v>0.98652123541213399</v>
      </c>
      <c r="AI1087" s="73">
        <v>0.92</v>
      </c>
      <c r="AJ1087" s="71">
        <v>0.94396101635920604</v>
      </c>
      <c r="AK1087" s="71">
        <v>0.95668715247292901</v>
      </c>
      <c r="AL1087" s="71">
        <v>0.94002509410288604</v>
      </c>
      <c r="AM1087" s="71">
        <v>0.958177499241888</v>
      </c>
      <c r="AN1087" s="70">
        <v>0.99</v>
      </c>
      <c r="AO1087" s="75">
        <v>1</v>
      </c>
      <c r="AP1087" s="75">
        <v>1</v>
      </c>
      <c r="AQ1087" s="75">
        <v>1</v>
      </c>
      <c r="AR1087" s="75">
        <v>1</v>
      </c>
      <c r="AS1087" s="95">
        <v>7.2186152540827803E-2</v>
      </c>
      <c r="AT1087" s="79">
        <v>0.125</v>
      </c>
      <c r="AU1087" s="79">
        <v>0</v>
      </c>
      <c r="AV1087" s="79">
        <v>0.1</v>
      </c>
      <c r="AW1087" s="79">
        <v>2.6315789473684199E-2</v>
      </c>
      <c r="AX1087" s="56"/>
      <c r="AY1087" s="54"/>
    </row>
    <row r="1088" spans="1:51">
      <c r="A1088" s="53"/>
      <c r="B1088" s="56"/>
      <c r="C1088" s="90" t="s">
        <v>1079</v>
      </c>
      <c r="D1088" s="230" t="s">
        <v>1757</v>
      </c>
      <c r="E1088" s="68" t="s">
        <v>1080</v>
      </c>
      <c r="F1088" s="128" t="s">
        <v>1112</v>
      </c>
      <c r="G1088" s="128" t="s">
        <v>1112</v>
      </c>
      <c r="H1088" s="128" t="s">
        <v>1112</v>
      </c>
      <c r="I1088" s="128" t="s">
        <v>1112</v>
      </c>
      <c r="J1088" s="70">
        <v>0.9</v>
      </c>
      <c r="K1088" s="71">
        <v>0.91666666666666696</v>
      </c>
      <c r="L1088" s="71">
        <v>0.82608695652173902</v>
      </c>
      <c r="M1088" s="72">
        <v>0.9</v>
      </c>
      <c r="N1088" s="71">
        <v>0.91171171171171195</v>
      </c>
      <c r="O1088" s="73">
        <v>0.9</v>
      </c>
      <c r="P1088" s="71">
        <v>0.97150041911148399</v>
      </c>
      <c r="Q1088" s="71">
        <v>0.75300546448087402</v>
      </c>
      <c r="R1088" s="71">
        <v>0.93313069908814605</v>
      </c>
      <c r="S1088" s="71">
        <v>0.92172304755086198</v>
      </c>
      <c r="T1088" s="73">
        <v>0.9</v>
      </c>
      <c r="U1088" s="71">
        <v>0.93322157027102504</v>
      </c>
      <c r="V1088" s="71">
        <v>0.83715846994535503</v>
      </c>
      <c r="W1088" s="71">
        <v>0.93292806484295798</v>
      </c>
      <c r="X1088" s="71">
        <v>0.92410954000358003</v>
      </c>
      <c r="Y1088" s="73">
        <v>0.92</v>
      </c>
      <c r="Z1088" s="73">
        <v>0.940930787589499</v>
      </c>
      <c r="AA1088" s="73">
        <v>0.95766423357664199</v>
      </c>
      <c r="AB1088" s="73">
        <v>0.92956349206349198</v>
      </c>
      <c r="AC1088" s="73">
        <v>0.94644696189495403</v>
      </c>
      <c r="AD1088" s="73">
        <v>0.92</v>
      </c>
      <c r="AE1088" s="71">
        <v>0.989837731519423</v>
      </c>
      <c r="AF1088" s="71">
        <v>0.98596176821983295</v>
      </c>
      <c r="AG1088" s="71">
        <v>0.82001258653241005</v>
      </c>
      <c r="AH1088" s="71">
        <v>0.94532996332929098</v>
      </c>
      <c r="AI1088" s="73">
        <v>0.92</v>
      </c>
      <c r="AJ1088" s="71">
        <v>0.956232159847764</v>
      </c>
      <c r="AK1088" s="71">
        <v>0.96558935361216702</v>
      </c>
      <c r="AL1088" s="71">
        <v>0.96164199192462996</v>
      </c>
      <c r="AM1088" s="71">
        <v>0.96901690427369702</v>
      </c>
      <c r="AN1088" s="70">
        <v>0.99</v>
      </c>
      <c r="AO1088" s="75">
        <v>1</v>
      </c>
      <c r="AP1088" s="75">
        <v>1</v>
      </c>
      <c r="AQ1088" s="75">
        <v>1</v>
      </c>
      <c r="AR1088" s="75">
        <v>1</v>
      </c>
      <c r="AS1088" s="95">
        <v>7.2186152540827803E-2</v>
      </c>
      <c r="AT1088" s="79">
        <v>2.3809523809523801E-2</v>
      </c>
      <c r="AU1088" s="79">
        <v>6.8181818181818205E-2</v>
      </c>
      <c r="AV1088" s="79">
        <v>2.32558139534884E-2</v>
      </c>
      <c r="AW1088" s="79">
        <v>2.03160270880361E-2</v>
      </c>
      <c r="AX1088" s="56"/>
      <c r="AY1088" s="54"/>
    </row>
    <row r="1089" spans="1:51">
      <c r="A1089" s="53"/>
      <c r="B1089" s="56"/>
      <c r="C1089" s="90" t="s">
        <v>1079</v>
      </c>
      <c r="D1089" s="230" t="s">
        <v>1757</v>
      </c>
      <c r="E1089" s="68" t="s">
        <v>1080</v>
      </c>
      <c r="F1089" s="128" t="s">
        <v>1113</v>
      </c>
      <c r="G1089" s="128" t="s">
        <v>1113</v>
      </c>
      <c r="H1089" s="128" t="s">
        <v>1113</v>
      </c>
      <c r="I1089" s="128" t="s">
        <v>1113</v>
      </c>
      <c r="J1089" s="70">
        <v>0.9</v>
      </c>
      <c r="K1089" s="71">
        <v>0.97222222222222199</v>
      </c>
      <c r="L1089" s="71">
        <v>0.97435897435897401</v>
      </c>
      <c r="M1089" s="72">
        <v>0.92500000000000004</v>
      </c>
      <c r="N1089" s="71">
        <v>0.94533029612756303</v>
      </c>
      <c r="O1089" s="73">
        <v>0.9</v>
      </c>
      <c r="P1089" s="71">
        <v>0.97980182926829296</v>
      </c>
      <c r="Q1089" s="71">
        <v>0.987688098495212</v>
      </c>
      <c r="R1089" s="71">
        <v>0.95338779432964904</v>
      </c>
      <c r="S1089" s="71">
        <v>0.93588627792283097</v>
      </c>
      <c r="T1089" s="73">
        <v>0.9</v>
      </c>
      <c r="U1089" s="71">
        <v>0.953125</v>
      </c>
      <c r="V1089" s="71">
        <v>0.96497948016415902</v>
      </c>
      <c r="W1089" s="71">
        <v>0.95458913983661697</v>
      </c>
      <c r="X1089" s="71">
        <v>0.95626631853785904</v>
      </c>
      <c r="Y1089" s="73">
        <v>0.92</v>
      </c>
      <c r="Z1089" s="73">
        <v>0.95219885277246696</v>
      </c>
      <c r="AA1089" s="73">
        <v>0.97920604914933795</v>
      </c>
      <c r="AB1089" s="73">
        <v>0.96820349761526203</v>
      </c>
      <c r="AC1089" s="73">
        <v>0.95868704018109796</v>
      </c>
      <c r="AD1089" s="73">
        <v>0.92</v>
      </c>
      <c r="AE1089" s="71">
        <v>0.98889739663093401</v>
      </c>
      <c r="AF1089" s="71">
        <v>0.97119113573407201</v>
      </c>
      <c r="AG1089" s="71">
        <v>0.99952516619183296</v>
      </c>
      <c r="AH1089" s="71">
        <v>0.99068944290550898</v>
      </c>
      <c r="AI1089" s="73">
        <v>0.92</v>
      </c>
      <c r="AJ1089" s="71">
        <v>0.97002724795640305</v>
      </c>
      <c r="AK1089" s="71">
        <v>0.98374760994263899</v>
      </c>
      <c r="AL1089" s="71">
        <v>0.98726779378000395</v>
      </c>
      <c r="AM1089" s="71">
        <v>0.98290802605629601</v>
      </c>
      <c r="AN1089" s="70">
        <v>0.99</v>
      </c>
      <c r="AO1089" s="75">
        <v>1</v>
      </c>
      <c r="AP1089" s="75">
        <v>1</v>
      </c>
      <c r="AQ1089" s="75">
        <v>1</v>
      </c>
      <c r="AR1089" s="75">
        <v>1</v>
      </c>
      <c r="AS1089" s="95">
        <v>7.2186152540827803E-2</v>
      </c>
      <c r="AT1089" s="79">
        <v>0</v>
      </c>
      <c r="AU1089" s="79">
        <v>-0.1</v>
      </c>
      <c r="AV1089" s="79">
        <v>6.25E-2</v>
      </c>
      <c r="AW1089" s="79">
        <v>2.1739130434782601E-2</v>
      </c>
      <c r="AX1089" s="56"/>
      <c r="AY1089" s="54"/>
    </row>
    <row r="1090" spans="1:51">
      <c r="A1090" s="53"/>
      <c r="B1090" s="56"/>
      <c r="C1090" s="90" t="s">
        <v>1079</v>
      </c>
      <c r="D1090" s="230" t="s">
        <v>1757</v>
      </c>
      <c r="E1090" s="68" t="s">
        <v>1080</v>
      </c>
      <c r="F1090" s="128" t="s">
        <v>1114</v>
      </c>
      <c r="G1090" s="128" t="s">
        <v>1114</v>
      </c>
      <c r="H1090" s="128" t="s">
        <v>1114</v>
      </c>
      <c r="I1090" s="128" t="s">
        <v>1114</v>
      </c>
      <c r="J1090" s="70">
        <v>0.9</v>
      </c>
      <c r="K1090" s="71">
        <v>1</v>
      </c>
      <c r="L1090" s="71">
        <v>0.86666666666666703</v>
      </c>
      <c r="M1090" s="72">
        <v>0.93333333333333302</v>
      </c>
      <c r="N1090" s="71">
        <v>0.94082840236686405</v>
      </c>
      <c r="O1090" s="73">
        <v>0.9</v>
      </c>
      <c r="P1090" s="71">
        <v>0.94604651162790698</v>
      </c>
      <c r="Q1090" s="71">
        <v>0.96721311475409799</v>
      </c>
      <c r="R1090" s="71">
        <v>0.88983566646378598</v>
      </c>
      <c r="S1090" s="71">
        <v>0.93856026431158301</v>
      </c>
      <c r="T1090" s="73">
        <v>0.9</v>
      </c>
      <c r="U1090" s="71">
        <v>0.92651162790697705</v>
      </c>
      <c r="V1090" s="71">
        <v>0.963487332339791</v>
      </c>
      <c r="W1090" s="71">
        <v>0.86305538648813196</v>
      </c>
      <c r="X1090" s="71">
        <v>0.90641082660906003</v>
      </c>
      <c r="Y1090" s="73">
        <v>0.92</v>
      </c>
      <c r="Z1090" s="73">
        <v>0.93</v>
      </c>
      <c r="AA1090" s="73">
        <v>0.90748898678414103</v>
      </c>
      <c r="AB1090" s="73">
        <v>0.91950464396284803</v>
      </c>
      <c r="AC1090" s="73">
        <v>0.91615720524017497</v>
      </c>
      <c r="AD1090" s="73">
        <v>0.92</v>
      </c>
      <c r="AE1090" s="71">
        <v>1</v>
      </c>
      <c r="AF1090" s="71">
        <v>0.99664429530201304</v>
      </c>
      <c r="AG1090" s="71">
        <v>0.96610169491525399</v>
      </c>
      <c r="AH1090" s="71">
        <v>0.96323086196503904</v>
      </c>
      <c r="AI1090" s="73">
        <v>0.92</v>
      </c>
      <c r="AJ1090" s="71">
        <v>0.95932203389830495</v>
      </c>
      <c r="AK1090" s="71">
        <v>0.97450605481198205</v>
      </c>
      <c r="AL1090" s="71">
        <v>0.97355035605289897</v>
      </c>
      <c r="AM1090" s="71">
        <v>0.97042870553875005</v>
      </c>
      <c r="AN1090" s="70">
        <v>0.99</v>
      </c>
      <c r="AO1090" s="75">
        <v>1</v>
      </c>
      <c r="AP1090" s="75">
        <v>1</v>
      </c>
      <c r="AQ1090" s="75">
        <v>1</v>
      </c>
      <c r="AR1090" s="75">
        <v>1</v>
      </c>
      <c r="AS1090" s="95">
        <v>7.2186152540827803E-2</v>
      </c>
      <c r="AT1090" s="79">
        <v>0</v>
      </c>
      <c r="AU1090" s="79">
        <v>0</v>
      </c>
      <c r="AV1090" s="79">
        <v>0.11111111111111099</v>
      </c>
      <c r="AW1090" s="79">
        <v>8.4745762711864403E-2</v>
      </c>
      <c r="AX1090" s="56"/>
      <c r="AY1090" s="54"/>
    </row>
    <row r="1091" spans="1:51">
      <c r="A1091" s="53"/>
      <c r="B1091" s="56"/>
      <c r="C1091" s="90" t="s">
        <v>1079</v>
      </c>
      <c r="D1091" s="230" t="s">
        <v>1757</v>
      </c>
      <c r="E1091" s="68" t="s">
        <v>1080</v>
      </c>
      <c r="F1091" s="128" t="s">
        <v>1115</v>
      </c>
      <c r="G1091" s="128" t="s">
        <v>1115</v>
      </c>
      <c r="H1091" s="128" t="s">
        <v>1115</v>
      </c>
      <c r="I1091" s="128" t="s">
        <v>1115</v>
      </c>
      <c r="J1091" s="70">
        <v>0.9</v>
      </c>
      <c r="K1091" s="71">
        <v>1</v>
      </c>
      <c r="L1091" s="71">
        <v>1</v>
      </c>
      <c r="M1091" s="72">
        <v>1</v>
      </c>
      <c r="N1091" s="71">
        <v>0.91987179487179505</v>
      </c>
      <c r="O1091" s="73">
        <v>0.9</v>
      </c>
      <c r="P1091" s="71">
        <v>0.98430346631785504</v>
      </c>
      <c r="Q1091" s="71">
        <v>0.99059266227657605</v>
      </c>
      <c r="R1091" s="71">
        <v>0.96929316338354599</v>
      </c>
      <c r="S1091" s="71">
        <v>0.97264451951951902</v>
      </c>
      <c r="T1091" s="73">
        <v>0.9</v>
      </c>
      <c r="U1091" s="71">
        <v>0.89012426422498403</v>
      </c>
      <c r="V1091" s="71">
        <v>0.93320790216368799</v>
      </c>
      <c r="W1091" s="71">
        <v>0.92641946697566602</v>
      </c>
      <c r="X1091" s="71">
        <v>0.91661974474474495</v>
      </c>
      <c r="Y1091" s="73">
        <v>0.92</v>
      </c>
      <c r="Z1091" s="73">
        <v>0.90656799259944498</v>
      </c>
      <c r="AA1091" s="73">
        <v>0.94769230769230794</v>
      </c>
      <c r="AB1091" s="73">
        <v>0.90462427745664697</v>
      </c>
      <c r="AC1091" s="73">
        <v>0.92506183017312404</v>
      </c>
      <c r="AD1091" s="73">
        <v>0.92</v>
      </c>
      <c r="AE1091" s="71">
        <v>0.99135602377093501</v>
      </c>
      <c r="AF1091" s="71">
        <v>0.97585227272727304</v>
      </c>
      <c r="AG1091" s="71">
        <v>0.99834983498349805</v>
      </c>
      <c r="AH1091" s="71">
        <v>0.99571953939832403</v>
      </c>
      <c r="AI1091" s="73">
        <v>0.92</v>
      </c>
      <c r="AJ1091" s="71">
        <v>0.93448275862068997</v>
      </c>
      <c r="AK1091" s="71">
        <v>0.970332150919058</v>
      </c>
      <c r="AL1091" s="71">
        <v>0.94030390738060798</v>
      </c>
      <c r="AM1091" s="71">
        <v>0.95553894453580501</v>
      </c>
      <c r="AN1091" s="70">
        <v>0.99</v>
      </c>
      <c r="AO1091" s="75">
        <v>1</v>
      </c>
      <c r="AP1091" s="75">
        <v>1</v>
      </c>
      <c r="AQ1091" s="75">
        <v>1</v>
      </c>
      <c r="AR1091" s="75">
        <v>1</v>
      </c>
      <c r="AS1091" s="95">
        <v>7.2186152540827803E-2</v>
      </c>
      <c r="AT1091" s="79">
        <v>0</v>
      </c>
      <c r="AU1091" s="79">
        <v>7.6923076923076901E-3</v>
      </c>
      <c r="AV1091" s="79">
        <v>0</v>
      </c>
      <c r="AW1091" s="79">
        <v>5.00625782227785E-3</v>
      </c>
      <c r="AX1091" s="56"/>
      <c r="AY1091" s="54"/>
    </row>
    <row r="1092" spans="1:51">
      <c r="A1092" s="53"/>
      <c r="B1092" s="56"/>
      <c r="C1092" s="90" t="s">
        <v>1079</v>
      </c>
      <c r="D1092" s="230" t="s">
        <v>1757</v>
      </c>
      <c r="E1092" s="68" t="s">
        <v>1080</v>
      </c>
      <c r="F1092" s="128" t="s">
        <v>1116</v>
      </c>
      <c r="G1092" s="128" t="s">
        <v>1116</v>
      </c>
      <c r="H1092" s="128" t="s">
        <v>1116</v>
      </c>
      <c r="I1092" s="128" t="s">
        <v>1116</v>
      </c>
      <c r="J1092" s="70">
        <v>0.9</v>
      </c>
      <c r="K1092" s="71">
        <v>1</v>
      </c>
      <c r="L1092" s="71">
        <v>1</v>
      </c>
      <c r="M1092" s="72">
        <v>1</v>
      </c>
      <c r="N1092" s="71">
        <v>0.98888888888888904</v>
      </c>
      <c r="O1092" s="73">
        <v>0.9</v>
      </c>
      <c r="P1092" s="71">
        <v>0.96520146520146499</v>
      </c>
      <c r="Q1092" s="71">
        <v>0.97530347425701103</v>
      </c>
      <c r="R1092" s="71">
        <v>0.96572890025575497</v>
      </c>
      <c r="S1092" s="71">
        <v>0.95096337441416401</v>
      </c>
      <c r="T1092" s="73">
        <v>0.9</v>
      </c>
      <c r="U1092" s="71">
        <v>0.95177045177045205</v>
      </c>
      <c r="V1092" s="71">
        <v>0.93721222268731696</v>
      </c>
      <c r="W1092" s="71">
        <v>0.92531969309462903</v>
      </c>
      <c r="X1092" s="71">
        <v>0.93000347161951002</v>
      </c>
      <c r="Y1092" s="73">
        <v>0.92</v>
      </c>
      <c r="Z1092" s="73">
        <v>0.91245791245791197</v>
      </c>
      <c r="AA1092" s="73">
        <v>0.97670083876980396</v>
      </c>
      <c r="AB1092" s="73">
        <v>0.95930232558139505</v>
      </c>
      <c r="AC1092" s="73">
        <v>0.95505617977528101</v>
      </c>
      <c r="AD1092" s="73">
        <v>0.92</v>
      </c>
      <c r="AE1092" s="71">
        <v>0.99917695473251</v>
      </c>
      <c r="AF1092" s="71">
        <v>0.99652173913043496</v>
      </c>
      <c r="AG1092" s="71">
        <v>0.997620935765266</v>
      </c>
      <c r="AH1092" s="71">
        <v>0.99436319317489297</v>
      </c>
      <c r="AI1092" s="73">
        <v>0.92</v>
      </c>
      <c r="AJ1092" s="71">
        <v>0.95435244161358801</v>
      </c>
      <c r="AK1092" s="71">
        <v>0.98180242634315396</v>
      </c>
      <c r="AL1092" s="71">
        <v>0.97499208610319699</v>
      </c>
      <c r="AM1092" s="71">
        <v>0.97498840793170205</v>
      </c>
      <c r="AN1092" s="70">
        <v>0.99</v>
      </c>
      <c r="AO1092" s="75">
        <v>1</v>
      </c>
      <c r="AP1092" s="75">
        <v>1</v>
      </c>
      <c r="AQ1092" s="75">
        <v>1</v>
      </c>
      <c r="AR1092" s="75">
        <v>1</v>
      </c>
      <c r="AS1092" s="95">
        <v>7.2186152540827803E-2</v>
      </c>
      <c r="AT1092" s="79">
        <v>0</v>
      </c>
      <c r="AU1092" s="79">
        <v>0.16666666666666699</v>
      </c>
      <c r="AV1092" s="79">
        <v>0</v>
      </c>
      <c r="AW1092" s="79">
        <v>2.1978021978022001E-2</v>
      </c>
      <c r="AX1092" s="56"/>
      <c r="AY1092" s="54"/>
    </row>
    <row r="1093" spans="1:51">
      <c r="A1093" s="53"/>
      <c r="B1093" s="56"/>
      <c r="C1093" s="90" t="s">
        <v>1079</v>
      </c>
      <c r="D1093" s="230" t="s">
        <v>1757</v>
      </c>
      <c r="E1093" s="68" t="s">
        <v>1080</v>
      </c>
      <c r="F1093" s="128" t="s">
        <v>1117</v>
      </c>
      <c r="G1093" s="128" t="s">
        <v>1117</v>
      </c>
      <c r="H1093" s="128" t="s">
        <v>1117</v>
      </c>
      <c r="I1093" s="128" t="s">
        <v>1117</v>
      </c>
      <c r="J1093" s="70">
        <v>0.9</v>
      </c>
      <c r="K1093" s="71">
        <v>0.90909090909090895</v>
      </c>
      <c r="L1093" s="71">
        <v>0.891891891891892</v>
      </c>
      <c r="M1093" s="72">
        <v>0.81578947368421095</v>
      </c>
      <c r="N1093" s="71">
        <v>0.89847715736040601</v>
      </c>
      <c r="O1093" s="73">
        <v>0.9</v>
      </c>
      <c r="P1093" s="71">
        <v>0.91556091676718898</v>
      </c>
      <c r="Q1093" s="71">
        <v>0.94976076555023903</v>
      </c>
      <c r="R1093" s="71">
        <v>0.95764272559852703</v>
      </c>
      <c r="S1093" s="71">
        <v>0.95364238410596003</v>
      </c>
      <c r="T1093" s="73">
        <v>0.9</v>
      </c>
      <c r="U1093" s="71">
        <v>0.86429433051869697</v>
      </c>
      <c r="V1093" s="71">
        <v>0.90430622009569395</v>
      </c>
      <c r="W1093" s="71">
        <v>0.92909760589318602</v>
      </c>
      <c r="X1093" s="71">
        <v>0.895902317880795</v>
      </c>
      <c r="Y1093" s="73">
        <v>0.92</v>
      </c>
      <c r="Z1093" s="73">
        <v>0.94063222821896697</v>
      </c>
      <c r="AA1093" s="73">
        <v>0.93994995829858197</v>
      </c>
      <c r="AB1093" s="73">
        <v>0.93975903614457801</v>
      </c>
      <c r="AC1093" s="73">
        <v>0.943950115602887</v>
      </c>
      <c r="AD1093" s="73">
        <v>0.92</v>
      </c>
      <c r="AE1093" s="71">
        <v>0.99874529485570895</v>
      </c>
      <c r="AF1093" s="71">
        <v>0.99569336778639095</v>
      </c>
      <c r="AG1093" s="71">
        <v>0.98663426488456896</v>
      </c>
      <c r="AH1093" s="71">
        <v>0.99470232088799204</v>
      </c>
      <c r="AI1093" s="73">
        <v>0.92</v>
      </c>
      <c r="AJ1093" s="71">
        <v>0.95263870094722602</v>
      </c>
      <c r="AK1093" s="71">
        <v>0.96331265173995095</v>
      </c>
      <c r="AL1093" s="71">
        <v>0.95914285714285696</v>
      </c>
      <c r="AM1093" s="71">
        <v>0.96230194864323404</v>
      </c>
      <c r="AN1093" s="70">
        <v>0.99</v>
      </c>
      <c r="AO1093" s="75">
        <v>1</v>
      </c>
      <c r="AP1093" s="75">
        <v>1</v>
      </c>
      <c r="AQ1093" s="75">
        <v>1</v>
      </c>
      <c r="AR1093" s="75">
        <v>1</v>
      </c>
      <c r="AS1093" s="95">
        <v>7.2186152540827803E-2</v>
      </c>
      <c r="AT1093" s="79">
        <v>0</v>
      </c>
      <c r="AU1093" s="79">
        <v>-0.1</v>
      </c>
      <c r="AV1093" s="79">
        <v>5.2631578947368397E-2</v>
      </c>
      <c r="AW1093" s="79">
        <v>1.5267175572519101E-2</v>
      </c>
      <c r="AX1093" s="56"/>
      <c r="AY1093" s="54"/>
    </row>
    <row r="1094" spans="1:51">
      <c r="A1094" s="53"/>
      <c r="B1094" s="56"/>
      <c r="C1094" s="90" t="s">
        <v>1079</v>
      </c>
      <c r="D1094" s="230" t="s">
        <v>1757</v>
      </c>
      <c r="E1094" s="68" t="s">
        <v>1080</v>
      </c>
      <c r="F1094" s="128" t="s">
        <v>1118</v>
      </c>
      <c r="G1094" s="128" t="s">
        <v>1118</v>
      </c>
      <c r="H1094" s="128" t="s">
        <v>1118</v>
      </c>
      <c r="I1094" s="128" t="s">
        <v>1118</v>
      </c>
      <c r="J1094" s="70">
        <v>0.9</v>
      </c>
      <c r="K1094" s="71">
        <v>0.95</v>
      </c>
      <c r="L1094" s="71">
        <v>0.91304347826086996</v>
      </c>
      <c r="M1094" s="72">
        <v>0.95652173913043503</v>
      </c>
      <c r="N1094" s="71">
        <v>0.95817490494296598</v>
      </c>
      <c r="O1094" s="73">
        <v>0.9</v>
      </c>
      <c r="P1094" s="71">
        <v>0.93928820655966505</v>
      </c>
      <c r="Q1094" s="71">
        <v>0.83852691218130304</v>
      </c>
      <c r="R1094" s="71">
        <v>0.93270918665886504</v>
      </c>
      <c r="S1094" s="71">
        <v>0.91759923481587802</v>
      </c>
      <c r="T1094" s="73">
        <v>0.9</v>
      </c>
      <c r="U1094" s="71">
        <v>0.92951849267271502</v>
      </c>
      <c r="V1094" s="71">
        <v>0.910292728989613</v>
      </c>
      <c r="W1094" s="71">
        <v>0.94792276184903501</v>
      </c>
      <c r="X1094" s="71">
        <v>0.94318507890961301</v>
      </c>
      <c r="Y1094" s="73">
        <v>0.92</v>
      </c>
      <c r="Z1094" s="73">
        <v>0.955696202531646</v>
      </c>
      <c r="AA1094" s="73">
        <v>0.97624703087886</v>
      </c>
      <c r="AB1094" s="73">
        <v>0.96656833824975397</v>
      </c>
      <c r="AC1094" s="73">
        <v>0.97107296137339105</v>
      </c>
      <c r="AD1094" s="73">
        <v>0.92</v>
      </c>
      <c r="AE1094" s="71">
        <v>0.99956483899042603</v>
      </c>
      <c r="AF1094" s="71">
        <v>0.99717314487632502</v>
      </c>
      <c r="AG1094" s="71">
        <v>1</v>
      </c>
      <c r="AH1094" s="71">
        <v>0.99673735725937995</v>
      </c>
      <c r="AI1094" s="73">
        <v>0.92</v>
      </c>
      <c r="AJ1094" s="71">
        <v>0.971860562788744</v>
      </c>
      <c r="AK1094" s="71">
        <v>0.98614864864864904</v>
      </c>
      <c r="AL1094" s="71">
        <v>0.98055759354365402</v>
      </c>
      <c r="AM1094" s="71">
        <v>0.98335380835380803</v>
      </c>
      <c r="AN1094" s="70">
        <v>0.99</v>
      </c>
      <c r="AO1094" s="75">
        <v>1</v>
      </c>
      <c r="AP1094" s="75">
        <v>1</v>
      </c>
      <c r="AQ1094" s="75">
        <v>1</v>
      </c>
      <c r="AR1094" s="75">
        <v>1</v>
      </c>
      <c r="AS1094" s="95">
        <v>7.2186152540827803E-2</v>
      </c>
      <c r="AT1094" s="79">
        <v>0</v>
      </c>
      <c r="AU1094" s="79">
        <v>0.22222222222222199</v>
      </c>
      <c r="AV1094" s="79">
        <v>6.25E-2</v>
      </c>
      <c r="AW1094" s="79">
        <v>8.8607594936708903E-2</v>
      </c>
      <c r="AX1094" s="56"/>
      <c r="AY1094" s="54"/>
    </row>
    <row r="1095" spans="1:51">
      <c r="A1095" s="53"/>
      <c r="B1095" s="56"/>
      <c r="C1095" s="90" t="s">
        <v>1079</v>
      </c>
      <c r="D1095" s="230" t="s">
        <v>1757</v>
      </c>
      <c r="E1095" s="68" t="s">
        <v>1080</v>
      </c>
      <c r="F1095" s="128" t="s">
        <v>1119</v>
      </c>
      <c r="G1095" s="128" t="s">
        <v>1119</v>
      </c>
      <c r="H1095" s="128" t="s">
        <v>1119</v>
      </c>
      <c r="I1095" s="128" t="s">
        <v>1119</v>
      </c>
      <c r="J1095" s="70">
        <v>0.9</v>
      </c>
      <c r="K1095" s="71">
        <v>1</v>
      </c>
      <c r="L1095" s="71">
        <v>1</v>
      </c>
      <c r="M1095" s="72">
        <v>1</v>
      </c>
      <c r="N1095" s="71">
        <v>0.996</v>
      </c>
      <c r="O1095" s="73">
        <v>0.9</v>
      </c>
      <c r="P1095" s="71">
        <v>0.97594936708860802</v>
      </c>
      <c r="Q1095" s="71">
        <v>0.97913832199546502</v>
      </c>
      <c r="R1095" s="71">
        <v>0.97700504767246199</v>
      </c>
      <c r="S1095" s="71">
        <v>0.97932447239292997</v>
      </c>
      <c r="T1095" s="73">
        <v>0.9</v>
      </c>
      <c r="U1095" s="71">
        <v>0.95632911392405096</v>
      </c>
      <c r="V1095" s="71">
        <v>0.96780045351473898</v>
      </c>
      <c r="W1095" s="71">
        <v>0.96410544026920897</v>
      </c>
      <c r="X1095" s="71">
        <v>0.96198370730312999</v>
      </c>
      <c r="Y1095" s="73">
        <v>0.92</v>
      </c>
      <c r="Z1095" s="73">
        <v>0.95615671641791</v>
      </c>
      <c r="AA1095" s="73">
        <v>0.96059113300492605</v>
      </c>
      <c r="AB1095" s="73">
        <v>0.94570928196147097</v>
      </c>
      <c r="AC1095" s="73">
        <v>0.96192599933928002</v>
      </c>
      <c r="AD1095" s="73">
        <v>0.92</v>
      </c>
      <c r="AE1095" s="71">
        <v>0.99923195084485406</v>
      </c>
      <c r="AF1095" s="71">
        <v>0.99794871794871798</v>
      </c>
      <c r="AG1095" s="71">
        <v>1</v>
      </c>
      <c r="AH1095" s="71">
        <v>0.99895670318205498</v>
      </c>
      <c r="AI1095" s="73">
        <v>0.92</v>
      </c>
      <c r="AJ1095" s="71">
        <v>0.96832579185520395</v>
      </c>
      <c r="AK1095" s="71">
        <v>0.97826086956521696</v>
      </c>
      <c r="AL1095" s="71">
        <v>0.96888888888888902</v>
      </c>
      <c r="AM1095" s="71">
        <v>0.97755422633073497</v>
      </c>
      <c r="AN1095" s="70">
        <v>0.99</v>
      </c>
      <c r="AO1095" s="75">
        <v>1</v>
      </c>
      <c r="AP1095" s="75">
        <v>1</v>
      </c>
      <c r="AQ1095" s="75">
        <v>1</v>
      </c>
      <c r="AR1095" s="75">
        <v>1</v>
      </c>
      <c r="AS1095" s="95">
        <v>7.2186152540827803E-2</v>
      </c>
      <c r="AT1095" s="79">
        <v>0</v>
      </c>
      <c r="AU1095" s="79">
        <v>0.25</v>
      </c>
      <c r="AV1095" s="79">
        <v>0</v>
      </c>
      <c r="AW1095" s="79">
        <v>3.7383177570093497E-2</v>
      </c>
      <c r="AX1095" s="56"/>
      <c r="AY1095" s="54"/>
    </row>
    <row r="1096" spans="1:51">
      <c r="A1096" s="53"/>
      <c r="B1096" s="56"/>
      <c r="C1096" s="90" t="s">
        <v>1079</v>
      </c>
      <c r="D1096" s="230" t="s">
        <v>1757</v>
      </c>
      <c r="E1096" s="68" t="s">
        <v>1080</v>
      </c>
      <c r="F1096" s="128" t="s">
        <v>1120</v>
      </c>
      <c r="G1096" s="128" t="s">
        <v>1120</v>
      </c>
      <c r="H1096" s="128" t="s">
        <v>1120</v>
      </c>
      <c r="I1096" s="128" t="s">
        <v>1120</v>
      </c>
      <c r="J1096" s="70">
        <v>0.9</v>
      </c>
      <c r="K1096" s="71">
        <v>1</v>
      </c>
      <c r="L1096" s="71">
        <v>0.97560975609756095</v>
      </c>
      <c r="M1096" s="72">
        <v>1</v>
      </c>
      <c r="N1096" s="71">
        <v>0.98847926267281105</v>
      </c>
      <c r="O1096" s="73">
        <v>0.9</v>
      </c>
      <c r="P1096" s="71">
        <v>0.93023255813953498</v>
      </c>
      <c r="Q1096" s="71">
        <v>0.92957373576912905</v>
      </c>
      <c r="R1096" s="71">
        <v>0.91399555696604295</v>
      </c>
      <c r="S1096" s="71">
        <v>0.93836580086580101</v>
      </c>
      <c r="T1096" s="73">
        <v>0.9</v>
      </c>
      <c r="U1096" s="71">
        <v>0.95648912228057004</v>
      </c>
      <c r="V1096" s="71">
        <v>0.94916600476568702</v>
      </c>
      <c r="W1096" s="71">
        <v>0.94541415423675002</v>
      </c>
      <c r="X1096" s="71">
        <v>0.95040584415584395</v>
      </c>
      <c r="Y1096" s="73">
        <v>0.92</v>
      </c>
      <c r="Z1096" s="73">
        <v>0.94958419958420004</v>
      </c>
      <c r="AA1096" s="73">
        <v>0.96380846325167002</v>
      </c>
      <c r="AB1096" s="73">
        <v>0.92716942148760295</v>
      </c>
      <c r="AC1096" s="73">
        <v>0.95155902004454296</v>
      </c>
      <c r="AD1096" s="73">
        <v>0.92</v>
      </c>
      <c r="AE1096" s="71">
        <v>0.32342356438741998</v>
      </c>
      <c r="AF1096" s="71">
        <v>0.996853062212539</v>
      </c>
      <c r="AG1096" s="71">
        <v>0.99843627834245496</v>
      </c>
      <c r="AH1096" s="71">
        <v>0.93020179133529002</v>
      </c>
      <c r="AI1096" s="73">
        <v>0.92</v>
      </c>
      <c r="AJ1096" s="71">
        <v>0.96818478971453503</v>
      </c>
      <c r="AK1096" s="71">
        <v>0.97792930199174599</v>
      </c>
      <c r="AL1096" s="71">
        <v>0.95125786163521997</v>
      </c>
      <c r="AM1096" s="71">
        <v>0.96987097325472105</v>
      </c>
      <c r="AN1096" s="70">
        <v>0.99</v>
      </c>
      <c r="AO1096" s="75">
        <v>1</v>
      </c>
      <c r="AP1096" s="75">
        <v>1</v>
      </c>
      <c r="AQ1096" s="75">
        <v>1</v>
      </c>
      <c r="AR1096" s="75">
        <v>1</v>
      </c>
      <c r="AS1096" s="95">
        <v>7.2186152540827803E-2</v>
      </c>
      <c r="AT1096" s="79">
        <v>4.3478260869565202E-2</v>
      </c>
      <c r="AU1096" s="79">
        <v>5.8823529411764698E-2</v>
      </c>
      <c r="AV1096" s="79">
        <v>8.3333333333333301E-2</v>
      </c>
      <c r="AW1096" s="79">
        <v>6.5326633165829207E-2</v>
      </c>
      <c r="AX1096" s="56"/>
      <c r="AY1096" s="54"/>
    </row>
    <row r="1097" spans="1:51">
      <c r="A1097" s="53"/>
      <c r="B1097" s="56"/>
      <c r="C1097" s="90" t="s">
        <v>1079</v>
      </c>
      <c r="D1097" s="230" t="s">
        <v>1757</v>
      </c>
      <c r="E1097" s="68" t="s">
        <v>1080</v>
      </c>
      <c r="F1097" s="128" t="s">
        <v>1121</v>
      </c>
      <c r="G1097" s="128" t="s">
        <v>1121</v>
      </c>
      <c r="H1097" s="128" t="s">
        <v>1121</v>
      </c>
      <c r="I1097" s="128" t="s">
        <v>1121</v>
      </c>
      <c r="J1097" s="70">
        <v>0.9</v>
      </c>
      <c r="K1097" s="71">
        <v>0.93333333333333302</v>
      </c>
      <c r="L1097" s="71">
        <v>0.86111111111111105</v>
      </c>
      <c r="M1097" s="72">
        <v>0.92307692307692302</v>
      </c>
      <c r="N1097" s="71">
        <v>0.90709046454767694</v>
      </c>
      <c r="O1097" s="73">
        <v>0.9</v>
      </c>
      <c r="P1097" s="71">
        <v>0.93479212253829302</v>
      </c>
      <c r="Q1097" s="71">
        <v>0.95371498172959801</v>
      </c>
      <c r="R1097" s="71">
        <v>0.97562893081761004</v>
      </c>
      <c r="S1097" s="71">
        <v>0.93194080711829097</v>
      </c>
      <c r="T1097" s="73">
        <v>0.9</v>
      </c>
      <c r="U1097" s="71">
        <v>0.89190371991247297</v>
      </c>
      <c r="V1097" s="71">
        <v>0.91626065773446996</v>
      </c>
      <c r="W1097" s="71">
        <v>0.94693396226415105</v>
      </c>
      <c r="X1097" s="71">
        <v>0.91941438172467105</v>
      </c>
      <c r="Y1097" s="73">
        <v>0.92</v>
      </c>
      <c r="Z1097" s="73">
        <v>0.94413750767341897</v>
      </c>
      <c r="AA1097" s="73">
        <v>0.95366311834689999</v>
      </c>
      <c r="AB1097" s="73">
        <v>0.95843091334894603</v>
      </c>
      <c r="AC1097" s="73">
        <v>0.95435861848075598</v>
      </c>
      <c r="AD1097" s="73">
        <v>0.92</v>
      </c>
      <c r="AE1097" s="71">
        <v>0.99309153713298803</v>
      </c>
      <c r="AF1097" s="71">
        <v>0.99623115577889398</v>
      </c>
      <c r="AG1097" s="71">
        <v>0.95533498759305202</v>
      </c>
      <c r="AH1097" s="71">
        <v>0.98047940289938296</v>
      </c>
      <c r="AI1097" s="73">
        <v>0.92</v>
      </c>
      <c r="AJ1097" s="71">
        <v>0.95246613851265005</v>
      </c>
      <c r="AK1097" s="71">
        <v>0.972956361401352</v>
      </c>
      <c r="AL1097" s="71">
        <v>0.97154280338664201</v>
      </c>
      <c r="AM1097" s="71">
        <v>0.97035494745191397</v>
      </c>
      <c r="AN1097" s="70">
        <v>0.99</v>
      </c>
      <c r="AO1097" s="75">
        <v>1</v>
      </c>
      <c r="AP1097" s="75">
        <v>1</v>
      </c>
      <c r="AQ1097" s="75">
        <v>1</v>
      </c>
      <c r="AR1097" s="75">
        <v>1</v>
      </c>
      <c r="AS1097" s="95">
        <v>7.2186152540827803E-2</v>
      </c>
      <c r="AT1097" s="79">
        <v>0</v>
      </c>
      <c r="AU1097" s="79">
        <v>0</v>
      </c>
      <c r="AV1097" s="79">
        <v>6.25E-2</v>
      </c>
      <c r="AW1097" s="79">
        <v>5.16129032258065E-2</v>
      </c>
      <c r="AX1097" s="56"/>
      <c r="AY1097" s="54"/>
    </row>
    <row r="1098" spans="1:51">
      <c r="A1098" s="53"/>
      <c r="B1098" s="56"/>
      <c r="C1098" s="90" t="s">
        <v>1079</v>
      </c>
      <c r="D1098" s="230" t="s">
        <v>1757</v>
      </c>
      <c r="E1098" s="68" t="s">
        <v>1080</v>
      </c>
      <c r="F1098" s="128" t="s">
        <v>1122</v>
      </c>
      <c r="G1098" s="128" t="s">
        <v>1122</v>
      </c>
      <c r="H1098" s="128" t="s">
        <v>1122</v>
      </c>
      <c r="I1098" s="128" t="s">
        <v>1122</v>
      </c>
      <c r="J1098" s="70">
        <v>0.9</v>
      </c>
      <c r="K1098" s="71">
        <v>1</v>
      </c>
      <c r="L1098" s="71">
        <v>1</v>
      </c>
      <c r="M1098" s="72">
        <v>1</v>
      </c>
      <c r="N1098" s="71">
        <v>1</v>
      </c>
      <c r="O1098" s="73">
        <v>0.9</v>
      </c>
      <c r="P1098" s="71">
        <v>0.99221032132424503</v>
      </c>
      <c r="Q1098" s="71">
        <v>0.96915484268969798</v>
      </c>
      <c r="R1098" s="71">
        <v>0.99026425591098699</v>
      </c>
      <c r="S1098" s="71">
        <v>0.98399799974996904</v>
      </c>
      <c r="T1098" s="73">
        <v>0.9</v>
      </c>
      <c r="U1098" s="71">
        <v>0.93768257059396298</v>
      </c>
      <c r="V1098" s="71">
        <v>0.94262800740283803</v>
      </c>
      <c r="W1098" s="71">
        <v>0.92211404728790003</v>
      </c>
      <c r="X1098" s="71">
        <v>0.93699212401550203</v>
      </c>
      <c r="Y1098" s="73">
        <v>0.92</v>
      </c>
      <c r="Z1098" s="73">
        <v>0.96984318455971097</v>
      </c>
      <c r="AA1098" s="73">
        <v>0.97503285151116903</v>
      </c>
      <c r="AB1098" s="73">
        <v>0.96973518284993698</v>
      </c>
      <c r="AC1098" s="73">
        <v>0.97106073943661997</v>
      </c>
      <c r="AD1098" s="73">
        <v>0.92</v>
      </c>
      <c r="AE1098" s="71">
        <v>0.99617021276595696</v>
      </c>
      <c r="AF1098" s="71">
        <v>0.99484052532833001</v>
      </c>
      <c r="AG1098" s="71">
        <v>0.99966431688486102</v>
      </c>
      <c r="AH1098" s="71">
        <v>0.99655821026933999</v>
      </c>
      <c r="AI1098" s="73">
        <v>0.92</v>
      </c>
      <c r="AJ1098" s="71">
        <v>0.97574123989218298</v>
      </c>
      <c r="AK1098" s="71">
        <v>0.98446683459277895</v>
      </c>
      <c r="AL1098" s="71">
        <v>0.98386373823397599</v>
      </c>
      <c r="AM1098" s="71">
        <v>0.98262255878836202</v>
      </c>
      <c r="AN1098" s="70">
        <v>0.99</v>
      </c>
      <c r="AO1098" s="75">
        <v>1</v>
      </c>
      <c r="AP1098" s="75">
        <v>1</v>
      </c>
      <c r="AQ1098" s="75">
        <v>1</v>
      </c>
      <c r="AR1098" s="75">
        <v>1</v>
      </c>
      <c r="AS1098" s="95">
        <v>7.2186152540827803E-2</v>
      </c>
      <c r="AT1098" s="79">
        <v>0</v>
      </c>
      <c r="AU1098" s="79">
        <v>0</v>
      </c>
      <c r="AV1098" s="79">
        <v>0</v>
      </c>
      <c r="AW1098" s="79">
        <v>3.1746031746031703E-2</v>
      </c>
      <c r="AX1098" s="56"/>
      <c r="AY1098" s="54"/>
    </row>
    <row r="1099" spans="1:51">
      <c r="A1099" s="53"/>
      <c r="B1099" s="56"/>
      <c r="C1099" s="90" t="s">
        <v>1079</v>
      </c>
      <c r="D1099" s="230" t="s">
        <v>1757</v>
      </c>
      <c r="E1099" s="68" t="s">
        <v>1080</v>
      </c>
      <c r="F1099" s="128" t="s">
        <v>1123</v>
      </c>
      <c r="G1099" s="128" t="s">
        <v>1123</v>
      </c>
      <c r="H1099" s="128" t="s">
        <v>1123</v>
      </c>
      <c r="I1099" s="128" t="s">
        <v>1123</v>
      </c>
      <c r="J1099" s="70">
        <v>0.9</v>
      </c>
      <c r="K1099" s="71">
        <v>0.939393939393939</v>
      </c>
      <c r="L1099" s="71">
        <v>0.88571428571428601</v>
      </c>
      <c r="M1099" s="72">
        <v>0.97058823529411797</v>
      </c>
      <c r="N1099" s="71">
        <v>0.95607235142118896</v>
      </c>
      <c r="O1099" s="73">
        <v>0.9</v>
      </c>
      <c r="P1099" s="71">
        <v>0.94227005870841496</v>
      </c>
      <c r="Q1099" s="71">
        <v>0.93167701863354002</v>
      </c>
      <c r="R1099" s="71">
        <v>0.92604126119112495</v>
      </c>
      <c r="S1099" s="71">
        <v>0.95259729413729699</v>
      </c>
      <c r="T1099" s="73">
        <v>0.9</v>
      </c>
      <c r="U1099" s="71">
        <v>0.83512720156555798</v>
      </c>
      <c r="V1099" s="71">
        <v>0.87577639751552805</v>
      </c>
      <c r="W1099" s="71">
        <v>0.89295445698715503</v>
      </c>
      <c r="X1099" s="71">
        <v>0.89614164022047804</v>
      </c>
      <c r="Y1099" s="73">
        <v>0.92</v>
      </c>
      <c r="Z1099" s="73">
        <v>0.90700636942675195</v>
      </c>
      <c r="AA1099" s="73">
        <v>0.95322939866369705</v>
      </c>
      <c r="AB1099" s="73">
        <v>0.96440564137004703</v>
      </c>
      <c r="AC1099" s="73">
        <v>0.95704793545325095</v>
      </c>
      <c r="AD1099" s="73">
        <v>0.92</v>
      </c>
      <c r="AE1099" s="71">
        <v>0.99940369707811605</v>
      </c>
      <c r="AF1099" s="71">
        <v>1</v>
      </c>
      <c r="AG1099" s="71">
        <v>0.99826689774696697</v>
      </c>
      <c r="AH1099" s="71">
        <v>0.99782907590997905</v>
      </c>
      <c r="AI1099" s="73">
        <v>0.92</v>
      </c>
      <c r="AJ1099" s="71">
        <v>0.94493635860542302</v>
      </c>
      <c r="AK1099" s="71">
        <v>0.94462097140263301</v>
      </c>
      <c r="AL1099" s="71">
        <v>0.97042878265155297</v>
      </c>
      <c r="AM1099" s="71">
        <v>0.97271192597816103</v>
      </c>
      <c r="AN1099" s="70">
        <v>0.99</v>
      </c>
      <c r="AO1099" s="75">
        <v>1</v>
      </c>
      <c r="AP1099" s="75">
        <v>1</v>
      </c>
      <c r="AQ1099" s="75">
        <v>1</v>
      </c>
      <c r="AR1099" s="75">
        <v>1</v>
      </c>
      <c r="AS1099" s="95">
        <v>7.2186152540827803E-2</v>
      </c>
      <c r="AT1099" s="79">
        <v>0</v>
      </c>
      <c r="AU1099" s="79">
        <v>0</v>
      </c>
      <c r="AV1099" s="79">
        <v>0</v>
      </c>
      <c r="AW1099" s="79">
        <v>0</v>
      </c>
      <c r="AX1099" s="56"/>
      <c r="AY1099" s="54"/>
    </row>
    <row r="1100" spans="1:51">
      <c r="A1100" s="53"/>
      <c r="B1100" s="56"/>
      <c r="C1100" s="90" t="s">
        <v>1079</v>
      </c>
      <c r="D1100" s="230" t="s">
        <v>1757</v>
      </c>
      <c r="E1100" s="68" t="s">
        <v>1080</v>
      </c>
      <c r="F1100" s="128" t="s">
        <v>1124</v>
      </c>
      <c r="G1100" s="128" t="s">
        <v>1124</v>
      </c>
      <c r="H1100" s="128" t="s">
        <v>1124</v>
      </c>
      <c r="I1100" s="128" t="s">
        <v>1124</v>
      </c>
      <c r="J1100" s="70">
        <v>0.9</v>
      </c>
      <c r="K1100" s="71">
        <v>0.86666666666666703</v>
      </c>
      <c r="L1100" s="71">
        <v>0.93548387096774199</v>
      </c>
      <c r="M1100" s="72">
        <v>0.93548387096774199</v>
      </c>
      <c r="N1100" s="71">
        <v>0.91354466858789596</v>
      </c>
      <c r="O1100" s="73">
        <v>0.9</v>
      </c>
      <c r="P1100" s="71">
        <v>0.96310363537710297</v>
      </c>
      <c r="Q1100" s="71">
        <v>0.96153846153846201</v>
      </c>
      <c r="R1100" s="71">
        <v>0.94093406593406603</v>
      </c>
      <c r="S1100" s="71">
        <v>0.95244800257472695</v>
      </c>
      <c r="T1100" s="73">
        <v>0.9</v>
      </c>
      <c r="U1100" s="71">
        <v>0.91535539880629402</v>
      </c>
      <c r="V1100" s="71">
        <v>0.88501602564102599</v>
      </c>
      <c r="W1100" s="71">
        <v>0.89194139194139199</v>
      </c>
      <c r="X1100" s="71">
        <v>0.90924085770607899</v>
      </c>
      <c r="Y1100" s="73">
        <v>0.92</v>
      </c>
      <c r="Z1100" s="73">
        <v>0.91133004926108396</v>
      </c>
      <c r="AA1100" s="73">
        <v>0.93059125964010303</v>
      </c>
      <c r="AB1100" s="73">
        <v>0.88992974238875899</v>
      </c>
      <c r="AC1100" s="73">
        <v>0.91567963902989302</v>
      </c>
      <c r="AD1100" s="73">
        <v>0.92</v>
      </c>
      <c r="AE1100" s="71">
        <v>1</v>
      </c>
      <c r="AF1100" s="71">
        <v>0.99591836734693895</v>
      </c>
      <c r="AG1100" s="71">
        <v>1</v>
      </c>
      <c r="AH1100" s="71">
        <v>0.99077144917087201</v>
      </c>
      <c r="AI1100" s="73">
        <v>0.92</v>
      </c>
      <c r="AJ1100" s="71">
        <v>0.93012565124118896</v>
      </c>
      <c r="AK1100" s="71">
        <v>0.95440895440895401</v>
      </c>
      <c r="AL1100" s="71">
        <v>0.94345066358915197</v>
      </c>
      <c r="AM1100" s="71">
        <v>0.94984430037265799</v>
      </c>
      <c r="AN1100" s="70">
        <v>0.99</v>
      </c>
      <c r="AO1100" s="75">
        <v>1</v>
      </c>
      <c r="AP1100" s="75">
        <v>1</v>
      </c>
      <c r="AQ1100" s="75">
        <v>1</v>
      </c>
      <c r="AR1100" s="75">
        <v>1</v>
      </c>
      <c r="AS1100" s="95">
        <v>7.2186152540827803E-2</v>
      </c>
      <c r="AT1100" s="79">
        <v>0</v>
      </c>
      <c r="AU1100" s="79">
        <v>0</v>
      </c>
      <c r="AV1100" s="79">
        <v>0</v>
      </c>
      <c r="AW1100" s="79">
        <v>6.4748201438848907E-2</v>
      </c>
      <c r="AX1100" s="56"/>
      <c r="AY1100" s="54"/>
    </row>
    <row r="1101" spans="1:51">
      <c r="A1101" s="53"/>
      <c r="B1101" s="56"/>
      <c r="C1101" s="90" t="s">
        <v>1079</v>
      </c>
      <c r="D1101" s="230" t="s">
        <v>1757</v>
      </c>
      <c r="E1101" s="68" t="s">
        <v>1080</v>
      </c>
      <c r="F1101" s="128" t="s">
        <v>1125</v>
      </c>
      <c r="G1101" s="128" t="s">
        <v>1125</v>
      </c>
      <c r="H1101" s="128" t="s">
        <v>1125</v>
      </c>
      <c r="I1101" s="128" t="s">
        <v>1125</v>
      </c>
      <c r="J1101" s="70">
        <v>0.9</v>
      </c>
      <c r="K1101" s="71">
        <v>0.931034482758621</v>
      </c>
      <c r="L1101" s="71">
        <v>0.96551724137931005</v>
      </c>
      <c r="M1101" s="72">
        <v>0.96428571428571397</v>
      </c>
      <c r="N1101" s="71">
        <v>0.97507788161993803</v>
      </c>
      <c r="O1101" s="73">
        <v>0.9</v>
      </c>
      <c r="P1101" s="71">
        <v>0.94671901289960703</v>
      </c>
      <c r="Q1101" s="71">
        <v>0.89945652173913004</v>
      </c>
      <c r="R1101" s="71">
        <v>0.93410852713178305</v>
      </c>
      <c r="S1101" s="71">
        <v>0.94177089372981004</v>
      </c>
      <c r="T1101" s="73">
        <v>0.9</v>
      </c>
      <c r="U1101" s="71">
        <v>0.91531127313516503</v>
      </c>
      <c r="V1101" s="71">
        <v>0.90450310559006197</v>
      </c>
      <c r="W1101" s="71">
        <v>0.94525193798449603</v>
      </c>
      <c r="X1101" s="71">
        <v>0.92483227035533799</v>
      </c>
      <c r="Y1101" s="73">
        <v>0.92</v>
      </c>
      <c r="Z1101" s="73">
        <v>0.94248466257668695</v>
      </c>
      <c r="AA1101" s="73">
        <v>0.83361629881154498</v>
      </c>
      <c r="AB1101" s="73">
        <v>0.94508894044856895</v>
      </c>
      <c r="AC1101" s="73">
        <v>0.93583038869257995</v>
      </c>
      <c r="AD1101" s="73">
        <v>0.92</v>
      </c>
      <c r="AE1101" s="71">
        <v>0.991981672394044</v>
      </c>
      <c r="AF1101" s="71">
        <v>0.99798792756539201</v>
      </c>
      <c r="AG1101" s="71">
        <v>0.99368421052631595</v>
      </c>
      <c r="AH1101" s="71">
        <v>0.99537292056847004</v>
      </c>
      <c r="AI1101" s="73">
        <v>0.92</v>
      </c>
      <c r="AJ1101" s="71">
        <v>0.955930006480881</v>
      </c>
      <c r="AK1101" s="71">
        <v>0.93209054593874796</v>
      </c>
      <c r="AL1101" s="71">
        <v>0.96693476318141203</v>
      </c>
      <c r="AM1101" s="71">
        <v>0.96193310879611504</v>
      </c>
      <c r="AN1101" s="70">
        <v>0.99</v>
      </c>
      <c r="AO1101" s="75">
        <v>1</v>
      </c>
      <c r="AP1101" s="75">
        <v>1</v>
      </c>
      <c r="AQ1101" s="75">
        <v>1</v>
      </c>
      <c r="AR1101" s="75">
        <v>1</v>
      </c>
      <c r="AS1101" s="95">
        <v>7.2186152540827803E-2</v>
      </c>
      <c r="AT1101" s="79">
        <v>0.125</v>
      </c>
      <c r="AU1101" s="79">
        <v>0</v>
      </c>
      <c r="AV1101" s="79">
        <v>0</v>
      </c>
      <c r="AW1101" s="79">
        <v>3.4482758620689703E-2</v>
      </c>
      <c r="AX1101" s="56"/>
      <c r="AY1101" s="54"/>
    </row>
    <row r="1102" spans="1:51">
      <c r="A1102" s="53"/>
      <c r="B1102" s="56"/>
      <c r="C1102" s="90" t="s">
        <v>1079</v>
      </c>
      <c r="D1102" s="230" t="s">
        <v>1757</v>
      </c>
      <c r="E1102" s="68" t="s">
        <v>1080</v>
      </c>
      <c r="F1102" s="128" t="s">
        <v>1126</v>
      </c>
      <c r="G1102" s="128" t="s">
        <v>1126</v>
      </c>
      <c r="H1102" s="128" t="s">
        <v>1126</v>
      </c>
      <c r="I1102" s="128" t="s">
        <v>1126</v>
      </c>
      <c r="J1102" s="70">
        <v>0.9</v>
      </c>
      <c r="K1102" s="71">
        <v>1</v>
      </c>
      <c r="L1102" s="71">
        <v>1</v>
      </c>
      <c r="M1102" s="72">
        <v>0.952380952380952</v>
      </c>
      <c r="N1102" s="71">
        <v>0.987179487179487</v>
      </c>
      <c r="O1102" s="73">
        <v>0.9</v>
      </c>
      <c r="P1102" s="71">
        <v>0.93900481540931002</v>
      </c>
      <c r="Q1102" s="71">
        <v>0.96217205613178802</v>
      </c>
      <c r="R1102" s="71">
        <v>0.95477386934673403</v>
      </c>
      <c r="S1102" s="71">
        <v>0.95580210985812997</v>
      </c>
      <c r="T1102" s="73">
        <v>0.9</v>
      </c>
      <c r="U1102" s="71">
        <v>0.92937399678972699</v>
      </c>
      <c r="V1102" s="71">
        <v>0.94569859670530798</v>
      </c>
      <c r="W1102" s="71">
        <v>0.941852117731515</v>
      </c>
      <c r="X1102" s="71">
        <v>0.94567721595731802</v>
      </c>
      <c r="Y1102" s="73">
        <v>0.92</v>
      </c>
      <c r="Z1102" s="73">
        <v>0.92227378190255205</v>
      </c>
      <c r="AA1102" s="73">
        <v>0.942782834850455</v>
      </c>
      <c r="AB1102" s="73">
        <v>0.92785793562708097</v>
      </c>
      <c r="AC1102" s="73">
        <v>0.94563225412339602</v>
      </c>
      <c r="AD1102" s="73">
        <v>0.92</v>
      </c>
      <c r="AE1102" s="71">
        <v>0.99871216999356105</v>
      </c>
      <c r="AF1102" s="71">
        <v>0.99150141643059497</v>
      </c>
      <c r="AG1102" s="71">
        <v>0.99879518072289197</v>
      </c>
      <c r="AH1102" s="71">
        <v>0.99717912552891397</v>
      </c>
      <c r="AI1102" s="73">
        <v>0.92</v>
      </c>
      <c r="AJ1102" s="71">
        <v>0.94402277039848204</v>
      </c>
      <c r="AK1102" s="71">
        <v>0.96677740863787398</v>
      </c>
      <c r="AL1102" s="71">
        <v>0.95945945945945899</v>
      </c>
      <c r="AM1102" s="71">
        <v>0.96599544072948296</v>
      </c>
      <c r="AN1102" s="70">
        <v>0.99</v>
      </c>
      <c r="AO1102" s="75">
        <v>1</v>
      </c>
      <c r="AP1102" s="75">
        <v>1</v>
      </c>
      <c r="AQ1102" s="75">
        <v>1</v>
      </c>
      <c r="AR1102" s="75">
        <v>1</v>
      </c>
      <c r="AS1102" s="95">
        <v>7.2186152540827803E-2</v>
      </c>
      <c r="AT1102" s="79">
        <v>0</v>
      </c>
      <c r="AU1102" s="79">
        <v>0</v>
      </c>
      <c r="AV1102" s="79">
        <v>0</v>
      </c>
      <c r="AW1102" s="79">
        <v>6.7796610169491497E-2</v>
      </c>
      <c r="AX1102" s="56"/>
      <c r="AY1102" s="54"/>
    </row>
    <row r="1103" spans="1:51">
      <c r="A1103" s="53"/>
      <c r="B1103" s="56"/>
      <c r="C1103" s="90" t="s">
        <v>1079</v>
      </c>
      <c r="D1103" s="230" t="s">
        <v>1757</v>
      </c>
      <c r="E1103" s="68" t="s">
        <v>1080</v>
      </c>
      <c r="F1103" s="128" t="s">
        <v>1127</v>
      </c>
      <c r="G1103" s="128" t="s">
        <v>1127</v>
      </c>
      <c r="H1103" s="128" t="s">
        <v>1127</v>
      </c>
      <c r="I1103" s="128" t="s">
        <v>1127</v>
      </c>
      <c r="J1103" s="70">
        <v>0.9</v>
      </c>
      <c r="K1103" s="71">
        <v>0.95652173913043503</v>
      </c>
      <c r="L1103" s="71">
        <v>1</v>
      </c>
      <c r="M1103" s="72">
        <v>0.86956521739130399</v>
      </c>
      <c r="N1103" s="71">
        <v>0.931034482758621</v>
      </c>
      <c r="O1103" s="73">
        <v>0.9</v>
      </c>
      <c r="P1103" s="71">
        <v>0.98664343786294995</v>
      </c>
      <c r="Q1103" s="71">
        <v>0.98251615355378197</v>
      </c>
      <c r="R1103" s="71">
        <v>0.98705780845556501</v>
      </c>
      <c r="S1103" s="71">
        <v>0.981246125232486</v>
      </c>
      <c r="T1103" s="73">
        <v>0.9</v>
      </c>
      <c r="U1103" s="71">
        <v>0.96689895470383302</v>
      </c>
      <c r="V1103" s="71">
        <v>0.94222729000380101</v>
      </c>
      <c r="W1103" s="71">
        <v>0.94477998274374497</v>
      </c>
      <c r="X1103" s="71">
        <v>0.94513329200247997</v>
      </c>
      <c r="Y1103" s="73">
        <v>0.92</v>
      </c>
      <c r="Z1103" s="73" t="s">
        <v>1710</v>
      </c>
      <c r="AA1103" s="73" t="s">
        <v>1710</v>
      </c>
      <c r="AB1103" s="73" t="s">
        <v>1710</v>
      </c>
      <c r="AC1103" s="73" t="s">
        <v>1710</v>
      </c>
      <c r="AD1103" s="73">
        <v>0.92</v>
      </c>
      <c r="AE1103" s="71">
        <v>0.99739583333333304</v>
      </c>
      <c r="AF1103" s="71">
        <v>0.99588477366255101</v>
      </c>
      <c r="AG1103" s="71">
        <v>1</v>
      </c>
      <c r="AH1103" s="71">
        <v>0.99933377748167895</v>
      </c>
      <c r="AI1103" s="73">
        <v>0.92</v>
      </c>
      <c r="AJ1103" s="71">
        <v>0.97038327526132395</v>
      </c>
      <c r="AK1103" s="71">
        <v>0.97149372862029604</v>
      </c>
      <c r="AL1103" s="71">
        <v>0.98059508408796903</v>
      </c>
      <c r="AM1103" s="71">
        <v>0.97741098066565901</v>
      </c>
      <c r="AN1103" s="70">
        <v>0.99</v>
      </c>
      <c r="AO1103" s="75">
        <v>1</v>
      </c>
      <c r="AP1103" s="75">
        <v>1</v>
      </c>
      <c r="AQ1103" s="75">
        <v>1</v>
      </c>
      <c r="AR1103" s="75">
        <v>1</v>
      </c>
      <c r="AS1103" s="95">
        <v>7.2186152540827803E-2</v>
      </c>
      <c r="AT1103" s="79">
        <v>0</v>
      </c>
      <c r="AU1103" s="79">
        <v>0.16666666666666699</v>
      </c>
      <c r="AV1103" s="79">
        <v>0.33333333333333298</v>
      </c>
      <c r="AW1103" s="79">
        <v>4.8387096774193498E-2</v>
      </c>
      <c r="AX1103" s="56"/>
      <c r="AY1103" s="54"/>
    </row>
    <row r="1104" spans="1:51">
      <c r="A1104" s="53"/>
      <c r="B1104" s="56"/>
      <c r="C1104" s="90" t="s">
        <v>1079</v>
      </c>
      <c r="D1104" s="230" t="s">
        <v>1757</v>
      </c>
      <c r="E1104" s="68" t="s">
        <v>1080</v>
      </c>
      <c r="F1104" s="128" t="s">
        <v>1128</v>
      </c>
      <c r="G1104" s="128" t="s">
        <v>1128</v>
      </c>
      <c r="H1104" s="128" t="s">
        <v>1128</v>
      </c>
      <c r="I1104" s="128" t="s">
        <v>1128</v>
      </c>
      <c r="J1104" s="70">
        <v>0.9</v>
      </c>
      <c r="K1104" s="71">
        <v>0.87179487179487203</v>
      </c>
      <c r="L1104" s="71">
        <v>0.90909090909090895</v>
      </c>
      <c r="M1104" s="72">
        <v>0.93181818181818199</v>
      </c>
      <c r="N1104" s="71">
        <v>0.94238683127571998</v>
      </c>
      <c r="O1104" s="73">
        <v>0.9</v>
      </c>
      <c r="P1104" s="71">
        <v>0.984403336960464</v>
      </c>
      <c r="Q1104" s="71">
        <v>0.96529726971166097</v>
      </c>
      <c r="R1104" s="71">
        <v>0.99313186813186805</v>
      </c>
      <c r="S1104" s="71">
        <v>0.98350520819804099</v>
      </c>
      <c r="T1104" s="73">
        <v>0.9</v>
      </c>
      <c r="U1104" s="71">
        <v>0.895175915850562</v>
      </c>
      <c r="V1104" s="71">
        <v>0.845368716509314</v>
      </c>
      <c r="W1104" s="71">
        <v>0.889835164835165</v>
      </c>
      <c r="X1104" s="71">
        <v>0.88817310439774499</v>
      </c>
      <c r="Y1104" s="73">
        <v>0.92</v>
      </c>
      <c r="Z1104" s="73" t="s">
        <v>1710</v>
      </c>
      <c r="AA1104" s="73" t="s">
        <v>1710</v>
      </c>
      <c r="AB1104" s="73" t="s">
        <v>1710</v>
      </c>
      <c r="AC1104" s="73" t="s">
        <v>1710</v>
      </c>
      <c r="AD1104" s="73">
        <v>0.92</v>
      </c>
      <c r="AE1104" s="71">
        <v>0.99823008849557504</v>
      </c>
      <c r="AF1104" s="71">
        <v>0.97113163972286398</v>
      </c>
      <c r="AG1104" s="71">
        <v>0.98545454545454503</v>
      </c>
      <c r="AH1104" s="71">
        <v>0.99386314820497101</v>
      </c>
      <c r="AI1104" s="73">
        <v>0.92</v>
      </c>
      <c r="AJ1104" s="71">
        <v>0.95683714182082003</v>
      </c>
      <c r="AK1104" s="71">
        <v>0.96861444245981099</v>
      </c>
      <c r="AL1104" s="71">
        <v>0.97280219780219801</v>
      </c>
      <c r="AM1104" s="71">
        <v>0.96971192560459296</v>
      </c>
      <c r="AN1104" s="70">
        <v>0.99</v>
      </c>
      <c r="AO1104" s="75">
        <v>1</v>
      </c>
      <c r="AP1104" s="75">
        <v>1</v>
      </c>
      <c r="AQ1104" s="75">
        <v>1</v>
      </c>
      <c r="AR1104" s="75">
        <v>1</v>
      </c>
      <c r="AS1104" s="95">
        <v>7.2186152540827803E-2</v>
      </c>
      <c r="AT1104" s="79">
        <v>0.42857142857142899</v>
      </c>
      <c r="AU1104" s="79">
        <v>0.11111111111111099</v>
      </c>
      <c r="AV1104" s="79">
        <v>0.11111111111111099</v>
      </c>
      <c r="AW1104" s="79">
        <v>8.8888888888888906E-2</v>
      </c>
      <c r="AX1104" s="56"/>
      <c r="AY1104" s="54"/>
    </row>
    <row r="1105" spans="1:51">
      <c r="A1105" s="53"/>
      <c r="B1105" s="56"/>
      <c r="C1105" s="90" t="s">
        <v>1079</v>
      </c>
      <c r="D1105" s="230" t="s">
        <v>1757</v>
      </c>
      <c r="E1105" s="68" t="s">
        <v>1080</v>
      </c>
      <c r="F1105" s="128" t="s">
        <v>1129</v>
      </c>
      <c r="G1105" s="128" t="s">
        <v>1129</v>
      </c>
      <c r="H1105" s="128" t="s">
        <v>1129</v>
      </c>
      <c r="I1105" s="128" t="s">
        <v>1129</v>
      </c>
      <c r="J1105" s="70">
        <v>0.9</v>
      </c>
      <c r="K1105" s="71">
        <v>0.92</v>
      </c>
      <c r="L1105" s="71">
        <v>0.96363636363636396</v>
      </c>
      <c r="M1105" s="72">
        <v>0.94444444444444398</v>
      </c>
      <c r="N1105" s="71">
        <v>0.96363636363636396</v>
      </c>
      <c r="O1105" s="73">
        <v>0.9</v>
      </c>
      <c r="P1105" s="71">
        <v>0.96875781054736299</v>
      </c>
      <c r="Q1105" s="71">
        <v>0.97768726757570401</v>
      </c>
      <c r="R1105" s="71">
        <v>0.94596595114729798</v>
      </c>
      <c r="S1105" s="71">
        <v>0.97372172192316098</v>
      </c>
      <c r="T1105" s="73">
        <v>0.9</v>
      </c>
      <c r="U1105" s="71">
        <v>0.962509372656836</v>
      </c>
      <c r="V1105" s="71">
        <v>0.94917655392243705</v>
      </c>
      <c r="W1105" s="71">
        <v>0.94059955588453004</v>
      </c>
      <c r="X1105" s="71">
        <v>0.95507370327514196</v>
      </c>
      <c r="Y1105" s="73">
        <v>0.92</v>
      </c>
      <c r="Z1105" s="73" t="s">
        <v>1710</v>
      </c>
      <c r="AA1105" s="73" t="s">
        <v>1710</v>
      </c>
      <c r="AB1105" s="73" t="s">
        <v>1710</v>
      </c>
      <c r="AC1105" s="73" t="s">
        <v>1710</v>
      </c>
      <c r="AD1105" s="73">
        <v>0.92</v>
      </c>
      <c r="AE1105" s="71">
        <v>1</v>
      </c>
      <c r="AF1105" s="71">
        <v>0.99803921568627496</v>
      </c>
      <c r="AG1105" s="71">
        <v>1</v>
      </c>
      <c r="AH1105" s="71">
        <v>0.99301310043668101</v>
      </c>
      <c r="AI1105" s="73">
        <v>0.92</v>
      </c>
      <c r="AJ1105" s="71">
        <v>0.97675581104723797</v>
      </c>
      <c r="AK1105" s="71">
        <v>0.97591641579599797</v>
      </c>
      <c r="AL1105" s="71">
        <v>0.96262028127313104</v>
      </c>
      <c r="AM1105" s="71">
        <v>0.97835018698328002</v>
      </c>
      <c r="AN1105" s="70">
        <v>0.99</v>
      </c>
      <c r="AO1105" s="75">
        <v>1</v>
      </c>
      <c r="AP1105" s="75">
        <v>1</v>
      </c>
      <c r="AQ1105" s="75">
        <v>1</v>
      </c>
      <c r="AR1105" s="75">
        <v>1</v>
      </c>
      <c r="AS1105" s="95">
        <v>7.2186152540827803E-2</v>
      </c>
      <c r="AT1105" s="79">
        <v>5.2631578947368397E-2</v>
      </c>
      <c r="AU1105" s="79">
        <v>4.1666666666666699E-2</v>
      </c>
      <c r="AV1105" s="79">
        <v>0</v>
      </c>
      <c r="AW1105" s="79">
        <v>3.07017543859649E-2</v>
      </c>
      <c r="AX1105" s="56"/>
      <c r="AY1105" s="54"/>
    </row>
    <row r="1106" spans="1:51">
      <c r="A1106" s="53"/>
      <c r="B1106" s="56"/>
      <c r="C1106" s="90" t="s">
        <v>1079</v>
      </c>
      <c r="D1106" s="230" t="s">
        <v>1757</v>
      </c>
      <c r="E1106" s="68" t="s">
        <v>1080</v>
      </c>
      <c r="F1106" s="128" t="s">
        <v>1130</v>
      </c>
      <c r="G1106" s="128" t="s">
        <v>1130</v>
      </c>
      <c r="H1106" s="128" t="s">
        <v>1130</v>
      </c>
      <c r="I1106" s="128" t="s">
        <v>1130</v>
      </c>
      <c r="J1106" s="70">
        <v>0.9</v>
      </c>
      <c r="K1106" s="71">
        <v>0.96721311475409799</v>
      </c>
      <c r="L1106" s="71">
        <v>0.93548387096774199</v>
      </c>
      <c r="M1106" s="72">
        <v>0.91525423728813604</v>
      </c>
      <c r="N1106" s="71">
        <v>0.92463768115942002</v>
      </c>
      <c r="O1106" s="73">
        <v>0.9</v>
      </c>
      <c r="P1106" s="71">
        <v>0.98075998075998105</v>
      </c>
      <c r="Q1106" s="71">
        <v>0.94546705659728203</v>
      </c>
      <c r="R1106" s="71">
        <v>0.96751188589540404</v>
      </c>
      <c r="S1106" s="71">
        <v>0.96698369073879897</v>
      </c>
      <c r="T1106" s="73">
        <v>0.9</v>
      </c>
      <c r="U1106" s="71">
        <v>0.90115440115440104</v>
      </c>
      <c r="V1106" s="71">
        <v>0.80440392224324797</v>
      </c>
      <c r="W1106" s="71">
        <v>0.82032488114104596</v>
      </c>
      <c r="X1106" s="71">
        <v>0.86596390988319505</v>
      </c>
      <c r="Y1106" s="73">
        <v>0.92</v>
      </c>
      <c r="Z1106" s="73" t="s">
        <v>1710</v>
      </c>
      <c r="AA1106" s="73" t="s">
        <v>1710</v>
      </c>
      <c r="AB1106" s="73" t="s">
        <v>1710</v>
      </c>
      <c r="AC1106" s="73" t="s">
        <v>1710</v>
      </c>
      <c r="AD1106" s="73">
        <v>0.92</v>
      </c>
      <c r="AE1106" s="71">
        <v>1</v>
      </c>
      <c r="AF1106" s="71">
        <v>1</v>
      </c>
      <c r="AG1106" s="71">
        <v>0.90948275862068995</v>
      </c>
      <c r="AH1106" s="71">
        <v>0.98812217194570096</v>
      </c>
      <c r="AI1106" s="73">
        <v>0.92</v>
      </c>
      <c r="AJ1106" s="71">
        <v>0.94179894179894197</v>
      </c>
      <c r="AK1106" s="71">
        <v>0.94013418200584897</v>
      </c>
      <c r="AL1106" s="71">
        <v>0.94453248811410495</v>
      </c>
      <c r="AM1106" s="71">
        <v>0.956388095324196</v>
      </c>
      <c r="AN1106" s="70">
        <v>0.99</v>
      </c>
      <c r="AO1106" s="75">
        <v>1</v>
      </c>
      <c r="AP1106" s="75">
        <v>1</v>
      </c>
      <c r="AQ1106" s="75">
        <v>1</v>
      </c>
      <c r="AR1106" s="75">
        <v>1</v>
      </c>
      <c r="AS1106" s="95">
        <v>7.2186152540827803E-2</v>
      </c>
      <c r="AT1106" s="79">
        <v>7.1428571428571397E-2</v>
      </c>
      <c r="AU1106" s="79">
        <v>-6.25E-2</v>
      </c>
      <c r="AV1106" s="79">
        <v>0</v>
      </c>
      <c r="AW1106" s="79">
        <v>6.5476190476190493E-2</v>
      </c>
      <c r="AX1106" s="56"/>
      <c r="AY1106" s="54"/>
    </row>
    <row r="1107" spans="1:51">
      <c r="A1107" s="53"/>
      <c r="B1107" s="56"/>
      <c r="C1107" s="90" t="s">
        <v>1079</v>
      </c>
      <c r="D1107" s="230" t="s">
        <v>1757</v>
      </c>
      <c r="E1107" s="68" t="s">
        <v>1080</v>
      </c>
      <c r="F1107" s="128" t="s">
        <v>1131</v>
      </c>
      <c r="G1107" s="128" t="s">
        <v>1131</v>
      </c>
      <c r="H1107" s="128" t="s">
        <v>1131</v>
      </c>
      <c r="I1107" s="128" t="s">
        <v>1131</v>
      </c>
      <c r="J1107" s="70">
        <v>0.9</v>
      </c>
      <c r="K1107" s="71">
        <v>0.82926829268292701</v>
      </c>
      <c r="L1107" s="71">
        <v>0.82978723404255295</v>
      </c>
      <c r="M1107" s="72">
        <v>0.88636363636363602</v>
      </c>
      <c r="N1107" s="71">
        <v>0.83820662768031196</v>
      </c>
      <c r="O1107" s="73">
        <v>0.9</v>
      </c>
      <c r="P1107" s="71">
        <v>0.94488486221215595</v>
      </c>
      <c r="Q1107" s="71">
        <v>0.86890322580645196</v>
      </c>
      <c r="R1107" s="71">
        <v>0.904066437571592</v>
      </c>
      <c r="S1107" s="71">
        <v>0.912633513571105</v>
      </c>
      <c r="T1107" s="73">
        <v>0.9</v>
      </c>
      <c r="U1107" s="71">
        <v>0.84484711211777996</v>
      </c>
      <c r="V1107" s="71">
        <v>0.73341935483871001</v>
      </c>
      <c r="W1107" s="71">
        <v>0.81071019473081296</v>
      </c>
      <c r="X1107" s="71">
        <v>0.81288122952347996</v>
      </c>
      <c r="Y1107" s="73">
        <v>0.92</v>
      </c>
      <c r="Z1107" s="73">
        <v>0</v>
      </c>
      <c r="AA1107" s="73" t="s">
        <v>1710</v>
      </c>
      <c r="AB1107" s="73" t="s">
        <v>1710</v>
      </c>
      <c r="AC1107" s="73">
        <v>0</v>
      </c>
      <c r="AD1107" s="73">
        <v>0.92</v>
      </c>
      <c r="AE1107" s="71">
        <v>0.95909090909090899</v>
      </c>
      <c r="AF1107" s="71">
        <v>0.97435897435897401</v>
      </c>
      <c r="AG1107" s="71">
        <v>0.97499999999999998</v>
      </c>
      <c r="AH1107" s="71">
        <v>0.96641791044776104</v>
      </c>
      <c r="AI1107" s="73">
        <v>0.92</v>
      </c>
      <c r="AJ1107" s="71">
        <v>0.92641509433962299</v>
      </c>
      <c r="AK1107" s="71">
        <v>0.93522580645161302</v>
      </c>
      <c r="AL1107" s="71">
        <v>0.94902634593356205</v>
      </c>
      <c r="AM1107" s="71">
        <v>0.95445465441470201</v>
      </c>
      <c r="AN1107" s="70">
        <v>0.99</v>
      </c>
      <c r="AO1107" s="75">
        <v>1</v>
      </c>
      <c r="AP1107" s="75">
        <v>1</v>
      </c>
      <c r="AQ1107" s="75">
        <v>1</v>
      </c>
      <c r="AR1107" s="75">
        <v>1</v>
      </c>
      <c r="AS1107" s="95">
        <v>7.2186152540827803E-2</v>
      </c>
      <c r="AT1107" s="79">
        <v>0.33333333333333298</v>
      </c>
      <c r="AU1107" s="79">
        <v>0.28571428571428598</v>
      </c>
      <c r="AV1107" s="79">
        <v>0.14285714285714299</v>
      </c>
      <c r="AW1107" s="79">
        <v>9.7222222222222196E-2</v>
      </c>
      <c r="AX1107" s="56"/>
      <c r="AY1107" s="54"/>
    </row>
    <row r="1108" spans="1:51">
      <c r="A1108" s="53"/>
      <c r="B1108" s="56"/>
      <c r="C1108" s="90" t="s">
        <v>1079</v>
      </c>
      <c r="D1108" s="230" t="s">
        <v>1757</v>
      </c>
      <c r="E1108" s="68" t="s">
        <v>1080</v>
      </c>
      <c r="F1108" s="128" t="s">
        <v>1132</v>
      </c>
      <c r="G1108" s="128" t="s">
        <v>1132</v>
      </c>
      <c r="H1108" s="128" t="s">
        <v>1132</v>
      </c>
      <c r="I1108" s="128" t="s">
        <v>1132</v>
      </c>
      <c r="J1108" s="70">
        <v>0.9</v>
      </c>
      <c r="K1108" s="71">
        <v>0.86274509803921595</v>
      </c>
      <c r="L1108" s="71">
        <v>0.86274509803921595</v>
      </c>
      <c r="M1108" s="72">
        <v>0.80392156862745101</v>
      </c>
      <c r="N1108" s="71">
        <v>0.83130434782608698</v>
      </c>
      <c r="O1108" s="73">
        <v>0.9</v>
      </c>
      <c r="P1108" s="71">
        <v>0.987694300518135</v>
      </c>
      <c r="Q1108" s="71">
        <v>0.98333730064270397</v>
      </c>
      <c r="R1108" s="71">
        <v>0.97488998187936804</v>
      </c>
      <c r="S1108" s="71">
        <v>0.97773526632401397</v>
      </c>
      <c r="T1108" s="73">
        <v>0.9</v>
      </c>
      <c r="U1108" s="71">
        <v>0.90673575129533701</v>
      </c>
      <c r="V1108" s="71">
        <v>0.87050702213758602</v>
      </c>
      <c r="W1108" s="71">
        <v>0.90137199068081797</v>
      </c>
      <c r="X1108" s="71">
        <v>0.90257450388365201</v>
      </c>
      <c r="Y1108" s="73">
        <v>0.92</v>
      </c>
      <c r="Z1108" s="73" t="s">
        <v>1710</v>
      </c>
      <c r="AA1108" s="73" t="s">
        <v>1710</v>
      </c>
      <c r="AB1108" s="73" t="s">
        <v>1710</v>
      </c>
      <c r="AC1108" s="73" t="s">
        <v>1710</v>
      </c>
      <c r="AD1108" s="73">
        <v>0.92</v>
      </c>
      <c r="AE1108" s="71">
        <v>0.99770904925544102</v>
      </c>
      <c r="AF1108" s="71">
        <v>0.98338368580060398</v>
      </c>
      <c r="AG1108" s="71">
        <v>0.99744897959183698</v>
      </c>
      <c r="AH1108" s="71">
        <v>0.994746059544658</v>
      </c>
      <c r="AI1108" s="73">
        <v>0.92</v>
      </c>
      <c r="AJ1108" s="71">
        <v>0.95174870466321204</v>
      </c>
      <c r="AK1108" s="71">
        <v>0.95548678885979499</v>
      </c>
      <c r="AL1108" s="71">
        <v>0.95314522391923395</v>
      </c>
      <c r="AM1108" s="71">
        <v>0.96300735243275604</v>
      </c>
      <c r="AN1108" s="70">
        <v>0.99</v>
      </c>
      <c r="AO1108" s="75">
        <v>1</v>
      </c>
      <c r="AP1108" s="75">
        <v>1</v>
      </c>
      <c r="AQ1108" s="75">
        <v>1</v>
      </c>
      <c r="AR1108" s="75">
        <v>1</v>
      </c>
      <c r="AS1108" s="95">
        <v>7.2186152540827803E-2</v>
      </c>
      <c r="AT1108" s="79">
        <v>0</v>
      </c>
      <c r="AU1108" s="79">
        <v>0.125</v>
      </c>
      <c r="AV1108" s="79">
        <v>0.4</v>
      </c>
      <c r="AW1108" s="79">
        <v>4.67289719626168E-2</v>
      </c>
      <c r="AX1108" s="56"/>
      <c r="AY1108" s="54"/>
    </row>
    <row r="1109" spans="1:51">
      <c r="A1109" s="53"/>
      <c r="B1109" s="56"/>
      <c r="C1109" s="90" t="s">
        <v>1079</v>
      </c>
      <c r="D1109" s="230" t="s">
        <v>1757</v>
      </c>
      <c r="E1109" s="68" t="s">
        <v>1080</v>
      </c>
      <c r="F1109" s="128" t="s">
        <v>1133</v>
      </c>
      <c r="G1109" s="128" t="s">
        <v>1133</v>
      </c>
      <c r="H1109" s="128" t="s">
        <v>1133</v>
      </c>
      <c r="I1109" s="128" t="s">
        <v>1133</v>
      </c>
      <c r="J1109" s="70">
        <v>0.9</v>
      </c>
      <c r="K1109" s="71">
        <v>0.96551724137931005</v>
      </c>
      <c r="L1109" s="71">
        <v>0.97297297297297303</v>
      </c>
      <c r="M1109" s="72">
        <v>0.82352941176470595</v>
      </c>
      <c r="N1109" s="71">
        <v>0.94933333333333303</v>
      </c>
      <c r="O1109" s="73">
        <v>0.9</v>
      </c>
      <c r="P1109" s="71">
        <v>0.95188773805546301</v>
      </c>
      <c r="Q1109" s="71">
        <v>0.94330669330669303</v>
      </c>
      <c r="R1109" s="71">
        <v>0.95926966292134797</v>
      </c>
      <c r="S1109" s="71">
        <v>0.94352211016291698</v>
      </c>
      <c r="T1109" s="73">
        <v>0.9</v>
      </c>
      <c r="U1109" s="71">
        <v>0.72803207484129595</v>
      </c>
      <c r="V1109" s="71">
        <v>0.80619380619380598</v>
      </c>
      <c r="W1109" s="71">
        <v>0.76882022471910105</v>
      </c>
      <c r="X1109" s="71">
        <v>0.78924230669769802</v>
      </c>
      <c r="Y1109" s="73">
        <v>0.92</v>
      </c>
      <c r="Z1109" s="73">
        <v>0</v>
      </c>
      <c r="AA1109" s="73">
        <v>0</v>
      </c>
      <c r="AB1109" s="73" t="s">
        <v>1710</v>
      </c>
      <c r="AC1109" s="73">
        <v>0</v>
      </c>
      <c r="AD1109" s="73">
        <v>0.92</v>
      </c>
      <c r="AE1109" s="71">
        <v>0.99337748344370902</v>
      </c>
      <c r="AF1109" s="71">
        <v>0.99473684210526303</v>
      </c>
      <c r="AG1109" s="71">
        <v>0.99082568807339499</v>
      </c>
      <c r="AH1109" s="71">
        <v>0.99008115419296705</v>
      </c>
      <c r="AI1109" s="73">
        <v>0.92</v>
      </c>
      <c r="AJ1109" s="71">
        <v>0.86105544422177704</v>
      </c>
      <c r="AK1109" s="71">
        <v>0.92209737827715399</v>
      </c>
      <c r="AL1109" s="71">
        <v>0.91292134831460703</v>
      </c>
      <c r="AM1109" s="71">
        <v>0.92516549441456397</v>
      </c>
      <c r="AN1109" s="70">
        <v>0.99</v>
      </c>
      <c r="AO1109" s="75">
        <v>1</v>
      </c>
      <c r="AP1109" s="75">
        <v>1</v>
      </c>
      <c r="AQ1109" s="75">
        <v>1</v>
      </c>
      <c r="AR1109" s="75">
        <v>1</v>
      </c>
      <c r="AS1109" s="95">
        <v>7.2186152540827803E-2</v>
      </c>
      <c r="AT1109" s="79">
        <v>0</v>
      </c>
      <c r="AU1109" s="79">
        <v>0</v>
      </c>
      <c r="AV1109" s="79">
        <v>0</v>
      </c>
      <c r="AW1109" s="79">
        <v>4.5454545454545497E-2</v>
      </c>
      <c r="AX1109" s="56"/>
      <c r="AY1109" s="54"/>
    </row>
    <row r="1110" spans="1:51">
      <c r="A1110" s="53"/>
      <c r="B1110" s="56"/>
      <c r="C1110" s="90" t="s">
        <v>1079</v>
      </c>
      <c r="D1110" s="230" t="s">
        <v>1757</v>
      </c>
      <c r="E1110" s="68" t="s">
        <v>1080</v>
      </c>
      <c r="F1110" s="128" t="s">
        <v>1134</v>
      </c>
      <c r="G1110" s="128" t="s">
        <v>1134</v>
      </c>
      <c r="H1110" s="128" t="s">
        <v>1134</v>
      </c>
      <c r="I1110" s="128" t="s">
        <v>1134</v>
      </c>
      <c r="J1110" s="70">
        <v>0.9</v>
      </c>
      <c r="K1110" s="71">
        <v>0.97560975609756095</v>
      </c>
      <c r="L1110" s="71">
        <v>1</v>
      </c>
      <c r="M1110" s="72">
        <v>1</v>
      </c>
      <c r="N1110" s="71">
        <v>0.98627002288329502</v>
      </c>
      <c r="O1110" s="73">
        <v>0.9</v>
      </c>
      <c r="P1110" s="71">
        <v>0.97842681712578805</v>
      </c>
      <c r="Q1110" s="71">
        <v>0.98092248249215197</v>
      </c>
      <c r="R1110" s="71">
        <v>0.98549249172817499</v>
      </c>
      <c r="S1110" s="71">
        <v>0.97706735873540196</v>
      </c>
      <c r="T1110" s="73">
        <v>0.9</v>
      </c>
      <c r="U1110" s="71">
        <v>0.95054762694988404</v>
      </c>
      <c r="V1110" s="71">
        <v>0.94542381067375003</v>
      </c>
      <c r="W1110" s="71">
        <v>0.96054975820819499</v>
      </c>
      <c r="X1110" s="71">
        <v>0.943423380913059</v>
      </c>
      <c r="Y1110" s="73">
        <v>0.92</v>
      </c>
      <c r="Z1110" s="73" t="s">
        <v>1710</v>
      </c>
      <c r="AA1110" s="73" t="s">
        <v>1710</v>
      </c>
      <c r="AB1110" s="73">
        <v>1</v>
      </c>
      <c r="AC1110" s="73">
        <v>0.66666666666666696</v>
      </c>
      <c r="AD1110" s="73">
        <v>0.92</v>
      </c>
      <c r="AE1110" s="71">
        <v>1</v>
      </c>
      <c r="AF1110" s="71">
        <v>0.99681528662420404</v>
      </c>
      <c r="AG1110" s="71">
        <v>1</v>
      </c>
      <c r="AH1110" s="71">
        <v>0.99948226766761605</v>
      </c>
      <c r="AI1110" s="73">
        <v>0.92</v>
      </c>
      <c r="AJ1110" s="71">
        <v>0.96382343179555297</v>
      </c>
      <c r="AK1110" s="71">
        <v>0.97488529340738905</v>
      </c>
      <c r="AL1110" s="71">
        <v>0.97760814249363903</v>
      </c>
      <c r="AM1110" s="71">
        <v>0.97426158346701897</v>
      </c>
      <c r="AN1110" s="70">
        <v>0.99</v>
      </c>
      <c r="AO1110" s="75">
        <v>1</v>
      </c>
      <c r="AP1110" s="75">
        <v>1</v>
      </c>
      <c r="AQ1110" s="75">
        <v>1</v>
      </c>
      <c r="AR1110" s="75">
        <v>1</v>
      </c>
      <c r="AS1110" s="95">
        <v>7.2186152540827803E-2</v>
      </c>
      <c r="AT1110" s="79">
        <v>0</v>
      </c>
      <c r="AU1110" s="79">
        <v>0</v>
      </c>
      <c r="AV1110" s="79">
        <v>0</v>
      </c>
      <c r="AW1110" s="79">
        <v>3.2258064516128997E-2</v>
      </c>
      <c r="AX1110" s="56"/>
      <c r="AY1110" s="54"/>
    </row>
    <row r="1111" spans="1:51">
      <c r="A1111" s="53"/>
      <c r="B1111" s="56"/>
      <c r="C1111" s="90" t="s">
        <v>1079</v>
      </c>
      <c r="D1111" s="230" t="s">
        <v>1757</v>
      </c>
      <c r="E1111" s="68" t="s">
        <v>1080</v>
      </c>
      <c r="F1111" s="128" t="s">
        <v>1135</v>
      </c>
      <c r="G1111" s="128" t="s">
        <v>1135</v>
      </c>
      <c r="H1111" s="128" t="s">
        <v>1135</v>
      </c>
      <c r="I1111" s="128" t="s">
        <v>1135</v>
      </c>
      <c r="J1111" s="70">
        <v>0.9</v>
      </c>
      <c r="K1111" s="71">
        <v>1</v>
      </c>
      <c r="L1111" s="71">
        <v>0.90476190476190499</v>
      </c>
      <c r="M1111" s="72">
        <v>0.90476190476190499</v>
      </c>
      <c r="N1111" s="71">
        <v>0.93721973094170397</v>
      </c>
      <c r="O1111" s="73">
        <v>0.9</v>
      </c>
      <c r="P1111" s="71">
        <v>0.95977011494252895</v>
      </c>
      <c r="Q1111" s="71">
        <v>0.95806745670009097</v>
      </c>
      <c r="R1111" s="71">
        <v>0.90178117048346096</v>
      </c>
      <c r="S1111" s="71">
        <v>0.94229508196721301</v>
      </c>
      <c r="T1111" s="73">
        <v>0.9</v>
      </c>
      <c r="U1111" s="71">
        <v>0.87675606641123904</v>
      </c>
      <c r="V1111" s="71">
        <v>0.86235186873290803</v>
      </c>
      <c r="W1111" s="71">
        <v>0.87022900763358801</v>
      </c>
      <c r="X1111" s="71">
        <v>0.87901639344262295</v>
      </c>
      <c r="Y1111" s="73">
        <v>0.92</v>
      </c>
      <c r="Z1111" s="73" t="s">
        <v>1710</v>
      </c>
      <c r="AA1111" s="73" t="s">
        <v>1710</v>
      </c>
      <c r="AB1111" s="73" t="s">
        <v>1710</v>
      </c>
      <c r="AC1111" s="73">
        <v>1</v>
      </c>
      <c r="AD1111" s="73">
        <v>0.92</v>
      </c>
      <c r="AE1111" s="71">
        <v>0.98474945533769098</v>
      </c>
      <c r="AF1111" s="71">
        <v>1</v>
      </c>
      <c r="AG1111" s="71">
        <v>1</v>
      </c>
      <c r="AH1111" s="71">
        <v>0.99786153434910496</v>
      </c>
      <c r="AI1111" s="73">
        <v>0.92</v>
      </c>
      <c r="AJ1111" s="71">
        <v>0.89910600255427797</v>
      </c>
      <c r="AK1111" s="71">
        <v>0.93072014585232499</v>
      </c>
      <c r="AL1111" s="71">
        <v>0.91959287531806599</v>
      </c>
      <c r="AM1111" s="71">
        <v>0.93869139618753195</v>
      </c>
      <c r="AN1111" s="70">
        <v>0.99</v>
      </c>
      <c r="AO1111" s="75">
        <v>1</v>
      </c>
      <c r="AP1111" s="75">
        <v>1</v>
      </c>
      <c r="AQ1111" s="75">
        <v>1</v>
      </c>
      <c r="AR1111" s="75">
        <v>1</v>
      </c>
      <c r="AS1111" s="95">
        <v>7.2186152540827803E-2</v>
      </c>
      <c r="AT1111" s="79">
        <v>0</v>
      </c>
      <c r="AU1111" s="79">
        <v>0</v>
      </c>
      <c r="AV1111" s="79">
        <v>0</v>
      </c>
      <c r="AW1111" s="79">
        <v>7.5471698113207503E-2</v>
      </c>
      <c r="AX1111" s="56"/>
      <c r="AY1111" s="54"/>
    </row>
    <row r="1112" spans="1:51">
      <c r="A1112" s="53"/>
      <c r="B1112" s="56"/>
      <c r="C1112" s="90" t="s">
        <v>1079</v>
      </c>
      <c r="D1112" s="230" t="s">
        <v>1757</v>
      </c>
      <c r="E1112" s="68" t="s">
        <v>1080</v>
      </c>
      <c r="F1112" s="128" t="s">
        <v>1136</v>
      </c>
      <c r="G1112" s="128" t="s">
        <v>1136</v>
      </c>
      <c r="H1112" s="128" t="s">
        <v>1136</v>
      </c>
      <c r="I1112" s="128" t="s">
        <v>1136</v>
      </c>
      <c r="J1112" s="70">
        <v>0.9</v>
      </c>
      <c r="K1112" s="71">
        <v>1</v>
      </c>
      <c r="L1112" s="71">
        <v>0.95652173913043503</v>
      </c>
      <c r="M1112" s="72">
        <v>1</v>
      </c>
      <c r="N1112" s="71">
        <v>0.98399999999999999</v>
      </c>
      <c r="O1112" s="73">
        <v>0.9</v>
      </c>
      <c r="P1112" s="71">
        <v>0.97268070574843501</v>
      </c>
      <c r="Q1112" s="71">
        <v>0.99111299195937397</v>
      </c>
      <c r="R1112" s="71">
        <v>0.98236889692585905</v>
      </c>
      <c r="S1112" s="71">
        <v>0.983030201201327</v>
      </c>
      <c r="T1112" s="73">
        <v>0.9</v>
      </c>
      <c r="U1112" s="71">
        <v>0.90153671030165095</v>
      </c>
      <c r="V1112" s="71">
        <v>0.92551840880237002</v>
      </c>
      <c r="W1112" s="71">
        <v>0.91817359855334502</v>
      </c>
      <c r="X1112" s="71">
        <v>0.93136472466081399</v>
      </c>
      <c r="Y1112" s="73">
        <v>0.92</v>
      </c>
      <c r="Z1112" s="73" t="s">
        <v>1710</v>
      </c>
      <c r="AA1112" s="73" t="s">
        <v>1710</v>
      </c>
      <c r="AB1112" s="73" t="s">
        <v>1710</v>
      </c>
      <c r="AC1112" s="73" t="s">
        <v>1710</v>
      </c>
      <c r="AD1112" s="73">
        <v>0.92</v>
      </c>
      <c r="AE1112" s="71">
        <v>0.99284009546539398</v>
      </c>
      <c r="AF1112" s="71">
        <v>0.99718309859154897</v>
      </c>
      <c r="AG1112" s="71">
        <v>0.99449035812672204</v>
      </c>
      <c r="AH1112" s="71">
        <v>0.99368208238564604</v>
      </c>
      <c r="AI1112" s="73">
        <v>0.92</v>
      </c>
      <c r="AJ1112" s="71">
        <v>0.93682413204325599</v>
      </c>
      <c r="AK1112" s="71">
        <v>0.97079983072365605</v>
      </c>
      <c r="AL1112" s="71">
        <v>0.97513562386980102</v>
      </c>
      <c r="AM1112" s="71">
        <v>0.96862267400344404</v>
      </c>
      <c r="AN1112" s="70">
        <v>0.99</v>
      </c>
      <c r="AO1112" s="75">
        <v>1</v>
      </c>
      <c r="AP1112" s="75">
        <v>1</v>
      </c>
      <c r="AQ1112" s="75">
        <v>1</v>
      </c>
      <c r="AR1112" s="75">
        <v>1</v>
      </c>
      <c r="AS1112" s="95">
        <v>7.2186152540827803E-2</v>
      </c>
      <c r="AT1112" s="79">
        <v>0</v>
      </c>
      <c r="AU1112" s="79">
        <v>0</v>
      </c>
      <c r="AV1112" s="79">
        <v>0</v>
      </c>
      <c r="AW1112" s="79">
        <v>1.85185185185185E-2</v>
      </c>
      <c r="AX1112" s="56"/>
      <c r="AY1112" s="54"/>
    </row>
    <row r="1113" spans="1:51">
      <c r="A1113" s="53"/>
      <c r="B1113" s="56"/>
      <c r="C1113" s="90" t="s">
        <v>1079</v>
      </c>
      <c r="D1113" s="230" t="s">
        <v>1757</v>
      </c>
      <c r="E1113" s="68" t="s">
        <v>1080</v>
      </c>
      <c r="F1113" s="128" t="s">
        <v>1137</v>
      </c>
      <c r="G1113" s="128" t="s">
        <v>1137</v>
      </c>
      <c r="H1113" s="128" t="s">
        <v>1137</v>
      </c>
      <c r="I1113" s="128" t="s">
        <v>1137</v>
      </c>
      <c r="J1113" s="70">
        <v>0.9</v>
      </c>
      <c r="K1113" s="71">
        <v>0.82926829268292701</v>
      </c>
      <c r="L1113" s="71">
        <v>0.86231884057970998</v>
      </c>
      <c r="M1113" s="72">
        <v>0.81395348837209303</v>
      </c>
      <c r="N1113" s="71">
        <v>0.84398625429553298</v>
      </c>
      <c r="O1113" s="73">
        <v>0.9</v>
      </c>
      <c r="P1113" s="71">
        <v>0.914302125215393</v>
      </c>
      <c r="Q1113" s="71">
        <v>0.89738412921348298</v>
      </c>
      <c r="R1113" s="71">
        <v>0.83436645396536002</v>
      </c>
      <c r="S1113" s="71">
        <v>0.90752662900694203</v>
      </c>
      <c r="T1113" s="73">
        <v>0.9</v>
      </c>
      <c r="U1113" s="71">
        <v>0.82263067202757001</v>
      </c>
      <c r="V1113" s="71">
        <v>0.761060393258427</v>
      </c>
      <c r="W1113" s="71">
        <v>0.69097538742023701</v>
      </c>
      <c r="X1113" s="71">
        <v>0.77416755499970602</v>
      </c>
      <c r="Y1113" s="73">
        <v>0.92</v>
      </c>
      <c r="Z1113" s="73">
        <v>0</v>
      </c>
      <c r="AA1113" s="73" t="s">
        <v>1710</v>
      </c>
      <c r="AB1113" s="73" t="s">
        <v>1710</v>
      </c>
      <c r="AC1113" s="73">
        <v>0</v>
      </c>
      <c r="AD1113" s="73">
        <v>0.92</v>
      </c>
      <c r="AE1113" s="71">
        <v>1</v>
      </c>
      <c r="AF1113" s="71">
        <v>1</v>
      </c>
      <c r="AG1113" s="71">
        <v>1</v>
      </c>
      <c r="AH1113" s="71">
        <v>0.996711912992159</v>
      </c>
      <c r="AI1113" s="73">
        <v>0.92</v>
      </c>
      <c r="AJ1113" s="71">
        <v>0.91759439917364904</v>
      </c>
      <c r="AK1113" s="71">
        <v>0.93591994382022503</v>
      </c>
      <c r="AL1113" s="71">
        <v>0.91230628988149498</v>
      </c>
      <c r="AM1113" s="71">
        <v>0.94461370598850103</v>
      </c>
      <c r="AN1113" s="70">
        <v>0.99</v>
      </c>
      <c r="AO1113" s="75">
        <v>1</v>
      </c>
      <c r="AP1113" s="75">
        <v>1</v>
      </c>
      <c r="AQ1113" s="75">
        <v>1</v>
      </c>
      <c r="AR1113" s="75">
        <v>1</v>
      </c>
      <c r="AS1113" s="95">
        <v>7.2186152540827803E-2</v>
      </c>
      <c r="AT1113" s="79">
        <v>0</v>
      </c>
      <c r="AU1113" s="79">
        <v>7.4074074074074098E-2</v>
      </c>
      <c r="AV1113" s="79">
        <v>0.1</v>
      </c>
      <c r="AW1113" s="79">
        <v>7.10382513661202E-2</v>
      </c>
      <c r="AX1113" s="56"/>
      <c r="AY1113" s="54"/>
    </row>
    <row r="1114" spans="1:51">
      <c r="A1114" s="53"/>
      <c r="B1114" s="56"/>
      <c r="C1114" s="90" t="s">
        <v>1079</v>
      </c>
      <c r="D1114" s="230" t="s">
        <v>1757</v>
      </c>
      <c r="E1114" s="68" t="s">
        <v>1080</v>
      </c>
      <c r="F1114" s="128" t="s">
        <v>1138</v>
      </c>
      <c r="G1114" s="128" t="s">
        <v>1138</v>
      </c>
      <c r="H1114" s="128" t="s">
        <v>1138</v>
      </c>
      <c r="I1114" s="128" t="s">
        <v>1138</v>
      </c>
      <c r="J1114" s="70">
        <v>0.9</v>
      </c>
      <c r="K1114" s="71">
        <v>0.54545454545454497</v>
      </c>
      <c r="L1114" s="71">
        <v>0.64444444444444404</v>
      </c>
      <c r="M1114" s="72">
        <v>0.77142857142857102</v>
      </c>
      <c r="N1114" s="71">
        <v>0.74186046511627901</v>
      </c>
      <c r="O1114" s="73">
        <v>0.9</v>
      </c>
      <c r="P1114" s="71">
        <v>0.80828351836037604</v>
      </c>
      <c r="Q1114" s="71">
        <v>0.86192861615529104</v>
      </c>
      <c r="R1114" s="71">
        <v>0.81477438136826796</v>
      </c>
      <c r="S1114" s="71">
        <v>0.88183242996147104</v>
      </c>
      <c r="T1114" s="73">
        <v>0.9</v>
      </c>
      <c r="U1114" s="71">
        <v>0.65627668659265603</v>
      </c>
      <c r="V1114" s="71">
        <v>0.68503443957420196</v>
      </c>
      <c r="W1114" s="71">
        <v>0.64410480349345001</v>
      </c>
      <c r="X1114" s="71">
        <v>0.70593613269770805</v>
      </c>
      <c r="Y1114" s="73">
        <v>0.92</v>
      </c>
      <c r="Z1114" s="73" t="s">
        <v>1710</v>
      </c>
      <c r="AA1114" s="73" t="s">
        <v>1710</v>
      </c>
      <c r="AB1114" s="73" t="s">
        <v>1710</v>
      </c>
      <c r="AC1114" s="73" t="s">
        <v>1710</v>
      </c>
      <c r="AD1114" s="73">
        <v>0.92</v>
      </c>
      <c r="AE1114" s="71">
        <v>0.99216710182767598</v>
      </c>
      <c r="AF1114" s="71">
        <v>0.98153277931671301</v>
      </c>
      <c r="AG1114" s="71">
        <v>0.99323181049069398</v>
      </c>
      <c r="AH1114" s="71">
        <v>0.99101988454137302</v>
      </c>
      <c r="AI1114" s="73">
        <v>0.92</v>
      </c>
      <c r="AJ1114" s="71">
        <v>0.76387702818104197</v>
      </c>
      <c r="AK1114" s="71">
        <v>0.878835316217909</v>
      </c>
      <c r="AL1114" s="71">
        <v>0.87409024745269304</v>
      </c>
      <c r="AM1114" s="71">
        <v>0.86906549990204396</v>
      </c>
      <c r="AN1114" s="70">
        <v>0.99</v>
      </c>
      <c r="AO1114" s="75">
        <v>1</v>
      </c>
      <c r="AP1114" s="75">
        <v>1</v>
      </c>
      <c r="AQ1114" s="75">
        <v>1</v>
      </c>
      <c r="AR1114" s="75">
        <v>1</v>
      </c>
      <c r="AS1114" s="95">
        <v>7.2186152540827803E-2</v>
      </c>
      <c r="AT1114" s="79">
        <v>0</v>
      </c>
      <c r="AU1114" s="79">
        <v>0</v>
      </c>
      <c r="AV1114" s="79">
        <v>0</v>
      </c>
      <c r="AW1114" s="79">
        <v>0.105263157894737</v>
      </c>
      <c r="AX1114" s="56"/>
      <c r="AY1114" s="54"/>
    </row>
    <row r="1115" spans="1:51">
      <c r="A1115" s="53"/>
      <c r="B1115" s="56"/>
      <c r="C1115" s="90" t="s">
        <v>1079</v>
      </c>
      <c r="D1115" s="230" t="s">
        <v>1757</v>
      </c>
      <c r="E1115" s="68" t="s">
        <v>1080</v>
      </c>
      <c r="F1115" s="128" t="s">
        <v>1139</v>
      </c>
      <c r="G1115" s="128" t="s">
        <v>1139</v>
      </c>
      <c r="H1115" s="128" t="s">
        <v>1139</v>
      </c>
      <c r="I1115" s="128" t="s">
        <v>1139</v>
      </c>
      <c r="J1115" s="70">
        <v>0.9</v>
      </c>
      <c r="K1115" s="71">
        <v>0.91891891891891897</v>
      </c>
      <c r="L1115" s="71">
        <v>1</v>
      </c>
      <c r="M1115" s="72">
        <v>0.97368421052631604</v>
      </c>
      <c r="N1115" s="71">
        <v>0.97949886104783601</v>
      </c>
      <c r="O1115" s="73">
        <v>0.9</v>
      </c>
      <c r="P1115" s="71">
        <v>0.98618875369944103</v>
      </c>
      <c r="Q1115" s="71">
        <v>0.99116101290014302</v>
      </c>
      <c r="R1115" s="71">
        <v>0.99030172413793105</v>
      </c>
      <c r="S1115" s="71">
        <v>0.97504730368968795</v>
      </c>
      <c r="T1115" s="73">
        <v>0.9</v>
      </c>
      <c r="U1115" s="71">
        <v>0.95856626109832299</v>
      </c>
      <c r="V1115" s="71">
        <v>0.92403248924988102</v>
      </c>
      <c r="W1115" s="71">
        <v>0.92887931034482796</v>
      </c>
      <c r="X1115" s="71">
        <v>0.93074739829706699</v>
      </c>
      <c r="Y1115" s="73">
        <v>0.92</v>
      </c>
      <c r="Z1115" s="73" t="s">
        <v>1710</v>
      </c>
      <c r="AA1115" s="73" t="s">
        <v>1710</v>
      </c>
      <c r="AB1115" s="73" t="s">
        <v>1710</v>
      </c>
      <c r="AC1115" s="73">
        <v>0</v>
      </c>
      <c r="AD1115" s="73">
        <v>0.92</v>
      </c>
      <c r="AE1115" s="71">
        <v>1</v>
      </c>
      <c r="AF1115" s="71">
        <v>1</v>
      </c>
      <c r="AG1115" s="71">
        <v>0.99410029498525099</v>
      </c>
      <c r="AH1115" s="71">
        <v>0.998838829540176</v>
      </c>
      <c r="AI1115" s="73">
        <v>0.92</v>
      </c>
      <c r="AJ1115" s="71">
        <v>0.97435054258467602</v>
      </c>
      <c r="AK1115" s="71">
        <v>0.98279980888676499</v>
      </c>
      <c r="AL1115" s="71">
        <v>0.98491379310344795</v>
      </c>
      <c r="AM1115" s="71">
        <v>0.98505238759726599</v>
      </c>
      <c r="AN1115" s="70">
        <v>0.99</v>
      </c>
      <c r="AO1115" s="75">
        <v>1</v>
      </c>
      <c r="AP1115" s="75">
        <v>1</v>
      </c>
      <c r="AQ1115" s="75">
        <v>1</v>
      </c>
      <c r="AR1115" s="75">
        <v>1</v>
      </c>
      <c r="AS1115" s="95">
        <v>7.2186152540827803E-2</v>
      </c>
      <c r="AT1115" s="79">
        <v>0</v>
      </c>
      <c r="AU1115" s="79">
        <v>0</v>
      </c>
      <c r="AV1115" s="79">
        <v>0</v>
      </c>
      <c r="AW1115" s="79">
        <v>2.8169014084507001E-2</v>
      </c>
      <c r="AX1115" s="56"/>
      <c r="AY1115" s="54"/>
    </row>
    <row r="1116" spans="1:51">
      <c r="A1116" s="53"/>
      <c r="B1116" s="56"/>
      <c r="C1116" s="90" t="s">
        <v>1079</v>
      </c>
      <c r="D1116" s="230" t="s">
        <v>1757</v>
      </c>
      <c r="E1116" s="68" t="s">
        <v>1080</v>
      </c>
      <c r="F1116" s="128" t="s">
        <v>1140</v>
      </c>
      <c r="G1116" s="128" t="s">
        <v>1140</v>
      </c>
      <c r="H1116" s="128" t="s">
        <v>1140</v>
      </c>
      <c r="I1116" s="128" t="s">
        <v>1140</v>
      </c>
      <c r="J1116" s="70">
        <v>0.9</v>
      </c>
      <c r="K1116" s="71">
        <v>0.78723404255319196</v>
      </c>
      <c r="L1116" s="71">
        <v>0.81666666666666698</v>
      </c>
      <c r="M1116" s="72">
        <v>0.83333333333333304</v>
      </c>
      <c r="N1116" s="71">
        <v>0.794258373205742</v>
      </c>
      <c r="O1116" s="73">
        <v>0.9</v>
      </c>
      <c r="P1116" s="71">
        <v>0.87571839080459801</v>
      </c>
      <c r="Q1116" s="71">
        <v>0.88547917023829903</v>
      </c>
      <c r="R1116" s="71">
        <v>0.85499909600433899</v>
      </c>
      <c r="S1116" s="71">
        <v>0.89225554817502095</v>
      </c>
      <c r="T1116" s="73">
        <v>0.9</v>
      </c>
      <c r="U1116" s="71">
        <v>0.87284482758620696</v>
      </c>
      <c r="V1116" s="71">
        <v>0.80627464426538697</v>
      </c>
      <c r="W1116" s="71">
        <v>0.82968721750135599</v>
      </c>
      <c r="X1116" s="71">
        <v>0.85069746052833295</v>
      </c>
      <c r="Y1116" s="73">
        <v>0.92</v>
      </c>
      <c r="Z1116" s="73" t="s">
        <v>1710</v>
      </c>
      <c r="AA1116" s="73" t="s">
        <v>1710</v>
      </c>
      <c r="AB1116" s="73" t="s">
        <v>1710</v>
      </c>
      <c r="AC1116" s="73" t="s">
        <v>1710</v>
      </c>
      <c r="AD1116" s="73">
        <v>0.92</v>
      </c>
      <c r="AE1116" s="71">
        <v>0.98387096774193505</v>
      </c>
      <c r="AF1116" s="71">
        <v>0.78947368421052599</v>
      </c>
      <c r="AG1116" s="71">
        <v>0.99371069182389904</v>
      </c>
      <c r="AH1116" s="71">
        <v>0.98152898922524401</v>
      </c>
      <c r="AI1116" s="73">
        <v>0.92</v>
      </c>
      <c r="AJ1116" s="71">
        <v>0.94061302681992298</v>
      </c>
      <c r="AK1116" s="71">
        <v>0.95576890108006196</v>
      </c>
      <c r="AL1116" s="71">
        <v>0.97125293798589796</v>
      </c>
      <c r="AM1116" s="71">
        <v>0.96835453817723505</v>
      </c>
      <c r="AN1116" s="70">
        <v>0.99</v>
      </c>
      <c r="AO1116" s="75">
        <v>1</v>
      </c>
      <c r="AP1116" s="75">
        <v>1</v>
      </c>
      <c r="AQ1116" s="75">
        <v>1</v>
      </c>
      <c r="AR1116" s="75">
        <v>1</v>
      </c>
      <c r="AS1116" s="95">
        <v>7.2186152540827803E-2</v>
      </c>
      <c r="AT1116" s="79">
        <v>0.2</v>
      </c>
      <c r="AU1116" s="79">
        <v>0</v>
      </c>
      <c r="AV1116" s="79">
        <v>0.33333333333333298</v>
      </c>
      <c r="AW1116" s="79">
        <v>8.1395348837209294E-2</v>
      </c>
      <c r="AX1116" s="56"/>
      <c r="AY1116" s="54"/>
    </row>
    <row r="1117" spans="1:51">
      <c r="A1117" s="53"/>
      <c r="B1117" s="56"/>
      <c r="C1117" s="90" t="s">
        <v>1079</v>
      </c>
      <c r="D1117" s="230" t="s">
        <v>1757</v>
      </c>
      <c r="E1117" s="68" t="s">
        <v>1080</v>
      </c>
      <c r="F1117" s="128" t="s">
        <v>1141</v>
      </c>
      <c r="G1117" s="128" t="s">
        <v>1141</v>
      </c>
      <c r="H1117" s="128" t="s">
        <v>1141</v>
      </c>
      <c r="I1117" s="128" t="s">
        <v>1141</v>
      </c>
      <c r="J1117" s="70">
        <v>0.9</v>
      </c>
      <c r="K1117" s="71">
        <v>0.92105263157894701</v>
      </c>
      <c r="L1117" s="71">
        <v>0.92682926829268297</v>
      </c>
      <c r="M1117" s="72">
        <v>0.92105263157894701</v>
      </c>
      <c r="N1117" s="71">
        <v>0.93363844393592699</v>
      </c>
      <c r="O1117" s="73">
        <v>0.9</v>
      </c>
      <c r="P1117" s="71">
        <v>0.95899379738111601</v>
      </c>
      <c r="Q1117" s="71">
        <v>0.93530927835051503</v>
      </c>
      <c r="R1117" s="71">
        <v>0.90776562938043204</v>
      </c>
      <c r="S1117" s="71">
        <v>0.93775304965650597</v>
      </c>
      <c r="T1117" s="73">
        <v>0.9</v>
      </c>
      <c r="U1117" s="71">
        <v>0.78876636802205402</v>
      </c>
      <c r="V1117" s="71">
        <v>0.77190721649484495</v>
      </c>
      <c r="W1117" s="71">
        <v>0.728903840762546</v>
      </c>
      <c r="X1117" s="71">
        <v>0.77817830368570895</v>
      </c>
      <c r="Y1117" s="73">
        <v>0.92</v>
      </c>
      <c r="Z1117" s="73" t="s">
        <v>1710</v>
      </c>
      <c r="AA1117" s="73" t="s">
        <v>1710</v>
      </c>
      <c r="AB1117" s="73" t="s">
        <v>1710</v>
      </c>
      <c r="AC1117" s="73" t="s">
        <v>1710</v>
      </c>
      <c r="AD1117" s="73">
        <v>0.92</v>
      </c>
      <c r="AE1117" s="71">
        <v>1</v>
      </c>
      <c r="AF1117" s="71">
        <v>1</v>
      </c>
      <c r="AG1117" s="71">
        <v>1</v>
      </c>
      <c r="AH1117" s="71">
        <v>1</v>
      </c>
      <c r="AI1117" s="73">
        <v>0.92</v>
      </c>
      <c r="AJ1117" s="71">
        <v>0.87284631288766401</v>
      </c>
      <c r="AK1117" s="71">
        <v>0.90463917525773196</v>
      </c>
      <c r="AL1117" s="71">
        <v>0.86907765629380396</v>
      </c>
      <c r="AM1117" s="71">
        <v>0.90212365802053096</v>
      </c>
      <c r="AN1117" s="70">
        <v>0.99</v>
      </c>
      <c r="AO1117" s="75">
        <v>1</v>
      </c>
      <c r="AP1117" s="75">
        <v>1</v>
      </c>
      <c r="AQ1117" s="75">
        <v>1</v>
      </c>
      <c r="AR1117" s="75">
        <v>1</v>
      </c>
      <c r="AS1117" s="95">
        <v>7.2186152540827803E-2</v>
      </c>
      <c r="AT1117" s="79">
        <v>0.33333333333333298</v>
      </c>
      <c r="AU1117" s="79">
        <v>0</v>
      </c>
      <c r="AV1117" s="79">
        <v>0.2</v>
      </c>
      <c r="AW1117" s="79">
        <v>0.13888888888888901</v>
      </c>
      <c r="AX1117" s="56"/>
      <c r="AY1117" s="54"/>
    </row>
    <row r="1118" spans="1:51">
      <c r="A1118" s="53"/>
      <c r="B1118" s="56"/>
      <c r="C1118" s="90" t="s">
        <v>1079</v>
      </c>
      <c r="D1118" s="230" t="s">
        <v>1757</v>
      </c>
      <c r="E1118" s="68" t="s">
        <v>1080</v>
      </c>
      <c r="F1118" s="128" t="s">
        <v>1142</v>
      </c>
      <c r="G1118" s="128" t="s">
        <v>1142</v>
      </c>
      <c r="H1118" s="128" t="s">
        <v>1142</v>
      </c>
      <c r="I1118" s="128" t="s">
        <v>1142</v>
      </c>
      <c r="J1118" s="70">
        <v>0.9</v>
      </c>
      <c r="K1118" s="71">
        <v>0.79310344827586199</v>
      </c>
      <c r="L1118" s="71">
        <v>0.68571428571428605</v>
      </c>
      <c r="M1118" s="72">
        <v>0.75757575757575801</v>
      </c>
      <c r="N1118" s="71">
        <v>0.76358695652173902</v>
      </c>
      <c r="O1118" s="73">
        <v>0.9</v>
      </c>
      <c r="P1118" s="71">
        <v>0.95145631067961201</v>
      </c>
      <c r="Q1118" s="71">
        <v>0.888671875</v>
      </c>
      <c r="R1118" s="71">
        <v>0.88872674206493996</v>
      </c>
      <c r="S1118" s="71">
        <v>0.91561238223418595</v>
      </c>
      <c r="T1118" s="73">
        <v>0.9</v>
      </c>
      <c r="U1118" s="71">
        <v>0.72374227714033501</v>
      </c>
      <c r="V1118" s="71">
        <v>0.69954427083333304</v>
      </c>
      <c r="W1118" s="71">
        <v>0.68004377964246598</v>
      </c>
      <c r="X1118" s="71">
        <v>0.69929340511440097</v>
      </c>
      <c r="Y1118" s="73">
        <v>0.92</v>
      </c>
      <c r="Z1118" s="73" t="s">
        <v>1710</v>
      </c>
      <c r="AA1118" s="73" t="s">
        <v>1710</v>
      </c>
      <c r="AB1118" s="73" t="s">
        <v>1710</v>
      </c>
      <c r="AC1118" s="73">
        <v>1</v>
      </c>
      <c r="AD1118" s="73">
        <v>0.92</v>
      </c>
      <c r="AE1118" s="71">
        <v>0.997907949790795</v>
      </c>
      <c r="AF1118" s="71">
        <v>0.998529411764706</v>
      </c>
      <c r="AG1118" s="71">
        <v>0.99819494584837498</v>
      </c>
      <c r="AH1118" s="71">
        <v>0.99531176746366601</v>
      </c>
      <c r="AI1118" s="73">
        <v>0.92</v>
      </c>
      <c r="AJ1118" s="71">
        <v>0.87731685789938196</v>
      </c>
      <c r="AK1118" s="71">
        <v>0.88899739583333304</v>
      </c>
      <c r="AL1118" s="71">
        <v>0.93068223276176598</v>
      </c>
      <c r="AM1118" s="71">
        <v>0.89132263382793298</v>
      </c>
      <c r="AN1118" s="70">
        <v>0.99</v>
      </c>
      <c r="AO1118" s="75">
        <v>1</v>
      </c>
      <c r="AP1118" s="75">
        <v>1</v>
      </c>
      <c r="AQ1118" s="75">
        <v>1</v>
      </c>
      <c r="AR1118" s="75">
        <v>1</v>
      </c>
      <c r="AS1118" s="95">
        <v>7.2186152540827803E-2</v>
      </c>
      <c r="AT1118" s="79">
        <v>0</v>
      </c>
      <c r="AU1118" s="79">
        <v>0</v>
      </c>
      <c r="AV1118" s="79">
        <v>0</v>
      </c>
      <c r="AW1118" s="79">
        <v>6.9767441860465101E-2</v>
      </c>
      <c r="AX1118" s="56"/>
      <c r="AY1118" s="54"/>
    </row>
    <row r="1119" spans="1:51">
      <c r="A1119" s="53"/>
      <c r="B1119" s="56"/>
      <c r="C1119" s="90" t="s">
        <v>1079</v>
      </c>
      <c r="D1119" s="230" t="s">
        <v>1757</v>
      </c>
      <c r="E1119" s="68" t="s">
        <v>1080</v>
      </c>
      <c r="F1119" s="128" t="s">
        <v>1143</v>
      </c>
      <c r="G1119" s="128" t="s">
        <v>1143</v>
      </c>
      <c r="H1119" s="128" t="s">
        <v>1143</v>
      </c>
      <c r="I1119" s="128" t="s">
        <v>1143</v>
      </c>
      <c r="J1119" s="70">
        <v>0.9</v>
      </c>
      <c r="K1119" s="71">
        <v>0.86792452830188704</v>
      </c>
      <c r="L1119" s="71">
        <v>0.89655172413793105</v>
      </c>
      <c r="M1119" s="72">
        <v>0.89285714285714302</v>
      </c>
      <c r="N1119" s="71">
        <v>0.90590111642743198</v>
      </c>
      <c r="O1119" s="73">
        <v>0.9</v>
      </c>
      <c r="P1119" s="71">
        <v>0.95261684255869095</v>
      </c>
      <c r="Q1119" s="71">
        <v>0.95708692247454996</v>
      </c>
      <c r="R1119" s="71">
        <v>0.97252090800477897</v>
      </c>
      <c r="S1119" s="71">
        <v>0.95154732864590796</v>
      </c>
      <c r="T1119" s="73">
        <v>0.9</v>
      </c>
      <c r="U1119" s="71">
        <v>0.82748223131595999</v>
      </c>
      <c r="V1119" s="71">
        <v>0.87689898198903704</v>
      </c>
      <c r="W1119" s="71">
        <v>0.83137054104796004</v>
      </c>
      <c r="X1119" s="71">
        <v>0.82656526522217399</v>
      </c>
      <c r="Y1119" s="73">
        <v>0.92</v>
      </c>
      <c r="Z1119" s="73" t="s">
        <v>1710</v>
      </c>
      <c r="AA1119" s="73" t="s">
        <v>1710</v>
      </c>
      <c r="AB1119" s="73" t="s">
        <v>1710</v>
      </c>
      <c r="AC1119" s="73" t="s">
        <v>1710</v>
      </c>
      <c r="AD1119" s="73">
        <v>0.92</v>
      </c>
      <c r="AE1119" s="71">
        <v>0.998696219035202</v>
      </c>
      <c r="AF1119" s="71">
        <v>1</v>
      </c>
      <c r="AG1119" s="71">
        <v>0.99822380106571895</v>
      </c>
      <c r="AH1119" s="71">
        <v>0.99604979650466796</v>
      </c>
      <c r="AI1119" s="73">
        <v>0.92</v>
      </c>
      <c r="AJ1119" s="71">
        <v>0.93196986006458604</v>
      </c>
      <c r="AK1119" s="71">
        <v>0.96335160532497999</v>
      </c>
      <c r="AL1119" s="71">
        <v>0.96961938897422795</v>
      </c>
      <c r="AM1119" s="71">
        <v>0.95937694306713694</v>
      </c>
      <c r="AN1119" s="70">
        <v>0.99</v>
      </c>
      <c r="AO1119" s="75">
        <v>1</v>
      </c>
      <c r="AP1119" s="75">
        <v>1</v>
      </c>
      <c r="AQ1119" s="75">
        <v>1</v>
      </c>
      <c r="AR1119" s="75">
        <v>1</v>
      </c>
      <c r="AS1119" s="95">
        <v>7.2186152540827803E-2</v>
      </c>
      <c r="AT1119" s="79">
        <v>0.11111111111111099</v>
      </c>
      <c r="AU1119" s="79">
        <v>0.125</v>
      </c>
      <c r="AV1119" s="79">
        <v>0</v>
      </c>
      <c r="AW1119" s="79">
        <v>9.8901098901098897E-2</v>
      </c>
      <c r="AX1119" s="56"/>
      <c r="AY1119" s="54"/>
    </row>
    <row r="1120" spans="1:51">
      <c r="A1120" s="53"/>
      <c r="B1120" s="56"/>
      <c r="C1120" s="90" t="s">
        <v>1079</v>
      </c>
      <c r="D1120" s="230" t="s">
        <v>1757</v>
      </c>
      <c r="E1120" s="68" t="s">
        <v>1080</v>
      </c>
      <c r="F1120" s="128" t="s">
        <v>1144</v>
      </c>
      <c r="G1120" s="128" t="s">
        <v>1144</v>
      </c>
      <c r="H1120" s="128" t="s">
        <v>1144</v>
      </c>
      <c r="I1120" s="128" t="s">
        <v>1144</v>
      </c>
      <c r="J1120" s="70">
        <v>0.9</v>
      </c>
      <c r="K1120" s="71">
        <v>0.90277777777777801</v>
      </c>
      <c r="L1120" s="71">
        <v>0.92307692307692302</v>
      </c>
      <c r="M1120" s="72">
        <v>0.77272727272727304</v>
      </c>
      <c r="N1120" s="71">
        <v>0.91249999999999998</v>
      </c>
      <c r="O1120" s="73">
        <v>0.9</v>
      </c>
      <c r="P1120" s="71">
        <v>0.95189577417738402</v>
      </c>
      <c r="Q1120" s="71">
        <v>0.93018326891908698</v>
      </c>
      <c r="R1120" s="71">
        <v>0.92192669048564202</v>
      </c>
      <c r="S1120" s="71">
        <v>0.84605179106677797</v>
      </c>
      <c r="T1120" s="73">
        <v>0.9</v>
      </c>
      <c r="U1120" s="71">
        <v>0.66260230499415396</v>
      </c>
      <c r="V1120" s="71">
        <v>0.56751028550056104</v>
      </c>
      <c r="W1120" s="71">
        <v>0.58528516607119196</v>
      </c>
      <c r="X1120" s="71">
        <v>0.58955333890226502</v>
      </c>
      <c r="Y1120" s="73">
        <v>0.92</v>
      </c>
      <c r="Z1120" s="73" t="s">
        <v>1710</v>
      </c>
      <c r="AA1120" s="73" t="s">
        <v>1710</v>
      </c>
      <c r="AB1120" s="73">
        <v>1</v>
      </c>
      <c r="AC1120" s="73">
        <v>1</v>
      </c>
      <c r="AD1120" s="73">
        <v>0.92</v>
      </c>
      <c r="AE1120" s="71">
        <v>0.99786552828175001</v>
      </c>
      <c r="AF1120" s="71">
        <v>0.989041095890411</v>
      </c>
      <c r="AG1120" s="71">
        <v>0.99453800637232603</v>
      </c>
      <c r="AH1120" s="71">
        <v>0.97456584659913204</v>
      </c>
      <c r="AI1120" s="73">
        <v>0.92</v>
      </c>
      <c r="AJ1120" s="71">
        <v>0.90529480541172502</v>
      </c>
      <c r="AK1120" s="71">
        <v>0.92083281386360805</v>
      </c>
      <c r="AL1120" s="71">
        <v>0.91042603863455895</v>
      </c>
      <c r="AM1120" s="71">
        <v>0.93081591037515699</v>
      </c>
      <c r="AN1120" s="70">
        <v>0.99</v>
      </c>
      <c r="AO1120" s="75">
        <v>1</v>
      </c>
      <c r="AP1120" s="75">
        <v>1</v>
      </c>
      <c r="AQ1120" s="75">
        <v>1</v>
      </c>
      <c r="AR1120" s="75">
        <v>1</v>
      </c>
      <c r="AS1120" s="95">
        <v>7.2186152540827803E-2</v>
      </c>
      <c r="AT1120" s="79">
        <v>0</v>
      </c>
      <c r="AU1120" s="79">
        <v>-2.8571428571428598E-2</v>
      </c>
      <c r="AV1120" s="79">
        <v>0</v>
      </c>
      <c r="AW1120" s="79">
        <v>2.38907849829352E-2</v>
      </c>
      <c r="AX1120" s="56"/>
      <c r="AY1120" s="54"/>
    </row>
    <row r="1121" spans="1:51">
      <c r="A1121" s="53"/>
      <c r="B1121" s="56"/>
      <c r="C1121" s="90" t="s">
        <v>1079</v>
      </c>
      <c r="D1121" s="230" t="s">
        <v>1757</v>
      </c>
      <c r="E1121" s="68" t="s">
        <v>1080</v>
      </c>
      <c r="F1121" s="128" t="s">
        <v>1145</v>
      </c>
      <c r="G1121" s="128" t="s">
        <v>1145</v>
      </c>
      <c r="H1121" s="128" t="s">
        <v>1145</v>
      </c>
      <c r="I1121" s="128" t="s">
        <v>1145</v>
      </c>
      <c r="J1121" s="70">
        <v>0.9</v>
      </c>
      <c r="K1121" s="71" t="s">
        <v>1710</v>
      </c>
      <c r="L1121" s="71" t="s">
        <v>1710</v>
      </c>
      <c r="M1121" s="72" t="s">
        <v>1710</v>
      </c>
      <c r="N1121" s="71" t="s">
        <v>1710</v>
      </c>
      <c r="O1121" s="73">
        <v>0.9</v>
      </c>
      <c r="P1121" s="71">
        <v>0.19187554019014699</v>
      </c>
      <c r="Q1121" s="71">
        <v>0.156228956228956</v>
      </c>
      <c r="R1121" s="71">
        <v>0.200757575757576</v>
      </c>
      <c r="S1121" s="71">
        <v>0.119238218205294</v>
      </c>
      <c r="T1121" s="73">
        <v>0.9</v>
      </c>
      <c r="U1121" s="71">
        <v>4.2350907519446798E-2</v>
      </c>
      <c r="V1121" s="71">
        <v>0.109090909090909</v>
      </c>
      <c r="W1121" s="71">
        <v>1.5151515151515201E-2</v>
      </c>
      <c r="X1121" s="71">
        <v>4.0542285345384101E-2</v>
      </c>
      <c r="Y1121" s="73">
        <v>0.92</v>
      </c>
      <c r="Z1121" s="73" t="s">
        <v>1710</v>
      </c>
      <c r="AA1121" s="73" t="s">
        <v>1710</v>
      </c>
      <c r="AB1121" s="73" t="s">
        <v>1710</v>
      </c>
      <c r="AC1121" s="73">
        <v>1</v>
      </c>
      <c r="AD1121" s="73">
        <v>0.92</v>
      </c>
      <c r="AE1121" s="71" t="s">
        <v>1710</v>
      </c>
      <c r="AF1121" s="71" t="s">
        <v>1710</v>
      </c>
      <c r="AG1121" s="71" t="s">
        <v>1710</v>
      </c>
      <c r="AH1121" s="71">
        <v>1</v>
      </c>
      <c r="AI1121" s="73">
        <v>0.92</v>
      </c>
      <c r="AJ1121" s="71">
        <v>0.15471045808124501</v>
      </c>
      <c r="AK1121" s="71">
        <v>0.13265993265993301</v>
      </c>
      <c r="AL1121" s="71">
        <v>0.101641414141414</v>
      </c>
      <c r="AM1121" s="71">
        <v>8.8696662578271301E-2</v>
      </c>
      <c r="AN1121" s="70">
        <v>0.99</v>
      </c>
      <c r="AO1121" s="75" t="s">
        <v>1710</v>
      </c>
      <c r="AP1121" s="75" t="s">
        <v>1710</v>
      </c>
      <c r="AQ1121" s="75" t="s">
        <v>1710</v>
      </c>
      <c r="AR1121" s="75" t="s">
        <v>1710</v>
      </c>
      <c r="AS1121" s="95">
        <v>7.2186152540827803E-2</v>
      </c>
      <c r="AT1121" s="79">
        <v>0.148148148148148</v>
      </c>
      <c r="AU1121" s="79">
        <v>6.6666666666666693E-2</v>
      </c>
      <c r="AV1121" s="79">
        <v>0.22222222222222199</v>
      </c>
      <c r="AW1121" s="79">
        <v>0.17741935483870999</v>
      </c>
      <c r="AX1121" s="56"/>
      <c r="AY1121" s="54"/>
    </row>
    <row r="1122" spans="1:51">
      <c r="A1122" s="53"/>
      <c r="B1122" s="56"/>
      <c r="C1122" s="90" t="s">
        <v>1079</v>
      </c>
      <c r="D1122" s="230" t="s">
        <v>1757</v>
      </c>
      <c r="E1122" s="68" t="s">
        <v>1080</v>
      </c>
      <c r="F1122" s="128" t="s">
        <v>1146</v>
      </c>
      <c r="G1122" s="128" t="s">
        <v>1146</v>
      </c>
      <c r="H1122" s="128" t="s">
        <v>1146</v>
      </c>
      <c r="I1122" s="128" t="s">
        <v>1146</v>
      </c>
      <c r="J1122" s="70">
        <v>0.9</v>
      </c>
      <c r="K1122" s="71">
        <v>0.86666666666666703</v>
      </c>
      <c r="L1122" s="71">
        <v>0.92063492063492103</v>
      </c>
      <c r="M1122" s="72">
        <v>0.875</v>
      </c>
      <c r="N1122" s="71">
        <v>0.92296072507552895</v>
      </c>
      <c r="O1122" s="73">
        <v>0.9</v>
      </c>
      <c r="P1122" s="71">
        <v>0.92732200049273195</v>
      </c>
      <c r="Q1122" s="71">
        <v>0.82442611190817805</v>
      </c>
      <c r="R1122" s="71">
        <v>0.67713186145432402</v>
      </c>
      <c r="S1122" s="71">
        <v>0.824466598341563</v>
      </c>
      <c r="T1122" s="73">
        <v>0.9</v>
      </c>
      <c r="U1122" s="71">
        <v>0.66839122936683903</v>
      </c>
      <c r="V1122" s="71">
        <v>0.57227403156384504</v>
      </c>
      <c r="W1122" s="71">
        <v>0.56289244480453704</v>
      </c>
      <c r="X1122" s="71">
        <v>0.61168359265815697</v>
      </c>
      <c r="Y1122" s="73">
        <v>0.92</v>
      </c>
      <c r="Z1122" s="73">
        <v>0</v>
      </c>
      <c r="AA1122" s="73" t="s">
        <v>1710</v>
      </c>
      <c r="AB1122" s="73" t="s">
        <v>1710</v>
      </c>
      <c r="AC1122" s="73">
        <v>0</v>
      </c>
      <c r="AD1122" s="73">
        <v>0.92</v>
      </c>
      <c r="AE1122" s="71">
        <v>1</v>
      </c>
      <c r="AF1122" s="71">
        <v>1</v>
      </c>
      <c r="AG1122" s="71">
        <v>1</v>
      </c>
      <c r="AH1122" s="71">
        <v>0.99964701729615202</v>
      </c>
      <c r="AI1122" s="73">
        <v>0.92</v>
      </c>
      <c r="AJ1122" s="71">
        <v>0.87195272100467902</v>
      </c>
      <c r="AK1122" s="71">
        <v>0.86854375896700098</v>
      </c>
      <c r="AL1122" s="71">
        <v>0.817334953422438</v>
      </c>
      <c r="AM1122" s="71">
        <v>0.881570366505804</v>
      </c>
      <c r="AN1122" s="70">
        <v>0.99</v>
      </c>
      <c r="AO1122" s="75">
        <v>1</v>
      </c>
      <c r="AP1122" s="75">
        <v>1</v>
      </c>
      <c r="AQ1122" s="75">
        <v>1</v>
      </c>
      <c r="AR1122" s="75">
        <v>1</v>
      </c>
      <c r="AS1122" s="95">
        <v>7.2186152540827803E-2</v>
      </c>
      <c r="AT1122" s="79">
        <v>7.1428571428571397E-2</v>
      </c>
      <c r="AU1122" s="79">
        <v>0</v>
      </c>
      <c r="AV1122" s="79">
        <v>0.1</v>
      </c>
      <c r="AW1122" s="79">
        <v>7.5187969924811998E-2</v>
      </c>
      <c r="AX1122" s="56"/>
      <c r="AY1122" s="54"/>
    </row>
    <row r="1123" spans="1:51">
      <c r="A1123" s="53"/>
      <c r="B1123" s="56"/>
      <c r="C1123" s="90" t="s">
        <v>1079</v>
      </c>
      <c r="D1123" s="230" t="s">
        <v>1757</v>
      </c>
      <c r="E1123" s="68" t="s">
        <v>1080</v>
      </c>
      <c r="F1123" s="128" t="s">
        <v>1147</v>
      </c>
      <c r="G1123" s="128" t="s">
        <v>1147</v>
      </c>
      <c r="H1123" s="128" t="s">
        <v>1147</v>
      </c>
      <c r="I1123" s="128" t="s">
        <v>1147</v>
      </c>
      <c r="J1123" s="70">
        <v>0.9</v>
      </c>
      <c r="K1123" s="71">
        <v>0.95161290322580605</v>
      </c>
      <c r="L1123" s="71">
        <v>0.96666666666666701</v>
      </c>
      <c r="M1123" s="72">
        <v>0.91666666666666696</v>
      </c>
      <c r="N1123" s="71">
        <v>0.91399416909621001</v>
      </c>
      <c r="O1123" s="73">
        <v>0.9</v>
      </c>
      <c r="P1123" s="71">
        <v>0.983611189601582</v>
      </c>
      <c r="Q1123" s="71">
        <v>0.98114721219414402</v>
      </c>
      <c r="R1123" s="71">
        <v>0.93419267299864295</v>
      </c>
      <c r="S1123" s="71">
        <v>0.96659669801800396</v>
      </c>
      <c r="T1123" s="73">
        <v>0.9</v>
      </c>
      <c r="U1123" s="71">
        <v>0.72054252613732706</v>
      </c>
      <c r="V1123" s="71">
        <v>0.69093461692739699</v>
      </c>
      <c r="W1123" s="71">
        <v>0.71325192220714595</v>
      </c>
      <c r="X1123" s="71">
        <v>0.71386186574092803</v>
      </c>
      <c r="Y1123" s="73">
        <v>0.92</v>
      </c>
      <c r="Z1123" s="73">
        <v>0</v>
      </c>
      <c r="AA1123" s="73">
        <v>0</v>
      </c>
      <c r="AB1123" s="73" t="s">
        <v>1710</v>
      </c>
      <c r="AC1123" s="73">
        <v>0</v>
      </c>
      <c r="AD1123" s="73">
        <v>0.92</v>
      </c>
      <c r="AE1123" s="71">
        <v>1</v>
      </c>
      <c r="AF1123" s="71">
        <v>1</v>
      </c>
      <c r="AG1123" s="71">
        <v>1</v>
      </c>
      <c r="AH1123" s="71">
        <v>1</v>
      </c>
      <c r="AI1123" s="73">
        <v>0.92</v>
      </c>
      <c r="AJ1123" s="71">
        <v>0.87259887005649694</v>
      </c>
      <c r="AK1123" s="71">
        <v>0.89472628834970902</v>
      </c>
      <c r="AL1123" s="71">
        <v>0.93963373276057005</v>
      </c>
      <c r="AM1123" s="71">
        <v>0.92671900542896901</v>
      </c>
      <c r="AN1123" s="70">
        <v>0.99</v>
      </c>
      <c r="AO1123" s="75">
        <v>1</v>
      </c>
      <c r="AP1123" s="75">
        <v>1</v>
      </c>
      <c r="AQ1123" s="75">
        <v>1</v>
      </c>
      <c r="AR1123" s="75">
        <v>1</v>
      </c>
      <c r="AS1123" s="95">
        <v>7.2186152540827803E-2</v>
      </c>
      <c r="AT1123" s="79">
        <v>0.16666666666666699</v>
      </c>
      <c r="AU1123" s="79">
        <v>0</v>
      </c>
      <c r="AV1123" s="79">
        <v>0</v>
      </c>
      <c r="AW1123" s="79">
        <v>8.4745762711864403E-2</v>
      </c>
      <c r="AX1123" s="56"/>
      <c r="AY1123" s="54"/>
    </row>
    <row r="1124" spans="1:51">
      <c r="A1124" s="53"/>
      <c r="B1124" s="56"/>
      <c r="C1124" s="90" t="s">
        <v>1079</v>
      </c>
      <c r="D1124" s="230" t="s">
        <v>1757</v>
      </c>
      <c r="E1124" s="68" t="s">
        <v>1080</v>
      </c>
      <c r="F1124" s="128" t="s">
        <v>1148</v>
      </c>
      <c r="G1124" s="128" t="s">
        <v>1148</v>
      </c>
      <c r="H1124" s="128" t="s">
        <v>1148</v>
      </c>
      <c r="I1124" s="128" t="s">
        <v>1148</v>
      </c>
      <c r="J1124" s="70">
        <v>0.9</v>
      </c>
      <c r="K1124" s="71">
        <v>0.92857142857142905</v>
      </c>
      <c r="L1124" s="71">
        <v>0.95833333333333304</v>
      </c>
      <c r="M1124" s="72">
        <v>0.91304347826086996</v>
      </c>
      <c r="N1124" s="71">
        <v>0.92047713717693802</v>
      </c>
      <c r="O1124" s="73">
        <v>0.9</v>
      </c>
      <c r="P1124" s="71">
        <v>0.98221757322175696</v>
      </c>
      <c r="Q1124" s="71">
        <v>0.97294429708222796</v>
      </c>
      <c r="R1124" s="71">
        <v>0.95850284784377504</v>
      </c>
      <c r="S1124" s="71">
        <v>0.94538975053957697</v>
      </c>
      <c r="T1124" s="73">
        <v>0.9</v>
      </c>
      <c r="U1124" s="71">
        <v>0.77859135285913506</v>
      </c>
      <c r="V1124" s="71">
        <v>0.81458885941644599</v>
      </c>
      <c r="W1124" s="71">
        <v>0.77678329264985102</v>
      </c>
      <c r="X1124" s="71">
        <v>0.76499523164182104</v>
      </c>
      <c r="Y1124" s="73">
        <v>0.92</v>
      </c>
      <c r="Z1124" s="73" t="s">
        <v>1710</v>
      </c>
      <c r="AA1124" s="73" t="s">
        <v>1710</v>
      </c>
      <c r="AB1124" s="73" t="s">
        <v>1710</v>
      </c>
      <c r="AC1124" s="73">
        <v>1</v>
      </c>
      <c r="AD1124" s="73">
        <v>0.92</v>
      </c>
      <c r="AE1124" s="71">
        <v>1</v>
      </c>
      <c r="AF1124" s="71">
        <v>0.987341772151899</v>
      </c>
      <c r="AG1124" s="71">
        <v>1</v>
      </c>
      <c r="AH1124" s="71">
        <v>0.99834162520729697</v>
      </c>
      <c r="AI1124" s="73">
        <v>0.92</v>
      </c>
      <c r="AJ1124" s="71">
        <v>0.91701534170153398</v>
      </c>
      <c r="AK1124" s="71">
        <v>0.93474801061007995</v>
      </c>
      <c r="AL1124" s="71">
        <v>0.92839707078926004</v>
      </c>
      <c r="AM1124" s="71">
        <v>0.93565387607599104</v>
      </c>
      <c r="AN1124" s="70">
        <v>0.99</v>
      </c>
      <c r="AO1124" s="75">
        <v>1</v>
      </c>
      <c r="AP1124" s="75">
        <v>1</v>
      </c>
      <c r="AQ1124" s="75">
        <v>1</v>
      </c>
      <c r="AR1124" s="75">
        <v>1</v>
      </c>
      <c r="AS1124" s="95">
        <v>7.2186152540827803E-2</v>
      </c>
      <c r="AT1124" s="79">
        <v>0</v>
      </c>
      <c r="AU1124" s="79">
        <v>0.28571428571428598</v>
      </c>
      <c r="AV1124" s="79">
        <v>0</v>
      </c>
      <c r="AW1124" s="79">
        <v>3.4090909090909102E-2</v>
      </c>
      <c r="AX1124" s="56"/>
      <c r="AY1124" s="54"/>
    </row>
    <row r="1125" spans="1:51">
      <c r="A1125" s="53"/>
      <c r="B1125" s="56"/>
      <c r="C1125" s="90" t="s">
        <v>1079</v>
      </c>
      <c r="D1125" s="230" t="s">
        <v>1757</v>
      </c>
      <c r="E1125" s="68" t="s">
        <v>1080</v>
      </c>
      <c r="F1125" s="128" t="s">
        <v>1149</v>
      </c>
      <c r="G1125" s="128" t="s">
        <v>1149</v>
      </c>
      <c r="H1125" s="128" t="s">
        <v>1149</v>
      </c>
      <c r="I1125" s="128" t="s">
        <v>1149</v>
      </c>
      <c r="J1125" s="70">
        <v>0.9</v>
      </c>
      <c r="K1125" s="71">
        <v>0.93181818181818199</v>
      </c>
      <c r="L1125" s="71">
        <v>0.92857142857142905</v>
      </c>
      <c r="M1125" s="72">
        <v>0.90697674418604601</v>
      </c>
      <c r="N1125" s="71">
        <v>0.90413943355119797</v>
      </c>
      <c r="O1125" s="73">
        <v>0.9</v>
      </c>
      <c r="P1125" s="71">
        <v>0.919737217937732</v>
      </c>
      <c r="Q1125" s="71">
        <v>0.905526992287918</v>
      </c>
      <c r="R1125" s="71">
        <v>0.87555659714084799</v>
      </c>
      <c r="S1125" s="71">
        <v>0.86957201572551801</v>
      </c>
      <c r="T1125" s="73">
        <v>0.9</v>
      </c>
      <c r="U1125" s="71">
        <v>0.66295344187375005</v>
      </c>
      <c r="V1125" s="71">
        <v>0.63024850042844904</v>
      </c>
      <c r="W1125" s="71">
        <v>0.649636747129131</v>
      </c>
      <c r="X1125" s="71">
        <v>0.63502948534667603</v>
      </c>
      <c r="Y1125" s="73">
        <v>0.92</v>
      </c>
      <c r="Z1125" s="73" t="s">
        <v>1710</v>
      </c>
      <c r="AA1125" s="73" t="s">
        <v>1710</v>
      </c>
      <c r="AB1125" s="73" t="s">
        <v>1710</v>
      </c>
      <c r="AC1125" s="73" t="s">
        <v>1710</v>
      </c>
      <c r="AD1125" s="73">
        <v>0.92</v>
      </c>
      <c r="AE1125" s="71">
        <v>1</v>
      </c>
      <c r="AF1125" s="71">
        <v>0.98230088495575196</v>
      </c>
      <c r="AG1125" s="71">
        <v>1</v>
      </c>
      <c r="AH1125" s="71">
        <v>0.99453124999999998</v>
      </c>
      <c r="AI1125" s="73">
        <v>0.92</v>
      </c>
      <c r="AJ1125" s="71">
        <v>0.86118251928020595</v>
      </c>
      <c r="AK1125" s="71">
        <v>0.86632390745501298</v>
      </c>
      <c r="AL1125" s="71">
        <v>0.87204124677759598</v>
      </c>
      <c r="AM1125" s="71">
        <v>0.86724892780557505</v>
      </c>
      <c r="AN1125" s="70">
        <v>0.99</v>
      </c>
      <c r="AO1125" s="75">
        <v>1</v>
      </c>
      <c r="AP1125" s="75">
        <v>1</v>
      </c>
      <c r="AQ1125" s="75">
        <v>1</v>
      </c>
      <c r="AR1125" s="75">
        <v>1</v>
      </c>
      <c r="AS1125" s="95">
        <v>7.2186152540827803E-2</v>
      </c>
      <c r="AT1125" s="79">
        <v>9.0909090909090898E-2</v>
      </c>
      <c r="AU1125" s="79">
        <v>6.25E-2</v>
      </c>
      <c r="AV1125" s="79">
        <v>0</v>
      </c>
      <c r="AW1125" s="79">
        <v>0.11304347826087</v>
      </c>
      <c r="AX1125" s="56"/>
      <c r="AY1125" s="54"/>
    </row>
    <row r="1126" spans="1:51">
      <c r="A1126" s="53"/>
      <c r="B1126" s="56"/>
      <c r="C1126" s="90" t="s">
        <v>1079</v>
      </c>
      <c r="D1126" s="230" t="s">
        <v>1757</v>
      </c>
      <c r="E1126" s="68" t="s">
        <v>1080</v>
      </c>
      <c r="F1126" s="128" t="s">
        <v>1150</v>
      </c>
      <c r="G1126" s="128" t="s">
        <v>1150</v>
      </c>
      <c r="H1126" s="128" t="s">
        <v>1150</v>
      </c>
      <c r="I1126" s="128" t="s">
        <v>1150</v>
      </c>
      <c r="J1126" s="70">
        <v>0.9</v>
      </c>
      <c r="K1126" s="71">
        <v>1</v>
      </c>
      <c r="L1126" s="71">
        <v>0.98039215686274495</v>
      </c>
      <c r="M1126" s="72">
        <v>1</v>
      </c>
      <c r="N1126" s="71">
        <v>0.98903107861060302</v>
      </c>
      <c r="O1126" s="73">
        <v>0.9</v>
      </c>
      <c r="P1126" s="71">
        <v>0.97067901234567899</v>
      </c>
      <c r="Q1126" s="71">
        <v>0.96463230536985101</v>
      </c>
      <c r="R1126" s="71">
        <v>0.97657156112270904</v>
      </c>
      <c r="S1126" s="71">
        <v>0.95828700932181599</v>
      </c>
      <c r="T1126" s="73">
        <v>0.9</v>
      </c>
      <c r="U1126" s="71">
        <v>0.83611111111111103</v>
      </c>
      <c r="V1126" s="71">
        <v>0.74272158723312498</v>
      </c>
      <c r="W1126" s="71">
        <v>0.69195082347483206</v>
      </c>
      <c r="X1126" s="71">
        <v>0.73514068245959097</v>
      </c>
      <c r="Y1126" s="73">
        <v>0.92</v>
      </c>
      <c r="Z1126" s="73">
        <v>0</v>
      </c>
      <c r="AA1126" s="73" t="s">
        <v>1710</v>
      </c>
      <c r="AB1126" s="73" t="s">
        <v>1710</v>
      </c>
      <c r="AC1126" s="73">
        <v>0</v>
      </c>
      <c r="AD1126" s="73">
        <v>0.92</v>
      </c>
      <c r="AE1126" s="71">
        <v>0.99204244031830202</v>
      </c>
      <c r="AF1126" s="71">
        <v>0.99530516431924898</v>
      </c>
      <c r="AG1126" s="71">
        <v>1</v>
      </c>
      <c r="AH1126" s="71">
        <v>0.994614512471655</v>
      </c>
      <c r="AI1126" s="73">
        <v>0.92</v>
      </c>
      <c r="AJ1126" s="71">
        <v>0.93242826288182701</v>
      </c>
      <c r="AK1126" s="71">
        <v>0.95924088850549905</v>
      </c>
      <c r="AL1126" s="71">
        <v>0.96172581767571297</v>
      </c>
      <c r="AM1126" s="71">
        <v>0.95766788531845304</v>
      </c>
      <c r="AN1126" s="70">
        <v>0.99</v>
      </c>
      <c r="AO1126" s="75">
        <v>1</v>
      </c>
      <c r="AP1126" s="75">
        <v>1</v>
      </c>
      <c r="AQ1126" s="75">
        <v>1</v>
      </c>
      <c r="AR1126" s="75">
        <v>1</v>
      </c>
      <c r="AS1126" s="95">
        <v>7.2186152540827803E-2</v>
      </c>
      <c r="AT1126" s="79">
        <v>0</v>
      </c>
      <c r="AU1126" s="79">
        <v>0</v>
      </c>
      <c r="AV1126" s="79">
        <v>0.14285714285714299</v>
      </c>
      <c r="AW1126" s="79">
        <v>0.11111111111111099</v>
      </c>
      <c r="AX1126" s="56"/>
      <c r="AY1126" s="54"/>
    </row>
    <row r="1127" spans="1:51">
      <c r="A1127" s="53"/>
      <c r="B1127" s="56"/>
      <c r="C1127" s="90" t="s">
        <v>1079</v>
      </c>
      <c r="D1127" s="230" t="s">
        <v>1757</v>
      </c>
      <c r="E1127" s="68" t="s">
        <v>1080</v>
      </c>
      <c r="F1127" s="128" t="s">
        <v>1151</v>
      </c>
      <c r="G1127" s="128" t="s">
        <v>1151</v>
      </c>
      <c r="H1127" s="128" t="s">
        <v>1151</v>
      </c>
      <c r="I1127" s="128" t="s">
        <v>1151</v>
      </c>
      <c r="J1127" s="70">
        <v>0.9</v>
      </c>
      <c r="K1127" s="71">
        <v>0.97142857142857097</v>
      </c>
      <c r="L1127" s="71">
        <v>1</v>
      </c>
      <c r="M1127" s="72">
        <v>0.97499999999999998</v>
      </c>
      <c r="N1127" s="71">
        <v>0.98842592592592604</v>
      </c>
      <c r="O1127" s="73">
        <v>0.9</v>
      </c>
      <c r="P1127" s="71">
        <v>0.96093163035311802</v>
      </c>
      <c r="Q1127" s="71">
        <v>0.99069527009563196</v>
      </c>
      <c r="R1127" s="71">
        <v>0.989071038251366</v>
      </c>
      <c r="S1127" s="71">
        <v>0.98135222693391599</v>
      </c>
      <c r="T1127" s="73">
        <v>0.9</v>
      </c>
      <c r="U1127" s="71">
        <v>0.88129226145755102</v>
      </c>
      <c r="V1127" s="71">
        <v>0.83406565003876998</v>
      </c>
      <c r="W1127" s="71">
        <v>0.86252516537244694</v>
      </c>
      <c r="X1127" s="71">
        <v>0.86114257118023596</v>
      </c>
      <c r="Y1127" s="73">
        <v>0.92</v>
      </c>
      <c r="Z1127" s="73" t="s">
        <v>1710</v>
      </c>
      <c r="AA1127" s="73" t="s">
        <v>1710</v>
      </c>
      <c r="AB1127" s="73" t="s">
        <v>1710</v>
      </c>
      <c r="AC1127" s="73" t="s">
        <v>1710</v>
      </c>
      <c r="AD1127" s="73">
        <v>0.92</v>
      </c>
      <c r="AE1127" s="71">
        <v>1</v>
      </c>
      <c r="AF1127" s="71">
        <v>1</v>
      </c>
      <c r="AG1127" s="71">
        <v>1</v>
      </c>
      <c r="AH1127" s="71">
        <v>0.99910634495084905</v>
      </c>
      <c r="AI1127" s="73">
        <v>0.92</v>
      </c>
      <c r="AJ1127" s="71">
        <v>0.93726521412471797</v>
      </c>
      <c r="AK1127" s="71">
        <v>0.96691651589558003</v>
      </c>
      <c r="AL1127" s="71">
        <v>0.97095197008915701</v>
      </c>
      <c r="AM1127" s="71">
        <v>0.96130850475412899</v>
      </c>
      <c r="AN1127" s="70">
        <v>0.99</v>
      </c>
      <c r="AO1127" s="75">
        <v>1</v>
      </c>
      <c r="AP1127" s="75">
        <v>1</v>
      </c>
      <c r="AQ1127" s="75">
        <v>1</v>
      </c>
      <c r="AR1127" s="75">
        <v>1</v>
      </c>
      <c r="AS1127" s="95">
        <v>7.2186152540827803E-2</v>
      </c>
      <c r="AT1127" s="79">
        <v>0</v>
      </c>
      <c r="AU1127" s="79">
        <v>0.2</v>
      </c>
      <c r="AV1127" s="79">
        <v>0</v>
      </c>
      <c r="AW1127" s="79">
        <v>6.8493150684931503E-2</v>
      </c>
      <c r="AX1127" s="56"/>
      <c r="AY1127" s="54"/>
    </row>
    <row r="1128" spans="1:51">
      <c r="A1128" s="53"/>
      <c r="B1128" s="56"/>
      <c r="C1128" s="90" t="s">
        <v>1079</v>
      </c>
      <c r="D1128" s="230" t="s">
        <v>1757</v>
      </c>
      <c r="E1128" s="68" t="s">
        <v>1080</v>
      </c>
      <c r="F1128" s="128" t="s">
        <v>1152</v>
      </c>
      <c r="G1128" s="128" t="s">
        <v>1152</v>
      </c>
      <c r="H1128" s="128" t="s">
        <v>1152</v>
      </c>
      <c r="I1128" s="128" t="s">
        <v>1152</v>
      </c>
      <c r="J1128" s="70">
        <v>0.9</v>
      </c>
      <c r="K1128" s="71">
        <v>0.931034482758621</v>
      </c>
      <c r="L1128" s="71">
        <v>0.94117647058823495</v>
      </c>
      <c r="M1128" s="72">
        <v>0.96666666666666701</v>
      </c>
      <c r="N1128" s="71">
        <v>0.95161290322580605</v>
      </c>
      <c r="O1128" s="73">
        <v>0.9</v>
      </c>
      <c r="P1128" s="71">
        <v>0.96824621397166599</v>
      </c>
      <c r="Q1128" s="71">
        <v>0.93415775401069501</v>
      </c>
      <c r="R1128" s="71">
        <v>0.92899408284023699</v>
      </c>
      <c r="S1128" s="71">
        <v>0.96334844737565295</v>
      </c>
      <c r="T1128" s="73">
        <v>0.9</v>
      </c>
      <c r="U1128" s="71">
        <v>0.66976062530532499</v>
      </c>
      <c r="V1128" s="71">
        <v>0.51737967914438499</v>
      </c>
      <c r="W1128" s="71">
        <v>0.539201183431953</v>
      </c>
      <c r="X1128" s="71">
        <v>0.61393926902995299</v>
      </c>
      <c r="Y1128" s="73">
        <v>0.92</v>
      </c>
      <c r="Z1128" s="73">
        <v>0</v>
      </c>
      <c r="AA1128" s="73">
        <v>0.5</v>
      </c>
      <c r="AB1128" s="73" t="s">
        <v>1710</v>
      </c>
      <c r="AC1128" s="73">
        <v>0.2</v>
      </c>
      <c r="AD1128" s="73">
        <v>0.92</v>
      </c>
      <c r="AE1128" s="71">
        <v>1</v>
      </c>
      <c r="AF1128" s="71">
        <v>1</v>
      </c>
      <c r="AG1128" s="71">
        <v>1</v>
      </c>
      <c r="AH1128" s="71">
        <v>0.99719101123595499</v>
      </c>
      <c r="AI1128" s="73">
        <v>0.92</v>
      </c>
      <c r="AJ1128" s="71">
        <v>0.83073170731707302</v>
      </c>
      <c r="AK1128" s="71">
        <v>0.91850367401469601</v>
      </c>
      <c r="AL1128" s="71">
        <v>0.87019230769230804</v>
      </c>
      <c r="AM1128" s="71">
        <v>0.906824192052753</v>
      </c>
      <c r="AN1128" s="70">
        <v>0.99</v>
      </c>
      <c r="AO1128" s="75">
        <v>1</v>
      </c>
      <c r="AP1128" s="75">
        <v>1</v>
      </c>
      <c r="AQ1128" s="75">
        <v>1</v>
      </c>
      <c r="AR1128" s="75">
        <v>1</v>
      </c>
      <c r="AS1128" s="95">
        <v>7.2186152540827803E-2</v>
      </c>
      <c r="AT1128" s="79">
        <v>0</v>
      </c>
      <c r="AU1128" s="79">
        <v>0</v>
      </c>
      <c r="AV1128" s="79">
        <v>0.33333333333333298</v>
      </c>
      <c r="AW1128" s="79">
        <v>0.13559322033898299</v>
      </c>
      <c r="AX1128" s="56"/>
      <c r="AY1128" s="54"/>
    </row>
    <row r="1129" spans="1:51">
      <c r="A1129" s="53"/>
      <c r="B1129" s="56"/>
      <c r="C1129" s="90" t="s">
        <v>1079</v>
      </c>
      <c r="D1129" s="230" t="s">
        <v>1757</v>
      </c>
      <c r="E1129" s="68" t="s">
        <v>1080</v>
      </c>
      <c r="F1129" s="128" t="s">
        <v>1153</v>
      </c>
      <c r="G1129" s="128" t="s">
        <v>1153</v>
      </c>
      <c r="H1129" s="128" t="s">
        <v>1153</v>
      </c>
      <c r="I1129" s="128" t="s">
        <v>1153</v>
      </c>
      <c r="J1129" s="70">
        <v>0.9</v>
      </c>
      <c r="K1129" s="71">
        <v>0.81318681318681296</v>
      </c>
      <c r="L1129" s="71">
        <v>0.83838383838383801</v>
      </c>
      <c r="M1129" s="72">
        <v>0.83838383838383801</v>
      </c>
      <c r="N1129" s="71">
        <v>0.82736455463728198</v>
      </c>
      <c r="O1129" s="73">
        <v>0.9</v>
      </c>
      <c r="P1129" s="71">
        <v>0.91891378655526001</v>
      </c>
      <c r="Q1129" s="71">
        <v>0.89801659867773198</v>
      </c>
      <c r="R1129" s="71">
        <v>0.91215720780173004</v>
      </c>
      <c r="S1129" s="71">
        <v>0.91496312498247401</v>
      </c>
      <c r="T1129" s="73">
        <v>0.9</v>
      </c>
      <c r="U1129" s="71">
        <v>0.80250664641093805</v>
      </c>
      <c r="V1129" s="71">
        <v>0.77493318328878902</v>
      </c>
      <c r="W1129" s="71">
        <v>0.79703768881067605</v>
      </c>
      <c r="X1129" s="71">
        <v>0.81240010095061799</v>
      </c>
      <c r="Y1129" s="73">
        <v>0.92</v>
      </c>
      <c r="Z1129" s="73" t="s">
        <v>1710</v>
      </c>
      <c r="AA1129" s="73" t="s">
        <v>1710</v>
      </c>
      <c r="AB1129" s="73" t="s">
        <v>1710</v>
      </c>
      <c r="AC1129" s="73" t="s">
        <v>1710</v>
      </c>
      <c r="AD1129" s="73">
        <v>0.92</v>
      </c>
      <c r="AE1129" s="71">
        <v>0.994904458598726</v>
      </c>
      <c r="AF1129" s="71">
        <v>1</v>
      </c>
      <c r="AG1129" s="71">
        <v>1</v>
      </c>
      <c r="AH1129" s="71">
        <v>0.99792835563228299</v>
      </c>
      <c r="AI1129" s="73">
        <v>0.92</v>
      </c>
      <c r="AJ1129" s="71">
        <v>0.92138245347512304</v>
      </c>
      <c r="AK1129" s="71">
        <v>0.92446194964130002</v>
      </c>
      <c r="AL1129" s="71">
        <v>0.92991202346041102</v>
      </c>
      <c r="AM1129" s="71">
        <v>0.94836167856091302</v>
      </c>
      <c r="AN1129" s="70">
        <v>0.99</v>
      </c>
      <c r="AO1129" s="75">
        <v>1</v>
      </c>
      <c r="AP1129" s="75">
        <v>1</v>
      </c>
      <c r="AQ1129" s="75">
        <v>1</v>
      </c>
      <c r="AR1129" s="75">
        <v>1</v>
      </c>
      <c r="AS1129" s="95">
        <v>7.2186152540827803E-2</v>
      </c>
      <c r="AT1129" s="79">
        <v>0</v>
      </c>
      <c r="AU1129" s="79">
        <v>-4.3478260869565202E-2</v>
      </c>
      <c r="AV1129" s="79">
        <v>4.7619047619047603E-2</v>
      </c>
      <c r="AW1129" s="79">
        <v>9.3896713615023497E-2</v>
      </c>
      <c r="AX1129" s="56"/>
      <c r="AY1129" s="54"/>
    </row>
    <row r="1130" spans="1:51">
      <c r="A1130" s="53"/>
      <c r="B1130" s="56"/>
      <c r="C1130" s="90" t="s">
        <v>1079</v>
      </c>
      <c r="D1130" s="230" t="s">
        <v>1757</v>
      </c>
      <c r="E1130" s="68" t="s">
        <v>1080</v>
      </c>
      <c r="F1130" s="128" t="s">
        <v>1154</v>
      </c>
      <c r="G1130" s="128" t="s">
        <v>1154</v>
      </c>
      <c r="H1130" s="128" t="s">
        <v>1154</v>
      </c>
      <c r="I1130" s="128" t="s">
        <v>1154</v>
      </c>
      <c r="J1130" s="70">
        <v>0.9</v>
      </c>
      <c r="K1130" s="71">
        <v>0.89473684210526305</v>
      </c>
      <c r="L1130" s="71">
        <v>0.92682926829268297</v>
      </c>
      <c r="M1130" s="72">
        <v>0.92307692307692302</v>
      </c>
      <c r="N1130" s="71">
        <v>0.93763919821826303</v>
      </c>
      <c r="O1130" s="73">
        <v>0.9</v>
      </c>
      <c r="P1130" s="71">
        <v>0.97109826589595405</v>
      </c>
      <c r="Q1130" s="71">
        <v>0.98364735158194105</v>
      </c>
      <c r="R1130" s="71">
        <v>0.94403534609720197</v>
      </c>
      <c r="S1130" s="71">
        <v>0.97518071431114906</v>
      </c>
      <c r="T1130" s="73">
        <v>0.9</v>
      </c>
      <c r="U1130" s="71">
        <v>0.81213872832369904</v>
      </c>
      <c r="V1130" s="71">
        <v>0.81834340561677898</v>
      </c>
      <c r="W1130" s="71">
        <v>0.78681885125184103</v>
      </c>
      <c r="X1130" s="71">
        <v>0.79955845173236495</v>
      </c>
      <c r="Y1130" s="73">
        <v>0.92</v>
      </c>
      <c r="Z1130" s="73" t="s">
        <v>1710</v>
      </c>
      <c r="AA1130" s="73" t="s">
        <v>1710</v>
      </c>
      <c r="AB1130" s="73" t="s">
        <v>1710</v>
      </c>
      <c r="AC1130" s="73" t="s">
        <v>1710</v>
      </c>
      <c r="AD1130" s="73">
        <v>0.92</v>
      </c>
      <c r="AE1130" s="71">
        <v>1</v>
      </c>
      <c r="AF1130" s="71">
        <v>0.98809523809523803</v>
      </c>
      <c r="AG1130" s="71">
        <v>1</v>
      </c>
      <c r="AH1130" s="71">
        <v>0.99821428571428605</v>
      </c>
      <c r="AI1130" s="73">
        <v>0.92</v>
      </c>
      <c r="AJ1130" s="71">
        <v>0.92437379576107903</v>
      </c>
      <c r="AK1130" s="71">
        <v>0.95414148595805204</v>
      </c>
      <c r="AL1130" s="71">
        <v>0.93924889543446199</v>
      </c>
      <c r="AM1130" s="71">
        <v>0.951785777872734</v>
      </c>
      <c r="AN1130" s="70">
        <v>0.99</v>
      </c>
      <c r="AO1130" s="75">
        <v>1</v>
      </c>
      <c r="AP1130" s="75">
        <v>1</v>
      </c>
      <c r="AQ1130" s="75">
        <v>1</v>
      </c>
      <c r="AR1130" s="75">
        <v>1</v>
      </c>
      <c r="AS1130" s="95">
        <v>7.2186152540827803E-2</v>
      </c>
      <c r="AT1130" s="79">
        <v>0</v>
      </c>
      <c r="AU1130" s="79">
        <v>0</v>
      </c>
      <c r="AV1130" s="79">
        <v>0</v>
      </c>
      <c r="AW1130" s="79">
        <v>9.5238095238095205E-2</v>
      </c>
      <c r="AX1130" s="56"/>
      <c r="AY1130" s="54"/>
    </row>
    <row r="1131" spans="1:51">
      <c r="A1131" s="53"/>
      <c r="B1131" s="56"/>
      <c r="C1131" s="90" t="s">
        <v>1079</v>
      </c>
      <c r="D1131" s="230" t="s">
        <v>1757</v>
      </c>
      <c r="E1131" s="68" t="s">
        <v>1080</v>
      </c>
      <c r="F1131" s="128" t="s">
        <v>1155</v>
      </c>
      <c r="G1131" s="128" t="s">
        <v>1155</v>
      </c>
      <c r="H1131" s="128" t="s">
        <v>1155</v>
      </c>
      <c r="I1131" s="128" t="s">
        <v>1155</v>
      </c>
      <c r="J1131" s="70">
        <v>0.9</v>
      </c>
      <c r="K1131" s="71">
        <v>0.74074074074074103</v>
      </c>
      <c r="L1131" s="71">
        <v>0.9</v>
      </c>
      <c r="M1131" s="72">
        <v>0.931034482758621</v>
      </c>
      <c r="N1131" s="71">
        <v>0.91509433962264197</v>
      </c>
      <c r="O1131" s="73">
        <v>0.9</v>
      </c>
      <c r="P1131" s="71">
        <v>0.98134942402632996</v>
      </c>
      <c r="Q1131" s="71">
        <v>0.97411496003045295</v>
      </c>
      <c r="R1131" s="71">
        <v>0.99347826086956503</v>
      </c>
      <c r="S1131" s="71">
        <v>0.98006037496027998</v>
      </c>
      <c r="T1131" s="73">
        <v>0.9</v>
      </c>
      <c r="U1131" s="71">
        <v>0.77125617114646206</v>
      </c>
      <c r="V1131" s="71">
        <v>0.77769318614389005</v>
      </c>
      <c r="W1131" s="71">
        <v>0.83826086956521695</v>
      </c>
      <c r="X1131" s="71">
        <v>0.787456307594534</v>
      </c>
      <c r="Y1131" s="73">
        <v>0.92</v>
      </c>
      <c r="Z1131" s="73" t="s">
        <v>1710</v>
      </c>
      <c r="AA1131" s="73" t="s">
        <v>1710</v>
      </c>
      <c r="AB1131" s="73" t="s">
        <v>1710</v>
      </c>
      <c r="AC1131" s="73" t="s">
        <v>1710</v>
      </c>
      <c r="AD1131" s="73">
        <v>0.92</v>
      </c>
      <c r="AE1131" s="71">
        <v>1</v>
      </c>
      <c r="AF1131" s="71">
        <v>1</v>
      </c>
      <c r="AG1131" s="71">
        <v>1</v>
      </c>
      <c r="AH1131" s="71">
        <v>0.99107142857142905</v>
      </c>
      <c r="AI1131" s="73">
        <v>0.92</v>
      </c>
      <c r="AJ1131" s="71">
        <v>0.90510148107515098</v>
      </c>
      <c r="AK1131" s="71">
        <v>0.94213932242101295</v>
      </c>
      <c r="AL1131" s="71">
        <v>0.96608695652173904</v>
      </c>
      <c r="AM1131" s="71">
        <v>0.93930727677152803</v>
      </c>
      <c r="AN1131" s="70">
        <v>0.99</v>
      </c>
      <c r="AO1131" s="75">
        <v>1</v>
      </c>
      <c r="AP1131" s="75">
        <v>1</v>
      </c>
      <c r="AQ1131" s="75">
        <v>1</v>
      </c>
      <c r="AR1131" s="75">
        <v>1</v>
      </c>
      <c r="AS1131" s="95">
        <v>7.2186152540827803E-2</v>
      </c>
      <c r="AT1131" s="79">
        <v>0.33333333333333298</v>
      </c>
      <c r="AU1131" s="79">
        <v>0</v>
      </c>
      <c r="AV1131" s="79">
        <v>0</v>
      </c>
      <c r="AW1131" s="79">
        <v>0.24324324324324301</v>
      </c>
      <c r="AX1131" s="56"/>
      <c r="AY1131" s="54"/>
    </row>
    <row r="1132" spans="1:51">
      <c r="A1132" s="53"/>
      <c r="B1132" s="56"/>
      <c r="C1132" s="90" t="s">
        <v>1079</v>
      </c>
      <c r="D1132" s="230" t="s">
        <v>1757</v>
      </c>
      <c r="E1132" s="68" t="s">
        <v>1080</v>
      </c>
      <c r="F1132" s="128" t="s">
        <v>1156</v>
      </c>
      <c r="G1132" s="128" t="s">
        <v>1156</v>
      </c>
      <c r="H1132" s="128" t="s">
        <v>1156</v>
      </c>
      <c r="I1132" s="128" t="s">
        <v>1156</v>
      </c>
      <c r="J1132" s="70">
        <v>0.9</v>
      </c>
      <c r="K1132" s="71">
        <v>0.83870967741935498</v>
      </c>
      <c r="L1132" s="71">
        <v>0.88888888888888895</v>
      </c>
      <c r="M1132" s="72">
        <v>0.85294117647058798</v>
      </c>
      <c r="N1132" s="71">
        <v>0.89105058365758805</v>
      </c>
      <c r="O1132" s="73">
        <v>0.9</v>
      </c>
      <c r="P1132" s="71">
        <v>0.94900277707649605</v>
      </c>
      <c r="Q1132" s="71">
        <v>0.310294117647059</v>
      </c>
      <c r="R1132" s="71">
        <v>0.92061538461538495</v>
      </c>
      <c r="S1132" s="71">
        <v>0.88098644578313301</v>
      </c>
      <c r="T1132" s="73">
        <v>0.9</v>
      </c>
      <c r="U1132" s="71">
        <v>0.86569048220146405</v>
      </c>
      <c r="V1132" s="71">
        <v>0.71838235294117603</v>
      </c>
      <c r="W1132" s="71">
        <v>0.77928205128205097</v>
      </c>
      <c r="X1132" s="71">
        <v>0.80713478915662695</v>
      </c>
      <c r="Y1132" s="73">
        <v>0.92</v>
      </c>
      <c r="Z1132" s="73" t="s">
        <v>1710</v>
      </c>
      <c r="AA1132" s="73" t="s">
        <v>1710</v>
      </c>
      <c r="AB1132" s="73" t="s">
        <v>1710</v>
      </c>
      <c r="AC1132" s="73" t="s">
        <v>1710</v>
      </c>
      <c r="AD1132" s="73">
        <v>0.92</v>
      </c>
      <c r="AE1132" s="71">
        <v>0.99859747545582001</v>
      </c>
      <c r="AF1132" s="71">
        <v>0.99856032248776305</v>
      </c>
      <c r="AG1132" s="71">
        <v>0.99973024008632305</v>
      </c>
      <c r="AH1132" s="71">
        <v>0.99834675100632597</v>
      </c>
      <c r="AI1132" s="73">
        <v>0.92</v>
      </c>
      <c r="AJ1132" s="71">
        <v>0.94799293107801097</v>
      </c>
      <c r="AK1132" s="71">
        <v>0.94834558823529402</v>
      </c>
      <c r="AL1132" s="71">
        <v>0.95158974358974402</v>
      </c>
      <c r="AM1132" s="71">
        <v>0.95818900602409596</v>
      </c>
      <c r="AN1132" s="70">
        <v>0.99</v>
      </c>
      <c r="AO1132" s="75">
        <v>1</v>
      </c>
      <c r="AP1132" s="75">
        <v>1</v>
      </c>
      <c r="AQ1132" s="75">
        <v>1</v>
      </c>
      <c r="AR1132" s="75">
        <v>1</v>
      </c>
      <c r="AS1132" s="95">
        <v>7.2186152540827803E-2</v>
      </c>
      <c r="AT1132" s="79">
        <v>0</v>
      </c>
      <c r="AU1132" s="79">
        <v>0.18181818181818199</v>
      </c>
      <c r="AV1132" s="79">
        <v>0</v>
      </c>
      <c r="AW1132" s="79">
        <v>7.9365079365079402E-2</v>
      </c>
      <c r="AX1132" s="56"/>
      <c r="AY1132" s="54"/>
    </row>
    <row r="1133" spans="1:51">
      <c r="A1133" s="53"/>
      <c r="B1133" s="56"/>
      <c r="C1133" s="90" t="s">
        <v>1079</v>
      </c>
      <c r="D1133" s="230" t="s">
        <v>1757</v>
      </c>
      <c r="E1133" s="68" t="s">
        <v>1080</v>
      </c>
      <c r="F1133" s="128" t="s">
        <v>1157</v>
      </c>
      <c r="G1133" s="128" t="s">
        <v>1157</v>
      </c>
      <c r="H1133" s="128" t="s">
        <v>1157</v>
      </c>
      <c r="I1133" s="128" t="s">
        <v>1157</v>
      </c>
      <c r="J1133" s="70">
        <v>0.9</v>
      </c>
      <c r="K1133" s="71">
        <v>0.82608695652173902</v>
      </c>
      <c r="L1133" s="71">
        <v>0.79245283018867896</v>
      </c>
      <c r="M1133" s="72">
        <v>0.86274509803921595</v>
      </c>
      <c r="N1133" s="71">
        <v>0.81328545780969497</v>
      </c>
      <c r="O1133" s="73">
        <v>0.9</v>
      </c>
      <c r="P1133" s="71">
        <v>0.97041593438781504</v>
      </c>
      <c r="Q1133" s="71">
        <v>0.23181336161187699</v>
      </c>
      <c r="R1133" s="71">
        <v>0.94869264923532304</v>
      </c>
      <c r="S1133" s="71">
        <v>0.87528094938415901</v>
      </c>
      <c r="T1133" s="73">
        <v>0.9</v>
      </c>
      <c r="U1133" s="71">
        <v>0.78968951376684204</v>
      </c>
      <c r="V1133" s="71">
        <v>0.52746553552492004</v>
      </c>
      <c r="W1133" s="71">
        <v>0.71484953132708395</v>
      </c>
      <c r="X1133" s="71">
        <v>0.72516407444034903</v>
      </c>
      <c r="Y1133" s="73">
        <v>0.92</v>
      </c>
      <c r="Z1133" s="73" t="s">
        <v>1710</v>
      </c>
      <c r="AA1133" s="73" t="s">
        <v>1710</v>
      </c>
      <c r="AB1133" s="73" t="s">
        <v>1710</v>
      </c>
      <c r="AC1133" s="73" t="s">
        <v>1710</v>
      </c>
      <c r="AD1133" s="73">
        <v>0.92</v>
      </c>
      <c r="AE1133" s="71">
        <v>1</v>
      </c>
      <c r="AF1133" s="71">
        <v>0.97647058823529398</v>
      </c>
      <c r="AG1133" s="71">
        <v>1</v>
      </c>
      <c r="AH1133" s="71">
        <v>0.99502487562189101</v>
      </c>
      <c r="AI1133" s="73">
        <v>0.92</v>
      </c>
      <c r="AJ1133" s="71">
        <v>0.90041007615700097</v>
      </c>
      <c r="AK1133" s="71">
        <v>0.91961823966065703</v>
      </c>
      <c r="AL1133" s="71">
        <v>0.90848544647261997</v>
      </c>
      <c r="AM1133" s="71">
        <v>0.93380832509215095</v>
      </c>
      <c r="AN1133" s="70">
        <v>0.99</v>
      </c>
      <c r="AO1133" s="75">
        <v>1</v>
      </c>
      <c r="AP1133" s="75">
        <v>1</v>
      </c>
      <c r="AQ1133" s="75">
        <v>1</v>
      </c>
      <c r="AR1133" s="75">
        <v>1</v>
      </c>
      <c r="AS1133" s="95">
        <v>7.2186152540827803E-2</v>
      </c>
      <c r="AT1133" s="79">
        <v>0.22222222222222199</v>
      </c>
      <c r="AU1133" s="79">
        <v>0.14285714285714299</v>
      </c>
      <c r="AV1133" s="79">
        <v>0</v>
      </c>
      <c r="AW1133" s="79">
        <v>8.7378640776699004E-2</v>
      </c>
      <c r="AX1133" s="56"/>
      <c r="AY1133" s="54"/>
    </row>
    <row r="1134" spans="1:51">
      <c r="A1134" s="53"/>
      <c r="B1134" s="56"/>
      <c r="C1134" s="90" t="s">
        <v>1079</v>
      </c>
      <c r="D1134" s="230" t="s">
        <v>1757</v>
      </c>
      <c r="E1134" s="68" t="s">
        <v>1080</v>
      </c>
      <c r="F1134" s="128" t="s">
        <v>1158</v>
      </c>
      <c r="G1134" s="128" t="s">
        <v>1158</v>
      </c>
      <c r="H1134" s="128" t="s">
        <v>1158</v>
      </c>
      <c r="I1134" s="128" t="s">
        <v>1158</v>
      </c>
      <c r="J1134" s="70">
        <v>0.9</v>
      </c>
      <c r="K1134" s="71">
        <v>0.86842105263157898</v>
      </c>
      <c r="L1134" s="71">
        <v>0.93617021276595702</v>
      </c>
      <c r="M1134" s="72">
        <v>0.81818181818181801</v>
      </c>
      <c r="N1134" s="71">
        <v>0.81437125748503003</v>
      </c>
      <c r="O1134" s="73">
        <v>0.9</v>
      </c>
      <c r="P1134" s="71">
        <v>0.97331356560415105</v>
      </c>
      <c r="Q1134" s="71">
        <v>0.98331509846827103</v>
      </c>
      <c r="R1134" s="71">
        <v>0.97588474788600099</v>
      </c>
      <c r="S1134" s="71">
        <v>0.97102719204025101</v>
      </c>
      <c r="T1134" s="73">
        <v>0.9</v>
      </c>
      <c r="U1134" s="71">
        <v>0.81504818383988098</v>
      </c>
      <c r="V1134" s="71">
        <v>0.85065645514223198</v>
      </c>
      <c r="W1134" s="71">
        <v>0.86125900407140599</v>
      </c>
      <c r="X1134" s="71">
        <v>0.85270507094804704</v>
      </c>
      <c r="Y1134" s="73">
        <v>0.92</v>
      </c>
      <c r="Z1134" s="73" t="s">
        <v>1710</v>
      </c>
      <c r="AA1134" s="73">
        <v>0</v>
      </c>
      <c r="AB1134" s="73" t="s">
        <v>1710</v>
      </c>
      <c r="AC1134" s="73">
        <v>0</v>
      </c>
      <c r="AD1134" s="73">
        <v>0.92</v>
      </c>
      <c r="AE1134" s="71">
        <v>0.99866488651535401</v>
      </c>
      <c r="AF1134" s="71">
        <v>0.99623115577889398</v>
      </c>
      <c r="AG1134" s="71">
        <v>0.99832308552263804</v>
      </c>
      <c r="AH1134" s="71">
        <v>0.99690322580645196</v>
      </c>
      <c r="AI1134" s="73">
        <v>0.92</v>
      </c>
      <c r="AJ1134" s="71">
        <v>0.93291326908821304</v>
      </c>
      <c r="AK1134" s="71">
        <v>0.95406070549630895</v>
      </c>
      <c r="AL1134" s="71">
        <v>0.96554963983714404</v>
      </c>
      <c r="AM1134" s="71">
        <v>0.96410401356698705</v>
      </c>
      <c r="AN1134" s="70">
        <v>0.99</v>
      </c>
      <c r="AO1134" s="75">
        <v>1</v>
      </c>
      <c r="AP1134" s="75">
        <v>1</v>
      </c>
      <c r="AQ1134" s="75">
        <v>1</v>
      </c>
      <c r="AR1134" s="75">
        <v>1</v>
      </c>
      <c r="AS1134" s="95">
        <v>7.2186152540827803E-2</v>
      </c>
      <c r="AT1134" s="79">
        <v>0</v>
      </c>
      <c r="AU1134" s="79">
        <v>0</v>
      </c>
      <c r="AV1134" s="79">
        <v>0</v>
      </c>
      <c r="AW1134" s="79">
        <v>4.4117647058823498E-2</v>
      </c>
      <c r="AX1134" s="56"/>
      <c r="AY1134" s="54"/>
    </row>
    <row r="1135" spans="1:51">
      <c r="A1135" s="53"/>
      <c r="B1135" s="56"/>
      <c r="C1135" s="90" t="s">
        <v>1079</v>
      </c>
      <c r="D1135" s="230" t="s">
        <v>1757</v>
      </c>
      <c r="E1135" s="68" t="s">
        <v>1080</v>
      </c>
      <c r="F1135" s="128" t="s">
        <v>1159</v>
      </c>
      <c r="G1135" s="128" t="s">
        <v>1159</v>
      </c>
      <c r="H1135" s="128" t="s">
        <v>1159</v>
      </c>
      <c r="I1135" s="128" t="s">
        <v>1159</v>
      </c>
      <c r="J1135" s="70">
        <v>0.9</v>
      </c>
      <c r="K1135" s="71">
        <v>0.9</v>
      </c>
      <c r="L1135" s="71">
        <v>0.89655172413793105</v>
      </c>
      <c r="M1135" s="72">
        <v>0.85714285714285698</v>
      </c>
      <c r="N1135" s="71">
        <v>0.89375000000000004</v>
      </c>
      <c r="O1135" s="73">
        <v>0.9</v>
      </c>
      <c r="P1135" s="71">
        <v>0.98472553699284004</v>
      </c>
      <c r="Q1135" s="71">
        <v>0.98611593196806702</v>
      </c>
      <c r="R1135" s="71">
        <v>0.98708963482109902</v>
      </c>
      <c r="S1135" s="71">
        <v>0.98105108877721903</v>
      </c>
      <c r="T1135" s="73">
        <v>0.9</v>
      </c>
      <c r="U1135" s="71">
        <v>0.85632458233890196</v>
      </c>
      <c r="V1135" s="71">
        <v>0.81811870878167303</v>
      </c>
      <c r="W1135" s="71">
        <v>0.80966433050534903</v>
      </c>
      <c r="X1135" s="71">
        <v>0.81766471245114503</v>
      </c>
      <c r="Y1135" s="73">
        <v>0.92</v>
      </c>
      <c r="Z1135" s="73" t="s">
        <v>1710</v>
      </c>
      <c r="AA1135" s="73" t="s">
        <v>1710</v>
      </c>
      <c r="AB1135" s="73">
        <v>1</v>
      </c>
      <c r="AC1135" s="73">
        <v>1</v>
      </c>
      <c r="AD1135" s="73">
        <v>0.92</v>
      </c>
      <c r="AE1135" s="71">
        <v>0.99497487437185905</v>
      </c>
      <c r="AF1135" s="71">
        <v>1</v>
      </c>
      <c r="AG1135" s="71">
        <v>1</v>
      </c>
      <c r="AH1135" s="71">
        <v>0.99917695473251</v>
      </c>
      <c r="AI1135" s="73">
        <v>0.92</v>
      </c>
      <c r="AJ1135" s="71">
        <v>0.94367541766109797</v>
      </c>
      <c r="AK1135" s="71">
        <v>0.95175286358903199</v>
      </c>
      <c r="AL1135" s="71">
        <v>0.95538348082595903</v>
      </c>
      <c r="AM1135" s="71">
        <v>0.94898279652440898</v>
      </c>
      <c r="AN1135" s="70">
        <v>0.99</v>
      </c>
      <c r="AO1135" s="75">
        <v>1</v>
      </c>
      <c r="AP1135" s="75">
        <v>1</v>
      </c>
      <c r="AQ1135" s="75">
        <v>1</v>
      </c>
      <c r="AR1135" s="75">
        <v>1</v>
      </c>
      <c r="AS1135" s="95">
        <v>7.2186152540827803E-2</v>
      </c>
      <c r="AT1135" s="79">
        <v>0</v>
      </c>
      <c r="AU1135" s="79">
        <v>0</v>
      </c>
      <c r="AV1135" s="79">
        <v>0.11111111111111099</v>
      </c>
      <c r="AW1135" s="79">
        <v>6.25E-2</v>
      </c>
      <c r="AX1135" s="56"/>
      <c r="AY1135" s="54"/>
    </row>
    <row r="1136" spans="1:51">
      <c r="A1136" s="53"/>
      <c r="B1136" s="56"/>
      <c r="C1136" s="90" t="s">
        <v>1079</v>
      </c>
      <c r="D1136" s="230" t="s">
        <v>1757</v>
      </c>
      <c r="E1136" s="68" t="s">
        <v>1080</v>
      </c>
      <c r="F1136" s="128" t="s">
        <v>1160</v>
      </c>
      <c r="G1136" s="128" t="s">
        <v>1160</v>
      </c>
      <c r="H1136" s="128" t="s">
        <v>1160</v>
      </c>
      <c r="I1136" s="128" t="s">
        <v>1160</v>
      </c>
      <c r="J1136" s="70">
        <v>0.9</v>
      </c>
      <c r="K1136" s="71">
        <v>0.78947368421052599</v>
      </c>
      <c r="L1136" s="71">
        <v>0.86956521739130399</v>
      </c>
      <c r="M1136" s="72">
        <v>0.72727272727272696</v>
      </c>
      <c r="N1136" s="71">
        <v>0.82773109243697496</v>
      </c>
      <c r="O1136" s="73">
        <v>0.9</v>
      </c>
      <c r="P1136" s="71">
        <v>0.96875</v>
      </c>
      <c r="Q1136" s="71">
        <v>0.98365276211950403</v>
      </c>
      <c r="R1136" s="71">
        <v>0.94702766333137101</v>
      </c>
      <c r="S1136" s="71">
        <v>0.97515110812625905</v>
      </c>
      <c r="T1136" s="73">
        <v>0.9</v>
      </c>
      <c r="U1136" s="71">
        <v>0.88437500000000002</v>
      </c>
      <c r="V1136" s="71">
        <v>0.87767756482525405</v>
      </c>
      <c r="W1136" s="71">
        <v>0.85697469099470303</v>
      </c>
      <c r="X1136" s="71">
        <v>0.87167002462502796</v>
      </c>
      <c r="Y1136" s="73">
        <v>0.92</v>
      </c>
      <c r="Z1136" s="73" t="s">
        <v>1710</v>
      </c>
      <c r="AA1136" s="73" t="s">
        <v>1710</v>
      </c>
      <c r="AB1136" s="73" t="s">
        <v>1710</v>
      </c>
      <c r="AC1136" s="73" t="s">
        <v>1710</v>
      </c>
      <c r="AD1136" s="73">
        <v>0.92</v>
      </c>
      <c r="AE1136" s="71">
        <v>1</v>
      </c>
      <c r="AF1136" s="71">
        <v>1</v>
      </c>
      <c r="AG1136" s="71">
        <v>1</v>
      </c>
      <c r="AH1136" s="71">
        <v>1</v>
      </c>
      <c r="AI1136" s="73">
        <v>0.92</v>
      </c>
      <c r="AJ1136" s="71">
        <v>0.93359375</v>
      </c>
      <c r="AK1136" s="71">
        <v>0.941939120631342</v>
      </c>
      <c r="AL1136" s="71">
        <v>0.937610359034726</v>
      </c>
      <c r="AM1136" s="71">
        <v>0.95338034475039202</v>
      </c>
      <c r="AN1136" s="70">
        <v>0.99</v>
      </c>
      <c r="AO1136" s="75">
        <v>1</v>
      </c>
      <c r="AP1136" s="75">
        <v>1</v>
      </c>
      <c r="AQ1136" s="75">
        <v>1</v>
      </c>
      <c r="AR1136" s="75">
        <v>1</v>
      </c>
      <c r="AS1136" s="95">
        <v>7.2186152540827803E-2</v>
      </c>
      <c r="AT1136" s="79">
        <v>0.5</v>
      </c>
      <c r="AU1136" s="79">
        <v>0.66666666666666696</v>
      </c>
      <c r="AV1136" s="79">
        <v>0.1</v>
      </c>
      <c r="AW1136" s="79">
        <v>0.158730158730159</v>
      </c>
      <c r="AX1136" s="56"/>
      <c r="AY1136" s="54"/>
    </row>
    <row r="1137" spans="1:51">
      <c r="A1137" s="53"/>
      <c r="B1137" s="56"/>
      <c r="C1137" s="90" t="s">
        <v>1079</v>
      </c>
      <c r="D1137" s="230" t="s">
        <v>1757</v>
      </c>
      <c r="E1137" s="68" t="s">
        <v>1080</v>
      </c>
      <c r="F1137" s="128" t="s">
        <v>1161</v>
      </c>
      <c r="G1137" s="128" t="s">
        <v>1161</v>
      </c>
      <c r="H1137" s="128" t="s">
        <v>1161</v>
      </c>
      <c r="I1137" s="128" t="s">
        <v>1161</v>
      </c>
      <c r="J1137" s="70">
        <v>0.9</v>
      </c>
      <c r="K1137" s="71">
        <v>0.57692307692307698</v>
      </c>
      <c r="L1137" s="71">
        <v>0.8</v>
      </c>
      <c r="M1137" s="72">
        <v>0.89655172413793105</v>
      </c>
      <c r="N1137" s="71">
        <v>0.78056426332288398</v>
      </c>
      <c r="O1137" s="73">
        <v>0.9</v>
      </c>
      <c r="P1137" s="71">
        <v>0.98344370860927199</v>
      </c>
      <c r="Q1137" s="71">
        <v>0.86646525679758302</v>
      </c>
      <c r="R1137" s="71">
        <v>0.98625083836351402</v>
      </c>
      <c r="S1137" s="71">
        <v>0.93049036561264797</v>
      </c>
      <c r="T1137" s="73">
        <v>0.9</v>
      </c>
      <c r="U1137" s="71">
        <v>0.806291390728477</v>
      </c>
      <c r="V1137" s="71">
        <v>0.82416918429003005</v>
      </c>
      <c r="W1137" s="71">
        <v>0.83400402414486896</v>
      </c>
      <c r="X1137" s="71">
        <v>0.81228384387351804</v>
      </c>
      <c r="Y1137" s="73">
        <v>0.92</v>
      </c>
      <c r="Z1137" s="73" t="s">
        <v>1710</v>
      </c>
      <c r="AA1137" s="73" t="s">
        <v>1710</v>
      </c>
      <c r="AB1137" s="73" t="s">
        <v>1710</v>
      </c>
      <c r="AC1137" s="73" t="s">
        <v>1710</v>
      </c>
      <c r="AD1137" s="73">
        <v>0.92</v>
      </c>
      <c r="AE1137" s="71">
        <v>0.98907766990291301</v>
      </c>
      <c r="AF1137" s="71">
        <v>0.97166469893742602</v>
      </c>
      <c r="AG1137" s="71">
        <v>0.97641509433962304</v>
      </c>
      <c r="AH1137" s="71">
        <v>0.841769868943129</v>
      </c>
      <c r="AI1137" s="73">
        <v>0.92</v>
      </c>
      <c r="AJ1137" s="71">
        <v>0.93253311258278104</v>
      </c>
      <c r="AK1137" s="71">
        <v>0.95981873111782501</v>
      </c>
      <c r="AL1137" s="71">
        <v>0.94600938967136095</v>
      </c>
      <c r="AM1137" s="71">
        <v>0.94626976284584996</v>
      </c>
      <c r="AN1137" s="70">
        <v>0.99</v>
      </c>
      <c r="AO1137" s="75">
        <v>1</v>
      </c>
      <c r="AP1137" s="75">
        <v>1</v>
      </c>
      <c r="AQ1137" s="75">
        <v>1</v>
      </c>
      <c r="AR1137" s="75">
        <v>1</v>
      </c>
      <c r="AS1137" s="95">
        <v>7.2186152540827803E-2</v>
      </c>
      <c r="AT1137" s="79">
        <v>0</v>
      </c>
      <c r="AU1137" s="79">
        <v>0.33333333333333298</v>
      </c>
      <c r="AV1137" s="79">
        <v>0.14285714285714299</v>
      </c>
      <c r="AW1137" s="79">
        <v>0.16923076923076899</v>
      </c>
      <c r="AX1137" s="56"/>
      <c r="AY1137" s="54"/>
    </row>
    <row r="1138" spans="1:51">
      <c r="A1138" s="53"/>
      <c r="B1138" s="56"/>
      <c r="C1138" s="90" t="s">
        <v>1079</v>
      </c>
      <c r="D1138" s="230" t="s">
        <v>1757</v>
      </c>
      <c r="E1138" s="68" t="s">
        <v>1080</v>
      </c>
      <c r="F1138" s="128" t="s">
        <v>1162</v>
      </c>
      <c r="G1138" s="128" t="s">
        <v>1162</v>
      </c>
      <c r="H1138" s="128" t="s">
        <v>1162</v>
      </c>
      <c r="I1138" s="128" t="s">
        <v>1162</v>
      </c>
      <c r="J1138" s="70">
        <v>0.9</v>
      </c>
      <c r="K1138" s="71">
        <v>0.91666666666666696</v>
      </c>
      <c r="L1138" s="71">
        <v>0.8</v>
      </c>
      <c r="M1138" s="72">
        <v>0.92592592592592604</v>
      </c>
      <c r="N1138" s="71">
        <v>0.84561403508771904</v>
      </c>
      <c r="O1138" s="73">
        <v>0.9</v>
      </c>
      <c r="P1138" s="71">
        <v>0.97595628415300595</v>
      </c>
      <c r="Q1138" s="71">
        <v>0.931392931392931</v>
      </c>
      <c r="R1138" s="71">
        <v>0.981852024197301</v>
      </c>
      <c r="S1138" s="71">
        <v>0.93151621309864596</v>
      </c>
      <c r="T1138" s="73">
        <v>0.9</v>
      </c>
      <c r="U1138" s="71">
        <v>0.84808743169398904</v>
      </c>
      <c r="V1138" s="71">
        <v>0.78295218295218305</v>
      </c>
      <c r="W1138" s="71">
        <v>0.85574685900418801</v>
      </c>
      <c r="X1138" s="71">
        <v>0.82552227965993097</v>
      </c>
      <c r="Y1138" s="73">
        <v>0.92</v>
      </c>
      <c r="Z1138" s="73" t="s">
        <v>1710</v>
      </c>
      <c r="AA1138" s="73" t="s">
        <v>1710</v>
      </c>
      <c r="AB1138" s="73" t="s">
        <v>1710</v>
      </c>
      <c r="AC1138" s="73" t="s">
        <v>1710</v>
      </c>
      <c r="AD1138" s="73">
        <v>0.92</v>
      </c>
      <c r="AE1138" s="71">
        <v>1</v>
      </c>
      <c r="AF1138" s="71">
        <v>0.99450549450549497</v>
      </c>
      <c r="AG1138" s="71">
        <v>1</v>
      </c>
      <c r="AH1138" s="71">
        <v>0.93107581660173799</v>
      </c>
      <c r="AI1138" s="73">
        <v>0.92</v>
      </c>
      <c r="AJ1138" s="71">
        <v>0.92349726775956298</v>
      </c>
      <c r="AK1138" s="71">
        <v>0.95426195426195404</v>
      </c>
      <c r="AL1138" s="71">
        <v>0.94043741275011605</v>
      </c>
      <c r="AM1138" s="71">
        <v>0.94450378092023801</v>
      </c>
      <c r="AN1138" s="70">
        <v>0.99</v>
      </c>
      <c r="AO1138" s="75">
        <v>1</v>
      </c>
      <c r="AP1138" s="75">
        <v>1</v>
      </c>
      <c r="AQ1138" s="75">
        <v>1</v>
      </c>
      <c r="AR1138" s="75">
        <v>1</v>
      </c>
      <c r="AS1138" s="95">
        <v>7.2186152540827803E-2</v>
      </c>
      <c r="AT1138" s="79">
        <v>0.6</v>
      </c>
      <c r="AU1138" s="79">
        <v>0</v>
      </c>
      <c r="AV1138" s="79">
        <v>0</v>
      </c>
      <c r="AW1138" s="79">
        <v>0.125</v>
      </c>
      <c r="AX1138" s="56"/>
      <c r="AY1138" s="54"/>
    </row>
    <row r="1139" spans="1:51">
      <c r="A1139" s="53"/>
      <c r="B1139" s="56"/>
      <c r="C1139" s="90" t="s">
        <v>1079</v>
      </c>
      <c r="D1139" s="230" t="s">
        <v>1757</v>
      </c>
      <c r="E1139" s="68" t="s">
        <v>1080</v>
      </c>
      <c r="F1139" s="128" t="s">
        <v>1163</v>
      </c>
      <c r="G1139" s="128" t="s">
        <v>1163</v>
      </c>
      <c r="H1139" s="128" t="s">
        <v>1163</v>
      </c>
      <c r="I1139" s="128" t="s">
        <v>1163</v>
      </c>
      <c r="J1139" s="70">
        <v>0.9</v>
      </c>
      <c r="K1139" s="71">
        <v>0.77777777777777801</v>
      </c>
      <c r="L1139" s="71">
        <v>0.82352941176470595</v>
      </c>
      <c r="M1139" s="72">
        <v>0.94117647058823495</v>
      </c>
      <c r="N1139" s="71">
        <v>0.83902439024390196</v>
      </c>
      <c r="O1139" s="73">
        <v>0.9</v>
      </c>
      <c r="P1139" s="71">
        <v>0.96054888507718705</v>
      </c>
      <c r="Q1139" s="71">
        <v>0.95145056246299597</v>
      </c>
      <c r="R1139" s="71">
        <v>0.97727272727272696</v>
      </c>
      <c r="S1139" s="71">
        <v>0.96091687592556796</v>
      </c>
      <c r="T1139" s="73">
        <v>0.9</v>
      </c>
      <c r="U1139" s="71">
        <v>0.67838765008576296</v>
      </c>
      <c r="V1139" s="71">
        <v>0.62581409117821196</v>
      </c>
      <c r="W1139" s="71">
        <v>0.71946022727272696</v>
      </c>
      <c r="X1139" s="71">
        <v>0.69364496812826004</v>
      </c>
      <c r="Y1139" s="73">
        <v>0.92</v>
      </c>
      <c r="Z1139" s="73" t="s">
        <v>1710</v>
      </c>
      <c r="AA1139" s="73" t="s">
        <v>1710</v>
      </c>
      <c r="AB1139" s="73" t="s">
        <v>1710</v>
      </c>
      <c r="AC1139" s="73">
        <v>1</v>
      </c>
      <c r="AD1139" s="73">
        <v>0.92</v>
      </c>
      <c r="AE1139" s="71">
        <v>1</v>
      </c>
      <c r="AF1139" s="71">
        <v>1</v>
      </c>
      <c r="AG1139" s="71">
        <v>1</v>
      </c>
      <c r="AH1139" s="71">
        <v>1</v>
      </c>
      <c r="AI1139" s="73">
        <v>0.92</v>
      </c>
      <c r="AJ1139" s="71">
        <v>0.90051457975986304</v>
      </c>
      <c r="AK1139" s="71">
        <v>0.93132030787448195</v>
      </c>
      <c r="AL1139" s="71">
        <v>0.95454545454545503</v>
      </c>
      <c r="AM1139" s="71">
        <v>0.94443729075457095</v>
      </c>
      <c r="AN1139" s="70">
        <v>0.99</v>
      </c>
      <c r="AO1139" s="75" t="s">
        <v>1710</v>
      </c>
      <c r="AP1139" s="75" t="s">
        <v>1710</v>
      </c>
      <c r="AQ1139" s="75">
        <v>1</v>
      </c>
      <c r="AR1139" s="75">
        <v>1</v>
      </c>
      <c r="AS1139" s="95">
        <v>7.2186152540827803E-2</v>
      </c>
      <c r="AT1139" s="79">
        <v>0.2</v>
      </c>
      <c r="AU1139" s="79">
        <v>9.0909090909090898E-2</v>
      </c>
      <c r="AV1139" s="79">
        <v>0.125</v>
      </c>
      <c r="AW1139" s="79">
        <v>9.0909090909090898E-2</v>
      </c>
      <c r="AX1139" s="56"/>
      <c r="AY1139" s="54"/>
    </row>
    <row r="1140" spans="1:51">
      <c r="A1140" s="53"/>
      <c r="B1140" s="56"/>
      <c r="C1140" s="90" t="s">
        <v>1079</v>
      </c>
      <c r="D1140" s="230" t="s">
        <v>1757</v>
      </c>
      <c r="E1140" s="68" t="s">
        <v>1080</v>
      </c>
      <c r="F1140" s="128" t="s">
        <v>1164</v>
      </c>
      <c r="G1140" s="128" t="s">
        <v>1164</v>
      </c>
      <c r="H1140" s="128" t="s">
        <v>1164</v>
      </c>
      <c r="I1140" s="128" t="s">
        <v>1164</v>
      </c>
      <c r="J1140" s="70">
        <v>0.9</v>
      </c>
      <c r="K1140" s="71">
        <v>0.92857142857142905</v>
      </c>
      <c r="L1140" s="71">
        <v>0.93333333333333302</v>
      </c>
      <c r="M1140" s="72">
        <v>0.875</v>
      </c>
      <c r="N1140" s="71">
        <v>0.93296089385474901</v>
      </c>
      <c r="O1140" s="73">
        <v>0.9</v>
      </c>
      <c r="P1140" s="71">
        <v>0.98556304138594797</v>
      </c>
      <c r="Q1140" s="71">
        <v>0.95355587808417996</v>
      </c>
      <c r="R1140" s="71">
        <v>0.85961272475795303</v>
      </c>
      <c r="S1140" s="71">
        <v>0.96463640733365397</v>
      </c>
      <c r="T1140" s="73">
        <v>0.9</v>
      </c>
      <c r="U1140" s="71">
        <v>0.96342637151106802</v>
      </c>
      <c r="V1140" s="71">
        <v>0.92743105950653104</v>
      </c>
      <c r="W1140" s="71">
        <v>0.95988934993084396</v>
      </c>
      <c r="X1140" s="71">
        <v>0.95941770239648405</v>
      </c>
      <c r="Y1140" s="73">
        <v>0.92</v>
      </c>
      <c r="Z1140" s="73">
        <v>0.97191011235955105</v>
      </c>
      <c r="AA1140" s="73">
        <v>0.965853658536585</v>
      </c>
      <c r="AB1140" s="73">
        <v>0.95431472081218305</v>
      </c>
      <c r="AC1140" s="73">
        <v>0.96404631322364398</v>
      </c>
      <c r="AD1140" s="73">
        <v>0.92</v>
      </c>
      <c r="AE1140" s="71">
        <v>0.99811409712399801</v>
      </c>
      <c r="AF1140" s="71">
        <v>0.99918032786885203</v>
      </c>
      <c r="AG1140" s="71">
        <v>0.99849548645937802</v>
      </c>
      <c r="AH1140" s="71">
        <v>0.99809019488693096</v>
      </c>
      <c r="AI1140" s="73">
        <v>0.92</v>
      </c>
      <c r="AJ1140" s="71">
        <v>0.97780959198282003</v>
      </c>
      <c r="AK1140" s="71">
        <v>0.97599494630448502</v>
      </c>
      <c r="AL1140" s="71">
        <v>0.97626293365794303</v>
      </c>
      <c r="AM1140" s="71">
        <v>0.98066902000336198</v>
      </c>
      <c r="AN1140" s="70">
        <v>0.99</v>
      </c>
      <c r="AO1140" s="75">
        <v>1</v>
      </c>
      <c r="AP1140" s="75">
        <v>1</v>
      </c>
      <c r="AQ1140" s="75">
        <v>1</v>
      </c>
      <c r="AR1140" s="75">
        <v>1</v>
      </c>
      <c r="AS1140" s="95">
        <v>7.2186152540827803E-2</v>
      </c>
      <c r="AT1140" s="79">
        <v>0</v>
      </c>
      <c r="AU1140" s="79">
        <v>0</v>
      </c>
      <c r="AV1140" s="79">
        <v>0.5</v>
      </c>
      <c r="AW1140" s="79">
        <v>3.03030303030303E-2</v>
      </c>
      <c r="AX1140" s="56"/>
      <c r="AY1140" s="54"/>
    </row>
    <row r="1141" spans="1:51">
      <c r="A1141" s="53"/>
      <c r="B1141" s="56"/>
      <c r="C1141" s="90" t="s">
        <v>1079</v>
      </c>
      <c r="D1141" s="230" t="s">
        <v>1757</v>
      </c>
      <c r="E1141" s="68" t="s">
        <v>1080</v>
      </c>
      <c r="F1141" s="128" t="s">
        <v>1165</v>
      </c>
      <c r="G1141" s="128" t="s">
        <v>1165</v>
      </c>
      <c r="H1141" s="128" t="s">
        <v>1165</v>
      </c>
      <c r="I1141" s="128" t="s">
        <v>1165</v>
      </c>
      <c r="J1141" s="70">
        <v>0.9</v>
      </c>
      <c r="K1141" s="71">
        <v>0.95384615384615401</v>
      </c>
      <c r="L1141" s="71">
        <v>0.96969696969696995</v>
      </c>
      <c r="M1141" s="72">
        <v>0.967741935483871</v>
      </c>
      <c r="N1141" s="71">
        <v>0.96842105263157896</v>
      </c>
      <c r="O1141" s="73">
        <v>0.9</v>
      </c>
      <c r="P1141" s="71">
        <v>0.93194861984148702</v>
      </c>
      <c r="Q1141" s="71">
        <v>0.98499317871759895</v>
      </c>
      <c r="R1141" s="71">
        <v>0.96749342352499101</v>
      </c>
      <c r="S1141" s="71">
        <v>0.97135645508086399</v>
      </c>
      <c r="T1141" s="73">
        <v>0.9</v>
      </c>
      <c r="U1141" s="71">
        <v>0.93468160699644698</v>
      </c>
      <c r="V1141" s="71">
        <v>0.922237380627558</v>
      </c>
      <c r="W1141" s="71">
        <v>0.88500563697857904</v>
      </c>
      <c r="X1141" s="71">
        <v>0.93254183415910996</v>
      </c>
      <c r="Y1141" s="73">
        <v>0.92</v>
      </c>
      <c r="Z1141" s="73">
        <v>0.95460893854748596</v>
      </c>
      <c r="AA1141" s="73">
        <v>0.95783132530120496</v>
      </c>
      <c r="AB1141" s="73">
        <v>0.953322784810127</v>
      </c>
      <c r="AC1141" s="73">
        <v>0.95437552452887797</v>
      </c>
      <c r="AD1141" s="73">
        <v>0.92</v>
      </c>
      <c r="AE1141" s="71">
        <v>0.99938511990161905</v>
      </c>
      <c r="AF1141" s="71">
        <v>0.99792504214758104</v>
      </c>
      <c r="AG1141" s="71">
        <v>0.99454214675560904</v>
      </c>
      <c r="AH1141" s="71">
        <v>0.99787618137411105</v>
      </c>
      <c r="AI1141" s="73">
        <v>0.92</v>
      </c>
      <c r="AJ1141" s="71">
        <v>0.96563236449332301</v>
      </c>
      <c r="AK1141" s="71">
        <v>0.97428817946505597</v>
      </c>
      <c r="AL1141" s="71">
        <v>0.96963716411112799</v>
      </c>
      <c r="AM1141" s="71">
        <v>0.97408330580497904</v>
      </c>
      <c r="AN1141" s="70">
        <v>0.99</v>
      </c>
      <c r="AO1141" s="75">
        <v>1</v>
      </c>
      <c r="AP1141" s="75">
        <v>1</v>
      </c>
      <c r="AQ1141" s="75">
        <v>1</v>
      </c>
      <c r="AR1141" s="75">
        <v>1</v>
      </c>
      <c r="AS1141" s="95">
        <v>7.2186152540827803E-2</v>
      </c>
      <c r="AT1141" s="79">
        <v>0</v>
      </c>
      <c r="AU1141" s="79">
        <v>0</v>
      </c>
      <c r="AV1141" s="79">
        <v>0</v>
      </c>
      <c r="AW1141" s="79">
        <v>5.0251256281407001E-3</v>
      </c>
      <c r="AX1141" s="56"/>
      <c r="AY1141" s="54"/>
    </row>
    <row r="1142" spans="1:51">
      <c r="A1142" s="53"/>
      <c r="B1142" s="56"/>
      <c r="C1142" s="90" t="s">
        <v>1079</v>
      </c>
      <c r="D1142" s="230" t="s">
        <v>1757</v>
      </c>
      <c r="E1142" s="68" t="s">
        <v>1080</v>
      </c>
      <c r="F1142" s="128" t="s">
        <v>1166</v>
      </c>
      <c r="G1142" s="128" t="s">
        <v>1166</v>
      </c>
      <c r="H1142" s="128" t="s">
        <v>1166</v>
      </c>
      <c r="I1142" s="128" t="s">
        <v>1166</v>
      </c>
      <c r="J1142" s="70">
        <v>0.9</v>
      </c>
      <c r="K1142" s="71">
        <v>0.952380952380952</v>
      </c>
      <c r="L1142" s="71">
        <v>0.98529411764705899</v>
      </c>
      <c r="M1142" s="72">
        <v>0.984615384615385</v>
      </c>
      <c r="N1142" s="71">
        <v>0.95599999999999996</v>
      </c>
      <c r="O1142" s="73">
        <v>0.9</v>
      </c>
      <c r="P1142" s="71">
        <v>0.98791079812206595</v>
      </c>
      <c r="Q1142" s="71">
        <v>0.97664624808575795</v>
      </c>
      <c r="R1142" s="71">
        <v>0.965109402720284</v>
      </c>
      <c r="S1142" s="71">
        <v>0.96741126724469295</v>
      </c>
      <c r="T1142" s="73">
        <v>0.9</v>
      </c>
      <c r="U1142" s="71">
        <v>0.95105633802816902</v>
      </c>
      <c r="V1142" s="71">
        <v>0.94257274119448697</v>
      </c>
      <c r="W1142" s="71">
        <v>0.92134831460674205</v>
      </c>
      <c r="X1142" s="71">
        <v>0.93237375247369703</v>
      </c>
      <c r="Y1142" s="73">
        <v>0.92</v>
      </c>
      <c r="Z1142" s="73">
        <v>0</v>
      </c>
      <c r="AA1142" s="73">
        <v>0</v>
      </c>
      <c r="AB1142" s="73" t="s">
        <v>1710</v>
      </c>
      <c r="AC1142" s="73">
        <v>0.25</v>
      </c>
      <c r="AD1142" s="73">
        <v>0.92</v>
      </c>
      <c r="AE1142" s="71">
        <v>0.99641191245066396</v>
      </c>
      <c r="AF1142" s="71">
        <v>0.99846106494305897</v>
      </c>
      <c r="AG1142" s="71">
        <v>0.99235807860262004</v>
      </c>
      <c r="AH1142" s="71">
        <v>0.99531580075314596</v>
      </c>
      <c r="AI1142" s="73">
        <v>0.92</v>
      </c>
      <c r="AJ1142" s="71">
        <v>0.98486270828444</v>
      </c>
      <c r="AK1142" s="71">
        <v>0.98354381936471502</v>
      </c>
      <c r="AL1142" s="71">
        <v>0.97560615020697805</v>
      </c>
      <c r="AM1142" s="71">
        <v>0.98436854917927796</v>
      </c>
      <c r="AN1142" s="70">
        <v>0.99</v>
      </c>
      <c r="AO1142" s="75">
        <v>1</v>
      </c>
      <c r="AP1142" s="75">
        <v>1</v>
      </c>
      <c r="AQ1142" s="75">
        <v>1</v>
      </c>
      <c r="AR1142" s="75">
        <v>1</v>
      </c>
      <c r="AS1142" s="95">
        <v>7.2186152540827803E-2</v>
      </c>
      <c r="AT1142" s="79">
        <v>0</v>
      </c>
      <c r="AU1142" s="79">
        <v>0</v>
      </c>
      <c r="AV1142" s="79">
        <v>4.5454545454545497E-2</v>
      </c>
      <c r="AW1142" s="79">
        <v>4.6025104602510497E-2</v>
      </c>
      <c r="AX1142" s="56"/>
      <c r="AY1142" s="54"/>
    </row>
    <row r="1143" spans="1:51">
      <c r="A1143" s="53"/>
      <c r="B1143" s="56"/>
      <c r="C1143" s="90" t="s">
        <v>1079</v>
      </c>
      <c r="D1143" s="230" t="s">
        <v>1757</v>
      </c>
      <c r="E1143" s="68" t="s">
        <v>1080</v>
      </c>
      <c r="F1143" s="128" t="s">
        <v>1167</v>
      </c>
      <c r="G1143" s="128" t="s">
        <v>1167</v>
      </c>
      <c r="H1143" s="128" t="s">
        <v>1167</v>
      </c>
      <c r="I1143" s="128" t="s">
        <v>1167</v>
      </c>
      <c r="J1143" s="70">
        <v>0.9</v>
      </c>
      <c r="K1143" s="71">
        <v>0.94871794871794901</v>
      </c>
      <c r="L1143" s="71">
        <v>0.97826086956521696</v>
      </c>
      <c r="M1143" s="72">
        <v>0.97777777777777797</v>
      </c>
      <c r="N1143" s="71">
        <v>0.94455445544554495</v>
      </c>
      <c r="O1143" s="73">
        <v>0.9</v>
      </c>
      <c r="P1143" s="71">
        <v>0.97900629811056705</v>
      </c>
      <c r="Q1143" s="71">
        <v>0.98685208596713003</v>
      </c>
      <c r="R1143" s="71">
        <v>0.97874880611270298</v>
      </c>
      <c r="S1143" s="71">
        <v>0.98334528463371196</v>
      </c>
      <c r="T1143" s="73">
        <v>0.9</v>
      </c>
      <c r="U1143" s="71">
        <v>0.96291112666200096</v>
      </c>
      <c r="V1143" s="71">
        <v>0.96434892541087203</v>
      </c>
      <c r="W1143" s="71">
        <v>0.93266475644699098</v>
      </c>
      <c r="X1143" s="71">
        <v>0.95690592398972996</v>
      </c>
      <c r="Y1143" s="73">
        <v>0.92</v>
      </c>
      <c r="Z1143" s="73">
        <v>0.97765957446808505</v>
      </c>
      <c r="AA1143" s="73">
        <v>0.97674418604651203</v>
      </c>
      <c r="AB1143" s="73">
        <v>0.96951219512195097</v>
      </c>
      <c r="AC1143" s="73">
        <v>0.97186296771645797</v>
      </c>
      <c r="AD1143" s="73">
        <v>0.92</v>
      </c>
      <c r="AE1143" s="71">
        <v>0.99721585325908901</v>
      </c>
      <c r="AF1143" s="71">
        <v>0.99795987759265603</v>
      </c>
      <c r="AG1143" s="71">
        <v>0.99969296898986804</v>
      </c>
      <c r="AH1143" s="71">
        <v>0.99855094676122702</v>
      </c>
      <c r="AI1143" s="73">
        <v>0.92</v>
      </c>
      <c r="AJ1143" s="71">
        <v>0.98394736842105301</v>
      </c>
      <c r="AK1143" s="71">
        <v>0.98769850145381299</v>
      </c>
      <c r="AL1143" s="71">
        <v>0.97843450479233196</v>
      </c>
      <c r="AM1143" s="71">
        <v>0.98410854165885797</v>
      </c>
      <c r="AN1143" s="70">
        <v>0.99</v>
      </c>
      <c r="AO1143" s="75">
        <v>1</v>
      </c>
      <c r="AP1143" s="75">
        <v>1</v>
      </c>
      <c r="AQ1143" s="75">
        <v>1</v>
      </c>
      <c r="AR1143" s="75">
        <v>1</v>
      </c>
      <c r="AS1143" s="95">
        <v>7.2186152540827803E-2</v>
      </c>
      <c r="AT1143" s="79">
        <v>0</v>
      </c>
      <c r="AU1143" s="79">
        <v>0</v>
      </c>
      <c r="AV1143" s="79">
        <v>0.11111111111111099</v>
      </c>
      <c r="AW1143" s="79">
        <v>9.0497737556561094E-3</v>
      </c>
      <c r="AX1143" s="56"/>
      <c r="AY1143" s="54"/>
    </row>
    <row r="1144" spans="1:51">
      <c r="A1144" s="53"/>
      <c r="B1144" s="56"/>
      <c r="C1144" s="90" t="s">
        <v>1079</v>
      </c>
      <c r="D1144" s="230" t="s">
        <v>1757</v>
      </c>
      <c r="E1144" s="68" t="s">
        <v>1080</v>
      </c>
      <c r="F1144" s="128" t="s">
        <v>1168</v>
      </c>
      <c r="G1144" s="128" t="s">
        <v>1168</v>
      </c>
      <c r="H1144" s="128" t="s">
        <v>1168</v>
      </c>
      <c r="I1144" s="128" t="s">
        <v>1168</v>
      </c>
      <c r="J1144" s="70">
        <v>0.9</v>
      </c>
      <c r="K1144" s="71">
        <v>0.952380952380952</v>
      </c>
      <c r="L1144" s="71">
        <v>0.85</v>
      </c>
      <c r="M1144" s="72">
        <v>0.84210526315789502</v>
      </c>
      <c r="N1144" s="71">
        <v>0.89867841409691596</v>
      </c>
      <c r="O1144" s="73">
        <v>0.9</v>
      </c>
      <c r="P1144" s="71">
        <v>0.96974789915966397</v>
      </c>
      <c r="Q1144" s="71">
        <v>0.95135135135135096</v>
      </c>
      <c r="R1144" s="71">
        <v>0.97341628959276005</v>
      </c>
      <c r="S1144" s="71">
        <v>0.94410580793559495</v>
      </c>
      <c r="T1144" s="73">
        <v>0.9</v>
      </c>
      <c r="U1144" s="71">
        <v>0.91428571428571404</v>
      </c>
      <c r="V1144" s="71">
        <v>0.89729729729729701</v>
      </c>
      <c r="W1144" s="71">
        <v>0.89423076923076905</v>
      </c>
      <c r="X1144" s="71">
        <v>0.89608970672800503</v>
      </c>
      <c r="Y1144" s="73">
        <v>0.92</v>
      </c>
      <c r="Z1144" s="73">
        <v>0.94933920704845798</v>
      </c>
      <c r="AA1144" s="73">
        <v>0.96704613541042495</v>
      </c>
      <c r="AB1144" s="73">
        <v>0.95098039215686303</v>
      </c>
      <c r="AC1144" s="73">
        <v>0.94928901833133505</v>
      </c>
      <c r="AD1144" s="73">
        <v>0.92</v>
      </c>
      <c r="AE1144" s="71">
        <v>0.99829766536965003</v>
      </c>
      <c r="AF1144" s="71">
        <v>0.998804542737597</v>
      </c>
      <c r="AG1144" s="71">
        <v>0.99902597402597404</v>
      </c>
      <c r="AH1144" s="71">
        <v>0.99835948219292503</v>
      </c>
      <c r="AI1144" s="73">
        <v>0.92</v>
      </c>
      <c r="AJ1144" s="71">
        <v>0.96228710462287104</v>
      </c>
      <c r="AK1144" s="71">
        <v>0.96763119176066703</v>
      </c>
      <c r="AL1144" s="71">
        <v>0.96507352941176505</v>
      </c>
      <c r="AM1144" s="71">
        <v>0.968658515584639</v>
      </c>
      <c r="AN1144" s="70">
        <v>0.99</v>
      </c>
      <c r="AO1144" s="75">
        <v>1</v>
      </c>
      <c r="AP1144" s="75">
        <v>1</v>
      </c>
      <c r="AQ1144" s="75">
        <v>1</v>
      </c>
      <c r="AR1144" s="75">
        <v>1</v>
      </c>
      <c r="AS1144" s="95">
        <v>7.2186152540827803E-2</v>
      </c>
      <c r="AT1144" s="79">
        <v>0</v>
      </c>
      <c r="AU1144" s="79">
        <v>0</v>
      </c>
      <c r="AV1144" s="79">
        <v>0.1</v>
      </c>
      <c r="AW1144" s="79">
        <v>4.2553191489361701E-2</v>
      </c>
      <c r="AX1144" s="56"/>
      <c r="AY1144" s="54"/>
    </row>
    <row r="1145" spans="1:51">
      <c r="A1145" s="53"/>
      <c r="B1145" s="56"/>
      <c r="C1145" s="90" t="s">
        <v>1079</v>
      </c>
      <c r="D1145" s="230" t="s">
        <v>1757</v>
      </c>
      <c r="E1145" s="68" t="s">
        <v>1080</v>
      </c>
      <c r="F1145" s="128" t="s">
        <v>1169</v>
      </c>
      <c r="G1145" s="128" t="s">
        <v>1169</v>
      </c>
      <c r="H1145" s="128" t="s">
        <v>1169</v>
      </c>
      <c r="I1145" s="128" t="s">
        <v>1169</v>
      </c>
      <c r="J1145" s="70">
        <v>0.9</v>
      </c>
      <c r="K1145" s="71">
        <v>0.96428571428571397</v>
      </c>
      <c r="L1145" s="71">
        <v>0.96551724137931005</v>
      </c>
      <c r="M1145" s="72">
        <v>0.96666666666666701</v>
      </c>
      <c r="N1145" s="71">
        <v>0.97839506172839497</v>
      </c>
      <c r="O1145" s="73">
        <v>0.9</v>
      </c>
      <c r="P1145" s="71">
        <v>0.98449167145318806</v>
      </c>
      <c r="Q1145" s="71">
        <v>0.987313094698686</v>
      </c>
      <c r="R1145" s="71">
        <v>0.97960050998725001</v>
      </c>
      <c r="S1145" s="71">
        <v>0.98675863243496398</v>
      </c>
      <c r="T1145" s="73">
        <v>0.9</v>
      </c>
      <c r="U1145" s="71">
        <v>0.93337162550258501</v>
      </c>
      <c r="V1145" s="71">
        <v>0.923878568192116</v>
      </c>
      <c r="W1145" s="71">
        <v>0.96005099872503197</v>
      </c>
      <c r="X1145" s="71">
        <v>0.93775279942095602</v>
      </c>
      <c r="Y1145" s="73">
        <v>0.92</v>
      </c>
      <c r="Z1145" s="73">
        <v>0.97491039426523296</v>
      </c>
      <c r="AA1145" s="73">
        <v>0.95907928388746799</v>
      </c>
      <c r="AB1145" s="73">
        <v>0.96599999999999997</v>
      </c>
      <c r="AC1145" s="73">
        <v>0.97216423103688199</v>
      </c>
      <c r="AD1145" s="73">
        <v>0.92</v>
      </c>
      <c r="AE1145" s="71">
        <v>1</v>
      </c>
      <c r="AF1145" s="71">
        <v>1</v>
      </c>
      <c r="AG1145" s="71">
        <v>1</v>
      </c>
      <c r="AH1145" s="71">
        <v>0.99878256635013396</v>
      </c>
      <c r="AI1145" s="73">
        <v>0.92</v>
      </c>
      <c r="AJ1145" s="71">
        <v>0.98347107438016501</v>
      </c>
      <c r="AK1145" s="71">
        <v>0.97959969207082398</v>
      </c>
      <c r="AL1145" s="71">
        <v>0.98492814581142696</v>
      </c>
      <c r="AM1145" s="71">
        <v>0.98375235163331598</v>
      </c>
      <c r="AN1145" s="70">
        <v>0.99</v>
      </c>
      <c r="AO1145" s="75">
        <v>1</v>
      </c>
      <c r="AP1145" s="75">
        <v>1</v>
      </c>
      <c r="AQ1145" s="75">
        <v>1</v>
      </c>
      <c r="AR1145" s="75">
        <v>1</v>
      </c>
      <c r="AS1145" s="95">
        <v>7.2186152540827803E-2</v>
      </c>
      <c r="AT1145" s="79">
        <v>0</v>
      </c>
      <c r="AU1145" s="79">
        <v>0</v>
      </c>
      <c r="AV1145" s="79">
        <v>8.3333333333333301E-2</v>
      </c>
      <c r="AW1145" s="79">
        <v>4.9382716049382699E-2</v>
      </c>
      <c r="AX1145" s="56"/>
      <c r="AY1145" s="54"/>
    </row>
    <row r="1146" spans="1:51">
      <c r="A1146" s="53"/>
      <c r="B1146" s="56"/>
      <c r="C1146" s="90" t="s">
        <v>1079</v>
      </c>
      <c r="D1146" s="230" t="s">
        <v>1757</v>
      </c>
      <c r="E1146" s="68" t="s">
        <v>1080</v>
      </c>
      <c r="F1146" s="128" t="s">
        <v>1170</v>
      </c>
      <c r="G1146" s="128" t="s">
        <v>1170</v>
      </c>
      <c r="H1146" s="128" t="s">
        <v>1170</v>
      </c>
      <c r="I1146" s="128" t="s">
        <v>1170</v>
      </c>
      <c r="J1146" s="70">
        <v>0.9</v>
      </c>
      <c r="K1146" s="71">
        <v>0.86666666666666703</v>
      </c>
      <c r="L1146" s="71">
        <v>0.85</v>
      </c>
      <c r="M1146" s="72">
        <v>0.84375</v>
      </c>
      <c r="N1146" s="71">
        <v>0.87039764359352001</v>
      </c>
      <c r="O1146" s="73">
        <v>0.9</v>
      </c>
      <c r="P1146" s="71">
        <v>0.96494370522006101</v>
      </c>
      <c r="Q1146" s="71">
        <v>0.90902654867256605</v>
      </c>
      <c r="R1146" s="71">
        <v>0.85200920516905598</v>
      </c>
      <c r="S1146" s="71">
        <v>0.89921842863019297</v>
      </c>
      <c r="T1146" s="73">
        <v>0.9</v>
      </c>
      <c r="U1146" s="71">
        <v>0.92502558853633599</v>
      </c>
      <c r="V1146" s="71">
        <v>0.90619469026548705</v>
      </c>
      <c r="W1146" s="71">
        <v>0.89077712869534398</v>
      </c>
      <c r="X1146" s="71">
        <v>0.89234060057589504</v>
      </c>
      <c r="Y1146" s="73">
        <v>0.92</v>
      </c>
      <c r="Z1146" s="73">
        <v>0.93084370677731698</v>
      </c>
      <c r="AA1146" s="73">
        <v>0.91803278688524603</v>
      </c>
      <c r="AB1146" s="73">
        <v>0.88541666666666696</v>
      </c>
      <c r="AC1146" s="73">
        <v>0.92071328568270605</v>
      </c>
      <c r="AD1146" s="73">
        <v>0.92</v>
      </c>
      <c r="AE1146" s="71">
        <v>0.99755501222493903</v>
      </c>
      <c r="AF1146" s="71">
        <v>0.99722991689750695</v>
      </c>
      <c r="AG1146" s="71">
        <v>0.99764150943396201</v>
      </c>
      <c r="AH1146" s="71">
        <v>0.99812586308936702</v>
      </c>
      <c r="AI1146" s="73">
        <v>0.92</v>
      </c>
      <c r="AJ1146" s="71">
        <v>0.95294117647058796</v>
      </c>
      <c r="AK1146" s="71">
        <v>0.96057737079000505</v>
      </c>
      <c r="AL1146" s="71">
        <v>0.93266686268744503</v>
      </c>
      <c r="AM1146" s="71">
        <v>0.95435042838504902</v>
      </c>
      <c r="AN1146" s="70">
        <v>0.99</v>
      </c>
      <c r="AO1146" s="75">
        <v>1</v>
      </c>
      <c r="AP1146" s="75">
        <v>1</v>
      </c>
      <c r="AQ1146" s="75">
        <v>1</v>
      </c>
      <c r="AR1146" s="75">
        <v>1</v>
      </c>
      <c r="AS1146" s="95">
        <v>7.2186152540827803E-2</v>
      </c>
      <c r="AT1146" s="79">
        <v>7.1428571428571397E-2</v>
      </c>
      <c r="AU1146" s="79">
        <v>8.1081081081081099E-2</v>
      </c>
      <c r="AV1146" s="79">
        <v>0</v>
      </c>
      <c r="AW1146" s="79">
        <v>1.01522842639594E-2</v>
      </c>
      <c r="AX1146" s="56"/>
      <c r="AY1146" s="54"/>
    </row>
    <row r="1147" spans="1:51">
      <c r="A1147" s="53"/>
      <c r="B1147" s="56"/>
      <c r="C1147" s="90" t="s">
        <v>1079</v>
      </c>
      <c r="D1147" s="230" t="s">
        <v>1757</v>
      </c>
      <c r="E1147" s="68" t="s">
        <v>1080</v>
      </c>
      <c r="F1147" s="128" t="s">
        <v>1171</v>
      </c>
      <c r="G1147" s="128" t="s">
        <v>1171</v>
      </c>
      <c r="H1147" s="128" t="s">
        <v>1171</v>
      </c>
      <c r="I1147" s="128" t="s">
        <v>1171</v>
      </c>
      <c r="J1147" s="70">
        <v>0.9</v>
      </c>
      <c r="K1147" s="71">
        <v>0.98214285714285698</v>
      </c>
      <c r="L1147" s="71">
        <v>0.98245614035087703</v>
      </c>
      <c r="M1147" s="72">
        <v>0.98148148148148195</v>
      </c>
      <c r="N1147" s="71">
        <v>0.97305863708399398</v>
      </c>
      <c r="O1147" s="73">
        <v>0.9</v>
      </c>
      <c r="P1147" s="71">
        <v>0.98677685950413196</v>
      </c>
      <c r="Q1147" s="71">
        <v>0.98581874584533602</v>
      </c>
      <c r="R1147" s="71">
        <v>0.98562367864693401</v>
      </c>
      <c r="S1147" s="71">
        <v>0.986731001206273</v>
      </c>
      <c r="T1147" s="73">
        <v>0.9</v>
      </c>
      <c r="U1147" s="71">
        <v>0.95173553719008297</v>
      </c>
      <c r="V1147" s="71">
        <v>0.95324617770884101</v>
      </c>
      <c r="W1147" s="71">
        <v>0.94376321353065495</v>
      </c>
      <c r="X1147" s="71">
        <v>0.95007724377288205</v>
      </c>
      <c r="Y1147" s="73">
        <v>0.92</v>
      </c>
      <c r="Z1147" s="73">
        <v>0.97828139754485399</v>
      </c>
      <c r="AA1147" s="73">
        <v>0.985739750445633</v>
      </c>
      <c r="AB1147" s="73">
        <v>0.97616468039003201</v>
      </c>
      <c r="AC1147" s="73">
        <v>0.98087686567164201</v>
      </c>
      <c r="AD1147" s="73">
        <v>0.92</v>
      </c>
      <c r="AE1147" s="71">
        <v>0.99882047652748296</v>
      </c>
      <c r="AF1147" s="71">
        <v>0.99786381842456595</v>
      </c>
      <c r="AG1147" s="71">
        <v>0.99855002416626404</v>
      </c>
      <c r="AH1147" s="71">
        <v>0.99458089327856003</v>
      </c>
      <c r="AI1147" s="73">
        <v>0.92</v>
      </c>
      <c r="AJ1147" s="71">
        <v>0.98677766895200802</v>
      </c>
      <c r="AK1147" s="71">
        <v>0.99211667323610597</v>
      </c>
      <c r="AL1147" s="71">
        <v>0.98567132496019805</v>
      </c>
      <c r="AM1147" s="71">
        <v>0.99001293661060796</v>
      </c>
      <c r="AN1147" s="70">
        <v>0.99</v>
      </c>
      <c r="AO1147" s="75">
        <v>1</v>
      </c>
      <c r="AP1147" s="75">
        <v>1</v>
      </c>
      <c r="AQ1147" s="75">
        <v>1</v>
      </c>
      <c r="AR1147" s="75">
        <v>1</v>
      </c>
      <c r="AS1147" s="95">
        <v>7.2186152540827803E-2</v>
      </c>
      <c r="AT1147" s="79">
        <v>0</v>
      </c>
      <c r="AU1147" s="79">
        <v>8.6956521739130405E-2</v>
      </c>
      <c r="AV1147" s="79">
        <v>0</v>
      </c>
      <c r="AW1147" s="79">
        <v>3.4351145038167899E-2</v>
      </c>
      <c r="AX1147" s="56"/>
      <c r="AY1147" s="54"/>
    </row>
    <row r="1148" spans="1:51">
      <c r="A1148" s="53"/>
      <c r="B1148" s="56"/>
      <c r="C1148" s="90" t="s">
        <v>1079</v>
      </c>
      <c r="D1148" s="230" t="s">
        <v>1757</v>
      </c>
      <c r="E1148" s="68" t="s">
        <v>1080</v>
      </c>
      <c r="F1148" s="128" t="s">
        <v>1172</v>
      </c>
      <c r="G1148" s="128" t="s">
        <v>1172</v>
      </c>
      <c r="H1148" s="128" t="s">
        <v>1172</v>
      </c>
      <c r="I1148" s="128" t="s">
        <v>1172</v>
      </c>
      <c r="J1148" s="70">
        <v>0.9</v>
      </c>
      <c r="K1148" s="71">
        <v>0.98148148148148195</v>
      </c>
      <c r="L1148" s="71">
        <v>0.91379310344827602</v>
      </c>
      <c r="M1148" s="72">
        <v>0.94642857142857095</v>
      </c>
      <c r="N1148" s="71">
        <v>0.87944358578052595</v>
      </c>
      <c r="O1148" s="73">
        <v>0.9</v>
      </c>
      <c r="P1148" s="71">
        <v>0.94639912039582197</v>
      </c>
      <c r="Q1148" s="71">
        <v>0.92465079677355899</v>
      </c>
      <c r="R1148" s="71">
        <v>0.93513720974860903</v>
      </c>
      <c r="S1148" s="71">
        <v>0.93590394047015002</v>
      </c>
      <c r="T1148" s="73">
        <v>0.9</v>
      </c>
      <c r="U1148" s="71">
        <v>0.90709180868609096</v>
      </c>
      <c r="V1148" s="71">
        <v>0.88136927011607302</v>
      </c>
      <c r="W1148" s="71">
        <v>0.89848397620418297</v>
      </c>
      <c r="X1148" s="71">
        <v>0.89706296860025903</v>
      </c>
      <c r="Y1148" s="73">
        <v>0.92</v>
      </c>
      <c r="Z1148" s="73">
        <v>0.960233918128655</v>
      </c>
      <c r="AA1148" s="73">
        <v>0.97863247863247904</v>
      </c>
      <c r="AB1148" s="73">
        <v>0.96652719665272002</v>
      </c>
      <c r="AC1148" s="73">
        <v>0.96787696787696798</v>
      </c>
      <c r="AD1148" s="73">
        <v>0.92</v>
      </c>
      <c r="AE1148" s="71">
        <v>0.99612277867528298</v>
      </c>
      <c r="AF1148" s="71">
        <v>0.996820349761526</v>
      </c>
      <c r="AG1148" s="71">
        <v>0.995906113537118</v>
      </c>
      <c r="AH1148" s="71">
        <v>0.99624108053007099</v>
      </c>
      <c r="AI1148" s="73">
        <v>0.92</v>
      </c>
      <c r="AJ1148" s="71">
        <v>0.974404629423548</v>
      </c>
      <c r="AK1148" s="71">
        <v>0.98530682800345704</v>
      </c>
      <c r="AL1148" s="71">
        <v>0.98346035349440597</v>
      </c>
      <c r="AM1148" s="71">
        <v>0.98308621978569599</v>
      </c>
      <c r="AN1148" s="70">
        <v>0.99</v>
      </c>
      <c r="AO1148" s="75">
        <v>1</v>
      </c>
      <c r="AP1148" s="75">
        <v>1</v>
      </c>
      <c r="AQ1148" s="75">
        <v>1</v>
      </c>
      <c r="AR1148" s="75">
        <v>1</v>
      </c>
      <c r="AS1148" s="95">
        <v>7.2186152540827803E-2</v>
      </c>
      <c r="AT1148" s="79">
        <v>0.18181818181818199</v>
      </c>
      <c r="AU1148" s="79">
        <v>0</v>
      </c>
      <c r="AV1148" s="79">
        <v>0</v>
      </c>
      <c r="AW1148" s="79">
        <v>4.0723981900452497E-2</v>
      </c>
      <c r="AX1148" s="56"/>
      <c r="AY1148" s="54"/>
    </row>
    <row r="1149" spans="1:51">
      <c r="A1149" s="53"/>
      <c r="B1149" s="56"/>
      <c r="C1149" s="90" t="s">
        <v>1079</v>
      </c>
      <c r="D1149" s="230" t="s">
        <v>1757</v>
      </c>
      <c r="E1149" s="68" t="s">
        <v>1080</v>
      </c>
      <c r="F1149" s="128" t="s">
        <v>1173</v>
      </c>
      <c r="G1149" s="128" t="s">
        <v>1173</v>
      </c>
      <c r="H1149" s="128" t="s">
        <v>1173</v>
      </c>
      <c r="I1149" s="128" t="s">
        <v>1173</v>
      </c>
      <c r="J1149" s="70">
        <v>0.9</v>
      </c>
      <c r="K1149" s="71">
        <v>1</v>
      </c>
      <c r="L1149" s="71">
        <v>1</v>
      </c>
      <c r="M1149" s="72">
        <v>1</v>
      </c>
      <c r="N1149" s="71">
        <v>0.97887323943661997</v>
      </c>
      <c r="O1149" s="73">
        <v>0.9</v>
      </c>
      <c r="P1149" s="71">
        <v>0.98977433004231297</v>
      </c>
      <c r="Q1149" s="71">
        <v>0.99295609297957299</v>
      </c>
      <c r="R1149" s="71">
        <v>0.99035067074605798</v>
      </c>
      <c r="S1149" s="71">
        <v>0.99128717472118999</v>
      </c>
      <c r="T1149" s="73">
        <v>0.9</v>
      </c>
      <c r="U1149" s="71">
        <v>0.95944992947813801</v>
      </c>
      <c r="V1149" s="71">
        <v>0.931439305001174</v>
      </c>
      <c r="W1149" s="71">
        <v>0.94492821840432994</v>
      </c>
      <c r="X1149" s="71">
        <v>0.95281133828996301</v>
      </c>
      <c r="Y1149" s="73">
        <v>0.92</v>
      </c>
      <c r="Z1149" s="73">
        <v>0.98548972188633599</v>
      </c>
      <c r="AA1149" s="73">
        <v>0.97868561278863198</v>
      </c>
      <c r="AB1149" s="73">
        <v>0.97511312217194601</v>
      </c>
      <c r="AC1149" s="73">
        <v>0.98541666666666705</v>
      </c>
      <c r="AD1149" s="73">
        <v>0.92</v>
      </c>
      <c r="AE1149" s="71">
        <v>0.99873257287705997</v>
      </c>
      <c r="AF1149" s="71">
        <v>1</v>
      </c>
      <c r="AG1149" s="71">
        <v>0.99610136452241704</v>
      </c>
      <c r="AH1149" s="71">
        <v>0.99909197042417996</v>
      </c>
      <c r="AI1149" s="73">
        <v>0.92</v>
      </c>
      <c r="AJ1149" s="71">
        <v>0.98880698880698903</v>
      </c>
      <c r="AK1149" s="71">
        <v>0.99274160099543796</v>
      </c>
      <c r="AL1149" s="71">
        <v>0.98850574712643702</v>
      </c>
      <c r="AM1149" s="71">
        <v>0.99281928534792296</v>
      </c>
      <c r="AN1149" s="70">
        <v>0.99</v>
      </c>
      <c r="AO1149" s="75">
        <v>1</v>
      </c>
      <c r="AP1149" s="75">
        <v>1</v>
      </c>
      <c r="AQ1149" s="75">
        <v>1</v>
      </c>
      <c r="AR1149" s="75">
        <v>1</v>
      </c>
      <c r="AS1149" s="95">
        <v>7.2186152540827803E-2</v>
      </c>
      <c r="AT1149" s="79">
        <v>0</v>
      </c>
      <c r="AU1149" s="79">
        <v>0</v>
      </c>
      <c r="AV1149" s="79">
        <v>0.125</v>
      </c>
      <c r="AW1149" s="79">
        <v>2.5974025974026E-2</v>
      </c>
      <c r="AX1149" s="56"/>
      <c r="AY1149" s="54"/>
    </row>
    <row r="1150" spans="1:51">
      <c r="A1150" s="53"/>
      <c r="B1150" s="56"/>
      <c r="C1150" s="90" t="s">
        <v>1079</v>
      </c>
      <c r="D1150" s="230" t="s">
        <v>1757</v>
      </c>
      <c r="E1150" s="68" t="s">
        <v>1080</v>
      </c>
      <c r="F1150" s="128" t="s">
        <v>1174</v>
      </c>
      <c r="G1150" s="128" t="s">
        <v>1174</v>
      </c>
      <c r="H1150" s="128" t="s">
        <v>1174</v>
      </c>
      <c r="I1150" s="128" t="s">
        <v>1174</v>
      </c>
      <c r="J1150" s="70">
        <v>0.9</v>
      </c>
      <c r="K1150" s="71">
        <v>0.95652173913043503</v>
      </c>
      <c r="L1150" s="71">
        <v>0.92</v>
      </c>
      <c r="M1150" s="72">
        <v>0.92307692307692302</v>
      </c>
      <c r="N1150" s="71">
        <v>0.94285714285714295</v>
      </c>
      <c r="O1150" s="73">
        <v>0.9</v>
      </c>
      <c r="P1150" s="71">
        <v>0.97989623865110198</v>
      </c>
      <c r="Q1150" s="71">
        <v>0.93630289532293998</v>
      </c>
      <c r="R1150" s="71">
        <v>0.98212801330008304</v>
      </c>
      <c r="S1150" s="71">
        <v>0.97656506063585702</v>
      </c>
      <c r="T1150" s="73">
        <v>0.9</v>
      </c>
      <c r="U1150" s="71">
        <v>0.96627756160830103</v>
      </c>
      <c r="V1150" s="71">
        <v>0.96124721603563501</v>
      </c>
      <c r="W1150" s="71">
        <v>0.93973399833749005</v>
      </c>
      <c r="X1150" s="71">
        <v>0.95231071779744303</v>
      </c>
      <c r="Y1150" s="73">
        <v>0.92</v>
      </c>
      <c r="Z1150" s="73">
        <v>0.96754250386398799</v>
      </c>
      <c r="AA1150" s="73">
        <v>0.963380281690141</v>
      </c>
      <c r="AB1150" s="73">
        <v>0.96747967479674801</v>
      </c>
      <c r="AC1150" s="73">
        <v>0.96749824314827804</v>
      </c>
      <c r="AD1150" s="73">
        <v>0.92</v>
      </c>
      <c r="AE1150" s="71">
        <v>0.99807568954458004</v>
      </c>
      <c r="AF1150" s="71">
        <v>0.99827734711455596</v>
      </c>
      <c r="AG1150" s="71">
        <v>1</v>
      </c>
      <c r="AH1150" s="71">
        <v>0.99656824656824705</v>
      </c>
      <c r="AI1150" s="73">
        <v>0.92</v>
      </c>
      <c r="AJ1150" s="71">
        <v>0.98035632708999498</v>
      </c>
      <c r="AK1150" s="71">
        <v>0.98076923076923095</v>
      </c>
      <c r="AL1150" s="71">
        <v>0.98757763975155299</v>
      </c>
      <c r="AM1150" s="71">
        <v>0.984784558652536</v>
      </c>
      <c r="AN1150" s="70">
        <v>0.99</v>
      </c>
      <c r="AO1150" s="75">
        <v>1</v>
      </c>
      <c r="AP1150" s="75">
        <v>1</v>
      </c>
      <c r="AQ1150" s="75">
        <v>1</v>
      </c>
      <c r="AR1150" s="75">
        <v>1</v>
      </c>
      <c r="AS1150" s="95">
        <v>7.2186152540827803E-2</v>
      </c>
      <c r="AT1150" s="79">
        <v>0</v>
      </c>
      <c r="AU1150" s="79">
        <v>0</v>
      </c>
      <c r="AV1150" s="79">
        <v>0.16666666666666699</v>
      </c>
      <c r="AW1150" s="79">
        <v>2.1276595744680899E-2</v>
      </c>
      <c r="AX1150" s="56"/>
      <c r="AY1150" s="54"/>
    </row>
    <row r="1151" spans="1:51">
      <c r="A1151" s="53"/>
      <c r="B1151" s="56"/>
      <c r="C1151" s="90" t="s">
        <v>1079</v>
      </c>
      <c r="D1151" s="230" t="s">
        <v>1757</v>
      </c>
      <c r="E1151" s="68" t="s">
        <v>1080</v>
      </c>
      <c r="F1151" s="128" t="s">
        <v>1175</v>
      </c>
      <c r="G1151" s="128" t="s">
        <v>1175</v>
      </c>
      <c r="H1151" s="128" t="s">
        <v>1175</v>
      </c>
      <c r="I1151" s="128" t="s">
        <v>1175</v>
      </c>
      <c r="J1151" s="70">
        <v>0.9</v>
      </c>
      <c r="K1151" s="71">
        <v>0.98684210526315796</v>
      </c>
      <c r="L1151" s="71">
        <v>1</v>
      </c>
      <c r="M1151" s="72">
        <v>0.98701298701298701</v>
      </c>
      <c r="N1151" s="71">
        <v>0.98637911464245198</v>
      </c>
      <c r="O1151" s="73">
        <v>0.9</v>
      </c>
      <c r="P1151" s="71">
        <v>0.96523605150214598</v>
      </c>
      <c r="Q1151" s="71">
        <v>0.96340005975500498</v>
      </c>
      <c r="R1151" s="71">
        <v>0.93144137415982098</v>
      </c>
      <c r="S1151" s="71">
        <v>0.95785610701707702</v>
      </c>
      <c r="T1151" s="73">
        <v>0.9</v>
      </c>
      <c r="U1151" s="71">
        <v>0.92789699570815498</v>
      </c>
      <c r="V1151" s="71">
        <v>0.91948013146101004</v>
      </c>
      <c r="W1151" s="71">
        <v>0.89260642270350998</v>
      </c>
      <c r="X1151" s="71">
        <v>0.92373257569031297</v>
      </c>
      <c r="Y1151" s="73">
        <v>0.92</v>
      </c>
      <c r="Z1151" s="73">
        <v>0.951814396192742</v>
      </c>
      <c r="AA1151" s="73">
        <v>0.94705294705294696</v>
      </c>
      <c r="AB1151" s="73">
        <v>0.93745232646834498</v>
      </c>
      <c r="AC1151" s="73">
        <v>0.95668028921722703</v>
      </c>
      <c r="AD1151" s="73">
        <v>0.92</v>
      </c>
      <c r="AE1151" s="71">
        <v>0.99900099900099903</v>
      </c>
      <c r="AF1151" s="71">
        <v>0.99006622516556297</v>
      </c>
      <c r="AG1151" s="71">
        <v>0.99673913043478302</v>
      </c>
      <c r="AH1151" s="71">
        <v>0.99479381443298998</v>
      </c>
      <c r="AI1151" s="73">
        <v>0.92</v>
      </c>
      <c r="AJ1151" s="71">
        <v>0.96703989906954702</v>
      </c>
      <c r="AK1151" s="71">
        <v>0.97115384615384603</v>
      </c>
      <c r="AL1151" s="71">
        <v>0.95191106669997505</v>
      </c>
      <c r="AM1151" s="71">
        <v>0.97236662434420096</v>
      </c>
      <c r="AN1151" s="70">
        <v>0.99</v>
      </c>
      <c r="AO1151" s="75">
        <v>1</v>
      </c>
      <c r="AP1151" s="75">
        <v>1</v>
      </c>
      <c r="AQ1151" s="75">
        <v>1</v>
      </c>
      <c r="AR1151" s="75">
        <v>1</v>
      </c>
      <c r="AS1151" s="95">
        <v>7.2186152540827803E-2</v>
      </c>
      <c r="AT1151" s="79">
        <v>0.16666666666666699</v>
      </c>
      <c r="AU1151" s="79">
        <v>0</v>
      </c>
      <c r="AV1151" s="79">
        <v>0</v>
      </c>
      <c r="AW1151" s="79">
        <v>5.4545454545454501E-2</v>
      </c>
      <c r="AX1151" s="56"/>
      <c r="AY1151" s="54"/>
    </row>
    <row r="1152" spans="1:51">
      <c r="A1152" s="53"/>
      <c r="B1152" s="56"/>
      <c r="C1152" s="90" t="s">
        <v>1079</v>
      </c>
      <c r="D1152" s="230" t="s">
        <v>1757</v>
      </c>
      <c r="E1152" s="68" t="s">
        <v>1080</v>
      </c>
      <c r="F1152" s="128" t="s">
        <v>1176</v>
      </c>
      <c r="G1152" s="128" t="s">
        <v>1176</v>
      </c>
      <c r="H1152" s="128" t="s">
        <v>1176</v>
      </c>
      <c r="I1152" s="128" t="s">
        <v>1176</v>
      </c>
      <c r="J1152" s="70">
        <v>0.9</v>
      </c>
      <c r="K1152" s="71">
        <v>0.94117647058823495</v>
      </c>
      <c r="L1152" s="71">
        <v>0.92592592592592604</v>
      </c>
      <c r="M1152" s="72">
        <v>0.96296296296296302</v>
      </c>
      <c r="N1152" s="71">
        <v>0.93256578947368396</v>
      </c>
      <c r="O1152" s="73">
        <v>0.9</v>
      </c>
      <c r="P1152" s="71">
        <v>0.946524064171123</v>
      </c>
      <c r="Q1152" s="71">
        <v>0.95526636844245605</v>
      </c>
      <c r="R1152" s="71">
        <v>0.91229475370444502</v>
      </c>
      <c r="S1152" s="71">
        <v>0.93873705922018202</v>
      </c>
      <c r="T1152" s="73">
        <v>0.9</v>
      </c>
      <c r="U1152" s="71">
        <v>0.90877634476250402</v>
      </c>
      <c r="V1152" s="71">
        <v>0.84973566490443297</v>
      </c>
      <c r="W1152" s="71">
        <v>0.83380056067280695</v>
      </c>
      <c r="X1152" s="71">
        <v>0.86995755820871801</v>
      </c>
      <c r="Y1152" s="73">
        <v>0.92</v>
      </c>
      <c r="Z1152" s="73">
        <v>0.91502590673575102</v>
      </c>
      <c r="AA1152" s="73">
        <v>0.89126853377265203</v>
      </c>
      <c r="AB1152" s="73">
        <v>0.90187891440501</v>
      </c>
      <c r="AC1152" s="73">
        <v>0.90686683347233799</v>
      </c>
      <c r="AD1152" s="73">
        <v>0.92</v>
      </c>
      <c r="AE1152" s="71">
        <v>0.98305084745762705</v>
      </c>
      <c r="AF1152" s="71">
        <v>0.98670756646216795</v>
      </c>
      <c r="AG1152" s="71">
        <v>0.97793380140421304</v>
      </c>
      <c r="AH1152" s="71">
        <v>0.98662476835065704</v>
      </c>
      <c r="AI1152" s="73">
        <v>0.92</v>
      </c>
      <c r="AJ1152" s="71">
        <v>0.95970077220077199</v>
      </c>
      <c r="AK1152" s="71">
        <v>0.96398190045248899</v>
      </c>
      <c r="AL1152" s="71">
        <v>0.96002015790357798</v>
      </c>
      <c r="AM1152" s="71">
        <v>0.96673963472408297</v>
      </c>
      <c r="AN1152" s="70">
        <v>0.99</v>
      </c>
      <c r="AO1152" s="75">
        <v>1</v>
      </c>
      <c r="AP1152" s="75">
        <v>1</v>
      </c>
      <c r="AQ1152" s="75">
        <v>1</v>
      </c>
      <c r="AR1152" s="75">
        <v>1</v>
      </c>
      <c r="AS1152" s="95">
        <v>7.2186152540827803E-2</v>
      </c>
      <c r="AT1152" s="79">
        <v>5.5555555555555601E-2</v>
      </c>
      <c r="AU1152" s="79">
        <v>0</v>
      </c>
      <c r="AV1152" s="79">
        <v>0</v>
      </c>
      <c r="AW1152" s="79">
        <v>1.8604651162790701E-2</v>
      </c>
      <c r="AX1152" s="56"/>
      <c r="AY1152" s="54"/>
    </row>
    <row r="1153" spans="1:51">
      <c r="A1153" s="53"/>
      <c r="B1153" s="56"/>
      <c r="C1153" s="90" t="s">
        <v>1079</v>
      </c>
      <c r="D1153" s="230" t="s">
        <v>1757</v>
      </c>
      <c r="E1153" s="68" t="s">
        <v>1080</v>
      </c>
      <c r="F1153" s="128" t="s">
        <v>1177</v>
      </c>
      <c r="G1153" s="128" t="s">
        <v>1177</v>
      </c>
      <c r="H1153" s="128" t="s">
        <v>1177</v>
      </c>
      <c r="I1153" s="128" t="s">
        <v>1177</v>
      </c>
      <c r="J1153" s="70">
        <v>0.9</v>
      </c>
      <c r="K1153" s="71">
        <v>0.95348837209302295</v>
      </c>
      <c r="L1153" s="71">
        <v>1</v>
      </c>
      <c r="M1153" s="72">
        <v>0.94594594594594605</v>
      </c>
      <c r="N1153" s="71">
        <v>0.95095948827292098</v>
      </c>
      <c r="O1153" s="73">
        <v>0.9</v>
      </c>
      <c r="P1153" s="71">
        <v>0.91543026706231501</v>
      </c>
      <c r="Q1153" s="71">
        <v>0.92144108081060805</v>
      </c>
      <c r="R1153" s="71">
        <v>0.95079751284130798</v>
      </c>
      <c r="S1153" s="71">
        <v>0.91547845373891001</v>
      </c>
      <c r="T1153" s="73">
        <v>0.9</v>
      </c>
      <c r="U1153" s="71">
        <v>0.82715133531157303</v>
      </c>
      <c r="V1153" s="71">
        <v>0.86765073805353998</v>
      </c>
      <c r="W1153" s="71">
        <v>0.80183833468504995</v>
      </c>
      <c r="X1153" s="71">
        <v>0.86330270384452901</v>
      </c>
      <c r="Y1153" s="73">
        <v>0.92</v>
      </c>
      <c r="Z1153" s="73">
        <v>0.92848904267589405</v>
      </c>
      <c r="AA1153" s="73">
        <v>0.93812375249501001</v>
      </c>
      <c r="AB1153" s="73">
        <v>0.93572496263079197</v>
      </c>
      <c r="AC1153" s="73">
        <v>0.94477958236658899</v>
      </c>
      <c r="AD1153" s="73">
        <v>0.92</v>
      </c>
      <c r="AE1153" s="71">
        <v>0.98872886662492199</v>
      </c>
      <c r="AF1153" s="71">
        <v>0.99033816425120802</v>
      </c>
      <c r="AG1153" s="71">
        <v>0.99904214559386995</v>
      </c>
      <c r="AH1153" s="71">
        <v>0.99397482014388505</v>
      </c>
      <c r="AI1153" s="73">
        <v>0.92</v>
      </c>
      <c r="AJ1153" s="71">
        <v>0.95622895622895598</v>
      </c>
      <c r="AK1153" s="71">
        <v>0.96687416629613199</v>
      </c>
      <c r="AL1153" s="71">
        <v>0.96131837949187504</v>
      </c>
      <c r="AM1153" s="71">
        <v>0.96920032692390401</v>
      </c>
      <c r="AN1153" s="70">
        <v>0.99</v>
      </c>
      <c r="AO1153" s="75">
        <v>1</v>
      </c>
      <c r="AP1153" s="75">
        <v>1</v>
      </c>
      <c r="AQ1153" s="75">
        <v>1</v>
      </c>
      <c r="AR1153" s="75">
        <v>1</v>
      </c>
      <c r="AS1153" s="95">
        <v>7.2186152540827803E-2</v>
      </c>
      <c r="AT1153" s="79">
        <v>0.16666666666666699</v>
      </c>
      <c r="AU1153" s="79">
        <v>7.1428571428571397E-2</v>
      </c>
      <c r="AV1153" s="79">
        <v>9.0909090909090898E-2</v>
      </c>
      <c r="AW1153" s="79">
        <v>5.6451612903225798E-2</v>
      </c>
      <c r="AX1153" s="56"/>
      <c r="AY1153" s="54"/>
    </row>
    <row r="1154" spans="1:51">
      <c r="A1154" s="53"/>
      <c r="B1154" s="56"/>
      <c r="C1154" s="90" t="s">
        <v>1079</v>
      </c>
      <c r="D1154" s="230" t="s">
        <v>1757</v>
      </c>
      <c r="E1154" s="68" t="s">
        <v>1080</v>
      </c>
      <c r="F1154" s="128" t="s">
        <v>1178</v>
      </c>
      <c r="G1154" s="128" t="s">
        <v>1178</v>
      </c>
      <c r="H1154" s="128" t="s">
        <v>1178</v>
      </c>
      <c r="I1154" s="128" t="s">
        <v>1178</v>
      </c>
      <c r="J1154" s="70">
        <v>0.9</v>
      </c>
      <c r="K1154" s="71">
        <v>1</v>
      </c>
      <c r="L1154" s="71">
        <v>1</v>
      </c>
      <c r="M1154" s="72">
        <v>0.98305084745762705</v>
      </c>
      <c r="N1154" s="71">
        <v>0.98525073746312697</v>
      </c>
      <c r="O1154" s="73">
        <v>0.9</v>
      </c>
      <c r="P1154" s="71">
        <v>0.98162071846282395</v>
      </c>
      <c r="Q1154" s="71">
        <v>0.9620011456941</v>
      </c>
      <c r="R1154" s="71">
        <v>0.94508825102513805</v>
      </c>
      <c r="S1154" s="71">
        <v>0.95869237886181802</v>
      </c>
      <c r="T1154" s="73">
        <v>0.9</v>
      </c>
      <c r="U1154" s="71">
        <v>0.90866054023948795</v>
      </c>
      <c r="V1154" s="71">
        <v>0.91254535039144502</v>
      </c>
      <c r="W1154" s="71">
        <v>0.89926903191299701</v>
      </c>
      <c r="X1154" s="71">
        <v>0.89650418155760803</v>
      </c>
      <c r="Y1154" s="73">
        <v>0.92</v>
      </c>
      <c r="Z1154" s="73">
        <v>0.92376992376992395</v>
      </c>
      <c r="AA1154" s="73">
        <v>0.90153452685421998</v>
      </c>
      <c r="AB1154" s="73">
        <v>0.89882565492321598</v>
      </c>
      <c r="AC1154" s="73">
        <v>0.92625009513661605</v>
      </c>
      <c r="AD1154" s="73">
        <v>0.92</v>
      </c>
      <c r="AE1154" s="71">
        <v>0.99792960662525898</v>
      </c>
      <c r="AF1154" s="71">
        <v>0.98780487804878003</v>
      </c>
      <c r="AG1154" s="71">
        <v>0.97587719298245601</v>
      </c>
      <c r="AH1154" s="71">
        <v>0.99287128712871298</v>
      </c>
      <c r="AI1154" s="73">
        <v>0.92</v>
      </c>
      <c r="AJ1154" s="71">
        <v>0.96245530393325396</v>
      </c>
      <c r="AK1154" s="71">
        <v>0.97176079734219301</v>
      </c>
      <c r="AL1154" s="71">
        <v>0.96606132777612397</v>
      </c>
      <c r="AM1154" s="71">
        <v>0.96944395617273105</v>
      </c>
      <c r="AN1154" s="70">
        <v>0.99</v>
      </c>
      <c r="AO1154" s="75">
        <v>1</v>
      </c>
      <c r="AP1154" s="75">
        <v>1</v>
      </c>
      <c r="AQ1154" s="75">
        <v>1</v>
      </c>
      <c r="AR1154" s="75">
        <v>1</v>
      </c>
      <c r="AS1154" s="95">
        <v>7.2186152540827803E-2</v>
      </c>
      <c r="AT1154" s="79">
        <v>0.11111111111111099</v>
      </c>
      <c r="AU1154" s="79">
        <v>0</v>
      </c>
      <c r="AV1154" s="79">
        <v>0</v>
      </c>
      <c r="AW1154" s="79">
        <v>1.88679245283019E-2</v>
      </c>
      <c r="AX1154" s="56"/>
      <c r="AY1154" s="54"/>
    </row>
    <row r="1155" spans="1:51">
      <c r="A1155" s="53"/>
      <c r="B1155" s="56"/>
      <c r="C1155" s="90" t="s">
        <v>1079</v>
      </c>
      <c r="D1155" s="230" t="s">
        <v>1757</v>
      </c>
      <c r="E1155" s="68" t="s">
        <v>1080</v>
      </c>
      <c r="F1155" s="128" t="s">
        <v>1179</v>
      </c>
      <c r="G1155" s="128" t="s">
        <v>1179</v>
      </c>
      <c r="H1155" s="128" t="s">
        <v>1179</v>
      </c>
      <c r="I1155" s="128" t="s">
        <v>1179</v>
      </c>
      <c r="J1155" s="70">
        <v>0.9</v>
      </c>
      <c r="K1155" s="71">
        <v>0.94285714285714295</v>
      </c>
      <c r="L1155" s="71">
        <v>0.92857142857142905</v>
      </c>
      <c r="M1155" s="72">
        <v>0.92682926829268297</v>
      </c>
      <c r="N1155" s="71">
        <v>0.95661605206073796</v>
      </c>
      <c r="O1155" s="73">
        <v>0.9</v>
      </c>
      <c r="P1155" s="71">
        <v>0.98753117206982499</v>
      </c>
      <c r="Q1155" s="71">
        <v>0.98839071257005595</v>
      </c>
      <c r="R1155" s="71">
        <v>0.98830036162518597</v>
      </c>
      <c r="S1155" s="71">
        <v>0.98464594628150504</v>
      </c>
      <c r="T1155" s="73">
        <v>0.9</v>
      </c>
      <c r="U1155" s="71">
        <v>0.91058069112932005</v>
      </c>
      <c r="V1155" s="71">
        <v>0.93254603682946402</v>
      </c>
      <c r="W1155" s="71">
        <v>0.927887683471602</v>
      </c>
      <c r="X1155" s="71">
        <v>0.91782891197285099</v>
      </c>
      <c r="Y1155" s="73">
        <v>0.92</v>
      </c>
      <c r="Z1155" s="73">
        <v>0</v>
      </c>
      <c r="AA1155" s="73" t="s">
        <v>1710</v>
      </c>
      <c r="AB1155" s="73" t="s">
        <v>1710</v>
      </c>
      <c r="AC1155" s="73">
        <v>0</v>
      </c>
      <c r="AD1155" s="73">
        <v>0.92</v>
      </c>
      <c r="AE1155" s="71">
        <v>0.99937500000000001</v>
      </c>
      <c r="AF1155" s="71">
        <v>0.99509803921568596</v>
      </c>
      <c r="AG1155" s="71">
        <v>0.998</v>
      </c>
      <c r="AH1155" s="71">
        <v>0.99859471613265904</v>
      </c>
      <c r="AI1155" s="73">
        <v>0.92</v>
      </c>
      <c r="AJ1155" s="71">
        <v>0.95441595441595395</v>
      </c>
      <c r="AK1155" s="71">
        <v>0.97978382706164902</v>
      </c>
      <c r="AL1155" s="71">
        <v>0.97489895766858103</v>
      </c>
      <c r="AM1155" s="71">
        <v>0.98067332960870701</v>
      </c>
      <c r="AN1155" s="70">
        <v>0.99</v>
      </c>
      <c r="AO1155" s="75">
        <v>1</v>
      </c>
      <c r="AP1155" s="75">
        <v>1</v>
      </c>
      <c r="AQ1155" s="75">
        <v>1</v>
      </c>
      <c r="AR1155" s="75">
        <v>1</v>
      </c>
      <c r="AS1155" s="95">
        <v>7.2186152540827803E-2</v>
      </c>
      <c r="AT1155" s="79">
        <v>6.6666666666666693E-2</v>
      </c>
      <c r="AU1155" s="79">
        <v>4.1666666666666699E-2</v>
      </c>
      <c r="AV1155" s="79">
        <v>0.27777777777777801</v>
      </c>
      <c r="AW1155" s="79">
        <v>3.7656903765690398E-2</v>
      </c>
      <c r="AX1155" s="56"/>
      <c r="AY1155" s="54"/>
    </row>
    <row r="1156" spans="1:51">
      <c r="A1156" s="53"/>
      <c r="B1156" s="56"/>
      <c r="C1156" s="90" t="s">
        <v>1079</v>
      </c>
      <c r="D1156" s="230" t="s">
        <v>1757</v>
      </c>
      <c r="E1156" s="68" t="s">
        <v>1080</v>
      </c>
      <c r="F1156" s="128" t="s">
        <v>1180</v>
      </c>
      <c r="G1156" s="128" t="s">
        <v>1180</v>
      </c>
      <c r="H1156" s="128" t="s">
        <v>1180</v>
      </c>
      <c r="I1156" s="128" t="s">
        <v>1180</v>
      </c>
      <c r="J1156" s="70">
        <v>0.9</v>
      </c>
      <c r="K1156" s="71">
        <v>0.875</v>
      </c>
      <c r="L1156" s="71">
        <v>0.92</v>
      </c>
      <c r="M1156" s="72">
        <v>0.96</v>
      </c>
      <c r="N1156" s="71">
        <v>0.90681003584229403</v>
      </c>
      <c r="O1156" s="73">
        <v>0.9</v>
      </c>
      <c r="P1156" s="71">
        <v>0.96965210954848302</v>
      </c>
      <c r="Q1156" s="71">
        <v>0.98344103392568705</v>
      </c>
      <c r="R1156" s="71">
        <v>0.97284683920237602</v>
      </c>
      <c r="S1156" s="71">
        <v>0.97866735760245305</v>
      </c>
      <c r="T1156" s="73">
        <v>0.9</v>
      </c>
      <c r="U1156" s="71">
        <v>0.85862324204293095</v>
      </c>
      <c r="V1156" s="71">
        <v>0.84814216478190596</v>
      </c>
      <c r="W1156" s="71">
        <v>0.78829019940602496</v>
      </c>
      <c r="X1156" s="71">
        <v>0.84328712700263397</v>
      </c>
      <c r="Y1156" s="73">
        <v>0.92</v>
      </c>
      <c r="Z1156" s="73">
        <v>0</v>
      </c>
      <c r="AA1156" s="73" t="s">
        <v>1710</v>
      </c>
      <c r="AB1156" s="73" t="s">
        <v>1710</v>
      </c>
      <c r="AC1156" s="73">
        <v>0</v>
      </c>
      <c r="AD1156" s="73">
        <v>0.92</v>
      </c>
      <c r="AE1156" s="71">
        <v>1</v>
      </c>
      <c r="AF1156" s="71">
        <v>1</v>
      </c>
      <c r="AG1156" s="71">
        <v>0.99673202614379097</v>
      </c>
      <c r="AH1156" s="71">
        <v>0.99390801096558001</v>
      </c>
      <c r="AI1156" s="73">
        <v>0.92</v>
      </c>
      <c r="AJ1156" s="71">
        <v>0.94748520710059203</v>
      </c>
      <c r="AK1156" s="71">
        <v>0.97172859450727</v>
      </c>
      <c r="AL1156" s="71">
        <v>0.97624098430207895</v>
      </c>
      <c r="AM1156" s="71">
        <v>0.96947059331548502</v>
      </c>
      <c r="AN1156" s="70">
        <v>0.99</v>
      </c>
      <c r="AO1156" s="75">
        <v>1</v>
      </c>
      <c r="AP1156" s="75">
        <v>1</v>
      </c>
      <c r="AQ1156" s="75">
        <v>1</v>
      </c>
      <c r="AR1156" s="75">
        <v>1</v>
      </c>
      <c r="AS1156" s="95">
        <v>7.2186152540827803E-2</v>
      </c>
      <c r="AT1156" s="79">
        <v>0.5</v>
      </c>
      <c r="AU1156" s="79">
        <v>-9.0909090909090898E-2</v>
      </c>
      <c r="AV1156" s="79">
        <v>0.125</v>
      </c>
      <c r="AW1156" s="79">
        <v>6.4102564102564097E-2</v>
      </c>
      <c r="AX1156" s="56"/>
      <c r="AY1156" s="54"/>
    </row>
    <row r="1157" spans="1:51">
      <c r="A1157" s="53"/>
      <c r="B1157" s="56"/>
      <c r="C1157" s="90" t="s">
        <v>1079</v>
      </c>
      <c r="D1157" s="230" t="s">
        <v>1757</v>
      </c>
      <c r="E1157" s="68" t="s">
        <v>1080</v>
      </c>
      <c r="F1157" s="128" t="s">
        <v>1181</v>
      </c>
      <c r="G1157" s="128" t="s">
        <v>1181</v>
      </c>
      <c r="H1157" s="128" t="s">
        <v>1181</v>
      </c>
      <c r="I1157" s="128" t="s">
        <v>1181</v>
      </c>
      <c r="J1157" s="70">
        <v>0.9</v>
      </c>
      <c r="K1157" s="71">
        <v>0.87878787878787901</v>
      </c>
      <c r="L1157" s="71">
        <v>0.96969696969696995</v>
      </c>
      <c r="M1157" s="72">
        <v>0.96153846153846201</v>
      </c>
      <c r="N1157" s="71">
        <v>0.93009118541033398</v>
      </c>
      <c r="O1157" s="73">
        <v>0.9</v>
      </c>
      <c r="P1157" s="71">
        <v>0.99043303121852999</v>
      </c>
      <c r="Q1157" s="71">
        <v>0.98515821898627798</v>
      </c>
      <c r="R1157" s="71">
        <v>0.95811669555170398</v>
      </c>
      <c r="S1157" s="71">
        <v>0.88934065934065898</v>
      </c>
      <c r="T1157" s="73">
        <v>0.9</v>
      </c>
      <c r="U1157" s="71">
        <v>0.92094662638469305</v>
      </c>
      <c r="V1157" s="71">
        <v>0.85214225707084801</v>
      </c>
      <c r="W1157" s="71">
        <v>0.78307336799537797</v>
      </c>
      <c r="X1157" s="71">
        <v>0.81785714285714295</v>
      </c>
      <c r="Y1157" s="73">
        <v>0.92</v>
      </c>
      <c r="Z1157" s="73">
        <v>0</v>
      </c>
      <c r="AA1157" s="73">
        <v>0</v>
      </c>
      <c r="AB1157" s="73" t="s">
        <v>1710</v>
      </c>
      <c r="AC1157" s="73">
        <v>0</v>
      </c>
      <c r="AD1157" s="73">
        <v>0.92</v>
      </c>
      <c r="AE1157" s="71">
        <v>1</v>
      </c>
      <c r="AF1157" s="71">
        <v>1</v>
      </c>
      <c r="AG1157" s="71">
        <v>1</v>
      </c>
      <c r="AH1157" s="71">
        <v>1</v>
      </c>
      <c r="AI1157" s="73">
        <v>0.92</v>
      </c>
      <c r="AJ1157" s="71">
        <v>0.965777554101661</v>
      </c>
      <c r="AK1157" s="71">
        <v>0.965295270081164</v>
      </c>
      <c r="AL1157" s="71">
        <v>0.96013864818024297</v>
      </c>
      <c r="AM1157" s="71">
        <v>0.97143092602258097</v>
      </c>
      <c r="AN1157" s="70">
        <v>0.99</v>
      </c>
      <c r="AO1157" s="75">
        <v>1</v>
      </c>
      <c r="AP1157" s="75">
        <v>1</v>
      </c>
      <c r="AQ1157" s="75">
        <v>1</v>
      </c>
      <c r="AR1157" s="75">
        <v>1</v>
      </c>
      <c r="AS1157" s="95">
        <v>7.2186152540827803E-2</v>
      </c>
      <c r="AT1157" s="79">
        <v>0.125</v>
      </c>
      <c r="AU1157" s="79">
        <v>0</v>
      </c>
      <c r="AV1157" s="79">
        <v>0</v>
      </c>
      <c r="AW1157" s="79">
        <v>0.05</v>
      </c>
      <c r="AX1157" s="56"/>
      <c r="AY1157" s="54"/>
    </row>
    <row r="1158" spans="1:51">
      <c r="A1158" s="53"/>
      <c r="B1158" s="56"/>
      <c r="C1158" s="90" t="s">
        <v>1079</v>
      </c>
      <c r="D1158" s="230" t="s">
        <v>1757</v>
      </c>
      <c r="E1158" s="68" t="s">
        <v>1080</v>
      </c>
      <c r="F1158" s="128" t="s">
        <v>1182</v>
      </c>
      <c r="G1158" s="128" t="s">
        <v>1182</v>
      </c>
      <c r="H1158" s="128" t="s">
        <v>1182</v>
      </c>
      <c r="I1158" s="128" t="s">
        <v>1182</v>
      </c>
      <c r="J1158" s="70">
        <v>0.9</v>
      </c>
      <c r="K1158" s="71">
        <v>0.88</v>
      </c>
      <c r="L1158" s="71">
        <v>0.9375</v>
      </c>
      <c r="M1158" s="72">
        <v>0.939393939393939</v>
      </c>
      <c r="N1158" s="71">
        <v>0.90960451977401102</v>
      </c>
      <c r="O1158" s="73">
        <v>0.9</v>
      </c>
      <c r="P1158" s="71">
        <v>0.981858163826278</v>
      </c>
      <c r="Q1158" s="71">
        <v>0.93144273127753296</v>
      </c>
      <c r="R1158" s="71">
        <v>0.98568220101066795</v>
      </c>
      <c r="S1158" s="71">
        <v>0.96178850248403103</v>
      </c>
      <c r="T1158" s="73">
        <v>0.9</v>
      </c>
      <c r="U1158" s="71">
        <v>0.67619571192963202</v>
      </c>
      <c r="V1158" s="71">
        <v>0.75247797356828205</v>
      </c>
      <c r="W1158" s="71">
        <v>0.75743964065131997</v>
      </c>
      <c r="X1158" s="71">
        <v>0.73978708303761498</v>
      </c>
      <c r="Y1158" s="73">
        <v>0.92</v>
      </c>
      <c r="Z1158" s="73">
        <v>0</v>
      </c>
      <c r="AA1158" s="73" t="s">
        <v>1710</v>
      </c>
      <c r="AB1158" s="73" t="s">
        <v>1710</v>
      </c>
      <c r="AC1158" s="73">
        <v>0</v>
      </c>
      <c r="AD1158" s="73">
        <v>0.92</v>
      </c>
      <c r="AE1158" s="71">
        <v>1</v>
      </c>
      <c r="AF1158" s="71">
        <v>1</v>
      </c>
      <c r="AG1158" s="71">
        <v>1</v>
      </c>
      <c r="AH1158" s="71">
        <v>1</v>
      </c>
      <c r="AI1158" s="73">
        <v>0.92</v>
      </c>
      <c r="AJ1158" s="71">
        <v>0.95005488474204203</v>
      </c>
      <c r="AK1158" s="71">
        <v>0.95429515418502198</v>
      </c>
      <c r="AL1158" s="71">
        <v>0.95760808534531205</v>
      </c>
      <c r="AM1158" s="71">
        <v>0.95844214829113195</v>
      </c>
      <c r="AN1158" s="70">
        <v>0.99</v>
      </c>
      <c r="AO1158" s="75">
        <v>1</v>
      </c>
      <c r="AP1158" s="75">
        <v>1</v>
      </c>
      <c r="AQ1158" s="75">
        <v>1</v>
      </c>
      <c r="AR1158" s="75">
        <v>1</v>
      </c>
      <c r="AS1158" s="95">
        <v>7.2186152540827803E-2</v>
      </c>
      <c r="AT1158" s="79">
        <v>0.375</v>
      </c>
      <c r="AU1158" s="79">
        <v>0.16666666666666699</v>
      </c>
      <c r="AV1158" s="79">
        <v>0</v>
      </c>
      <c r="AW1158" s="79">
        <v>0.122137404580153</v>
      </c>
      <c r="AX1158" s="56"/>
      <c r="AY1158" s="54"/>
    </row>
    <row r="1159" spans="1:51">
      <c r="A1159" s="53"/>
      <c r="B1159" s="56"/>
      <c r="C1159" s="90" t="s">
        <v>1079</v>
      </c>
      <c r="D1159" s="230" t="s">
        <v>1757</v>
      </c>
      <c r="E1159" s="68" t="s">
        <v>1080</v>
      </c>
      <c r="F1159" s="128" t="s">
        <v>1183</v>
      </c>
      <c r="G1159" s="128" t="s">
        <v>1183</v>
      </c>
      <c r="H1159" s="128" t="s">
        <v>1183</v>
      </c>
      <c r="I1159" s="128" t="s">
        <v>1183</v>
      </c>
      <c r="J1159" s="70">
        <v>0.9</v>
      </c>
      <c r="K1159" s="71">
        <v>0.94520547945205502</v>
      </c>
      <c r="L1159" s="71">
        <v>0.962025316455696</v>
      </c>
      <c r="M1159" s="72">
        <v>0.95</v>
      </c>
      <c r="N1159" s="71">
        <v>0.93562708102108805</v>
      </c>
      <c r="O1159" s="73">
        <v>0.9</v>
      </c>
      <c r="P1159" s="71">
        <v>0.92651757188498396</v>
      </c>
      <c r="Q1159" s="71">
        <v>0.91974431818181801</v>
      </c>
      <c r="R1159" s="71">
        <v>0.95210008936550505</v>
      </c>
      <c r="S1159" s="71">
        <v>0.95235103498445906</v>
      </c>
      <c r="T1159" s="73">
        <v>0.9</v>
      </c>
      <c r="U1159" s="71">
        <v>0.904399115261735</v>
      </c>
      <c r="V1159" s="71">
        <v>0.88973721590909105</v>
      </c>
      <c r="W1159" s="71">
        <v>0.89937444146559398</v>
      </c>
      <c r="X1159" s="71">
        <v>0.91738310958269997</v>
      </c>
      <c r="Y1159" s="73">
        <v>0.92</v>
      </c>
      <c r="Z1159" s="73">
        <v>0.934782608695652</v>
      </c>
      <c r="AA1159" s="73">
        <v>0.94189944134078196</v>
      </c>
      <c r="AB1159" s="73">
        <v>0.94391971664698904</v>
      </c>
      <c r="AC1159" s="73">
        <v>0.95276528182058795</v>
      </c>
      <c r="AD1159" s="73">
        <v>0.92</v>
      </c>
      <c r="AE1159" s="71">
        <v>0.99963754983689701</v>
      </c>
      <c r="AF1159" s="71">
        <v>0.99773242630385495</v>
      </c>
      <c r="AG1159" s="71">
        <v>1</v>
      </c>
      <c r="AH1159" s="71">
        <v>0.99904219146592599</v>
      </c>
      <c r="AI1159" s="73">
        <v>0.92</v>
      </c>
      <c r="AJ1159" s="71">
        <v>0.94935576234788799</v>
      </c>
      <c r="AK1159" s="71">
        <v>0.96062509575609001</v>
      </c>
      <c r="AL1159" s="71">
        <v>0.96048840718891504</v>
      </c>
      <c r="AM1159" s="71">
        <v>0.96809777001825204</v>
      </c>
      <c r="AN1159" s="70">
        <v>0.99</v>
      </c>
      <c r="AO1159" s="75">
        <v>1</v>
      </c>
      <c r="AP1159" s="75">
        <v>1</v>
      </c>
      <c r="AQ1159" s="75">
        <v>1</v>
      </c>
      <c r="AR1159" s="75">
        <v>1</v>
      </c>
      <c r="AS1159" s="95">
        <v>7.2186152540827803E-2</v>
      </c>
      <c r="AT1159" s="79">
        <v>0.107142857142857</v>
      </c>
      <c r="AU1159" s="79">
        <v>0</v>
      </c>
      <c r="AV1159" s="79">
        <v>0.04</v>
      </c>
      <c r="AW1159" s="79">
        <v>4.35835351089588E-2</v>
      </c>
      <c r="AX1159" s="56"/>
      <c r="AY1159" s="54"/>
    </row>
    <row r="1160" spans="1:51">
      <c r="A1160" s="53"/>
      <c r="B1160" s="56"/>
      <c r="C1160" s="90" t="s">
        <v>1079</v>
      </c>
      <c r="D1160" s="230" t="s">
        <v>1757</v>
      </c>
      <c r="E1160" s="68" t="s">
        <v>1080</v>
      </c>
      <c r="F1160" s="128" t="s">
        <v>1184</v>
      </c>
      <c r="G1160" s="128" t="s">
        <v>1184</v>
      </c>
      <c r="H1160" s="128" t="s">
        <v>1184</v>
      </c>
      <c r="I1160" s="128" t="s">
        <v>1184</v>
      </c>
      <c r="J1160" s="70">
        <v>0.9</v>
      </c>
      <c r="K1160" s="71">
        <v>0.93877551020408201</v>
      </c>
      <c r="L1160" s="71">
        <v>0.94</v>
      </c>
      <c r="M1160" s="72">
        <v>0.92156862745098</v>
      </c>
      <c r="N1160" s="71">
        <v>0.92906574394463703</v>
      </c>
      <c r="O1160" s="73">
        <v>0.9</v>
      </c>
      <c r="P1160" s="71">
        <v>0.98707138842046105</v>
      </c>
      <c r="Q1160" s="71">
        <v>0.98</v>
      </c>
      <c r="R1160" s="71">
        <v>0.95404613694617402</v>
      </c>
      <c r="S1160" s="71">
        <v>0.95326187593476297</v>
      </c>
      <c r="T1160" s="73">
        <v>0.9</v>
      </c>
      <c r="U1160" s="71">
        <v>0.92383361439010703</v>
      </c>
      <c r="V1160" s="71">
        <v>0.92019417475728205</v>
      </c>
      <c r="W1160" s="71">
        <v>0.89381179055291105</v>
      </c>
      <c r="X1160" s="71">
        <v>0.91539064169218698</v>
      </c>
      <c r="Y1160" s="73">
        <v>0.92</v>
      </c>
      <c r="Z1160" s="73">
        <v>0</v>
      </c>
      <c r="AA1160" s="73" t="s">
        <v>1710</v>
      </c>
      <c r="AB1160" s="73" t="s">
        <v>1710</v>
      </c>
      <c r="AC1160" s="73">
        <v>0</v>
      </c>
      <c r="AD1160" s="73">
        <v>0.92</v>
      </c>
      <c r="AE1160" s="71">
        <v>0.997940691927512</v>
      </c>
      <c r="AF1160" s="71">
        <v>1</v>
      </c>
      <c r="AG1160" s="71">
        <v>0.99932840832773695</v>
      </c>
      <c r="AH1160" s="71">
        <v>0.99847464759099502</v>
      </c>
      <c r="AI1160" s="73">
        <v>0.92</v>
      </c>
      <c r="AJ1160" s="71">
        <v>0.96573033707865197</v>
      </c>
      <c r="AK1160" s="71">
        <v>0.97184466019417504</v>
      </c>
      <c r="AL1160" s="71">
        <v>0.96777737092640104</v>
      </c>
      <c r="AM1160" s="71">
        <v>0.97594630203325905</v>
      </c>
      <c r="AN1160" s="70">
        <v>0.99</v>
      </c>
      <c r="AO1160" s="75">
        <v>1</v>
      </c>
      <c r="AP1160" s="75">
        <v>1</v>
      </c>
      <c r="AQ1160" s="75">
        <v>1</v>
      </c>
      <c r="AR1160" s="75">
        <v>1</v>
      </c>
      <c r="AS1160" s="95">
        <v>7.2186152540827803E-2</v>
      </c>
      <c r="AT1160" s="79">
        <v>6.25E-2</v>
      </c>
      <c r="AU1160" s="79">
        <v>0</v>
      </c>
      <c r="AV1160" s="79">
        <v>0</v>
      </c>
      <c r="AW1160" s="79">
        <v>3.2258064516128997E-2</v>
      </c>
      <c r="AX1160" s="56"/>
      <c r="AY1160" s="54"/>
    </row>
    <row r="1161" spans="1:51">
      <c r="A1161" s="53"/>
      <c r="B1161" s="56"/>
      <c r="C1161" s="90" t="s">
        <v>1079</v>
      </c>
      <c r="D1161" s="230" t="s">
        <v>1757</v>
      </c>
      <c r="E1161" s="68" t="s">
        <v>1080</v>
      </c>
      <c r="F1161" s="128" t="s">
        <v>1185</v>
      </c>
      <c r="G1161" s="128" t="s">
        <v>1185</v>
      </c>
      <c r="H1161" s="128" t="s">
        <v>1185</v>
      </c>
      <c r="I1161" s="128" t="s">
        <v>1185</v>
      </c>
      <c r="J1161" s="70">
        <v>0.9</v>
      </c>
      <c r="K1161" s="71">
        <v>1</v>
      </c>
      <c r="L1161" s="71">
        <v>1</v>
      </c>
      <c r="M1161" s="72">
        <v>0.98113207547169801</v>
      </c>
      <c r="N1161" s="71">
        <v>0.97909407665505199</v>
      </c>
      <c r="O1161" s="73">
        <v>0.9</v>
      </c>
      <c r="P1161" s="71">
        <v>0.95673076923076905</v>
      </c>
      <c r="Q1161" s="71">
        <v>0.97359029264810804</v>
      </c>
      <c r="R1161" s="71">
        <v>0.95301376364499302</v>
      </c>
      <c r="S1161" s="71">
        <v>0.94545906604583896</v>
      </c>
      <c r="T1161" s="73">
        <v>0.9</v>
      </c>
      <c r="U1161" s="71">
        <v>0.81765109890109899</v>
      </c>
      <c r="V1161" s="71">
        <v>0.81679752557696905</v>
      </c>
      <c r="W1161" s="71">
        <v>0.82392026578073096</v>
      </c>
      <c r="X1161" s="71">
        <v>0.81128791645947296</v>
      </c>
      <c r="Y1161" s="73">
        <v>0.92</v>
      </c>
      <c r="Z1161" s="73">
        <v>0.89780405405405395</v>
      </c>
      <c r="AA1161" s="73">
        <v>0.84387351778656094</v>
      </c>
      <c r="AB1161" s="73">
        <v>0.91262135922330101</v>
      </c>
      <c r="AC1161" s="73">
        <v>0.88876772082878996</v>
      </c>
      <c r="AD1161" s="73">
        <v>0.92</v>
      </c>
      <c r="AE1161" s="71">
        <v>0.99354005167958703</v>
      </c>
      <c r="AF1161" s="71">
        <v>0.99180327868852503</v>
      </c>
      <c r="AG1161" s="71">
        <v>0.99646017699114997</v>
      </c>
      <c r="AH1161" s="71">
        <v>0.99440832249674904</v>
      </c>
      <c r="AI1161" s="73">
        <v>0.92</v>
      </c>
      <c r="AJ1161" s="71">
        <v>0.9267578125</v>
      </c>
      <c r="AK1161" s="71">
        <v>0.92970906774262096</v>
      </c>
      <c r="AL1161" s="71">
        <v>0.95006545726575697</v>
      </c>
      <c r="AM1161" s="71">
        <v>0.93778988441434097</v>
      </c>
      <c r="AN1161" s="70">
        <v>0.99</v>
      </c>
      <c r="AO1161" s="75">
        <v>1</v>
      </c>
      <c r="AP1161" s="75">
        <v>1</v>
      </c>
      <c r="AQ1161" s="75">
        <v>1</v>
      </c>
      <c r="AR1161" s="75">
        <v>1</v>
      </c>
      <c r="AS1161" s="95">
        <v>7.2186152540827803E-2</v>
      </c>
      <c r="AT1161" s="79">
        <v>0.133333333333333</v>
      </c>
      <c r="AU1161" s="79">
        <v>0.157894736842105</v>
      </c>
      <c r="AV1161" s="79">
        <v>0</v>
      </c>
      <c r="AW1161" s="79">
        <v>5.6994818652849701E-2</v>
      </c>
      <c r="AX1161" s="56"/>
      <c r="AY1161" s="54"/>
    </row>
    <row r="1162" spans="1:51">
      <c r="A1162" s="53"/>
      <c r="B1162" s="56"/>
      <c r="C1162" s="90" t="s">
        <v>1079</v>
      </c>
      <c r="D1162" s="230" t="s">
        <v>1757</v>
      </c>
      <c r="E1162" s="68" t="s">
        <v>1080</v>
      </c>
      <c r="F1162" s="128" t="s">
        <v>1186</v>
      </c>
      <c r="G1162" s="128" t="s">
        <v>1186</v>
      </c>
      <c r="H1162" s="128" t="s">
        <v>1186</v>
      </c>
      <c r="I1162" s="128" t="s">
        <v>1186</v>
      </c>
      <c r="J1162" s="70">
        <v>0.9</v>
      </c>
      <c r="K1162" s="71">
        <v>0.97297297297297303</v>
      </c>
      <c r="L1162" s="71">
        <v>0.97674418604651203</v>
      </c>
      <c r="M1162" s="72">
        <v>0.93181818181818199</v>
      </c>
      <c r="N1162" s="71">
        <v>0.96926229508196704</v>
      </c>
      <c r="O1162" s="73">
        <v>0.9</v>
      </c>
      <c r="P1162" s="71">
        <v>0.98462214411247795</v>
      </c>
      <c r="Q1162" s="71">
        <v>0.9425</v>
      </c>
      <c r="R1162" s="71">
        <v>0.920572551220881</v>
      </c>
      <c r="S1162" s="71">
        <v>0.94835873067890097</v>
      </c>
      <c r="T1162" s="73">
        <v>0.9</v>
      </c>
      <c r="U1162" s="71">
        <v>0.92486818980667795</v>
      </c>
      <c r="V1162" s="71">
        <v>0.90194444444444399</v>
      </c>
      <c r="W1162" s="71">
        <v>0.88801571709233795</v>
      </c>
      <c r="X1162" s="71">
        <v>0.90654869190015797</v>
      </c>
      <c r="Y1162" s="73">
        <v>0.92</v>
      </c>
      <c r="Z1162" s="73">
        <v>0.93401015228426398</v>
      </c>
      <c r="AA1162" s="73">
        <v>0.93231441048034902</v>
      </c>
      <c r="AB1162" s="73">
        <v>0.93491124260354996</v>
      </c>
      <c r="AC1162" s="73">
        <v>0.94177185044058098</v>
      </c>
      <c r="AD1162" s="73">
        <v>0.92</v>
      </c>
      <c r="AE1162" s="71">
        <v>0.99368179207352103</v>
      </c>
      <c r="AF1162" s="71">
        <v>0.99371859296482401</v>
      </c>
      <c r="AG1162" s="71">
        <v>0.99896694214876003</v>
      </c>
      <c r="AH1162" s="71">
        <v>0.992987636095221</v>
      </c>
      <c r="AI1162" s="73">
        <v>0.92</v>
      </c>
      <c r="AJ1162" s="71">
        <v>0.95585530349478798</v>
      </c>
      <c r="AK1162" s="71">
        <v>0.97190734351897501</v>
      </c>
      <c r="AL1162" s="71">
        <v>0.96909648502005197</v>
      </c>
      <c r="AM1162" s="71">
        <v>0.96990025990181505</v>
      </c>
      <c r="AN1162" s="70">
        <v>0.99</v>
      </c>
      <c r="AO1162" s="75">
        <v>1</v>
      </c>
      <c r="AP1162" s="75">
        <v>1</v>
      </c>
      <c r="AQ1162" s="75">
        <v>1</v>
      </c>
      <c r="AR1162" s="75">
        <v>1</v>
      </c>
      <c r="AS1162" s="95">
        <v>7.2186152540827803E-2</v>
      </c>
      <c r="AT1162" s="79">
        <v>0</v>
      </c>
      <c r="AU1162" s="79">
        <v>0.25</v>
      </c>
      <c r="AV1162" s="79">
        <v>0</v>
      </c>
      <c r="AW1162" s="79">
        <v>3.4883720930232599E-2</v>
      </c>
      <c r="AX1162" s="56"/>
      <c r="AY1162" s="54"/>
    </row>
    <row r="1163" spans="1:51">
      <c r="A1163" s="53"/>
      <c r="B1163" s="56"/>
      <c r="C1163" s="90" t="s">
        <v>1079</v>
      </c>
      <c r="D1163" s="230" t="s">
        <v>1757</v>
      </c>
      <c r="E1163" s="68" t="s">
        <v>1080</v>
      </c>
      <c r="F1163" s="128" t="s">
        <v>1187</v>
      </c>
      <c r="G1163" s="128" t="s">
        <v>1187</v>
      </c>
      <c r="H1163" s="128" t="s">
        <v>1187</v>
      </c>
      <c r="I1163" s="128" t="s">
        <v>1187</v>
      </c>
      <c r="J1163" s="70">
        <v>0.9</v>
      </c>
      <c r="K1163" s="71">
        <v>1</v>
      </c>
      <c r="L1163" s="71">
        <v>1</v>
      </c>
      <c r="M1163" s="72">
        <v>1</v>
      </c>
      <c r="N1163" s="71">
        <v>0.99339933993399299</v>
      </c>
      <c r="O1163" s="73">
        <v>0.9</v>
      </c>
      <c r="P1163" s="71">
        <v>0.97049525816649096</v>
      </c>
      <c r="Q1163" s="71">
        <v>0.97822206354873298</v>
      </c>
      <c r="R1163" s="71">
        <v>0.964796479647965</v>
      </c>
      <c r="S1163" s="71">
        <v>0.97658897217373397</v>
      </c>
      <c r="T1163" s="73">
        <v>0.9</v>
      </c>
      <c r="U1163" s="71">
        <v>0.96153846153846201</v>
      </c>
      <c r="V1163" s="71">
        <v>0.94109246697607996</v>
      </c>
      <c r="W1163" s="71">
        <v>0.953061972863953</v>
      </c>
      <c r="X1163" s="71">
        <v>0.96193996645788404</v>
      </c>
      <c r="Y1163" s="73">
        <v>0.92</v>
      </c>
      <c r="Z1163" s="73">
        <v>0.97198538367844101</v>
      </c>
      <c r="AA1163" s="73">
        <v>0.99003984063744999</v>
      </c>
      <c r="AB1163" s="73">
        <v>0.986284289276808</v>
      </c>
      <c r="AC1163" s="73">
        <v>0.98262800417972795</v>
      </c>
      <c r="AD1163" s="73">
        <v>0.92</v>
      </c>
      <c r="AE1163" s="71">
        <v>0.99703703703703705</v>
      </c>
      <c r="AF1163" s="71">
        <v>0.99886104783599095</v>
      </c>
      <c r="AG1163" s="71">
        <v>0.99726277372262795</v>
      </c>
      <c r="AH1163" s="71">
        <v>0.99821443064686299</v>
      </c>
      <c r="AI1163" s="73">
        <v>0.92</v>
      </c>
      <c r="AJ1163" s="71">
        <v>0.97903641044501699</v>
      </c>
      <c r="AK1163" s="71">
        <v>0.98546775658492303</v>
      </c>
      <c r="AL1163" s="71">
        <v>0.98781524511192997</v>
      </c>
      <c r="AM1163" s="71">
        <v>0.98863697998589795</v>
      </c>
      <c r="AN1163" s="70">
        <v>0.99</v>
      </c>
      <c r="AO1163" s="75">
        <v>1</v>
      </c>
      <c r="AP1163" s="75">
        <v>1</v>
      </c>
      <c r="AQ1163" s="75">
        <v>1</v>
      </c>
      <c r="AR1163" s="75">
        <v>1</v>
      </c>
      <c r="AS1163" s="95">
        <v>7.2186152540827803E-2</v>
      </c>
      <c r="AT1163" s="79">
        <v>0</v>
      </c>
      <c r="AU1163" s="79">
        <v>0</v>
      </c>
      <c r="AV1163" s="79">
        <v>0</v>
      </c>
      <c r="AW1163" s="79">
        <v>2.06896551724138E-2</v>
      </c>
      <c r="AX1163" s="56"/>
      <c r="AY1163" s="54"/>
    </row>
    <row r="1164" spans="1:51">
      <c r="A1164" s="53"/>
      <c r="B1164" s="56"/>
      <c r="C1164" s="90" t="s">
        <v>1079</v>
      </c>
      <c r="D1164" s="230" t="s">
        <v>1757</v>
      </c>
      <c r="E1164" s="68" t="s">
        <v>1080</v>
      </c>
      <c r="F1164" s="128" t="s">
        <v>1188</v>
      </c>
      <c r="G1164" s="128" t="s">
        <v>1188</v>
      </c>
      <c r="H1164" s="128" t="s">
        <v>1188</v>
      </c>
      <c r="I1164" s="128" t="s">
        <v>1188</v>
      </c>
      <c r="J1164" s="70">
        <v>0.9</v>
      </c>
      <c r="K1164" s="71">
        <v>0.92500000000000004</v>
      </c>
      <c r="L1164" s="71">
        <v>0.91428571428571404</v>
      </c>
      <c r="M1164" s="72">
        <v>1</v>
      </c>
      <c r="N1164" s="71">
        <v>0.94673123486682798</v>
      </c>
      <c r="O1164" s="73">
        <v>0.9</v>
      </c>
      <c r="P1164" s="71">
        <v>0.98095823095823098</v>
      </c>
      <c r="Q1164" s="71">
        <v>0.97946768060836498</v>
      </c>
      <c r="R1164" s="71">
        <v>0.88713125267208204</v>
      </c>
      <c r="S1164" s="71">
        <v>0.97563555172548899</v>
      </c>
      <c r="T1164" s="73">
        <v>0.9</v>
      </c>
      <c r="U1164" s="71">
        <v>0.90909090909090895</v>
      </c>
      <c r="V1164" s="71">
        <v>0.88859315589353605</v>
      </c>
      <c r="W1164" s="71">
        <v>0.88755878580589997</v>
      </c>
      <c r="X1164" s="71">
        <v>0.90579341141447001</v>
      </c>
      <c r="Y1164" s="73">
        <v>0.92</v>
      </c>
      <c r="Z1164" s="73">
        <v>0.95657418576598297</v>
      </c>
      <c r="AA1164" s="73">
        <v>0.94098712446351895</v>
      </c>
      <c r="AB1164" s="73">
        <v>0.91936595451412795</v>
      </c>
      <c r="AC1164" s="73">
        <v>0.95173311250443604</v>
      </c>
      <c r="AD1164" s="73">
        <v>0.92</v>
      </c>
      <c r="AE1164" s="71">
        <v>0.99495047582054796</v>
      </c>
      <c r="AF1164" s="71">
        <v>0.99284447821681898</v>
      </c>
      <c r="AG1164" s="71">
        <v>0.97590853409554901</v>
      </c>
      <c r="AH1164" s="71">
        <v>0.98767680550118298</v>
      </c>
      <c r="AI1164" s="73">
        <v>0.92</v>
      </c>
      <c r="AJ1164" s="71">
        <v>0.96317711503347503</v>
      </c>
      <c r="AK1164" s="71">
        <v>0.96659180235822595</v>
      </c>
      <c r="AL1164" s="71">
        <v>0.94170403587443996</v>
      </c>
      <c r="AM1164" s="71">
        <v>0.96554893135706998</v>
      </c>
      <c r="AN1164" s="70">
        <v>0.99</v>
      </c>
      <c r="AO1164" s="75">
        <v>1</v>
      </c>
      <c r="AP1164" s="75">
        <v>1</v>
      </c>
      <c r="AQ1164" s="75">
        <v>1</v>
      </c>
      <c r="AR1164" s="75">
        <v>1</v>
      </c>
      <c r="AS1164" s="95">
        <v>7.2186152540827803E-2</v>
      </c>
      <c r="AT1164" s="79">
        <v>0.04</v>
      </c>
      <c r="AU1164" s="79">
        <v>3.125E-2</v>
      </c>
      <c r="AV1164" s="79">
        <v>0</v>
      </c>
      <c r="AW1164" s="79">
        <v>7.7519379844961198E-2</v>
      </c>
      <c r="AX1164" s="56"/>
      <c r="AY1164" s="54"/>
    </row>
    <row r="1165" spans="1:51">
      <c r="A1165" s="53"/>
      <c r="B1165" s="56"/>
      <c r="C1165" s="90" t="s">
        <v>1079</v>
      </c>
      <c r="D1165" s="230" t="s">
        <v>1757</v>
      </c>
      <c r="E1165" s="68" t="s">
        <v>1080</v>
      </c>
      <c r="F1165" s="128" t="s">
        <v>1189</v>
      </c>
      <c r="G1165" s="128" t="s">
        <v>1189</v>
      </c>
      <c r="H1165" s="128" t="s">
        <v>1189</v>
      </c>
      <c r="I1165" s="128" t="s">
        <v>1189</v>
      </c>
      <c r="J1165" s="70">
        <v>0.9</v>
      </c>
      <c r="K1165" s="71">
        <v>0.95</v>
      </c>
      <c r="L1165" s="71">
        <v>0.93023255813953498</v>
      </c>
      <c r="M1165" s="72">
        <v>0.97435897435897401</v>
      </c>
      <c r="N1165" s="71">
        <v>0.98136645962732905</v>
      </c>
      <c r="O1165" s="73">
        <v>0.9</v>
      </c>
      <c r="P1165" s="71">
        <v>0.92054655870445301</v>
      </c>
      <c r="Q1165" s="71">
        <v>0.87788407428249904</v>
      </c>
      <c r="R1165" s="71">
        <v>0.80161476355247996</v>
      </c>
      <c r="S1165" s="71">
        <v>0.87458184498497504</v>
      </c>
      <c r="T1165" s="73">
        <v>0.9</v>
      </c>
      <c r="U1165" s="71">
        <v>0.93319838056680204</v>
      </c>
      <c r="V1165" s="71">
        <v>0.93725379853685997</v>
      </c>
      <c r="W1165" s="71">
        <v>0.89273356401384096</v>
      </c>
      <c r="X1165" s="71">
        <v>0.91472472642739699</v>
      </c>
      <c r="Y1165" s="73">
        <v>0.92</v>
      </c>
      <c r="Z1165" s="73">
        <v>0.92724679029957202</v>
      </c>
      <c r="AA1165" s="73">
        <v>0.955453149001536</v>
      </c>
      <c r="AB1165" s="73">
        <v>0.91444388525415199</v>
      </c>
      <c r="AC1165" s="73">
        <v>0.93435056984082099</v>
      </c>
      <c r="AD1165" s="73">
        <v>0.92</v>
      </c>
      <c r="AE1165" s="71">
        <v>0.99332929047907803</v>
      </c>
      <c r="AF1165" s="71">
        <v>0.98490749756572504</v>
      </c>
      <c r="AG1165" s="71">
        <v>0.99195384848944901</v>
      </c>
      <c r="AH1165" s="71">
        <v>0.992969046656622</v>
      </c>
      <c r="AI1165" s="73">
        <v>0.92</v>
      </c>
      <c r="AJ1165" s="71">
        <v>0.94413134035775503</v>
      </c>
      <c r="AK1165" s="71">
        <v>0.97508237232289996</v>
      </c>
      <c r="AL1165" s="71">
        <v>0.93658357771261003</v>
      </c>
      <c r="AM1165" s="71">
        <v>0.95592320622843496</v>
      </c>
      <c r="AN1165" s="70">
        <v>0.99</v>
      </c>
      <c r="AO1165" s="75">
        <v>1</v>
      </c>
      <c r="AP1165" s="75">
        <v>1</v>
      </c>
      <c r="AQ1165" s="75">
        <v>1</v>
      </c>
      <c r="AR1165" s="75">
        <v>1</v>
      </c>
      <c r="AS1165" s="95">
        <v>7.2186152540827803E-2</v>
      </c>
      <c r="AT1165" s="79">
        <v>0</v>
      </c>
      <c r="AU1165" s="79">
        <v>0</v>
      </c>
      <c r="AV1165" s="79">
        <v>0.16666666666666699</v>
      </c>
      <c r="AW1165" s="79">
        <v>5.63380281690141E-2</v>
      </c>
      <c r="AX1165" s="56"/>
      <c r="AY1165" s="54"/>
    </row>
    <row r="1166" spans="1:51">
      <c r="A1166" s="53"/>
      <c r="B1166" s="56"/>
      <c r="C1166" s="90" t="s">
        <v>1079</v>
      </c>
      <c r="D1166" s="230" t="s">
        <v>1757</v>
      </c>
      <c r="E1166" s="68" t="s">
        <v>1080</v>
      </c>
      <c r="F1166" s="128" t="s">
        <v>1190</v>
      </c>
      <c r="G1166" s="128" t="s">
        <v>1190</v>
      </c>
      <c r="H1166" s="128" t="s">
        <v>1190</v>
      </c>
      <c r="I1166" s="128" t="s">
        <v>1190</v>
      </c>
      <c r="J1166" s="70">
        <v>0.9</v>
      </c>
      <c r="K1166" s="71">
        <v>0.96153846153846201</v>
      </c>
      <c r="L1166" s="71">
        <v>0.90322580645161299</v>
      </c>
      <c r="M1166" s="72">
        <v>0.84615384615384603</v>
      </c>
      <c r="N1166" s="71">
        <v>0.89783281733746101</v>
      </c>
      <c r="O1166" s="73">
        <v>0.9</v>
      </c>
      <c r="P1166" s="71">
        <v>0.97053571428571395</v>
      </c>
      <c r="Q1166" s="71">
        <v>0.98008449004224496</v>
      </c>
      <c r="R1166" s="71">
        <v>0.96662763466042201</v>
      </c>
      <c r="S1166" s="71">
        <v>0.96839243230995797</v>
      </c>
      <c r="T1166" s="73">
        <v>0.9</v>
      </c>
      <c r="U1166" s="71">
        <v>0.9</v>
      </c>
      <c r="V1166" s="71">
        <v>0.91852745926373003</v>
      </c>
      <c r="W1166" s="71">
        <v>0.88641686182669799</v>
      </c>
      <c r="X1166" s="71">
        <v>0.91469355386881201</v>
      </c>
      <c r="Y1166" s="73">
        <v>0.92</v>
      </c>
      <c r="Z1166" s="73">
        <v>0.95111111111111102</v>
      </c>
      <c r="AA1166" s="73">
        <v>0.95754716981132104</v>
      </c>
      <c r="AB1166" s="73">
        <v>0.90421792618629204</v>
      </c>
      <c r="AC1166" s="73">
        <v>0.94939571150097501</v>
      </c>
      <c r="AD1166" s="73">
        <v>0.92</v>
      </c>
      <c r="AE1166" s="71">
        <v>0.99344182657274704</v>
      </c>
      <c r="AF1166" s="71">
        <v>0.99733016908929095</v>
      </c>
      <c r="AG1166" s="71">
        <v>0.99271800473329697</v>
      </c>
      <c r="AH1166" s="71">
        <v>0.92379513624643605</v>
      </c>
      <c r="AI1166" s="73">
        <v>0.92</v>
      </c>
      <c r="AJ1166" s="71">
        <v>0.953055443140429</v>
      </c>
      <c r="AK1166" s="71">
        <v>0.96566866267465101</v>
      </c>
      <c r="AL1166" s="71">
        <v>0.93007730147575496</v>
      </c>
      <c r="AM1166" s="71">
        <v>0.96260087920740101</v>
      </c>
      <c r="AN1166" s="70">
        <v>0.99</v>
      </c>
      <c r="AO1166" s="75">
        <v>1</v>
      </c>
      <c r="AP1166" s="75">
        <v>1</v>
      </c>
      <c r="AQ1166" s="75">
        <v>1</v>
      </c>
      <c r="AR1166" s="75">
        <v>1</v>
      </c>
      <c r="AS1166" s="95">
        <v>7.2186152540827803E-2</v>
      </c>
      <c r="AT1166" s="79">
        <v>4.1666666666666699E-2</v>
      </c>
      <c r="AU1166" s="79">
        <v>0.1</v>
      </c>
      <c r="AV1166" s="79">
        <v>5.2631578947368397E-2</v>
      </c>
      <c r="AW1166" s="79">
        <v>5.2434456928839003E-2</v>
      </c>
      <c r="AX1166" s="56"/>
      <c r="AY1166" s="54"/>
    </row>
    <row r="1167" spans="1:51">
      <c r="A1167" s="53"/>
      <c r="B1167" s="56"/>
      <c r="C1167" s="90" t="s">
        <v>1079</v>
      </c>
      <c r="D1167" s="230" t="s">
        <v>1757</v>
      </c>
      <c r="E1167" s="68" t="s">
        <v>1080</v>
      </c>
      <c r="F1167" s="128" t="s">
        <v>1191</v>
      </c>
      <c r="G1167" s="128" t="s">
        <v>1191</v>
      </c>
      <c r="H1167" s="128" t="s">
        <v>1191</v>
      </c>
      <c r="I1167" s="128" t="s">
        <v>1191</v>
      </c>
      <c r="J1167" s="70">
        <v>0.9</v>
      </c>
      <c r="K1167" s="71">
        <v>0.94871794871794901</v>
      </c>
      <c r="L1167" s="71">
        <v>0.97499999999999998</v>
      </c>
      <c r="M1167" s="72">
        <v>0.94594594594594605</v>
      </c>
      <c r="N1167" s="71">
        <v>0.94607843137254899</v>
      </c>
      <c r="O1167" s="73">
        <v>0.9</v>
      </c>
      <c r="P1167" s="71">
        <v>0.9375</v>
      </c>
      <c r="Q1167" s="71">
        <v>0.99342105263157898</v>
      </c>
      <c r="R1167" s="71">
        <v>0.98930252460419299</v>
      </c>
      <c r="S1167" s="71">
        <v>0.98868592117172704</v>
      </c>
      <c r="T1167" s="73">
        <v>0.9</v>
      </c>
      <c r="U1167" s="71">
        <v>0.89244186046511598</v>
      </c>
      <c r="V1167" s="71">
        <v>0.94819078947368396</v>
      </c>
      <c r="W1167" s="71">
        <v>0.95507060333761196</v>
      </c>
      <c r="X1167" s="71">
        <v>0.94273019007652403</v>
      </c>
      <c r="Y1167" s="73">
        <v>0.92</v>
      </c>
      <c r="Z1167" s="73">
        <v>0.95517867958812797</v>
      </c>
      <c r="AA1167" s="73">
        <v>0.96521739130434803</v>
      </c>
      <c r="AB1167" s="73">
        <v>0.95203679369251004</v>
      </c>
      <c r="AC1167" s="73">
        <v>0.96454529338769701</v>
      </c>
      <c r="AD1167" s="73">
        <v>0.92</v>
      </c>
      <c r="AE1167" s="71">
        <v>0.99837754522592703</v>
      </c>
      <c r="AF1167" s="71">
        <v>0.99110962566844896</v>
      </c>
      <c r="AG1167" s="71">
        <v>0.99727467393420299</v>
      </c>
      <c r="AH1167" s="71">
        <v>0.99119438268404403</v>
      </c>
      <c r="AI1167" s="73">
        <v>0.92</v>
      </c>
      <c r="AJ1167" s="71">
        <v>0.96200858936240496</v>
      </c>
      <c r="AK1167" s="71">
        <v>0.97434367541766098</v>
      </c>
      <c r="AL1167" s="71">
        <v>0.97097693703031895</v>
      </c>
      <c r="AM1167" s="71">
        <v>0.97705776786147402</v>
      </c>
      <c r="AN1167" s="70">
        <v>0.99</v>
      </c>
      <c r="AO1167" s="75">
        <v>1</v>
      </c>
      <c r="AP1167" s="75">
        <v>1</v>
      </c>
      <c r="AQ1167" s="75">
        <v>1</v>
      </c>
      <c r="AR1167" s="75">
        <v>1</v>
      </c>
      <c r="AS1167" s="95">
        <v>7.2186152540827803E-2</v>
      </c>
      <c r="AT1167" s="79">
        <v>0</v>
      </c>
      <c r="AU1167" s="79">
        <v>0</v>
      </c>
      <c r="AV1167" s="79">
        <v>0</v>
      </c>
      <c r="AW1167" s="79">
        <v>2.4691358024691398E-2</v>
      </c>
      <c r="AX1167" s="56"/>
      <c r="AY1167" s="54"/>
    </row>
    <row r="1168" spans="1:51">
      <c r="A1168" s="53"/>
      <c r="B1168" s="56"/>
      <c r="C1168" s="90" t="s">
        <v>1079</v>
      </c>
      <c r="D1168" s="230" t="s">
        <v>1757</v>
      </c>
      <c r="E1168" s="68" t="s">
        <v>1080</v>
      </c>
      <c r="F1168" s="128" t="s">
        <v>1192</v>
      </c>
      <c r="G1168" s="128" t="s">
        <v>1192</v>
      </c>
      <c r="H1168" s="128" t="s">
        <v>1192</v>
      </c>
      <c r="I1168" s="128" t="s">
        <v>1192</v>
      </c>
      <c r="J1168" s="70">
        <v>0.9</v>
      </c>
      <c r="K1168" s="71">
        <v>0.79411764705882304</v>
      </c>
      <c r="L1168" s="71">
        <v>0.87878787878787901</v>
      </c>
      <c r="M1168" s="72">
        <v>0.90322580645161299</v>
      </c>
      <c r="N1168" s="71">
        <v>0.87359550561797705</v>
      </c>
      <c r="O1168" s="73">
        <v>0.9</v>
      </c>
      <c r="P1168" s="71">
        <v>0.97721057429352798</v>
      </c>
      <c r="Q1168" s="71">
        <v>0.94713896457765701</v>
      </c>
      <c r="R1168" s="71">
        <v>0.97775175644028101</v>
      </c>
      <c r="S1168" s="71">
        <v>0.97512145640916104</v>
      </c>
      <c r="T1168" s="73">
        <v>0.9</v>
      </c>
      <c r="U1168" s="71">
        <v>0.93436645396536</v>
      </c>
      <c r="V1168" s="71">
        <v>0.92806539509536801</v>
      </c>
      <c r="W1168" s="71">
        <v>0.90339578454332503</v>
      </c>
      <c r="X1168" s="71">
        <v>0.92125353691740997</v>
      </c>
      <c r="Y1168" s="73">
        <v>0.92</v>
      </c>
      <c r="Z1168" s="73">
        <v>0.94806839772007601</v>
      </c>
      <c r="AA1168" s="73">
        <v>0.96029776674938006</v>
      </c>
      <c r="AB1168" s="73">
        <v>0.90666666666666695</v>
      </c>
      <c r="AC1168" s="73">
        <v>0.94919234327189905</v>
      </c>
      <c r="AD1168" s="73">
        <v>0.92</v>
      </c>
      <c r="AE1168" s="71">
        <v>0.99835074216602504</v>
      </c>
      <c r="AF1168" s="71">
        <v>0.99449035812672204</v>
      </c>
      <c r="AG1168" s="71">
        <v>0.99771079740557</v>
      </c>
      <c r="AH1168" s="71">
        <v>0.99275471131466297</v>
      </c>
      <c r="AI1168" s="73">
        <v>0.92</v>
      </c>
      <c r="AJ1168" s="71">
        <v>0.96038863976083699</v>
      </c>
      <c r="AK1168" s="71">
        <v>0.973116243847028</v>
      </c>
      <c r="AL1168" s="71">
        <v>0.92434662998624495</v>
      </c>
      <c r="AM1168" s="71">
        <v>0.96184230593259101</v>
      </c>
      <c r="AN1168" s="70">
        <v>0.99</v>
      </c>
      <c r="AO1168" s="75">
        <v>1</v>
      </c>
      <c r="AP1168" s="75">
        <v>1</v>
      </c>
      <c r="AQ1168" s="75">
        <v>1</v>
      </c>
      <c r="AR1168" s="75">
        <v>0.999344262295082</v>
      </c>
      <c r="AS1168" s="95">
        <v>7.2186152540827803E-2</v>
      </c>
      <c r="AT1168" s="79">
        <v>5.2631578947368397E-2</v>
      </c>
      <c r="AU1168" s="79">
        <v>0</v>
      </c>
      <c r="AV1168" s="79">
        <v>7.69230769230769E-2</v>
      </c>
      <c r="AW1168" s="79">
        <v>2.1739130434782601E-2</v>
      </c>
      <c r="AX1168" s="56"/>
      <c r="AY1168" s="54"/>
    </row>
    <row r="1169" spans="1:51">
      <c r="A1169" s="53"/>
      <c r="B1169" s="56"/>
      <c r="C1169" s="90" t="s">
        <v>1079</v>
      </c>
      <c r="D1169" s="230" t="s">
        <v>1757</v>
      </c>
      <c r="E1169" s="68" t="s">
        <v>1080</v>
      </c>
      <c r="F1169" s="128" t="s">
        <v>1193</v>
      </c>
      <c r="G1169" s="128" t="s">
        <v>1193</v>
      </c>
      <c r="H1169" s="128" t="s">
        <v>1193</v>
      </c>
      <c r="I1169" s="128" t="s">
        <v>1193</v>
      </c>
      <c r="J1169" s="70">
        <v>0.9</v>
      </c>
      <c r="K1169" s="71">
        <v>0.94117647058823495</v>
      </c>
      <c r="L1169" s="71">
        <v>0.90384615384615397</v>
      </c>
      <c r="M1169" s="72">
        <v>0.92307692307692302</v>
      </c>
      <c r="N1169" s="71">
        <v>0.936247723132969</v>
      </c>
      <c r="O1169" s="73">
        <v>0.9</v>
      </c>
      <c r="P1169" s="71">
        <v>0.99446494464944601</v>
      </c>
      <c r="Q1169" s="71">
        <v>0.98890429958391102</v>
      </c>
      <c r="R1169" s="71">
        <v>0.98773556685611696</v>
      </c>
      <c r="S1169" s="71">
        <v>0.98069453963902198</v>
      </c>
      <c r="T1169" s="73">
        <v>0.9</v>
      </c>
      <c r="U1169" s="71">
        <v>0.95894833948339497</v>
      </c>
      <c r="V1169" s="71">
        <v>0.94590846047156696</v>
      </c>
      <c r="W1169" s="71">
        <v>0.96410409811546505</v>
      </c>
      <c r="X1169" s="71">
        <v>0.94368288782271004</v>
      </c>
      <c r="Y1169" s="73">
        <v>0.92</v>
      </c>
      <c r="Z1169" s="73">
        <v>0.95658073270013599</v>
      </c>
      <c r="AA1169" s="73">
        <v>0.96253602305475505</v>
      </c>
      <c r="AB1169" s="73">
        <v>0.96341463414634099</v>
      </c>
      <c r="AC1169" s="73">
        <v>0.96187205565094902</v>
      </c>
      <c r="AD1169" s="73">
        <v>0.92</v>
      </c>
      <c r="AE1169" s="71">
        <v>0.99339892888280001</v>
      </c>
      <c r="AF1169" s="71">
        <v>0.99923850137069803</v>
      </c>
      <c r="AG1169" s="71">
        <v>0.98780340538582301</v>
      </c>
      <c r="AH1169" s="71">
        <v>0.99484136041999505</v>
      </c>
      <c r="AI1169" s="73">
        <v>0.92</v>
      </c>
      <c r="AJ1169" s="71">
        <v>0.97147421268826994</v>
      </c>
      <c r="AK1169" s="71">
        <v>0.98037252153014198</v>
      </c>
      <c r="AL1169" s="71">
        <v>0.97662954171992</v>
      </c>
      <c r="AM1169" s="71">
        <v>0.97591008278202995</v>
      </c>
      <c r="AN1169" s="70">
        <v>0.99</v>
      </c>
      <c r="AO1169" s="75">
        <v>1</v>
      </c>
      <c r="AP1169" s="75">
        <v>1</v>
      </c>
      <c r="AQ1169" s="75">
        <v>1</v>
      </c>
      <c r="AR1169" s="75">
        <v>1</v>
      </c>
      <c r="AS1169" s="95">
        <v>7.2186152540827803E-2</v>
      </c>
      <c r="AT1169" s="79">
        <v>0</v>
      </c>
      <c r="AU1169" s="79">
        <v>0.2</v>
      </c>
      <c r="AV1169" s="79">
        <v>0</v>
      </c>
      <c r="AW1169" s="79">
        <v>5.3398058252427202E-2</v>
      </c>
      <c r="AX1169" s="56"/>
      <c r="AY1169" s="54"/>
    </row>
    <row r="1170" spans="1:51">
      <c r="A1170" s="53"/>
      <c r="B1170" s="56"/>
      <c r="C1170" s="90" t="s">
        <v>1079</v>
      </c>
      <c r="D1170" s="230" t="s">
        <v>1757</v>
      </c>
      <c r="E1170" s="68" t="s">
        <v>1080</v>
      </c>
      <c r="F1170" s="128" t="s">
        <v>1194</v>
      </c>
      <c r="G1170" s="128" t="s">
        <v>1194</v>
      </c>
      <c r="H1170" s="128" t="s">
        <v>1194</v>
      </c>
      <c r="I1170" s="128" t="s">
        <v>1194</v>
      </c>
      <c r="J1170" s="70">
        <v>0.9</v>
      </c>
      <c r="K1170" s="71">
        <v>0.967741935483871</v>
      </c>
      <c r="L1170" s="71">
        <v>0.94285714285714295</v>
      </c>
      <c r="M1170" s="72">
        <v>1</v>
      </c>
      <c r="N1170" s="71">
        <v>0.96083550913838101</v>
      </c>
      <c r="O1170" s="73">
        <v>0.9</v>
      </c>
      <c r="P1170" s="71">
        <v>0.97046413502109696</v>
      </c>
      <c r="Q1170" s="71">
        <v>0.98337707786526696</v>
      </c>
      <c r="R1170" s="71">
        <v>0.98184294144348605</v>
      </c>
      <c r="S1170" s="71">
        <v>0.940743322731036</v>
      </c>
      <c r="T1170" s="73">
        <v>0.9</v>
      </c>
      <c r="U1170" s="71">
        <v>0.930379746835443</v>
      </c>
      <c r="V1170" s="71">
        <v>0.93700787401574803</v>
      </c>
      <c r="W1170" s="71">
        <v>0.89559691330004498</v>
      </c>
      <c r="X1170" s="71">
        <v>0.92335845932639105</v>
      </c>
      <c r="Y1170" s="73">
        <v>0.92</v>
      </c>
      <c r="Z1170" s="73">
        <v>0.95297805642633204</v>
      </c>
      <c r="AA1170" s="73">
        <v>0.96076099881093902</v>
      </c>
      <c r="AB1170" s="73">
        <v>0.94875549048316299</v>
      </c>
      <c r="AC1170" s="73">
        <v>0.95113115986603802</v>
      </c>
      <c r="AD1170" s="73">
        <v>0.92</v>
      </c>
      <c r="AE1170" s="71">
        <v>0.983575403827881</v>
      </c>
      <c r="AF1170" s="71">
        <v>0.98786485052184703</v>
      </c>
      <c r="AG1170" s="71">
        <v>0.98218758697467301</v>
      </c>
      <c r="AH1170" s="71">
        <v>0.96067171175997901</v>
      </c>
      <c r="AI1170" s="73">
        <v>0.92</v>
      </c>
      <c r="AJ1170" s="71">
        <v>0.96294924045942898</v>
      </c>
      <c r="AK1170" s="71">
        <v>0.97730904442313804</v>
      </c>
      <c r="AL1170" s="71">
        <v>0.962464985994398</v>
      </c>
      <c r="AM1170" s="71">
        <v>0.96901266092137495</v>
      </c>
      <c r="AN1170" s="70">
        <v>0.99</v>
      </c>
      <c r="AO1170" s="75">
        <v>1</v>
      </c>
      <c r="AP1170" s="75">
        <v>1</v>
      </c>
      <c r="AQ1170" s="75">
        <v>1</v>
      </c>
      <c r="AR1170" s="75">
        <v>1</v>
      </c>
      <c r="AS1170" s="95">
        <v>7.2186152540827803E-2</v>
      </c>
      <c r="AT1170" s="79">
        <v>0</v>
      </c>
      <c r="AU1170" s="79">
        <v>0</v>
      </c>
      <c r="AV1170" s="79">
        <v>0</v>
      </c>
      <c r="AW1170" s="79">
        <v>2.18978102189781E-2</v>
      </c>
      <c r="AX1170" s="56"/>
      <c r="AY1170" s="54"/>
    </row>
    <row r="1171" spans="1:51">
      <c r="A1171" s="53"/>
      <c r="B1171" s="56"/>
      <c r="C1171" s="90" t="s">
        <v>1079</v>
      </c>
      <c r="D1171" s="230" t="s">
        <v>1757</v>
      </c>
      <c r="E1171" s="68" t="s">
        <v>1080</v>
      </c>
      <c r="F1171" s="128" t="s">
        <v>1195</v>
      </c>
      <c r="G1171" s="128" t="s">
        <v>1195</v>
      </c>
      <c r="H1171" s="128" t="s">
        <v>1195</v>
      </c>
      <c r="I1171" s="128" t="s">
        <v>1195</v>
      </c>
      <c r="J1171" s="70">
        <v>0.9</v>
      </c>
      <c r="K1171" s="71">
        <v>0.95555555555555605</v>
      </c>
      <c r="L1171" s="71">
        <v>0.96</v>
      </c>
      <c r="M1171" s="72">
        <v>0.88372093023255804</v>
      </c>
      <c r="N1171" s="71">
        <v>0.93644859813084103</v>
      </c>
      <c r="O1171" s="73">
        <v>0.9</v>
      </c>
      <c r="P1171" s="71">
        <v>0.97570850202429105</v>
      </c>
      <c r="Q1171" s="71">
        <v>0.97248880358285394</v>
      </c>
      <c r="R1171" s="71">
        <v>0.96992227103751305</v>
      </c>
      <c r="S1171" s="71">
        <v>0.96864167935469203</v>
      </c>
      <c r="T1171" s="73">
        <v>0.9</v>
      </c>
      <c r="U1171" s="71">
        <v>0.95293522267206499</v>
      </c>
      <c r="V1171" s="71">
        <v>0.95937300063979503</v>
      </c>
      <c r="W1171" s="71">
        <v>0.93308550185873596</v>
      </c>
      <c r="X1171" s="71">
        <v>0.94836243480514404</v>
      </c>
      <c r="Y1171" s="73">
        <v>0.92</v>
      </c>
      <c r="Z1171" s="73">
        <v>0.96260683760683796</v>
      </c>
      <c r="AA1171" s="73">
        <v>0.97386253630203301</v>
      </c>
      <c r="AB1171" s="73">
        <v>0.94148624926857805</v>
      </c>
      <c r="AC1171" s="73">
        <v>0.95539383137779099</v>
      </c>
      <c r="AD1171" s="73">
        <v>0.92</v>
      </c>
      <c r="AE1171" s="71">
        <v>0.99580272822665294</v>
      </c>
      <c r="AF1171" s="71">
        <v>0.99641791044776096</v>
      </c>
      <c r="AG1171" s="71">
        <v>0.99509964064031398</v>
      </c>
      <c r="AH1171" s="71">
        <v>0.93941501756338497</v>
      </c>
      <c r="AI1171" s="73">
        <v>0.92</v>
      </c>
      <c r="AJ1171" s="71">
        <v>0.97245322245322197</v>
      </c>
      <c r="AK1171" s="71">
        <v>0.98389035825919702</v>
      </c>
      <c r="AL1171" s="71">
        <v>0.95994859713000602</v>
      </c>
      <c r="AM1171" s="71">
        <v>0.97292058270676696</v>
      </c>
      <c r="AN1171" s="70">
        <v>0.99</v>
      </c>
      <c r="AO1171" s="75">
        <v>1</v>
      </c>
      <c r="AP1171" s="75">
        <v>1</v>
      </c>
      <c r="AQ1171" s="75">
        <v>1</v>
      </c>
      <c r="AR1171" s="75">
        <v>1</v>
      </c>
      <c r="AS1171" s="95">
        <v>7.2186152540827803E-2</v>
      </c>
      <c r="AT1171" s="79">
        <v>0</v>
      </c>
      <c r="AU1171" s="79">
        <v>4.7619047619047603E-2</v>
      </c>
      <c r="AV1171" s="79">
        <v>0</v>
      </c>
      <c r="AW1171" s="79">
        <v>3.5555555555555597E-2</v>
      </c>
      <c r="AX1171" s="56"/>
      <c r="AY1171" s="54"/>
    </row>
    <row r="1172" spans="1:51">
      <c r="A1172" s="53"/>
      <c r="B1172" s="56"/>
      <c r="C1172" s="90" t="s">
        <v>1079</v>
      </c>
      <c r="D1172" s="230" t="s">
        <v>1759</v>
      </c>
      <c r="E1172" s="68" t="s">
        <v>1080</v>
      </c>
      <c r="F1172" s="128" t="s">
        <v>1196</v>
      </c>
      <c r="G1172" s="128" t="s">
        <v>1196</v>
      </c>
      <c r="H1172" s="128" t="s">
        <v>1196</v>
      </c>
      <c r="I1172" s="128" t="s">
        <v>1196</v>
      </c>
      <c r="J1172" s="70">
        <v>0.9</v>
      </c>
      <c r="K1172" s="71" t="s">
        <v>1710</v>
      </c>
      <c r="L1172" s="71" t="s">
        <v>1710</v>
      </c>
      <c r="M1172" s="72" t="s">
        <v>1710</v>
      </c>
      <c r="N1172" s="71" t="s">
        <v>1710</v>
      </c>
      <c r="O1172" s="73">
        <v>0.9</v>
      </c>
      <c r="P1172" s="71">
        <v>0</v>
      </c>
      <c r="Q1172" s="71">
        <v>0</v>
      </c>
      <c r="R1172" s="71" t="s">
        <v>1710</v>
      </c>
      <c r="S1172" s="71">
        <v>0</v>
      </c>
      <c r="T1172" s="73">
        <v>0.9</v>
      </c>
      <c r="U1172" s="71">
        <v>1</v>
      </c>
      <c r="V1172" s="71">
        <v>1</v>
      </c>
      <c r="W1172" s="71" t="s">
        <v>1710</v>
      </c>
      <c r="X1172" s="71">
        <v>1</v>
      </c>
      <c r="Y1172" s="73">
        <v>0.92</v>
      </c>
      <c r="Z1172" s="73">
        <v>0</v>
      </c>
      <c r="AA1172" s="73" t="s">
        <v>1710</v>
      </c>
      <c r="AB1172" s="73">
        <v>1</v>
      </c>
      <c r="AC1172" s="73">
        <v>0.75</v>
      </c>
      <c r="AD1172" s="73">
        <v>0.92</v>
      </c>
      <c r="AE1172" s="71">
        <v>0.99503627338678902</v>
      </c>
      <c r="AF1172" s="71">
        <v>0.99086905145558102</v>
      </c>
      <c r="AG1172" s="71">
        <v>0.99921568627450996</v>
      </c>
      <c r="AH1172" s="71">
        <v>0.98165623316552997</v>
      </c>
      <c r="AI1172" s="73">
        <v>0.92</v>
      </c>
      <c r="AJ1172" s="71">
        <v>0.83333333333333304</v>
      </c>
      <c r="AK1172" s="71">
        <v>1</v>
      </c>
      <c r="AL1172" s="71">
        <v>1</v>
      </c>
      <c r="AM1172" s="71">
        <v>0.97222222222222199</v>
      </c>
      <c r="AN1172" s="70">
        <v>0.99</v>
      </c>
      <c r="AO1172" s="75">
        <v>1</v>
      </c>
      <c r="AP1172" s="75">
        <v>1</v>
      </c>
      <c r="AQ1172" s="75">
        <v>1</v>
      </c>
      <c r="AR1172" s="75">
        <v>1</v>
      </c>
      <c r="AS1172" s="95">
        <v>7.2186152540827803E-2</v>
      </c>
      <c r="AT1172" s="79" t="s">
        <v>1710</v>
      </c>
      <c r="AU1172" s="79" t="s">
        <v>1710</v>
      </c>
      <c r="AV1172" s="79" t="s">
        <v>1710</v>
      </c>
      <c r="AW1172" s="79" t="s">
        <v>1710</v>
      </c>
      <c r="AX1172" s="56"/>
      <c r="AY1172" s="54"/>
    </row>
    <row r="1173" spans="1:51">
      <c r="A1173" s="53"/>
      <c r="B1173" s="56"/>
      <c r="C1173" s="90" t="s">
        <v>1079</v>
      </c>
      <c r="D1173" s="230" t="s">
        <v>1757</v>
      </c>
      <c r="E1173" s="68" t="s">
        <v>1080</v>
      </c>
      <c r="F1173" s="128" t="s">
        <v>1197</v>
      </c>
      <c r="G1173" s="128" t="s">
        <v>1197</v>
      </c>
      <c r="H1173" s="128" t="s">
        <v>1197</v>
      </c>
      <c r="I1173" s="128" t="s">
        <v>1197</v>
      </c>
      <c r="J1173" s="70">
        <v>0.9</v>
      </c>
      <c r="K1173" s="71">
        <v>0.93023255813953498</v>
      </c>
      <c r="L1173" s="71">
        <v>0.89361702127659604</v>
      </c>
      <c r="M1173" s="72">
        <v>0.95555555555555605</v>
      </c>
      <c r="N1173" s="71">
        <v>0.92441860465116299</v>
      </c>
      <c r="O1173" s="73">
        <v>0.9</v>
      </c>
      <c r="P1173" s="71">
        <v>0.96310935441370205</v>
      </c>
      <c r="Q1173" s="71">
        <v>0.94825355756791696</v>
      </c>
      <c r="R1173" s="71">
        <v>0.95983017635532297</v>
      </c>
      <c r="S1173" s="71">
        <v>0.95982343001000103</v>
      </c>
      <c r="T1173" s="73">
        <v>0.9</v>
      </c>
      <c r="U1173" s="71">
        <v>0.89196310935441403</v>
      </c>
      <c r="V1173" s="71">
        <v>0.89586028460543299</v>
      </c>
      <c r="W1173" s="71">
        <v>0.89581972566949697</v>
      </c>
      <c r="X1173" s="71">
        <v>0.904576335482981</v>
      </c>
      <c r="Y1173" s="73">
        <v>0.92</v>
      </c>
      <c r="Z1173" s="73">
        <v>0.93003618817852796</v>
      </c>
      <c r="AA1173" s="73">
        <v>0.96299411269974799</v>
      </c>
      <c r="AB1173" s="73">
        <v>0.95779019242706398</v>
      </c>
      <c r="AC1173" s="73">
        <v>0.95428475033738203</v>
      </c>
      <c r="AD1173" s="73">
        <v>0.92</v>
      </c>
      <c r="AE1173" s="71">
        <v>0.99373920552676998</v>
      </c>
      <c r="AF1173" s="71">
        <v>0.99689966178128497</v>
      </c>
      <c r="AG1173" s="71">
        <v>0.99857448325017795</v>
      </c>
      <c r="AH1173" s="71">
        <v>0.99751763513373704</v>
      </c>
      <c r="AI1173" s="73">
        <v>0.92</v>
      </c>
      <c r="AJ1173" s="71">
        <v>0.94836272040302305</v>
      </c>
      <c r="AK1173" s="71">
        <v>0.97804764128911703</v>
      </c>
      <c r="AL1173" s="71">
        <v>0.97454000855797995</v>
      </c>
      <c r="AM1173" s="71">
        <v>0.97330512097118904</v>
      </c>
      <c r="AN1173" s="70">
        <v>0.99</v>
      </c>
      <c r="AO1173" s="75">
        <v>1</v>
      </c>
      <c r="AP1173" s="75">
        <v>1</v>
      </c>
      <c r="AQ1173" s="75">
        <v>1</v>
      </c>
      <c r="AR1173" s="75">
        <v>1</v>
      </c>
      <c r="AS1173" s="95">
        <v>7.2186152540827803E-2</v>
      </c>
      <c r="AT1173" s="79">
        <v>9.0909090909090898E-2</v>
      </c>
      <c r="AU1173" s="79">
        <v>0.16666666666666699</v>
      </c>
      <c r="AV1173" s="79">
        <v>0</v>
      </c>
      <c r="AW1173" s="79">
        <v>4.8275862068965503E-2</v>
      </c>
      <c r="AX1173" s="56"/>
      <c r="AY1173" s="54"/>
    </row>
    <row r="1174" spans="1:51">
      <c r="A1174" s="53"/>
      <c r="B1174" s="56"/>
      <c r="C1174" s="90" t="s">
        <v>1079</v>
      </c>
      <c r="D1174" s="230" t="s">
        <v>1757</v>
      </c>
      <c r="E1174" s="68" t="s">
        <v>1080</v>
      </c>
      <c r="F1174" s="128" t="s">
        <v>1198</v>
      </c>
      <c r="G1174" s="128" t="s">
        <v>1198</v>
      </c>
      <c r="H1174" s="128" t="s">
        <v>1198</v>
      </c>
      <c r="I1174" s="128" t="s">
        <v>1198</v>
      </c>
      <c r="J1174" s="70">
        <v>0.9</v>
      </c>
      <c r="K1174" s="71">
        <v>0.97619047619047605</v>
      </c>
      <c r="L1174" s="71">
        <v>1</v>
      </c>
      <c r="M1174" s="72">
        <v>0.92105263157894701</v>
      </c>
      <c r="N1174" s="71">
        <v>0.96370967741935498</v>
      </c>
      <c r="O1174" s="73">
        <v>0.9</v>
      </c>
      <c r="P1174" s="71">
        <v>0.96527428283844996</v>
      </c>
      <c r="Q1174" s="71">
        <v>0.972348916761688</v>
      </c>
      <c r="R1174" s="71">
        <v>0.98133848133848101</v>
      </c>
      <c r="S1174" s="71">
        <v>0.97115943358717904</v>
      </c>
      <c r="T1174" s="73">
        <v>0.9</v>
      </c>
      <c r="U1174" s="71">
        <v>0.94313034725717204</v>
      </c>
      <c r="V1174" s="71">
        <v>0.95011402508551901</v>
      </c>
      <c r="W1174" s="71">
        <v>0.94723294723294704</v>
      </c>
      <c r="X1174" s="71">
        <v>0.94745695323729995</v>
      </c>
      <c r="Y1174" s="73">
        <v>0.92</v>
      </c>
      <c r="Z1174" s="73">
        <v>0.94642857142857095</v>
      </c>
      <c r="AA1174" s="73">
        <v>0.96195652173913004</v>
      </c>
      <c r="AB1174" s="73">
        <v>0.95168595873175599</v>
      </c>
      <c r="AC1174" s="73">
        <v>0.95620057767886701</v>
      </c>
      <c r="AD1174" s="73">
        <v>0.92</v>
      </c>
      <c r="AE1174" s="71">
        <v>0.99274778404512498</v>
      </c>
      <c r="AF1174" s="71">
        <v>0.99540517961570596</v>
      </c>
      <c r="AG1174" s="71">
        <v>0.998718183482879</v>
      </c>
      <c r="AH1174" s="71">
        <v>0.99258937009645798</v>
      </c>
      <c r="AI1174" s="73">
        <v>0.92</v>
      </c>
      <c r="AJ1174" s="71">
        <v>0.963103122043519</v>
      </c>
      <c r="AK1174" s="71">
        <v>0.98113616652211599</v>
      </c>
      <c r="AL1174" s="71">
        <v>0.97076711791249803</v>
      </c>
      <c r="AM1174" s="71">
        <v>0.97508453792129601</v>
      </c>
      <c r="AN1174" s="70">
        <v>0.99</v>
      </c>
      <c r="AO1174" s="75">
        <v>1</v>
      </c>
      <c r="AP1174" s="75">
        <v>1</v>
      </c>
      <c r="AQ1174" s="75">
        <v>1</v>
      </c>
      <c r="AR1174" s="75">
        <v>1</v>
      </c>
      <c r="AS1174" s="95">
        <v>7.2186152540827803E-2</v>
      </c>
      <c r="AT1174" s="79">
        <v>6.6666666666666693E-2</v>
      </c>
      <c r="AU1174" s="79">
        <v>0</v>
      </c>
      <c r="AV1174" s="79">
        <v>0</v>
      </c>
      <c r="AW1174" s="79">
        <v>5.4216867469879498E-2</v>
      </c>
      <c r="AX1174" s="56"/>
      <c r="AY1174" s="54"/>
    </row>
    <row r="1175" spans="1:51">
      <c r="A1175" s="53"/>
      <c r="B1175" s="56"/>
      <c r="C1175" s="90" t="s">
        <v>1079</v>
      </c>
      <c r="D1175" s="230" t="s">
        <v>1757</v>
      </c>
      <c r="E1175" s="68" t="s">
        <v>1080</v>
      </c>
      <c r="F1175" s="128" t="s">
        <v>1199</v>
      </c>
      <c r="G1175" s="128" t="s">
        <v>1199</v>
      </c>
      <c r="H1175" s="128" t="s">
        <v>1199</v>
      </c>
      <c r="I1175" s="128" t="s">
        <v>1199</v>
      </c>
      <c r="J1175" s="70">
        <v>0.9</v>
      </c>
      <c r="K1175" s="71">
        <v>0.91304347826086996</v>
      </c>
      <c r="L1175" s="71">
        <v>0.875</v>
      </c>
      <c r="M1175" s="72">
        <v>0.83333333333333304</v>
      </c>
      <c r="N1175" s="71">
        <v>0.90839694656488501</v>
      </c>
      <c r="O1175" s="73">
        <v>0.9</v>
      </c>
      <c r="P1175" s="71">
        <v>0.96887796887796895</v>
      </c>
      <c r="Q1175" s="71">
        <v>0.98616515348032896</v>
      </c>
      <c r="R1175" s="71">
        <v>0.99071358748778104</v>
      </c>
      <c r="S1175" s="71">
        <v>0.98366149979053197</v>
      </c>
      <c r="T1175" s="73">
        <v>0.9</v>
      </c>
      <c r="U1175" s="71">
        <v>0.94512694512694495</v>
      </c>
      <c r="V1175" s="71">
        <v>0.91655858192823203</v>
      </c>
      <c r="W1175" s="71">
        <v>0.95210166177908095</v>
      </c>
      <c r="X1175" s="71">
        <v>0.94023181119955301</v>
      </c>
      <c r="Y1175" s="73">
        <v>0.92</v>
      </c>
      <c r="Z1175" s="73">
        <v>0.94196744515215902</v>
      </c>
      <c r="AA1175" s="73">
        <v>0.94862155388471203</v>
      </c>
      <c r="AB1175" s="73">
        <v>0.95136026380873895</v>
      </c>
      <c r="AC1175" s="73">
        <v>0.964544191826888</v>
      </c>
      <c r="AD1175" s="73">
        <v>0.92</v>
      </c>
      <c r="AE1175" s="71">
        <v>0.99679969879518104</v>
      </c>
      <c r="AF1175" s="71">
        <v>0.97866320877048196</v>
      </c>
      <c r="AG1175" s="71">
        <v>0.99834947183098599</v>
      </c>
      <c r="AH1175" s="71">
        <v>0.99381327334083203</v>
      </c>
      <c r="AI1175" s="73">
        <v>0.92</v>
      </c>
      <c r="AJ1175" s="71">
        <v>0.95787476280834905</v>
      </c>
      <c r="AK1175" s="71">
        <v>0.97010607521697201</v>
      </c>
      <c r="AL1175" s="71">
        <v>0.97453206505062895</v>
      </c>
      <c r="AM1175" s="71">
        <v>0.97682486421929604</v>
      </c>
      <c r="AN1175" s="70">
        <v>0.99</v>
      </c>
      <c r="AO1175" s="75">
        <v>1</v>
      </c>
      <c r="AP1175" s="75">
        <v>1</v>
      </c>
      <c r="AQ1175" s="75">
        <v>1</v>
      </c>
      <c r="AR1175" s="75">
        <v>1</v>
      </c>
      <c r="AS1175" s="95">
        <v>7.2186152540827803E-2</v>
      </c>
      <c r="AT1175" s="79">
        <v>0</v>
      </c>
      <c r="AU1175" s="79">
        <v>5.2631578947368397E-2</v>
      </c>
      <c r="AV1175" s="79">
        <v>6.6666666666666693E-2</v>
      </c>
      <c r="AW1175" s="79">
        <v>6.4516129032258104E-2</v>
      </c>
      <c r="AX1175" s="56"/>
      <c r="AY1175" s="54"/>
    </row>
    <row r="1176" spans="1:51">
      <c r="A1176" s="53"/>
      <c r="B1176" s="56"/>
      <c r="C1176" s="90" t="s">
        <v>1079</v>
      </c>
      <c r="D1176" s="230" t="s">
        <v>1757</v>
      </c>
      <c r="E1176" s="68" t="s">
        <v>1080</v>
      </c>
      <c r="F1176" s="128" t="s">
        <v>1200</v>
      </c>
      <c r="G1176" s="128" t="s">
        <v>1200</v>
      </c>
      <c r="H1176" s="128" t="s">
        <v>1200</v>
      </c>
      <c r="I1176" s="128" t="s">
        <v>1200</v>
      </c>
      <c r="J1176" s="70">
        <v>0.9</v>
      </c>
      <c r="K1176" s="71">
        <v>0.97619047619047605</v>
      </c>
      <c r="L1176" s="71">
        <v>0.952380952380952</v>
      </c>
      <c r="M1176" s="72">
        <v>0.95121951219512202</v>
      </c>
      <c r="N1176" s="71">
        <v>0.93402061855670104</v>
      </c>
      <c r="O1176" s="73">
        <v>0.9</v>
      </c>
      <c r="P1176" s="71">
        <v>0.94670050761421298</v>
      </c>
      <c r="Q1176" s="71">
        <v>0.94899043570669495</v>
      </c>
      <c r="R1176" s="71">
        <v>0.92581775700934599</v>
      </c>
      <c r="S1176" s="71">
        <v>0.95495863270193804</v>
      </c>
      <c r="T1176" s="73">
        <v>0.9</v>
      </c>
      <c r="U1176" s="71">
        <v>0.91074450084602399</v>
      </c>
      <c r="V1176" s="71">
        <v>0.89612114771519702</v>
      </c>
      <c r="W1176" s="71">
        <v>0.88960280373831802</v>
      </c>
      <c r="X1176" s="71">
        <v>0.91340082734596095</v>
      </c>
      <c r="Y1176" s="73">
        <v>0.92</v>
      </c>
      <c r="Z1176" s="73">
        <v>0.93267326732673295</v>
      </c>
      <c r="AA1176" s="73">
        <v>0.95332390381895304</v>
      </c>
      <c r="AB1176" s="73">
        <v>0.92272727272727295</v>
      </c>
      <c r="AC1176" s="73">
        <v>0.951696120251879</v>
      </c>
      <c r="AD1176" s="73">
        <v>0.92</v>
      </c>
      <c r="AE1176" s="71">
        <v>0.99783750386159997</v>
      </c>
      <c r="AF1176" s="71">
        <v>0.99801412180052995</v>
      </c>
      <c r="AG1176" s="71">
        <v>0.99191823151889702</v>
      </c>
      <c r="AH1176" s="71">
        <v>0.99610213438192197</v>
      </c>
      <c r="AI1176" s="73">
        <v>0.92</v>
      </c>
      <c r="AJ1176" s="71">
        <v>0.94827233694541002</v>
      </c>
      <c r="AK1176" s="71">
        <v>0.96349942062572402</v>
      </c>
      <c r="AL1176" s="71">
        <v>0.94736842105263197</v>
      </c>
      <c r="AM1176" s="71">
        <v>0.96618648763158799</v>
      </c>
      <c r="AN1176" s="70">
        <v>0.99</v>
      </c>
      <c r="AO1176" s="75">
        <v>1</v>
      </c>
      <c r="AP1176" s="75">
        <v>1</v>
      </c>
      <c r="AQ1176" s="75">
        <v>1</v>
      </c>
      <c r="AR1176" s="75">
        <v>1</v>
      </c>
      <c r="AS1176" s="95">
        <v>7.2186152540827803E-2</v>
      </c>
      <c r="AT1176" s="79">
        <v>0</v>
      </c>
      <c r="AU1176" s="79">
        <v>0</v>
      </c>
      <c r="AV1176" s="79">
        <v>0.05</v>
      </c>
      <c r="AW1176" s="79">
        <v>3.0100334448160501E-2</v>
      </c>
      <c r="AX1176" s="56"/>
      <c r="AY1176" s="54"/>
    </row>
    <row r="1177" spans="1:51">
      <c r="A1177" s="53"/>
      <c r="B1177" s="56"/>
      <c r="C1177" s="90" t="s">
        <v>1079</v>
      </c>
      <c r="D1177" s="230" t="s">
        <v>1757</v>
      </c>
      <c r="E1177" s="68" t="s">
        <v>1080</v>
      </c>
      <c r="F1177" s="128" t="s">
        <v>1201</v>
      </c>
      <c r="G1177" s="128" t="s">
        <v>1201</v>
      </c>
      <c r="H1177" s="128" t="s">
        <v>1201</v>
      </c>
      <c r="I1177" s="128" t="s">
        <v>1201</v>
      </c>
      <c r="J1177" s="70">
        <v>0.9</v>
      </c>
      <c r="K1177" s="71">
        <v>0.93333333333333302</v>
      </c>
      <c r="L1177" s="71">
        <v>0.9</v>
      </c>
      <c r="M1177" s="72">
        <v>0.93333333333333302</v>
      </c>
      <c r="N1177" s="71">
        <v>0.91376146788990797</v>
      </c>
      <c r="O1177" s="73">
        <v>0.9</v>
      </c>
      <c r="P1177" s="71">
        <v>0.85929203539822996</v>
      </c>
      <c r="Q1177" s="71">
        <v>0.81939546599496205</v>
      </c>
      <c r="R1177" s="71">
        <v>0.958659821669819</v>
      </c>
      <c r="S1177" s="71">
        <v>0.90157841007250705</v>
      </c>
      <c r="T1177" s="73">
        <v>0.9</v>
      </c>
      <c r="U1177" s="71">
        <v>0.91592920353982299</v>
      </c>
      <c r="V1177" s="71">
        <v>0.87405541561712896</v>
      </c>
      <c r="W1177" s="71">
        <v>0.87381788705755203</v>
      </c>
      <c r="X1177" s="71">
        <v>0.91079234615082605</v>
      </c>
      <c r="Y1177" s="73">
        <v>0.92</v>
      </c>
      <c r="Z1177" s="73">
        <v>0.93095349929544402</v>
      </c>
      <c r="AA1177" s="73">
        <v>0.939347990902199</v>
      </c>
      <c r="AB1177" s="73">
        <v>0.86727879799666097</v>
      </c>
      <c r="AC1177" s="73">
        <v>0.93799892459775802</v>
      </c>
      <c r="AD1177" s="73">
        <v>0.92</v>
      </c>
      <c r="AE1177" s="71">
        <v>0.98209966134494397</v>
      </c>
      <c r="AF1177" s="71">
        <v>0.99459459459459498</v>
      </c>
      <c r="AG1177" s="71">
        <v>0.99188170484198301</v>
      </c>
      <c r="AH1177" s="71">
        <v>0.98941749391271805</v>
      </c>
      <c r="AI1177" s="73">
        <v>0.92</v>
      </c>
      <c r="AJ1177" s="71">
        <v>0.95152480655439198</v>
      </c>
      <c r="AK1177" s="71">
        <v>0.97127197127197096</v>
      </c>
      <c r="AL1177" s="71">
        <v>0.92390947851754701</v>
      </c>
      <c r="AM1177" s="71">
        <v>0.96260978267837705</v>
      </c>
      <c r="AN1177" s="70">
        <v>0.99</v>
      </c>
      <c r="AO1177" s="75">
        <v>1</v>
      </c>
      <c r="AP1177" s="75">
        <v>1</v>
      </c>
      <c r="AQ1177" s="75">
        <v>1</v>
      </c>
      <c r="AR1177" s="75">
        <v>1</v>
      </c>
      <c r="AS1177" s="95">
        <v>7.2186152540827803E-2</v>
      </c>
      <c r="AT1177" s="79">
        <v>0</v>
      </c>
      <c r="AU1177" s="79">
        <v>0</v>
      </c>
      <c r="AV1177" s="79">
        <v>0</v>
      </c>
      <c r="AW1177" s="79">
        <v>1.6129032258064498E-2</v>
      </c>
      <c r="AX1177" s="56"/>
      <c r="AY1177" s="54"/>
    </row>
    <row r="1178" spans="1:51">
      <c r="A1178" s="53"/>
      <c r="B1178" s="56"/>
      <c r="C1178" s="90" t="s">
        <v>1079</v>
      </c>
      <c r="D1178" s="230" t="s">
        <v>1757</v>
      </c>
      <c r="E1178" s="68" t="s">
        <v>1080</v>
      </c>
      <c r="F1178" s="128" t="s">
        <v>1202</v>
      </c>
      <c r="G1178" s="128" t="s">
        <v>1202</v>
      </c>
      <c r="H1178" s="128" t="s">
        <v>1202</v>
      </c>
      <c r="I1178" s="128" t="s">
        <v>1202</v>
      </c>
      <c r="J1178" s="70">
        <v>0.9</v>
      </c>
      <c r="K1178" s="71">
        <v>0.97222222222222199</v>
      </c>
      <c r="L1178" s="71">
        <v>0.95744680851063801</v>
      </c>
      <c r="M1178" s="72">
        <v>0.95555555555555605</v>
      </c>
      <c r="N1178" s="71">
        <v>0.94767441860465096</v>
      </c>
      <c r="O1178" s="73">
        <v>0.9</v>
      </c>
      <c r="P1178" s="71">
        <v>0.89404594467885601</v>
      </c>
      <c r="Q1178" s="71">
        <v>0.96782291191236902</v>
      </c>
      <c r="R1178" s="71">
        <v>0.95577701650576097</v>
      </c>
      <c r="S1178" s="71">
        <v>0.95682265724545301</v>
      </c>
      <c r="T1178" s="73">
        <v>0.9</v>
      </c>
      <c r="U1178" s="71">
        <v>0.88420065635255496</v>
      </c>
      <c r="V1178" s="71">
        <v>0.94408945686901002</v>
      </c>
      <c r="W1178" s="71">
        <v>0.90906259732170702</v>
      </c>
      <c r="X1178" s="71">
        <v>0.92624232595853095</v>
      </c>
      <c r="Y1178" s="73">
        <v>0.92</v>
      </c>
      <c r="Z1178" s="73">
        <v>0.90162368672397297</v>
      </c>
      <c r="AA1178" s="73">
        <v>0.98630136986301398</v>
      </c>
      <c r="AB1178" s="73">
        <v>1</v>
      </c>
      <c r="AC1178" s="73">
        <v>0.92086776859504105</v>
      </c>
      <c r="AD1178" s="73">
        <v>0.92</v>
      </c>
      <c r="AE1178" s="71">
        <v>0.99484014569000401</v>
      </c>
      <c r="AF1178" s="71">
        <v>0.98211508553654703</v>
      </c>
      <c r="AG1178" s="71">
        <v>0.99692225344573804</v>
      </c>
      <c r="AH1178" s="71">
        <v>0.99603991381696899</v>
      </c>
      <c r="AI1178" s="73">
        <v>0.92</v>
      </c>
      <c r="AJ1178" s="71">
        <v>0.92580949386985201</v>
      </c>
      <c r="AK1178" s="71">
        <v>0.98630964364807705</v>
      </c>
      <c r="AL1178" s="71">
        <v>0.95657530027717896</v>
      </c>
      <c r="AM1178" s="71">
        <v>0.95897691037789201</v>
      </c>
      <c r="AN1178" s="70">
        <v>0.99</v>
      </c>
      <c r="AO1178" s="75">
        <v>1</v>
      </c>
      <c r="AP1178" s="75">
        <v>1</v>
      </c>
      <c r="AQ1178" s="75">
        <v>1</v>
      </c>
      <c r="AR1178" s="75">
        <v>1</v>
      </c>
      <c r="AS1178" s="95">
        <v>7.2186152540827803E-2</v>
      </c>
      <c r="AT1178" s="79">
        <v>5.5555555555555601E-2</v>
      </c>
      <c r="AU1178" s="79">
        <v>3.5714285714285698E-2</v>
      </c>
      <c r="AV1178" s="79">
        <v>3.3333333333333298E-2</v>
      </c>
      <c r="AW1178" s="79">
        <v>3.2388663967611302E-2</v>
      </c>
      <c r="AX1178" s="56"/>
      <c r="AY1178" s="54"/>
    </row>
    <row r="1179" spans="1:51">
      <c r="A1179" s="53"/>
      <c r="B1179" s="56"/>
      <c r="C1179" s="90" t="s">
        <v>1079</v>
      </c>
      <c r="D1179" s="230" t="s">
        <v>1757</v>
      </c>
      <c r="E1179" s="68" t="s">
        <v>1080</v>
      </c>
      <c r="F1179" s="128" t="s">
        <v>1203</v>
      </c>
      <c r="G1179" s="128" t="s">
        <v>1203</v>
      </c>
      <c r="H1179" s="128" t="s">
        <v>1203</v>
      </c>
      <c r="I1179" s="128" t="s">
        <v>1203</v>
      </c>
      <c r="J1179" s="70">
        <v>0.9</v>
      </c>
      <c r="K1179" s="71">
        <v>0.91304347826086996</v>
      </c>
      <c r="L1179" s="71">
        <v>0.91666666666666696</v>
      </c>
      <c r="M1179" s="72">
        <v>0.96</v>
      </c>
      <c r="N1179" s="71">
        <v>0.93193717277486898</v>
      </c>
      <c r="O1179" s="73">
        <v>0.9</v>
      </c>
      <c r="P1179" s="71">
        <v>0.94218520333169997</v>
      </c>
      <c r="Q1179" s="71">
        <v>0.91403699673558203</v>
      </c>
      <c r="R1179" s="71">
        <v>0.96536144578313299</v>
      </c>
      <c r="S1179" s="71">
        <v>0.96126251311572997</v>
      </c>
      <c r="T1179" s="73">
        <v>0.9</v>
      </c>
      <c r="U1179" s="71">
        <v>0.90886820186183204</v>
      </c>
      <c r="V1179" s="71">
        <v>0.91621327529923802</v>
      </c>
      <c r="W1179" s="71">
        <v>0.93584337349397595</v>
      </c>
      <c r="X1179" s="71">
        <v>0.92839520176956003</v>
      </c>
      <c r="Y1179" s="73">
        <v>0.92</v>
      </c>
      <c r="Z1179" s="73">
        <v>0.968152866242038</v>
      </c>
      <c r="AA1179" s="73">
        <v>0.94184168012924097</v>
      </c>
      <c r="AB1179" s="73">
        <v>0.96</v>
      </c>
      <c r="AC1179" s="73">
        <v>0.95996600887546002</v>
      </c>
      <c r="AD1179" s="73">
        <v>0.92</v>
      </c>
      <c r="AE1179" s="71">
        <v>0.99264963248162397</v>
      </c>
      <c r="AF1179" s="71">
        <v>0.99670619235836599</v>
      </c>
      <c r="AG1179" s="71">
        <v>0.99711953912625995</v>
      </c>
      <c r="AH1179" s="71">
        <v>0.99638544319395395</v>
      </c>
      <c r="AI1179" s="73">
        <v>0.92</v>
      </c>
      <c r="AJ1179" s="71">
        <v>0.95038551793496495</v>
      </c>
      <c r="AK1179" s="71">
        <v>0.97043073341094299</v>
      </c>
      <c r="AL1179" s="71">
        <v>0.97025171624714002</v>
      </c>
      <c r="AM1179" s="71">
        <v>0.972282193871988</v>
      </c>
      <c r="AN1179" s="70">
        <v>0.99</v>
      </c>
      <c r="AO1179" s="75">
        <v>1</v>
      </c>
      <c r="AP1179" s="75">
        <v>1</v>
      </c>
      <c r="AQ1179" s="75">
        <v>1</v>
      </c>
      <c r="AR1179" s="75">
        <v>1</v>
      </c>
      <c r="AS1179" s="95">
        <v>7.2186152540827803E-2</v>
      </c>
      <c r="AT1179" s="79">
        <v>0.125</v>
      </c>
      <c r="AU1179" s="79">
        <v>0.05</v>
      </c>
      <c r="AV1179" s="79">
        <v>4.3478260869565202E-2</v>
      </c>
      <c r="AW1179" s="79">
        <v>3.7037037037037E-2</v>
      </c>
      <c r="AX1179" s="56"/>
      <c r="AY1179" s="54"/>
    </row>
    <row r="1180" spans="1:51">
      <c r="A1180" s="53"/>
      <c r="B1180" s="56"/>
      <c r="C1180" s="90" t="s">
        <v>1079</v>
      </c>
      <c r="D1180" s="230" t="s">
        <v>1757</v>
      </c>
      <c r="E1180" s="68" t="s">
        <v>1080</v>
      </c>
      <c r="F1180" s="128" t="s">
        <v>1204</v>
      </c>
      <c r="G1180" s="128" t="s">
        <v>1204</v>
      </c>
      <c r="H1180" s="128" t="s">
        <v>1204</v>
      </c>
      <c r="I1180" s="128" t="s">
        <v>1204</v>
      </c>
      <c r="J1180" s="70">
        <v>0.9</v>
      </c>
      <c r="K1180" s="71">
        <v>0.84615384615384603</v>
      </c>
      <c r="L1180" s="71">
        <v>0.92105263157894701</v>
      </c>
      <c r="M1180" s="72">
        <v>0.92307692307692302</v>
      </c>
      <c r="N1180" s="71">
        <v>0.91262135922330101</v>
      </c>
      <c r="O1180" s="73">
        <v>0.9</v>
      </c>
      <c r="P1180" s="71">
        <v>0.95654383735705195</v>
      </c>
      <c r="Q1180" s="71">
        <v>0.95151585281184903</v>
      </c>
      <c r="R1180" s="71">
        <v>0.97556132579807497</v>
      </c>
      <c r="S1180" s="71">
        <v>0.96542036570291101</v>
      </c>
      <c r="T1180" s="73">
        <v>0.9</v>
      </c>
      <c r="U1180" s="71">
        <v>0.93341804320203303</v>
      </c>
      <c r="V1180" s="71">
        <v>0.91969451515852796</v>
      </c>
      <c r="W1180" s="71">
        <v>0.92546204368412999</v>
      </c>
      <c r="X1180" s="71">
        <v>0.93740668796455395</v>
      </c>
      <c r="Y1180" s="73">
        <v>0.92</v>
      </c>
      <c r="Z1180" s="73">
        <v>0.88964792433000495</v>
      </c>
      <c r="AA1180" s="73">
        <v>0.86221122112211201</v>
      </c>
      <c r="AB1180" s="73">
        <v>1</v>
      </c>
      <c r="AC1180" s="73">
        <v>0.901900050852943</v>
      </c>
      <c r="AD1180" s="73">
        <v>0.92</v>
      </c>
      <c r="AE1180" s="71">
        <v>0.99733963937333703</v>
      </c>
      <c r="AF1180" s="71">
        <v>0.99251601446058202</v>
      </c>
      <c r="AG1180" s="71">
        <v>0.98632407791131405</v>
      </c>
      <c r="AH1180" s="71">
        <v>0.95320202377429597</v>
      </c>
      <c r="AI1180" s="73">
        <v>0.92</v>
      </c>
      <c r="AJ1180" s="71">
        <v>0.94741349777321004</v>
      </c>
      <c r="AK1180" s="71">
        <v>0.96915271435819395</v>
      </c>
      <c r="AL1180" s="71">
        <v>0.98419388830347698</v>
      </c>
      <c r="AM1180" s="71">
        <v>0.96444444444444399</v>
      </c>
      <c r="AN1180" s="70">
        <v>0.99</v>
      </c>
      <c r="AO1180" s="75">
        <v>1</v>
      </c>
      <c r="AP1180" s="75">
        <v>1</v>
      </c>
      <c r="AQ1180" s="75">
        <v>1</v>
      </c>
      <c r="AR1180" s="75">
        <v>1</v>
      </c>
      <c r="AS1180" s="95">
        <v>7.2186152540827803E-2</v>
      </c>
      <c r="AT1180" s="79">
        <v>8.6956521739130405E-2</v>
      </c>
      <c r="AU1180" s="79">
        <v>0.11764705882352899</v>
      </c>
      <c r="AV1180" s="79">
        <v>0</v>
      </c>
      <c r="AW1180" s="79">
        <v>3.6036036036036001E-2</v>
      </c>
      <c r="AX1180" s="56"/>
      <c r="AY1180" s="54"/>
    </row>
    <row r="1181" spans="1:51">
      <c r="A1181" s="53"/>
      <c r="B1181" s="56"/>
      <c r="C1181" s="90" t="s">
        <v>1079</v>
      </c>
      <c r="D1181" s="230" t="s">
        <v>1757</v>
      </c>
      <c r="E1181" s="68" t="s">
        <v>1080</v>
      </c>
      <c r="F1181" s="128" t="s">
        <v>1205</v>
      </c>
      <c r="G1181" s="128" t="s">
        <v>1205</v>
      </c>
      <c r="H1181" s="128" t="s">
        <v>1205</v>
      </c>
      <c r="I1181" s="128" t="s">
        <v>1205</v>
      </c>
      <c r="J1181" s="70">
        <v>0.9</v>
      </c>
      <c r="K1181" s="71">
        <v>0.952380952380952</v>
      </c>
      <c r="L1181" s="71">
        <v>0.96</v>
      </c>
      <c r="M1181" s="72">
        <v>1</v>
      </c>
      <c r="N1181" s="71">
        <v>0.93493150684931503</v>
      </c>
      <c r="O1181" s="73">
        <v>0.9</v>
      </c>
      <c r="P1181" s="71">
        <v>0.96205733558178796</v>
      </c>
      <c r="Q1181" s="71">
        <v>0.91768826619965005</v>
      </c>
      <c r="R1181" s="71">
        <v>0.95745798319327702</v>
      </c>
      <c r="S1181" s="71">
        <v>0.94781698564593297</v>
      </c>
      <c r="T1181" s="73">
        <v>0.9</v>
      </c>
      <c r="U1181" s="71">
        <v>0.88870151770657702</v>
      </c>
      <c r="V1181" s="71">
        <v>0.926795096322242</v>
      </c>
      <c r="W1181" s="71">
        <v>0.93907563025210095</v>
      </c>
      <c r="X1181" s="71">
        <v>0.92558811802232899</v>
      </c>
      <c r="Y1181" s="73">
        <v>0.92</v>
      </c>
      <c r="Z1181" s="73">
        <v>0.93065693430656904</v>
      </c>
      <c r="AA1181" s="73">
        <v>0.94152046783625698</v>
      </c>
      <c r="AB1181" s="73">
        <v>1</v>
      </c>
      <c r="AC1181" s="73">
        <v>0.95583038869257997</v>
      </c>
      <c r="AD1181" s="73">
        <v>0.92</v>
      </c>
      <c r="AE1181" s="71">
        <v>0.99407459044963398</v>
      </c>
      <c r="AF1181" s="71">
        <v>0.94285714285714295</v>
      </c>
      <c r="AG1181" s="71">
        <v>0.99381188118811903</v>
      </c>
      <c r="AH1181" s="71">
        <v>0.99170837757217301</v>
      </c>
      <c r="AI1181" s="73">
        <v>0.92</v>
      </c>
      <c r="AJ1181" s="71">
        <v>0.94579008073817805</v>
      </c>
      <c r="AK1181" s="71">
        <v>0.97622771348138904</v>
      </c>
      <c r="AL1181" s="71">
        <v>0.97914494264859198</v>
      </c>
      <c r="AM1181" s="71">
        <v>0.975240020212228</v>
      </c>
      <c r="AN1181" s="70">
        <v>0.99</v>
      </c>
      <c r="AO1181" s="75">
        <v>1</v>
      </c>
      <c r="AP1181" s="75">
        <v>1</v>
      </c>
      <c r="AQ1181" s="75">
        <v>1</v>
      </c>
      <c r="AR1181" s="75">
        <v>1</v>
      </c>
      <c r="AS1181" s="95">
        <v>7.2186152540827803E-2</v>
      </c>
      <c r="AT1181" s="79">
        <v>0.25</v>
      </c>
      <c r="AU1181" s="79">
        <v>0</v>
      </c>
      <c r="AV1181" s="79">
        <v>0.25</v>
      </c>
      <c r="AW1181" s="79">
        <v>0.116666666666667</v>
      </c>
      <c r="AX1181" s="56"/>
      <c r="AY1181" s="54"/>
    </row>
    <row r="1182" spans="1:51">
      <c r="A1182" s="53"/>
      <c r="B1182" s="56"/>
      <c r="C1182" s="90" t="s">
        <v>1079</v>
      </c>
      <c r="D1182" s="230" t="s">
        <v>1757</v>
      </c>
      <c r="E1182" s="68" t="s">
        <v>1080</v>
      </c>
      <c r="F1182" s="128" t="s">
        <v>1206</v>
      </c>
      <c r="G1182" s="128" t="s">
        <v>1206</v>
      </c>
      <c r="H1182" s="128" t="s">
        <v>1206</v>
      </c>
      <c r="I1182" s="128" t="s">
        <v>1206</v>
      </c>
      <c r="J1182" s="70">
        <v>0.9</v>
      </c>
      <c r="K1182" s="71">
        <v>0.95348837209302295</v>
      </c>
      <c r="L1182" s="71">
        <v>0.93877551020408201</v>
      </c>
      <c r="M1182" s="72">
        <v>0.93877551020408201</v>
      </c>
      <c r="N1182" s="71">
        <v>0.95229357798165104</v>
      </c>
      <c r="O1182" s="73">
        <v>0.9</v>
      </c>
      <c r="P1182" s="71">
        <v>0.96022978347326604</v>
      </c>
      <c r="Q1182" s="71">
        <v>0.98466337405770699</v>
      </c>
      <c r="R1182" s="71">
        <v>0.978675645342312</v>
      </c>
      <c r="S1182" s="71">
        <v>0.97799404062218098</v>
      </c>
      <c r="T1182" s="73">
        <v>0.9</v>
      </c>
      <c r="U1182" s="71">
        <v>0.90543526292531995</v>
      </c>
      <c r="V1182" s="71">
        <v>0.93709383935534196</v>
      </c>
      <c r="W1182" s="71">
        <v>0.93658810325477004</v>
      </c>
      <c r="X1182" s="71">
        <v>0.92897952488997004</v>
      </c>
      <c r="Y1182" s="73">
        <v>0.92</v>
      </c>
      <c r="Z1182" s="73">
        <v>0.87074148296593201</v>
      </c>
      <c r="AA1182" s="73">
        <v>0.94285714285714295</v>
      </c>
      <c r="AB1182" s="73">
        <v>0.93320039880358896</v>
      </c>
      <c r="AC1182" s="73">
        <v>0.94328725620147702</v>
      </c>
      <c r="AD1182" s="73">
        <v>0.92</v>
      </c>
      <c r="AE1182" s="71">
        <v>0.99776035834266497</v>
      </c>
      <c r="AF1182" s="71">
        <v>0.99896694214876003</v>
      </c>
      <c r="AG1182" s="71">
        <v>0.99940688018979795</v>
      </c>
      <c r="AH1182" s="71">
        <v>0.99866331604555403</v>
      </c>
      <c r="AI1182" s="73">
        <v>0.92</v>
      </c>
      <c r="AJ1182" s="71">
        <v>0.93192272309107604</v>
      </c>
      <c r="AK1182" s="71">
        <v>0.97027212439972599</v>
      </c>
      <c r="AL1182" s="71">
        <v>0.96825049266476904</v>
      </c>
      <c r="AM1182" s="71">
        <v>0.97094071481599298</v>
      </c>
      <c r="AN1182" s="70">
        <v>0.99</v>
      </c>
      <c r="AO1182" s="75">
        <v>1</v>
      </c>
      <c r="AP1182" s="75">
        <v>1</v>
      </c>
      <c r="AQ1182" s="75">
        <v>1</v>
      </c>
      <c r="AR1182" s="75">
        <v>1</v>
      </c>
      <c r="AS1182" s="95">
        <v>7.2186152540827803E-2</v>
      </c>
      <c r="AT1182" s="79">
        <v>7.69230769230769E-2</v>
      </c>
      <c r="AU1182" s="79">
        <v>0.11111111111111099</v>
      </c>
      <c r="AV1182" s="79">
        <v>4.3478260869565202E-2</v>
      </c>
      <c r="AW1182" s="79">
        <v>4.95049504950495E-2</v>
      </c>
      <c r="AX1182" s="56"/>
      <c r="AY1182" s="54"/>
    </row>
    <row r="1183" spans="1:51">
      <c r="A1183" s="53"/>
      <c r="B1183" s="56"/>
      <c r="C1183" s="90" t="s">
        <v>1079</v>
      </c>
      <c r="D1183" s="230" t="s">
        <v>1757</v>
      </c>
      <c r="E1183" s="68" t="s">
        <v>1080</v>
      </c>
      <c r="F1183" s="128" t="s">
        <v>1207</v>
      </c>
      <c r="G1183" s="128" t="s">
        <v>1207</v>
      </c>
      <c r="H1183" s="128" t="s">
        <v>1207</v>
      </c>
      <c r="I1183" s="128" t="s">
        <v>1207</v>
      </c>
      <c r="J1183" s="70">
        <v>0.9</v>
      </c>
      <c r="K1183" s="71">
        <v>0.97142857142857097</v>
      </c>
      <c r="L1183" s="71">
        <v>0.92500000000000004</v>
      </c>
      <c r="M1183" s="72">
        <v>0.94736842105263197</v>
      </c>
      <c r="N1183" s="71">
        <v>0.97511312217194601</v>
      </c>
      <c r="O1183" s="73">
        <v>0.9</v>
      </c>
      <c r="P1183" s="71">
        <v>0.95605700712589103</v>
      </c>
      <c r="Q1183" s="71">
        <v>0.95708154506437804</v>
      </c>
      <c r="R1183" s="71">
        <v>0.92502975009916699</v>
      </c>
      <c r="S1183" s="71">
        <v>0.96230799527373001</v>
      </c>
      <c r="T1183" s="73">
        <v>0.9</v>
      </c>
      <c r="U1183" s="71">
        <v>0.87232779097387203</v>
      </c>
      <c r="V1183" s="71">
        <v>0.89556509298998599</v>
      </c>
      <c r="W1183" s="71">
        <v>0.88337961126537101</v>
      </c>
      <c r="X1183" s="71">
        <v>0.91354864119732204</v>
      </c>
      <c r="Y1183" s="73">
        <v>0.92</v>
      </c>
      <c r="Z1183" s="73">
        <v>0.91150442477876104</v>
      </c>
      <c r="AA1183" s="73">
        <v>0.90967741935483903</v>
      </c>
      <c r="AB1183" s="73">
        <v>0.95828220858895696</v>
      </c>
      <c r="AC1183" s="73">
        <v>0.93284313725490198</v>
      </c>
      <c r="AD1183" s="73">
        <v>0.92</v>
      </c>
      <c r="AE1183" s="71">
        <v>0.98902821316614398</v>
      </c>
      <c r="AF1183" s="71">
        <v>0.98956975228161703</v>
      </c>
      <c r="AG1183" s="71">
        <v>0.99904942965779497</v>
      </c>
      <c r="AH1183" s="71">
        <v>0.99571774343697605</v>
      </c>
      <c r="AI1183" s="73">
        <v>0.92</v>
      </c>
      <c r="AJ1183" s="71">
        <v>0.94329242488362297</v>
      </c>
      <c r="AK1183" s="71">
        <v>0.95829500153327196</v>
      </c>
      <c r="AL1183" s="71">
        <v>0.95983213429256597</v>
      </c>
      <c r="AM1183" s="71">
        <v>0.961908735954219</v>
      </c>
      <c r="AN1183" s="70">
        <v>0.99</v>
      </c>
      <c r="AO1183" s="75">
        <v>1</v>
      </c>
      <c r="AP1183" s="75">
        <v>1</v>
      </c>
      <c r="AQ1183" s="75">
        <v>1</v>
      </c>
      <c r="AR1183" s="75">
        <v>1</v>
      </c>
      <c r="AS1183" s="95">
        <v>7.2186152540827803E-2</v>
      </c>
      <c r="AT1183" s="79">
        <v>0</v>
      </c>
      <c r="AU1183" s="79">
        <v>0</v>
      </c>
      <c r="AV1183" s="79">
        <v>0</v>
      </c>
      <c r="AW1183" s="79">
        <v>3.65853658536585E-2</v>
      </c>
      <c r="AX1183" s="56"/>
      <c r="AY1183" s="54"/>
    </row>
    <row r="1184" spans="1:51">
      <c r="A1184" s="53"/>
      <c r="B1184" s="56"/>
      <c r="C1184" s="90" t="s">
        <v>1079</v>
      </c>
      <c r="D1184" s="230" t="s">
        <v>1757</v>
      </c>
      <c r="E1184" s="68" t="s">
        <v>1080</v>
      </c>
      <c r="F1184" s="128" t="s">
        <v>1208</v>
      </c>
      <c r="G1184" s="128" t="s">
        <v>1208</v>
      </c>
      <c r="H1184" s="128" t="s">
        <v>1208</v>
      </c>
      <c r="I1184" s="128" t="s">
        <v>1208</v>
      </c>
      <c r="J1184" s="70">
        <v>0.9</v>
      </c>
      <c r="K1184" s="71">
        <v>1</v>
      </c>
      <c r="L1184" s="71">
        <v>0.875</v>
      </c>
      <c r="M1184" s="72">
        <v>0.97560975609756095</v>
      </c>
      <c r="N1184" s="71">
        <v>0.96581196581196604</v>
      </c>
      <c r="O1184" s="73">
        <v>0.9</v>
      </c>
      <c r="P1184" s="71">
        <v>0.92042186001917503</v>
      </c>
      <c r="Q1184" s="71">
        <v>0.92524682651622003</v>
      </c>
      <c r="R1184" s="71">
        <v>0.93266666666666698</v>
      </c>
      <c r="S1184" s="71">
        <v>0.93980445643179</v>
      </c>
      <c r="T1184" s="73">
        <v>0.9</v>
      </c>
      <c r="U1184" s="71">
        <v>0.89741131351869596</v>
      </c>
      <c r="V1184" s="71">
        <v>0.93370944992947802</v>
      </c>
      <c r="W1184" s="71">
        <v>0.88833333333333298</v>
      </c>
      <c r="X1184" s="71">
        <v>0.91261838354736902</v>
      </c>
      <c r="Y1184" s="73">
        <v>0.92</v>
      </c>
      <c r="Z1184" s="73">
        <v>0.92411143131604201</v>
      </c>
      <c r="AA1184" s="73">
        <v>0.92724196277495796</v>
      </c>
      <c r="AB1184" s="73">
        <v>0.87218045112781994</v>
      </c>
      <c r="AC1184" s="73">
        <v>0.93008253486386505</v>
      </c>
      <c r="AD1184" s="73">
        <v>0.92</v>
      </c>
      <c r="AE1184" s="71">
        <v>0.98387884709330697</v>
      </c>
      <c r="AF1184" s="71">
        <v>0.98823529411764699</v>
      </c>
      <c r="AG1184" s="71">
        <v>0.99488382008100595</v>
      </c>
      <c r="AH1184" s="71">
        <v>0.99389615210129101</v>
      </c>
      <c r="AI1184" s="73">
        <v>0.92</v>
      </c>
      <c r="AJ1184" s="71">
        <v>0.94533248081841403</v>
      </c>
      <c r="AK1184" s="71">
        <v>0.96881044487427503</v>
      </c>
      <c r="AL1184" s="71">
        <v>0.92955239064089501</v>
      </c>
      <c r="AM1184" s="71">
        <v>0.96048273146325103</v>
      </c>
      <c r="AN1184" s="70">
        <v>0.99</v>
      </c>
      <c r="AO1184" s="75">
        <v>1</v>
      </c>
      <c r="AP1184" s="75">
        <v>1</v>
      </c>
      <c r="AQ1184" s="75">
        <v>1</v>
      </c>
      <c r="AR1184" s="75">
        <v>1</v>
      </c>
      <c r="AS1184" s="95">
        <v>7.2186152540827803E-2</v>
      </c>
      <c r="AT1184" s="79">
        <v>6.6666666666666693E-2</v>
      </c>
      <c r="AU1184" s="79">
        <v>0</v>
      </c>
      <c r="AV1184" s="79">
        <v>0</v>
      </c>
      <c r="AW1184" s="79">
        <v>4.2780748663101602E-2</v>
      </c>
      <c r="AX1184" s="56"/>
      <c r="AY1184" s="54"/>
    </row>
    <row r="1185" spans="1:51">
      <c r="A1185" s="53"/>
      <c r="B1185" s="56"/>
      <c r="C1185" s="90" t="s">
        <v>1079</v>
      </c>
      <c r="D1185" s="230" t="s">
        <v>1757</v>
      </c>
      <c r="E1185" s="68" t="s">
        <v>1080</v>
      </c>
      <c r="F1185" s="128" t="s">
        <v>1209</v>
      </c>
      <c r="G1185" s="128" t="s">
        <v>1209</v>
      </c>
      <c r="H1185" s="128" t="s">
        <v>1209</v>
      </c>
      <c r="I1185" s="128" t="s">
        <v>1209</v>
      </c>
      <c r="J1185" s="70">
        <v>0.9</v>
      </c>
      <c r="K1185" s="71">
        <v>0.90476190476190499</v>
      </c>
      <c r="L1185" s="71">
        <v>0.90909090909090895</v>
      </c>
      <c r="M1185" s="72">
        <v>0.86274509803921595</v>
      </c>
      <c r="N1185" s="71">
        <v>0.91696113074204899</v>
      </c>
      <c r="O1185" s="73">
        <v>0.9</v>
      </c>
      <c r="P1185" s="71">
        <v>0.98411602209944704</v>
      </c>
      <c r="Q1185" s="71">
        <v>0.96176664469347395</v>
      </c>
      <c r="R1185" s="71">
        <v>0.992061639038057</v>
      </c>
      <c r="S1185" s="71">
        <v>0.98443375601224303</v>
      </c>
      <c r="T1185" s="73">
        <v>0.9</v>
      </c>
      <c r="U1185" s="71">
        <v>0.95614640883977897</v>
      </c>
      <c r="V1185" s="71">
        <v>0.95737200615249396</v>
      </c>
      <c r="W1185" s="71">
        <v>0.95307027784263398</v>
      </c>
      <c r="X1185" s="71">
        <v>0.95937909925666798</v>
      </c>
      <c r="Y1185" s="73">
        <v>0.92</v>
      </c>
      <c r="Z1185" s="73">
        <v>0</v>
      </c>
      <c r="AA1185" s="73" t="s">
        <v>1710</v>
      </c>
      <c r="AB1185" s="73" t="s">
        <v>1710</v>
      </c>
      <c r="AC1185" s="73">
        <v>0</v>
      </c>
      <c r="AD1185" s="73">
        <v>0.92</v>
      </c>
      <c r="AE1185" s="71">
        <v>0.998056365403304</v>
      </c>
      <c r="AF1185" s="71">
        <v>0.998837209302326</v>
      </c>
      <c r="AG1185" s="71">
        <v>0.99830699774266396</v>
      </c>
      <c r="AH1185" s="71">
        <v>0.99887621743111599</v>
      </c>
      <c r="AI1185" s="73">
        <v>0.92</v>
      </c>
      <c r="AJ1185" s="71">
        <v>0.96791997240427696</v>
      </c>
      <c r="AK1185" s="71">
        <v>0.98439903317952104</v>
      </c>
      <c r="AL1185" s="71">
        <v>0.98435675928087796</v>
      </c>
      <c r="AM1185" s="71">
        <v>0.98268587543449304</v>
      </c>
      <c r="AN1185" s="70">
        <v>0.99</v>
      </c>
      <c r="AO1185" s="75">
        <v>1</v>
      </c>
      <c r="AP1185" s="75">
        <v>1</v>
      </c>
      <c r="AQ1185" s="75">
        <v>1</v>
      </c>
      <c r="AR1185" s="75">
        <v>1</v>
      </c>
      <c r="AS1185" s="95">
        <v>7.2186152540827803E-2</v>
      </c>
      <c r="AT1185" s="79">
        <v>0</v>
      </c>
      <c r="AU1185" s="79">
        <v>-6.6666666666666693E-2</v>
      </c>
      <c r="AV1185" s="79">
        <v>3.3333333333333298E-2</v>
      </c>
      <c r="AW1185" s="79">
        <v>1.12994350282486E-2</v>
      </c>
      <c r="AX1185" s="56"/>
      <c r="AY1185" s="54"/>
    </row>
    <row r="1186" spans="1:51">
      <c r="A1186" s="53"/>
      <c r="B1186" s="56"/>
      <c r="C1186" s="90" t="s">
        <v>1079</v>
      </c>
      <c r="D1186" s="230" t="s">
        <v>1757</v>
      </c>
      <c r="E1186" s="68" t="s">
        <v>1080</v>
      </c>
      <c r="F1186" s="128" t="s">
        <v>1210</v>
      </c>
      <c r="G1186" s="128" t="s">
        <v>1210</v>
      </c>
      <c r="H1186" s="128" t="s">
        <v>1210</v>
      </c>
      <c r="I1186" s="128" t="s">
        <v>1210</v>
      </c>
      <c r="J1186" s="70">
        <v>0.9</v>
      </c>
      <c r="K1186" s="71">
        <v>0.92753623188405798</v>
      </c>
      <c r="L1186" s="71">
        <v>0.89473684210526305</v>
      </c>
      <c r="M1186" s="72">
        <v>0.96</v>
      </c>
      <c r="N1186" s="71">
        <v>0.91341463414634105</v>
      </c>
      <c r="O1186" s="73">
        <v>0.9</v>
      </c>
      <c r="P1186" s="71">
        <v>0.944514185287472</v>
      </c>
      <c r="Q1186" s="71">
        <v>0.953979739507959</v>
      </c>
      <c r="R1186" s="71">
        <v>0.959223013048636</v>
      </c>
      <c r="S1186" s="71">
        <v>0.94923114827751098</v>
      </c>
      <c r="T1186" s="73">
        <v>0.9</v>
      </c>
      <c r="U1186" s="71">
        <v>0.91112226964599596</v>
      </c>
      <c r="V1186" s="71">
        <v>0.93603473227206901</v>
      </c>
      <c r="W1186" s="71">
        <v>0.92081850533807796</v>
      </c>
      <c r="X1186" s="71">
        <v>0.91956405165292299</v>
      </c>
      <c r="Y1186" s="73">
        <v>0.92</v>
      </c>
      <c r="Z1186" s="73">
        <v>0</v>
      </c>
      <c r="AA1186" s="73">
        <v>0</v>
      </c>
      <c r="AB1186" s="73" t="s">
        <v>1710</v>
      </c>
      <c r="AC1186" s="73">
        <v>0</v>
      </c>
      <c r="AD1186" s="73">
        <v>0.92</v>
      </c>
      <c r="AE1186" s="71">
        <v>0.97763280521901197</v>
      </c>
      <c r="AF1186" s="71">
        <v>0.72380952380952401</v>
      </c>
      <c r="AG1186" s="71">
        <v>0.99556213017751505</v>
      </c>
      <c r="AH1186" s="71">
        <v>0.98018880468022895</v>
      </c>
      <c r="AI1186" s="73">
        <v>0.92</v>
      </c>
      <c r="AJ1186" s="71">
        <v>0.92656641604010004</v>
      </c>
      <c r="AK1186" s="71">
        <v>0.958188657407407</v>
      </c>
      <c r="AL1186" s="71">
        <v>0.95670225385527896</v>
      </c>
      <c r="AM1186" s="71">
        <v>0.95709193137027604</v>
      </c>
      <c r="AN1186" s="70">
        <v>0.99</v>
      </c>
      <c r="AO1186" s="75">
        <v>1</v>
      </c>
      <c r="AP1186" s="75">
        <v>1</v>
      </c>
      <c r="AQ1186" s="75">
        <v>1</v>
      </c>
      <c r="AR1186" s="75">
        <v>1</v>
      </c>
      <c r="AS1186" s="95">
        <v>7.2186152540827803E-2</v>
      </c>
      <c r="AT1186" s="79">
        <v>0.214285714285714</v>
      </c>
      <c r="AU1186" s="79">
        <v>0.11764705882352899</v>
      </c>
      <c r="AV1186" s="79">
        <v>9.0909090909090898E-2</v>
      </c>
      <c r="AW1186" s="79">
        <v>6.18556701030928E-2</v>
      </c>
      <c r="AX1186" s="56"/>
      <c r="AY1186" s="54"/>
    </row>
    <row r="1187" spans="1:51">
      <c r="A1187" s="53"/>
      <c r="B1187" s="56"/>
      <c r="C1187" s="90" t="s">
        <v>1079</v>
      </c>
      <c r="D1187" s="230" t="s">
        <v>1757</v>
      </c>
      <c r="E1187" s="68" t="s">
        <v>1080</v>
      </c>
      <c r="F1187" s="128" t="s">
        <v>1211</v>
      </c>
      <c r="G1187" s="128" t="s">
        <v>1211</v>
      </c>
      <c r="H1187" s="128" t="s">
        <v>1211</v>
      </c>
      <c r="I1187" s="128" t="s">
        <v>1211</v>
      </c>
      <c r="J1187" s="70">
        <v>0.9</v>
      </c>
      <c r="K1187" s="71">
        <v>0.96875</v>
      </c>
      <c r="L1187" s="71">
        <v>0.94117647058823495</v>
      </c>
      <c r="M1187" s="72">
        <v>0.91176470588235303</v>
      </c>
      <c r="N1187" s="71">
        <v>0.94101876675603202</v>
      </c>
      <c r="O1187" s="73">
        <v>0.9</v>
      </c>
      <c r="P1187" s="71">
        <v>0.98417030567685604</v>
      </c>
      <c r="Q1187" s="71">
        <v>0.99106145251396605</v>
      </c>
      <c r="R1187" s="71">
        <v>0.98993626299899395</v>
      </c>
      <c r="S1187" s="71">
        <v>0.98781461551813898</v>
      </c>
      <c r="T1187" s="73">
        <v>0.9</v>
      </c>
      <c r="U1187" s="71">
        <v>0.94213973799126605</v>
      </c>
      <c r="V1187" s="71">
        <v>0.97877094972067002</v>
      </c>
      <c r="W1187" s="71">
        <v>0.95169406239516896</v>
      </c>
      <c r="X1187" s="71">
        <v>0.96927616733206001</v>
      </c>
      <c r="Y1187" s="73">
        <v>0.92</v>
      </c>
      <c r="Z1187" s="73">
        <v>0</v>
      </c>
      <c r="AA1187" s="73">
        <v>0</v>
      </c>
      <c r="AB1187" s="73" t="s">
        <v>1710</v>
      </c>
      <c r="AC1187" s="73">
        <v>0</v>
      </c>
      <c r="AD1187" s="73">
        <v>0.92</v>
      </c>
      <c r="AE1187" s="71">
        <v>0.99920127795527203</v>
      </c>
      <c r="AF1187" s="71">
        <v>0.99785867237687398</v>
      </c>
      <c r="AG1187" s="71">
        <v>0.99385245901639296</v>
      </c>
      <c r="AH1187" s="71">
        <v>0.99819185382565701</v>
      </c>
      <c r="AI1187" s="73">
        <v>0.92</v>
      </c>
      <c r="AJ1187" s="71">
        <v>0.976566757493188</v>
      </c>
      <c r="AK1187" s="71">
        <v>0.98957557706626997</v>
      </c>
      <c r="AL1187" s="71">
        <v>0.98825897349882597</v>
      </c>
      <c r="AM1187" s="71">
        <v>0.98944774202506203</v>
      </c>
      <c r="AN1187" s="70">
        <v>0.99</v>
      </c>
      <c r="AO1187" s="75">
        <v>1</v>
      </c>
      <c r="AP1187" s="75">
        <v>1</v>
      </c>
      <c r="AQ1187" s="75">
        <v>1</v>
      </c>
      <c r="AR1187" s="75">
        <v>1</v>
      </c>
      <c r="AS1187" s="95">
        <v>7.2186152540827803E-2</v>
      </c>
      <c r="AT1187" s="79">
        <v>0</v>
      </c>
      <c r="AU1187" s="79">
        <v>0</v>
      </c>
      <c r="AV1187" s="79">
        <v>0</v>
      </c>
      <c r="AW1187" s="79">
        <v>7.3684210526315796E-2</v>
      </c>
      <c r="AX1187" s="56"/>
      <c r="AY1187" s="54"/>
    </row>
    <row r="1188" spans="1:51">
      <c r="A1188" s="53"/>
      <c r="B1188" s="56"/>
      <c r="C1188" s="90" t="s">
        <v>1079</v>
      </c>
      <c r="D1188" s="230" t="s">
        <v>1757</v>
      </c>
      <c r="E1188" s="68" t="s">
        <v>1080</v>
      </c>
      <c r="F1188" s="128" t="s">
        <v>1212</v>
      </c>
      <c r="G1188" s="128" t="s">
        <v>1212</v>
      </c>
      <c r="H1188" s="128" t="s">
        <v>1212</v>
      </c>
      <c r="I1188" s="128" t="s">
        <v>1212</v>
      </c>
      <c r="J1188" s="70">
        <v>0.9</v>
      </c>
      <c r="K1188" s="71">
        <v>0.93333333333333302</v>
      </c>
      <c r="L1188" s="71">
        <v>0.87837837837837796</v>
      </c>
      <c r="M1188" s="72">
        <v>0.94202898550724601</v>
      </c>
      <c r="N1188" s="71">
        <v>0.914649681528662</v>
      </c>
      <c r="O1188" s="73">
        <v>0.9</v>
      </c>
      <c r="P1188" s="71">
        <v>0.96429456979915695</v>
      </c>
      <c r="Q1188" s="71">
        <v>0.91549497847919703</v>
      </c>
      <c r="R1188" s="71">
        <v>0.96698599852616096</v>
      </c>
      <c r="S1188" s="71">
        <v>0.94203925766276597</v>
      </c>
      <c r="T1188" s="73">
        <v>0.9</v>
      </c>
      <c r="U1188" s="71">
        <v>0.90453756508802396</v>
      </c>
      <c r="V1188" s="71">
        <v>0.93601147776183602</v>
      </c>
      <c r="W1188" s="71">
        <v>0.93308769344141496</v>
      </c>
      <c r="X1188" s="71">
        <v>0.92744420175603504</v>
      </c>
      <c r="Y1188" s="73">
        <v>0.92</v>
      </c>
      <c r="Z1188" s="73" t="s">
        <v>1710</v>
      </c>
      <c r="AA1188" s="73">
        <v>0</v>
      </c>
      <c r="AB1188" s="73" t="s">
        <v>1710</v>
      </c>
      <c r="AC1188" s="73">
        <v>0</v>
      </c>
      <c r="AD1188" s="73">
        <v>0.92</v>
      </c>
      <c r="AE1188" s="71">
        <v>0.98565573770491799</v>
      </c>
      <c r="AF1188" s="71">
        <v>0.99019607843137303</v>
      </c>
      <c r="AG1188" s="71">
        <v>0.98992805755395696</v>
      </c>
      <c r="AH1188" s="71">
        <v>0.98637564298623703</v>
      </c>
      <c r="AI1188" s="73">
        <v>0.92</v>
      </c>
      <c r="AJ1188" s="71">
        <v>0.93131663773865603</v>
      </c>
      <c r="AK1188" s="71">
        <v>0.96930139147898398</v>
      </c>
      <c r="AL1188" s="71">
        <v>0.96860722181282199</v>
      </c>
      <c r="AM1188" s="71">
        <v>0.96887249584146995</v>
      </c>
      <c r="AN1188" s="70">
        <v>0.99</v>
      </c>
      <c r="AO1188" s="75">
        <v>1</v>
      </c>
      <c r="AP1188" s="75">
        <v>1</v>
      </c>
      <c r="AQ1188" s="75">
        <v>1</v>
      </c>
      <c r="AR1188" s="75">
        <v>1</v>
      </c>
      <c r="AS1188" s="95">
        <v>7.2186152540827803E-2</v>
      </c>
      <c r="AT1188" s="79">
        <v>0</v>
      </c>
      <c r="AU1188" s="79">
        <v>0</v>
      </c>
      <c r="AV1188" s="79">
        <v>0.18181818181818199</v>
      </c>
      <c r="AW1188" s="79">
        <v>4.94505494505494E-2</v>
      </c>
      <c r="AX1188" s="56"/>
      <c r="AY1188" s="54"/>
    </row>
    <row r="1189" spans="1:51">
      <c r="A1189" s="53"/>
      <c r="B1189" s="56"/>
      <c r="C1189" s="90" t="s">
        <v>1079</v>
      </c>
      <c r="D1189" s="230" t="s">
        <v>1757</v>
      </c>
      <c r="E1189" s="68" t="s">
        <v>1080</v>
      </c>
      <c r="F1189" s="128" t="s">
        <v>1213</v>
      </c>
      <c r="G1189" s="128" t="s">
        <v>1213</v>
      </c>
      <c r="H1189" s="128" t="s">
        <v>1213</v>
      </c>
      <c r="I1189" s="128" t="s">
        <v>1213</v>
      </c>
      <c r="J1189" s="70">
        <v>0.9</v>
      </c>
      <c r="K1189" s="71">
        <v>1</v>
      </c>
      <c r="L1189" s="71">
        <v>1</v>
      </c>
      <c r="M1189" s="72">
        <v>0.92307692307692302</v>
      </c>
      <c r="N1189" s="71">
        <v>0.97288135593220304</v>
      </c>
      <c r="O1189" s="73">
        <v>0.9</v>
      </c>
      <c r="P1189" s="71">
        <v>0.97779479326186802</v>
      </c>
      <c r="Q1189" s="71">
        <v>0.98488427019366998</v>
      </c>
      <c r="R1189" s="71">
        <v>0.99008919722497502</v>
      </c>
      <c r="S1189" s="71">
        <v>0.98307677598240795</v>
      </c>
      <c r="T1189" s="73">
        <v>0.9</v>
      </c>
      <c r="U1189" s="71">
        <v>0.95482388973966303</v>
      </c>
      <c r="V1189" s="71">
        <v>0.95748700991969804</v>
      </c>
      <c r="W1189" s="71">
        <v>0.96878097125867202</v>
      </c>
      <c r="X1189" s="71">
        <v>0.96180323166650705</v>
      </c>
      <c r="Y1189" s="73">
        <v>0.92</v>
      </c>
      <c r="Z1189" s="73">
        <v>0.955363570914327</v>
      </c>
      <c r="AA1189" s="73">
        <v>0.95026881720430101</v>
      </c>
      <c r="AB1189" s="73">
        <v>0.980221518987342</v>
      </c>
      <c r="AC1189" s="73">
        <v>0.97478062089816397</v>
      </c>
      <c r="AD1189" s="73">
        <v>0.92</v>
      </c>
      <c r="AE1189" s="71">
        <v>0.99916848560440696</v>
      </c>
      <c r="AF1189" s="71">
        <v>0.99756421612046098</v>
      </c>
      <c r="AG1189" s="71">
        <v>0.99716942984229695</v>
      </c>
      <c r="AH1189" s="71">
        <v>0.99393854454994601</v>
      </c>
      <c r="AI1189" s="73">
        <v>0.92</v>
      </c>
      <c r="AJ1189" s="71">
        <v>0.96660482374768097</v>
      </c>
      <c r="AK1189" s="71">
        <v>0.97378538972387296</v>
      </c>
      <c r="AL1189" s="71">
        <v>0.98659762412427698</v>
      </c>
      <c r="AM1189" s="71">
        <v>0.98433965547241997</v>
      </c>
      <c r="AN1189" s="70">
        <v>0.99</v>
      </c>
      <c r="AO1189" s="75">
        <v>1</v>
      </c>
      <c r="AP1189" s="75">
        <v>1</v>
      </c>
      <c r="AQ1189" s="75">
        <v>1</v>
      </c>
      <c r="AR1189" s="75">
        <v>1</v>
      </c>
      <c r="AS1189" s="95">
        <v>7.2186152540827803E-2</v>
      </c>
      <c r="AT1189" s="79">
        <v>0.16666666666666699</v>
      </c>
      <c r="AU1189" s="79">
        <v>7.69230769230769E-2</v>
      </c>
      <c r="AV1189" s="79">
        <v>0</v>
      </c>
      <c r="AW1189" s="79">
        <v>5.9602649006622502E-2</v>
      </c>
      <c r="AX1189" s="56"/>
      <c r="AY1189" s="54"/>
    </row>
    <row r="1190" spans="1:51">
      <c r="A1190" s="53"/>
      <c r="B1190" s="56"/>
      <c r="C1190" s="90" t="s">
        <v>1079</v>
      </c>
      <c r="D1190" s="230" t="s">
        <v>1757</v>
      </c>
      <c r="E1190" s="68" t="s">
        <v>1080</v>
      </c>
      <c r="F1190" s="128" t="s">
        <v>1214</v>
      </c>
      <c r="G1190" s="128" t="s">
        <v>1214</v>
      </c>
      <c r="H1190" s="128" t="s">
        <v>1214</v>
      </c>
      <c r="I1190" s="128" t="s">
        <v>1214</v>
      </c>
      <c r="J1190" s="70">
        <v>0.9</v>
      </c>
      <c r="K1190" s="71">
        <v>1</v>
      </c>
      <c r="L1190" s="71">
        <v>0.98591549295774605</v>
      </c>
      <c r="M1190" s="72">
        <v>1</v>
      </c>
      <c r="N1190" s="71">
        <v>0.96741854636591496</v>
      </c>
      <c r="O1190" s="73">
        <v>0.9</v>
      </c>
      <c r="P1190" s="71">
        <v>0.97764849969381495</v>
      </c>
      <c r="Q1190" s="71">
        <v>0.98798586572438196</v>
      </c>
      <c r="R1190" s="71">
        <v>0.98644130757800896</v>
      </c>
      <c r="S1190" s="71">
        <v>0.98527272727272697</v>
      </c>
      <c r="T1190" s="73">
        <v>0.9</v>
      </c>
      <c r="U1190" s="71">
        <v>0.95774647887323905</v>
      </c>
      <c r="V1190" s="71">
        <v>0.94098939929328596</v>
      </c>
      <c r="W1190" s="71">
        <v>0.94595096582466598</v>
      </c>
      <c r="X1190" s="71">
        <v>0.94976363636363603</v>
      </c>
      <c r="Y1190" s="73">
        <v>0.92</v>
      </c>
      <c r="Z1190" s="73">
        <v>0.93346284604176799</v>
      </c>
      <c r="AA1190" s="73">
        <v>0.92253136933988</v>
      </c>
      <c r="AB1190" s="73">
        <v>0.92848803269118496</v>
      </c>
      <c r="AC1190" s="73">
        <v>0.94316502297584204</v>
      </c>
      <c r="AD1190" s="73">
        <v>0.92</v>
      </c>
      <c r="AE1190" s="71">
        <v>0.99462604370225605</v>
      </c>
      <c r="AF1190" s="71">
        <v>0.98704894985728298</v>
      </c>
      <c r="AG1190" s="71">
        <v>0.98569023569023595</v>
      </c>
      <c r="AH1190" s="71">
        <v>0.99173440146153602</v>
      </c>
      <c r="AI1190" s="73">
        <v>0.92</v>
      </c>
      <c r="AJ1190" s="71">
        <v>0.95395449620801698</v>
      </c>
      <c r="AK1190" s="71">
        <v>0.96370429677074998</v>
      </c>
      <c r="AL1190" s="71">
        <v>0.95948246510044299</v>
      </c>
      <c r="AM1190" s="71">
        <v>0.96740368036955504</v>
      </c>
      <c r="AN1190" s="70">
        <v>0.99</v>
      </c>
      <c r="AO1190" s="75">
        <v>1</v>
      </c>
      <c r="AP1190" s="75">
        <v>1</v>
      </c>
      <c r="AQ1190" s="75">
        <v>1</v>
      </c>
      <c r="AR1190" s="75">
        <v>1</v>
      </c>
      <c r="AS1190" s="95">
        <v>7.2186152540827803E-2</v>
      </c>
      <c r="AT1190" s="79">
        <v>6.8965517241379296E-2</v>
      </c>
      <c r="AU1190" s="79">
        <v>0.08</v>
      </c>
      <c r="AV1190" s="79">
        <v>5.2631578947368397E-2</v>
      </c>
      <c r="AW1190" s="79">
        <v>4.7468354430379799E-2</v>
      </c>
      <c r="AX1190" s="56"/>
      <c r="AY1190" s="54"/>
    </row>
    <row r="1191" spans="1:51">
      <c r="A1191" s="53"/>
      <c r="B1191" s="56"/>
      <c r="C1191" s="90" t="s">
        <v>1079</v>
      </c>
      <c r="D1191" s="230" t="s">
        <v>1757</v>
      </c>
      <c r="E1191" s="68" t="s">
        <v>1080</v>
      </c>
      <c r="F1191" s="128" t="s">
        <v>1215</v>
      </c>
      <c r="G1191" s="128" t="s">
        <v>1215</v>
      </c>
      <c r="H1191" s="128" t="s">
        <v>1215</v>
      </c>
      <c r="I1191" s="128" t="s">
        <v>1215</v>
      </c>
      <c r="J1191" s="70">
        <v>0.9</v>
      </c>
      <c r="K1191" s="71">
        <v>0.97560975609756095</v>
      </c>
      <c r="L1191" s="71">
        <v>0.952380952380952</v>
      </c>
      <c r="M1191" s="72">
        <v>0.95348837209302295</v>
      </c>
      <c r="N1191" s="71">
        <v>0.97693920335429796</v>
      </c>
      <c r="O1191" s="73">
        <v>0.9</v>
      </c>
      <c r="P1191" s="71">
        <v>0.990493166963755</v>
      </c>
      <c r="Q1191" s="71">
        <v>0.98614718614718599</v>
      </c>
      <c r="R1191" s="71">
        <v>0.99174236168455798</v>
      </c>
      <c r="S1191" s="71">
        <v>0.98724669431186896</v>
      </c>
      <c r="T1191" s="73">
        <v>0.9</v>
      </c>
      <c r="U1191" s="71">
        <v>0.95959595959596</v>
      </c>
      <c r="V1191" s="71">
        <v>0.96147186147186103</v>
      </c>
      <c r="W1191" s="71">
        <v>0.95293146160198205</v>
      </c>
      <c r="X1191" s="71">
        <v>0.95962757217745098</v>
      </c>
      <c r="Y1191" s="73">
        <v>0.92</v>
      </c>
      <c r="Z1191" s="73">
        <v>0.96105263157894705</v>
      </c>
      <c r="AA1191" s="73">
        <v>0.96389496717724299</v>
      </c>
      <c r="AB1191" s="73">
        <v>0.96136618141097396</v>
      </c>
      <c r="AC1191" s="73">
        <v>0.96464989802855206</v>
      </c>
      <c r="AD1191" s="73">
        <v>0.92</v>
      </c>
      <c r="AE1191" s="71">
        <v>0.99470619375330904</v>
      </c>
      <c r="AF1191" s="71">
        <v>0.98866320264525298</v>
      </c>
      <c r="AG1191" s="71">
        <v>0.99354005167958703</v>
      </c>
      <c r="AH1191" s="71">
        <v>0.94318688394670402</v>
      </c>
      <c r="AI1191" s="73">
        <v>0.92</v>
      </c>
      <c r="AJ1191" s="71">
        <v>0.97348590566564297</v>
      </c>
      <c r="AK1191" s="71">
        <v>0.97549627791563298</v>
      </c>
      <c r="AL1191" s="71">
        <v>0.97338403041825095</v>
      </c>
      <c r="AM1191" s="71">
        <v>0.97811097228006805</v>
      </c>
      <c r="AN1191" s="70">
        <v>0.99</v>
      </c>
      <c r="AO1191" s="75">
        <v>1</v>
      </c>
      <c r="AP1191" s="75">
        <v>1</v>
      </c>
      <c r="AQ1191" s="75">
        <v>1</v>
      </c>
      <c r="AR1191" s="75">
        <v>1</v>
      </c>
      <c r="AS1191" s="95">
        <v>7.2186152540827803E-2</v>
      </c>
      <c r="AT1191" s="79">
        <v>7.69230769230769E-2</v>
      </c>
      <c r="AU1191" s="79">
        <v>0</v>
      </c>
      <c r="AV1191" s="79">
        <v>0</v>
      </c>
      <c r="AW1191" s="79">
        <v>2.53164556962025E-2</v>
      </c>
      <c r="AX1191" s="56"/>
      <c r="AY1191" s="54"/>
    </row>
    <row r="1192" spans="1:51">
      <c r="A1192" s="53"/>
      <c r="B1192" s="56"/>
      <c r="C1192" s="90" t="s">
        <v>1079</v>
      </c>
      <c r="D1192" s="230" t="s">
        <v>1757</v>
      </c>
      <c r="E1192" s="68" t="s">
        <v>1080</v>
      </c>
      <c r="F1192" s="128" t="s">
        <v>1216</v>
      </c>
      <c r="G1192" s="128" t="s">
        <v>1216</v>
      </c>
      <c r="H1192" s="128" t="s">
        <v>1216</v>
      </c>
      <c r="I1192" s="128" t="s">
        <v>1216</v>
      </c>
      <c r="J1192" s="70">
        <v>0.9</v>
      </c>
      <c r="K1192" s="71">
        <v>1</v>
      </c>
      <c r="L1192" s="71">
        <v>1</v>
      </c>
      <c r="M1192" s="72">
        <v>1</v>
      </c>
      <c r="N1192" s="71">
        <v>0.99306518723994497</v>
      </c>
      <c r="O1192" s="73">
        <v>0.9</v>
      </c>
      <c r="P1192" s="71">
        <v>0.983240223463687</v>
      </c>
      <c r="Q1192" s="71">
        <v>0.97162629757785501</v>
      </c>
      <c r="R1192" s="71">
        <v>0.97890392111900904</v>
      </c>
      <c r="S1192" s="71">
        <v>0.98300931220388799</v>
      </c>
      <c r="T1192" s="73">
        <v>0.9</v>
      </c>
      <c r="U1192" s="71">
        <v>0.96307991255768799</v>
      </c>
      <c r="V1192" s="71">
        <v>0.93840830449826995</v>
      </c>
      <c r="W1192" s="71">
        <v>0.94473744554001404</v>
      </c>
      <c r="X1192" s="71">
        <v>0.95049828459402097</v>
      </c>
      <c r="Y1192" s="73">
        <v>0.92</v>
      </c>
      <c r="Z1192" s="73">
        <v>0.957106274007682</v>
      </c>
      <c r="AA1192" s="73">
        <v>0.97675859931825204</v>
      </c>
      <c r="AB1192" s="73">
        <v>0.94855195911414003</v>
      </c>
      <c r="AC1192" s="73">
        <v>0.96502236380603001</v>
      </c>
      <c r="AD1192" s="73">
        <v>0.92</v>
      </c>
      <c r="AE1192" s="71">
        <v>0.99371128214755</v>
      </c>
      <c r="AF1192" s="71">
        <v>0.89409412268799504</v>
      </c>
      <c r="AG1192" s="71">
        <v>0.99175607001693999</v>
      </c>
      <c r="AH1192" s="71">
        <v>0.96691590615969802</v>
      </c>
      <c r="AI1192" s="73">
        <v>0.92</v>
      </c>
      <c r="AJ1192" s="71">
        <v>0.97238331952499302</v>
      </c>
      <c r="AK1192" s="71">
        <v>0.97860047078964296</v>
      </c>
      <c r="AL1192" s="71">
        <v>0.96437380104138104</v>
      </c>
      <c r="AM1192" s="71">
        <v>0.97553090761531203</v>
      </c>
      <c r="AN1192" s="70">
        <v>0.99</v>
      </c>
      <c r="AO1192" s="75">
        <v>1</v>
      </c>
      <c r="AP1192" s="75">
        <v>1</v>
      </c>
      <c r="AQ1192" s="75">
        <v>1</v>
      </c>
      <c r="AR1192" s="75">
        <v>1</v>
      </c>
      <c r="AS1192" s="95">
        <v>7.2186152540827803E-2</v>
      </c>
      <c r="AT1192" s="79">
        <v>3.125E-2</v>
      </c>
      <c r="AU1192" s="79">
        <v>3.03030303030303E-2</v>
      </c>
      <c r="AV1192" s="79">
        <v>0</v>
      </c>
      <c r="AW1192" s="79">
        <v>2.4390243902439001E-2</v>
      </c>
      <c r="AX1192" s="56"/>
      <c r="AY1192" s="54"/>
    </row>
    <row r="1193" spans="1:51">
      <c r="A1193" s="53"/>
      <c r="B1193" s="56"/>
      <c r="C1193" s="90" t="s">
        <v>1079</v>
      </c>
      <c r="D1193" s="230" t="s">
        <v>1757</v>
      </c>
      <c r="E1193" s="68" t="s">
        <v>1080</v>
      </c>
      <c r="F1193" s="128" t="s">
        <v>1217</v>
      </c>
      <c r="G1193" s="128" t="s">
        <v>1217</v>
      </c>
      <c r="H1193" s="128" t="s">
        <v>1217</v>
      </c>
      <c r="I1193" s="128" t="s">
        <v>1217</v>
      </c>
      <c r="J1193" s="70">
        <v>0.9</v>
      </c>
      <c r="K1193" s="71">
        <v>0.86956521739130399</v>
      </c>
      <c r="L1193" s="71">
        <v>0.84</v>
      </c>
      <c r="M1193" s="72">
        <v>0.78260869565217395</v>
      </c>
      <c r="N1193" s="71">
        <v>0.86690647482014405</v>
      </c>
      <c r="O1193" s="73">
        <v>0.9</v>
      </c>
      <c r="P1193" s="71">
        <v>0.976331360946746</v>
      </c>
      <c r="Q1193" s="71">
        <v>0.98837209302325602</v>
      </c>
      <c r="R1193" s="71">
        <v>0.83395522388059695</v>
      </c>
      <c r="S1193" s="71">
        <v>0.97120486605409595</v>
      </c>
      <c r="T1193" s="73">
        <v>0.9</v>
      </c>
      <c r="U1193" s="71">
        <v>0.94773175542406296</v>
      </c>
      <c r="V1193" s="71">
        <v>0.94002447980416204</v>
      </c>
      <c r="W1193" s="71">
        <v>0.87313432835820903</v>
      </c>
      <c r="X1193" s="71">
        <v>0.94739226090332596</v>
      </c>
      <c r="Y1193" s="73">
        <v>0.92</v>
      </c>
      <c r="Z1193" s="73">
        <v>0.95212765957446799</v>
      </c>
      <c r="AA1193" s="73">
        <v>0.94978479196556698</v>
      </c>
      <c r="AB1193" s="73">
        <v>0.95293031841255205</v>
      </c>
      <c r="AC1193" s="73">
        <v>0.960817146684528</v>
      </c>
      <c r="AD1193" s="73">
        <v>0.92</v>
      </c>
      <c r="AE1193" s="71">
        <v>0.99956464954288204</v>
      </c>
      <c r="AF1193" s="71">
        <v>0.99857954545454497</v>
      </c>
      <c r="AG1193" s="71">
        <v>0.99758308157099695</v>
      </c>
      <c r="AH1193" s="71">
        <v>0.96310602024507197</v>
      </c>
      <c r="AI1193" s="73">
        <v>0.92</v>
      </c>
      <c r="AJ1193" s="71">
        <v>0.96872082166199802</v>
      </c>
      <c r="AK1193" s="71">
        <v>0.97082797082797101</v>
      </c>
      <c r="AL1193" s="71">
        <v>0.95745467998520195</v>
      </c>
      <c r="AM1193" s="71">
        <v>0.975874151397912</v>
      </c>
      <c r="AN1193" s="70">
        <v>0.99</v>
      </c>
      <c r="AO1193" s="75">
        <v>1</v>
      </c>
      <c r="AP1193" s="75">
        <v>1</v>
      </c>
      <c r="AQ1193" s="75">
        <v>1</v>
      </c>
      <c r="AR1193" s="75">
        <v>1</v>
      </c>
      <c r="AS1193" s="95">
        <v>7.2186152540827803E-2</v>
      </c>
      <c r="AT1193" s="79">
        <v>0</v>
      </c>
      <c r="AU1193" s="79">
        <v>0</v>
      </c>
      <c r="AV1193" s="79">
        <v>0</v>
      </c>
      <c r="AW1193" s="79">
        <v>0.11009174311926601</v>
      </c>
      <c r="AX1193" s="56"/>
      <c r="AY1193" s="54"/>
    </row>
    <row r="1194" spans="1:51">
      <c r="A1194" s="53"/>
      <c r="B1194" s="56"/>
      <c r="C1194" s="90" t="s">
        <v>1079</v>
      </c>
      <c r="D1194" s="230" t="s">
        <v>1757</v>
      </c>
      <c r="E1194" s="68" t="s">
        <v>1080</v>
      </c>
      <c r="F1194" s="128" t="s">
        <v>1218</v>
      </c>
      <c r="G1194" s="128" t="s">
        <v>1218</v>
      </c>
      <c r="H1194" s="128" t="s">
        <v>1218</v>
      </c>
      <c r="I1194" s="128" t="s">
        <v>1218</v>
      </c>
      <c r="J1194" s="70">
        <v>0.9</v>
      </c>
      <c r="K1194" s="71">
        <v>0.91111111111111098</v>
      </c>
      <c r="L1194" s="71">
        <v>0.89130434782608703</v>
      </c>
      <c r="M1194" s="72">
        <v>0.93333333333333302</v>
      </c>
      <c r="N1194" s="71">
        <v>0.91312741312741297</v>
      </c>
      <c r="O1194" s="73">
        <v>0.9</v>
      </c>
      <c r="P1194" s="71">
        <v>0.95573174760488899</v>
      </c>
      <c r="Q1194" s="71">
        <v>0.95303352847259204</v>
      </c>
      <c r="R1194" s="71">
        <v>0.94544287548138595</v>
      </c>
      <c r="S1194" s="71">
        <v>0.92627366476835504</v>
      </c>
      <c r="T1194" s="73">
        <v>0.9</v>
      </c>
      <c r="U1194" s="71">
        <v>0.90023125206475096</v>
      </c>
      <c r="V1194" s="71">
        <v>0.93453964874933504</v>
      </c>
      <c r="W1194" s="71">
        <v>0.96052631578947401</v>
      </c>
      <c r="X1194" s="71">
        <v>0.92540788056025902</v>
      </c>
      <c r="Y1194" s="73">
        <v>0.92</v>
      </c>
      <c r="Z1194" s="73">
        <v>0</v>
      </c>
      <c r="AA1194" s="73">
        <v>1</v>
      </c>
      <c r="AB1194" s="73" t="s">
        <v>1710</v>
      </c>
      <c r="AC1194" s="73">
        <v>0.27272727272727298</v>
      </c>
      <c r="AD1194" s="73">
        <v>0.92</v>
      </c>
      <c r="AE1194" s="71">
        <v>0.99883658492930005</v>
      </c>
      <c r="AF1194" s="71">
        <v>0.98541919805589295</v>
      </c>
      <c r="AG1194" s="71">
        <v>0.99378065872459698</v>
      </c>
      <c r="AH1194" s="71">
        <v>0.98157349187040599</v>
      </c>
      <c r="AI1194" s="73">
        <v>0.92</v>
      </c>
      <c r="AJ1194" s="71">
        <v>0.94398682042833604</v>
      </c>
      <c r="AK1194" s="71">
        <v>0.97246241851802595</v>
      </c>
      <c r="AL1194" s="71">
        <v>0.97753530166880598</v>
      </c>
      <c r="AM1194" s="71">
        <v>0.97115107221848296</v>
      </c>
      <c r="AN1194" s="70">
        <v>0.99</v>
      </c>
      <c r="AO1194" s="75">
        <v>1</v>
      </c>
      <c r="AP1194" s="75">
        <v>1</v>
      </c>
      <c r="AQ1194" s="75">
        <v>1</v>
      </c>
      <c r="AR1194" s="75">
        <v>1</v>
      </c>
      <c r="AS1194" s="95">
        <v>7.2186152540827803E-2</v>
      </c>
      <c r="AT1194" s="79">
        <v>0</v>
      </c>
      <c r="AU1194" s="79">
        <v>0.11111111111111099</v>
      </c>
      <c r="AV1194" s="79">
        <v>0</v>
      </c>
      <c r="AW1194" s="79">
        <v>0.05</v>
      </c>
      <c r="AX1194" s="56"/>
      <c r="AY1194" s="54"/>
    </row>
    <row r="1195" spans="1:51">
      <c r="A1195" s="53"/>
      <c r="B1195" s="56"/>
      <c r="C1195" s="90" t="s">
        <v>1079</v>
      </c>
      <c r="D1195" s="230" t="s">
        <v>1757</v>
      </c>
      <c r="E1195" s="68" t="s">
        <v>1080</v>
      </c>
      <c r="F1195" s="128" t="s">
        <v>1219</v>
      </c>
      <c r="G1195" s="128" t="s">
        <v>1219</v>
      </c>
      <c r="H1195" s="128" t="s">
        <v>1219</v>
      </c>
      <c r="I1195" s="128" t="s">
        <v>1219</v>
      </c>
      <c r="J1195" s="70">
        <v>0.9</v>
      </c>
      <c r="K1195" s="71">
        <v>0.95081967213114704</v>
      </c>
      <c r="L1195" s="71">
        <v>0.95522388059701502</v>
      </c>
      <c r="M1195" s="72">
        <v>0.953125</v>
      </c>
      <c r="N1195" s="71">
        <v>0.96961690885072704</v>
      </c>
      <c r="O1195" s="73">
        <v>0.9</v>
      </c>
      <c r="P1195" s="71">
        <v>0.95241581259150798</v>
      </c>
      <c r="Q1195" s="71">
        <v>0.95741758241758201</v>
      </c>
      <c r="R1195" s="71">
        <v>0.94335511982570797</v>
      </c>
      <c r="S1195" s="71">
        <v>0.95967445182796196</v>
      </c>
      <c r="T1195" s="73">
        <v>0.9</v>
      </c>
      <c r="U1195" s="71">
        <v>0.92496339677891704</v>
      </c>
      <c r="V1195" s="71">
        <v>0.94070512820512797</v>
      </c>
      <c r="W1195" s="71">
        <v>0.94139433551198304</v>
      </c>
      <c r="X1195" s="71">
        <v>0.94259616009004499</v>
      </c>
      <c r="Y1195" s="73">
        <v>0.92</v>
      </c>
      <c r="Z1195" s="73">
        <v>0.92999053926206199</v>
      </c>
      <c r="AA1195" s="73">
        <v>0.93614528412419495</v>
      </c>
      <c r="AB1195" s="73">
        <v>0.914536157779401</v>
      </c>
      <c r="AC1195" s="73">
        <v>0.93584930299369895</v>
      </c>
      <c r="AD1195" s="73">
        <v>0.92</v>
      </c>
      <c r="AE1195" s="71">
        <v>0.99728471683475595</v>
      </c>
      <c r="AF1195" s="71">
        <v>0.99483055715106306</v>
      </c>
      <c r="AG1195" s="71">
        <v>0.95519642622519996</v>
      </c>
      <c r="AH1195" s="71">
        <v>0.99147604528003797</v>
      </c>
      <c r="AI1195" s="73">
        <v>0.92</v>
      </c>
      <c r="AJ1195" s="71">
        <v>0.94512195121951204</v>
      </c>
      <c r="AK1195" s="71">
        <v>0.96625514403292201</v>
      </c>
      <c r="AL1195" s="71">
        <v>0.95319323144104795</v>
      </c>
      <c r="AM1195" s="71">
        <v>0.96302514446353304</v>
      </c>
      <c r="AN1195" s="70">
        <v>0.99</v>
      </c>
      <c r="AO1195" s="75">
        <v>1</v>
      </c>
      <c r="AP1195" s="75">
        <v>1</v>
      </c>
      <c r="AQ1195" s="75">
        <v>1</v>
      </c>
      <c r="AR1195" s="75">
        <v>1</v>
      </c>
      <c r="AS1195" s="95">
        <v>7.2186152540827803E-2</v>
      </c>
      <c r="AT1195" s="79">
        <v>0</v>
      </c>
      <c r="AU1195" s="79">
        <v>0.13043478260869601</v>
      </c>
      <c r="AV1195" s="79">
        <v>2.8571428571428598E-2</v>
      </c>
      <c r="AW1195" s="79">
        <v>5.1792828685259001E-2</v>
      </c>
      <c r="AX1195" s="56"/>
      <c r="AY1195" s="54"/>
    </row>
    <row r="1196" spans="1:51">
      <c r="A1196" s="53"/>
      <c r="B1196" s="56"/>
      <c r="C1196" s="90" t="s">
        <v>1079</v>
      </c>
      <c r="D1196" s="230" t="s">
        <v>1757</v>
      </c>
      <c r="E1196" s="68" t="s">
        <v>1080</v>
      </c>
      <c r="F1196" s="128" t="s">
        <v>1220</v>
      </c>
      <c r="G1196" s="128" t="s">
        <v>1220</v>
      </c>
      <c r="H1196" s="128" t="s">
        <v>1220</v>
      </c>
      <c r="I1196" s="128" t="s">
        <v>1220</v>
      </c>
      <c r="J1196" s="70">
        <v>0.9</v>
      </c>
      <c r="K1196" s="71">
        <v>0.94444444444444398</v>
      </c>
      <c r="L1196" s="71">
        <v>0.92307692307692302</v>
      </c>
      <c r="M1196" s="72">
        <v>0.97297297297297303</v>
      </c>
      <c r="N1196" s="71">
        <v>0.96955503512880603</v>
      </c>
      <c r="O1196" s="73">
        <v>0.9</v>
      </c>
      <c r="P1196" s="71">
        <v>0.940489432703003</v>
      </c>
      <c r="Q1196" s="71">
        <v>0.91748726655348001</v>
      </c>
      <c r="R1196" s="71">
        <v>0.85142074631975395</v>
      </c>
      <c r="S1196" s="71">
        <v>0.91677896466721398</v>
      </c>
      <c r="T1196" s="73">
        <v>0.9</v>
      </c>
      <c r="U1196" s="71">
        <v>0.93214682981090102</v>
      </c>
      <c r="V1196" s="71">
        <v>0.9446519524618</v>
      </c>
      <c r="W1196" s="71">
        <v>0.92434097911674096</v>
      </c>
      <c r="X1196" s="71">
        <v>0.92979457682826605</v>
      </c>
      <c r="Y1196" s="73">
        <v>0.92</v>
      </c>
      <c r="Z1196" s="73">
        <v>0.95591939546599503</v>
      </c>
      <c r="AA1196" s="73">
        <v>0.94032921810699599</v>
      </c>
      <c r="AB1196" s="73">
        <v>0.92538226299694204</v>
      </c>
      <c r="AC1196" s="73">
        <v>0.95194136734922197</v>
      </c>
      <c r="AD1196" s="73">
        <v>0.92</v>
      </c>
      <c r="AE1196" s="71">
        <v>0.99792000000000003</v>
      </c>
      <c r="AF1196" s="71">
        <v>0.99762422281757102</v>
      </c>
      <c r="AG1196" s="71">
        <v>0.99526813880126197</v>
      </c>
      <c r="AH1196" s="71">
        <v>0.99269952390859995</v>
      </c>
      <c r="AI1196" s="73">
        <v>0.92</v>
      </c>
      <c r="AJ1196" s="71">
        <v>0.96869462492616698</v>
      </c>
      <c r="AK1196" s="71">
        <v>0.97319377074291502</v>
      </c>
      <c r="AL1196" s="71">
        <v>0.95741878841088701</v>
      </c>
      <c r="AM1196" s="71">
        <v>0.96783008321947595</v>
      </c>
      <c r="AN1196" s="70">
        <v>0.99</v>
      </c>
      <c r="AO1196" s="75">
        <v>1</v>
      </c>
      <c r="AP1196" s="75">
        <v>1</v>
      </c>
      <c r="AQ1196" s="75">
        <v>1</v>
      </c>
      <c r="AR1196" s="75">
        <v>1</v>
      </c>
      <c r="AS1196" s="95">
        <v>7.2186152540827803E-2</v>
      </c>
      <c r="AT1196" s="79">
        <v>0.27272727272727298</v>
      </c>
      <c r="AU1196" s="79">
        <v>6.6666666666666693E-2</v>
      </c>
      <c r="AV1196" s="79">
        <v>9.0909090909090898E-2</v>
      </c>
      <c r="AW1196" s="79">
        <v>5.5865921787709501E-2</v>
      </c>
      <c r="AX1196" s="56"/>
      <c r="AY1196" s="54"/>
    </row>
    <row r="1197" spans="1:51">
      <c r="A1197" s="53"/>
      <c r="B1197" s="56"/>
      <c r="C1197" s="90" t="s">
        <v>1079</v>
      </c>
      <c r="D1197" s="230" t="s">
        <v>1757</v>
      </c>
      <c r="E1197" s="68" t="s">
        <v>1080</v>
      </c>
      <c r="F1197" s="128" t="s">
        <v>1221</v>
      </c>
      <c r="G1197" s="128" t="s">
        <v>1221</v>
      </c>
      <c r="H1197" s="128" t="s">
        <v>1221</v>
      </c>
      <c r="I1197" s="128" t="s">
        <v>1221</v>
      </c>
      <c r="J1197" s="70">
        <v>0.9</v>
      </c>
      <c r="K1197" s="71">
        <v>0.97959183673469397</v>
      </c>
      <c r="L1197" s="71">
        <v>0.98113207547169801</v>
      </c>
      <c r="M1197" s="72">
        <v>0.98113207547169801</v>
      </c>
      <c r="N1197" s="71">
        <v>0.99121265377855905</v>
      </c>
      <c r="O1197" s="73">
        <v>0.9</v>
      </c>
      <c r="P1197" s="71">
        <v>0.98733705772811897</v>
      </c>
      <c r="Q1197" s="71">
        <v>0.97986420042144695</v>
      </c>
      <c r="R1197" s="71">
        <v>0.97300613496932498</v>
      </c>
      <c r="S1197" s="71">
        <v>0.98351832413962503</v>
      </c>
      <c r="T1197" s="73">
        <v>0.9</v>
      </c>
      <c r="U1197" s="71">
        <v>0.92290502793296103</v>
      </c>
      <c r="V1197" s="71">
        <v>0.91336923437134199</v>
      </c>
      <c r="W1197" s="71">
        <v>0.94171779141104295</v>
      </c>
      <c r="X1197" s="71">
        <v>0.92328650869866202</v>
      </c>
      <c r="Y1197" s="73">
        <v>0.92</v>
      </c>
      <c r="Z1197" s="73">
        <v>0.960491659350307</v>
      </c>
      <c r="AA1197" s="73">
        <v>0.97220077220077195</v>
      </c>
      <c r="AB1197" s="73">
        <v>0.93997599039615798</v>
      </c>
      <c r="AC1197" s="73">
        <v>0.95829213483146103</v>
      </c>
      <c r="AD1197" s="73">
        <v>0.92</v>
      </c>
      <c r="AE1197" s="71">
        <v>0.99839807769323197</v>
      </c>
      <c r="AF1197" s="71">
        <v>1</v>
      </c>
      <c r="AG1197" s="71">
        <v>0.99888080581980998</v>
      </c>
      <c r="AH1197" s="71">
        <v>0.99864150943396202</v>
      </c>
      <c r="AI1197" s="73">
        <v>0.92</v>
      </c>
      <c r="AJ1197" s="71">
        <v>0.97239572839008703</v>
      </c>
      <c r="AK1197" s="71">
        <v>0.98293208767517104</v>
      </c>
      <c r="AL1197" s="71">
        <v>0.965081476554706</v>
      </c>
      <c r="AM1197" s="71">
        <v>0.97548968418540105</v>
      </c>
      <c r="AN1197" s="70">
        <v>0.99</v>
      </c>
      <c r="AO1197" s="75">
        <v>1</v>
      </c>
      <c r="AP1197" s="75">
        <v>1</v>
      </c>
      <c r="AQ1197" s="75">
        <v>1</v>
      </c>
      <c r="AR1197" s="75">
        <v>1</v>
      </c>
      <c r="AS1197" s="95">
        <v>7.2186152540827803E-2</v>
      </c>
      <c r="AT1197" s="79">
        <v>0</v>
      </c>
      <c r="AU1197" s="79">
        <v>6.25E-2</v>
      </c>
      <c r="AV1197" s="79">
        <v>0</v>
      </c>
      <c r="AW1197" s="79">
        <v>1.2396694214876E-2</v>
      </c>
      <c r="AX1197" s="56"/>
      <c r="AY1197" s="54"/>
    </row>
    <row r="1198" spans="1:51">
      <c r="A1198" s="53"/>
      <c r="B1198" s="56"/>
      <c r="C1198" s="90" t="s">
        <v>1079</v>
      </c>
      <c r="D1198" s="230" t="s">
        <v>1757</v>
      </c>
      <c r="E1198" s="68" t="s">
        <v>1080</v>
      </c>
      <c r="F1198" s="128" t="s">
        <v>1222</v>
      </c>
      <c r="G1198" s="128" t="s">
        <v>1222</v>
      </c>
      <c r="H1198" s="128" t="s">
        <v>1222</v>
      </c>
      <c r="I1198" s="128" t="s">
        <v>1222</v>
      </c>
      <c r="J1198" s="70">
        <v>0.9</v>
      </c>
      <c r="K1198" s="71">
        <v>0.97058823529411797</v>
      </c>
      <c r="L1198" s="71">
        <v>0.96969696969696995</v>
      </c>
      <c r="M1198" s="72">
        <v>0.97014925373134298</v>
      </c>
      <c r="N1198" s="71">
        <v>0.97009102730819197</v>
      </c>
      <c r="O1198" s="73">
        <v>0.9</v>
      </c>
      <c r="P1198" s="71">
        <v>0.97536280796490005</v>
      </c>
      <c r="Q1198" s="71">
        <v>0.79790738229025404</v>
      </c>
      <c r="R1198" s="71">
        <v>0.93659458324585299</v>
      </c>
      <c r="S1198" s="71">
        <v>0.94045460041107498</v>
      </c>
      <c r="T1198" s="73">
        <v>0.9</v>
      </c>
      <c r="U1198" s="71">
        <v>0.95005062436719501</v>
      </c>
      <c r="V1198" s="71">
        <v>0.93082735903894598</v>
      </c>
      <c r="W1198" s="71">
        <v>0.94205332773462103</v>
      </c>
      <c r="X1198" s="71">
        <v>0.94776931447225199</v>
      </c>
      <c r="Y1198" s="73">
        <v>0.92</v>
      </c>
      <c r="Z1198" s="73">
        <v>0.952310536044362</v>
      </c>
      <c r="AA1198" s="73">
        <v>0.95960223741454298</v>
      </c>
      <c r="AB1198" s="73">
        <v>0.96119615521537904</v>
      </c>
      <c r="AC1198" s="73">
        <v>0.96769566999043799</v>
      </c>
      <c r="AD1198" s="73">
        <v>0.92</v>
      </c>
      <c r="AE1198" s="71">
        <v>0.99745028046914797</v>
      </c>
      <c r="AF1198" s="71">
        <v>0.99857651245551604</v>
      </c>
      <c r="AG1198" s="71">
        <v>0.99185463659147899</v>
      </c>
      <c r="AH1198" s="71">
        <v>0.99676653362299805</v>
      </c>
      <c r="AI1198" s="73">
        <v>0.92</v>
      </c>
      <c r="AJ1198" s="71">
        <v>0.96877756218027899</v>
      </c>
      <c r="AK1198" s="71">
        <v>0.97976366322008901</v>
      </c>
      <c r="AL1198" s="71">
        <v>0.97821206919318604</v>
      </c>
      <c r="AM1198" s="71">
        <v>0.98148687861930894</v>
      </c>
      <c r="AN1198" s="70">
        <v>0.99</v>
      </c>
      <c r="AO1198" s="75">
        <v>1</v>
      </c>
      <c r="AP1198" s="75">
        <v>1</v>
      </c>
      <c r="AQ1198" s="75">
        <v>1</v>
      </c>
      <c r="AR1198" s="75">
        <v>1</v>
      </c>
      <c r="AS1198" s="95">
        <v>7.2186152540827803E-2</v>
      </c>
      <c r="AT1198" s="79">
        <v>4.7619047619047603E-2</v>
      </c>
      <c r="AU1198" s="79">
        <v>8.3333333333333301E-2</v>
      </c>
      <c r="AV1198" s="79">
        <v>8.3333333333333301E-2</v>
      </c>
      <c r="AW1198" s="79">
        <v>7.1428571428571397E-2</v>
      </c>
      <c r="AX1198" s="56"/>
      <c r="AY1198" s="54"/>
    </row>
    <row r="1199" spans="1:51">
      <c r="A1199" s="53"/>
      <c r="B1199" s="56"/>
      <c r="C1199" s="90" t="s">
        <v>1079</v>
      </c>
      <c r="D1199" s="230" t="s">
        <v>1757</v>
      </c>
      <c r="E1199" s="68" t="s">
        <v>1080</v>
      </c>
      <c r="F1199" s="128" t="s">
        <v>1223</v>
      </c>
      <c r="G1199" s="128" t="s">
        <v>1223</v>
      </c>
      <c r="H1199" s="128" t="s">
        <v>1223</v>
      </c>
      <c r="I1199" s="128" t="s">
        <v>1223</v>
      </c>
      <c r="J1199" s="70">
        <v>0.9</v>
      </c>
      <c r="K1199" s="71">
        <v>0.96875</v>
      </c>
      <c r="L1199" s="71">
        <v>0.939393939393939</v>
      </c>
      <c r="M1199" s="72">
        <v>0.93548387096774199</v>
      </c>
      <c r="N1199" s="71">
        <v>0.95135135135135096</v>
      </c>
      <c r="O1199" s="73">
        <v>0.9</v>
      </c>
      <c r="P1199" s="71">
        <v>0.96875</v>
      </c>
      <c r="Q1199" s="71">
        <v>0.88540410132689995</v>
      </c>
      <c r="R1199" s="71">
        <v>0.950040290088638</v>
      </c>
      <c r="S1199" s="71">
        <v>0.95519510457269796</v>
      </c>
      <c r="T1199" s="73">
        <v>0.9</v>
      </c>
      <c r="U1199" s="71">
        <v>0.92430555555555605</v>
      </c>
      <c r="V1199" s="71">
        <v>0.853638922396462</v>
      </c>
      <c r="W1199" s="71">
        <v>0.94601128122481903</v>
      </c>
      <c r="X1199" s="71">
        <v>0.93486734565572704</v>
      </c>
      <c r="Y1199" s="73">
        <v>0.92</v>
      </c>
      <c r="Z1199" s="73">
        <v>0.94416961130742005</v>
      </c>
      <c r="AA1199" s="73">
        <v>0.95053475935828902</v>
      </c>
      <c r="AB1199" s="73">
        <v>0.91659919028340098</v>
      </c>
      <c r="AC1199" s="73">
        <v>0.94795305295514898</v>
      </c>
      <c r="AD1199" s="73">
        <v>0.92</v>
      </c>
      <c r="AE1199" s="71">
        <v>0.99114671163574997</v>
      </c>
      <c r="AF1199" s="71">
        <v>0.994957983193277</v>
      </c>
      <c r="AG1199" s="71">
        <v>0.997989949748744</v>
      </c>
      <c r="AH1199" s="71">
        <v>0.99561949925652005</v>
      </c>
      <c r="AI1199" s="73">
        <v>0.92</v>
      </c>
      <c r="AJ1199" s="71">
        <v>0.95656742556917695</v>
      </c>
      <c r="AK1199" s="71">
        <v>0.97403400309119004</v>
      </c>
      <c r="AL1199" s="71">
        <v>0.95534032822168402</v>
      </c>
      <c r="AM1199" s="71">
        <v>0.97144578628873801</v>
      </c>
      <c r="AN1199" s="70">
        <v>0.99</v>
      </c>
      <c r="AO1199" s="75">
        <v>1</v>
      </c>
      <c r="AP1199" s="75">
        <v>1</v>
      </c>
      <c r="AQ1199" s="75">
        <v>1</v>
      </c>
      <c r="AR1199" s="75">
        <v>1</v>
      </c>
      <c r="AS1199" s="95">
        <v>7.2186152540827803E-2</v>
      </c>
      <c r="AT1199" s="79">
        <v>0.1</v>
      </c>
      <c r="AU1199" s="79">
        <v>0</v>
      </c>
      <c r="AV1199" s="79">
        <v>0</v>
      </c>
      <c r="AW1199" s="79">
        <v>3.1746031746031703E-2</v>
      </c>
      <c r="AX1199" s="56"/>
      <c r="AY1199" s="54"/>
    </row>
    <row r="1200" spans="1:51">
      <c r="A1200" s="53"/>
      <c r="B1200" s="56"/>
      <c r="C1200" s="90" t="s">
        <v>1079</v>
      </c>
      <c r="D1200" s="230" t="s">
        <v>1757</v>
      </c>
      <c r="E1200" s="68" t="s">
        <v>1080</v>
      </c>
      <c r="F1200" s="128" t="s">
        <v>1224</v>
      </c>
      <c r="G1200" s="128" t="s">
        <v>1224</v>
      </c>
      <c r="H1200" s="128" t="s">
        <v>1224</v>
      </c>
      <c r="I1200" s="128" t="s">
        <v>1224</v>
      </c>
      <c r="J1200" s="70">
        <v>0.9</v>
      </c>
      <c r="K1200" s="71">
        <v>1</v>
      </c>
      <c r="L1200" s="71">
        <v>1</v>
      </c>
      <c r="M1200" s="72">
        <v>1</v>
      </c>
      <c r="N1200" s="71">
        <v>1</v>
      </c>
      <c r="O1200" s="73">
        <v>0.9</v>
      </c>
      <c r="P1200" s="71">
        <v>0.98484848484848497</v>
      </c>
      <c r="Q1200" s="71">
        <v>0.98498882146279099</v>
      </c>
      <c r="R1200" s="71">
        <v>0.99243538558520705</v>
      </c>
      <c r="S1200" s="71">
        <v>0.96348979083665298</v>
      </c>
      <c r="T1200" s="73">
        <v>0.9</v>
      </c>
      <c r="U1200" s="71">
        <v>0.93123543123543095</v>
      </c>
      <c r="V1200" s="71">
        <v>0.95368891727882499</v>
      </c>
      <c r="W1200" s="71">
        <v>0.97058205505358297</v>
      </c>
      <c r="X1200" s="71">
        <v>0.94960781872510003</v>
      </c>
      <c r="Y1200" s="73">
        <v>0.92</v>
      </c>
      <c r="Z1200" s="73">
        <v>0.93508771929824597</v>
      </c>
      <c r="AA1200" s="73">
        <v>0.96621621621621601</v>
      </c>
      <c r="AB1200" s="73">
        <v>0.95649651972157801</v>
      </c>
      <c r="AC1200" s="73">
        <v>0.95296968190854903</v>
      </c>
      <c r="AD1200" s="73">
        <v>0.92</v>
      </c>
      <c r="AE1200" s="71">
        <v>0.99290966386554602</v>
      </c>
      <c r="AF1200" s="71">
        <v>0.99314456035767495</v>
      </c>
      <c r="AG1200" s="71">
        <v>0.98969404186795495</v>
      </c>
      <c r="AH1200" s="71">
        <v>0.99471417889281399</v>
      </c>
      <c r="AI1200" s="73">
        <v>0.92</v>
      </c>
      <c r="AJ1200" s="71">
        <v>0.95685131195335305</v>
      </c>
      <c r="AK1200" s="71">
        <v>0.98224142068634501</v>
      </c>
      <c r="AL1200" s="71">
        <v>0.98226129878142798</v>
      </c>
      <c r="AM1200" s="71">
        <v>0.97524670370677502</v>
      </c>
      <c r="AN1200" s="70">
        <v>0.99</v>
      </c>
      <c r="AO1200" s="75">
        <v>1</v>
      </c>
      <c r="AP1200" s="75">
        <v>1</v>
      </c>
      <c r="AQ1200" s="75">
        <v>1</v>
      </c>
      <c r="AR1200" s="75">
        <v>1</v>
      </c>
      <c r="AS1200" s="95">
        <v>7.2186152540827803E-2</v>
      </c>
      <c r="AT1200" s="79">
        <v>0</v>
      </c>
      <c r="AU1200" s="79">
        <v>0.14285714285714299</v>
      </c>
      <c r="AV1200" s="79">
        <v>0.133333333333333</v>
      </c>
      <c r="AW1200" s="79">
        <v>9.9378881987577605E-2</v>
      </c>
      <c r="AX1200" s="56"/>
      <c r="AY1200" s="54"/>
    </row>
    <row r="1201" spans="1:51">
      <c r="A1201" s="53"/>
      <c r="B1201" s="56"/>
      <c r="C1201" s="90" t="s">
        <v>1079</v>
      </c>
      <c r="D1201" s="230" t="s">
        <v>1757</v>
      </c>
      <c r="E1201" s="68" t="s">
        <v>1080</v>
      </c>
      <c r="F1201" s="128" t="s">
        <v>1225</v>
      </c>
      <c r="G1201" s="128" t="s">
        <v>1225</v>
      </c>
      <c r="H1201" s="128" t="s">
        <v>1225</v>
      </c>
      <c r="I1201" s="128" t="s">
        <v>1225</v>
      </c>
      <c r="J1201" s="70">
        <v>0.9</v>
      </c>
      <c r="K1201" s="71">
        <v>0.98484848484848497</v>
      </c>
      <c r="L1201" s="71">
        <v>0.95588235294117696</v>
      </c>
      <c r="M1201" s="72">
        <v>0.95081967213114704</v>
      </c>
      <c r="N1201" s="71">
        <v>0.94921875</v>
      </c>
      <c r="O1201" s="73">
        <v>0.9</v>
      </c>
      <c r="P1201" s="71">
        <v>0.95917001338688102</v>
      </c>
      <c r="Q1201" s="71">
        <v>0.96535525543159095</v>
      </c>
      <c r="R1201" s="71">
        <v>0.93747518856689205</v>
      </c>
      <c r="S1201" s="71">
        <v>0.96209906739048301</v>
      </c>
      <c r="T1201" s="73">
        <v>0.9</v>
      </c>
      <c r="U1201" s="71">
        <v>0.93975903614457801</v>
      </c>
      <c r="V1201" s="71">
        <v>0.92855744764141701</v>
      </c>
      <c r="W1201" s="71">
        <v>0.93251290194521597</v>
      </c>
      <c r="X1201" s="71">
        <v>0.93557239157668703</v>
      </c>
      <c r="Y1201" s="73">
        <v>0.92</v>
      </c>
      <c r="Z1201" s="73">
        <v>0.94758339006126602</v>
      </c>
      <c r="AA1201" s="73">
        <v>0.94639311714096597</v>
      </c>
      <c r="AB1201" s="73">
        <v>0.94931047335072705</v>
      </c>
      <c r="AC1201" s="73">
        <v>0.95175498034964101</v>
      </c>
      <c r="AD1201" s="73">
        <v>0.92</v>
      </c>
      <c r="AE1201" s="71">
        <v>0.99866711096301197</v>
      </c>
      <c r="AF1201" s="71">
        <v>0.99679914643904999</v>
      </c>
      <c r="AG1201" s="71">
        <v>0.99735868991019505</v>
      </c>
      <c r="AH1201" s="71">
        <v>0.99500084731401495</v>
      </c>
      <c r="AI1201" s="73">
        <v>0.92</v>
      </c>
      <c r="AJ1201" s="71">
        <v>0.96373144399460198</v>
      </c>
      <c r="AK1201" s="71">
        <v>0.97265861027190303</v>
      </c>
      <c r="AL1201" s="71">
        <v>0.97138047138047101</v>
      </c>
      <c r="AM1201" s="71">
        <v>0.973326818512115</v>
      </c>
      <c r="AN1201" s="70">
        <v>0.99</v>
      </c>
      <c r="AO1201" s="75">
        <v>1</v>
      </c>
      <c r="AP1201" s="75">
        <v>1</v>
      </c>
      <c r="AQ1201" s="75">
        <v>1</v>
      </c>
      <c r="AR1201" s="75">
        <v>1</v>
      </c>
      <c r="AS1201" s="95">
        <v>7.2186152540827803E-2</v>
      </c>
      <c r="AT1201" s="79">
        <v>7.1428571428571397E-2</v>
      </c>
      <c r="AU1201" s="79">
        <v>0</v>
      </c>
      <c r="AV1201" s="79">
        <v>0</v>
      </c>
      <c r="AW1201" s="79">
        <v>4.91803278688525E-2</v>
      </c>
      <c r="AX1201" s="56"/>
      <c r="AY1201" s="54"/>
    </row>
    <row r="1202" spans="1:51">
      <c r="A1202" s="53"/>
      <c r="B1202" s="56"/>
      <c r="C1202" s="90" t="s">
        <v>1079</v>
      </c>
      <c r="D1202" s="230" t="s">
        <v>1757</v>
      </c>
      <c r="E1202" s="68" t="s">
        <v>1080</v>
      </c>
      <c r="F1202" s="128" t="s">
        <v>1226</v>
      </c>
      <c r="G1202" s="128" t="s">
        <v>1226</v>
      </c>
      <c r="H1202" s="128" t="s">
        <v>1226</v>
      </c>
      <c r="I1202" s="128" t="s">
        <v>1226</v>
      </c>
      <c r="J1202" s="70">
        <v>0.9</v>
      </c>
      <c r="K1202" s="71">
        <v>1</v>
      </c>
      <c r="L1202" s="71">
        <v>0.98181818181818203</v>
      </c>
      <c r="M1202" s="72">
        <v>1</v>
      </c>
      <c r="N1202" s="71">
        <v>0.99370078740157497</v>
      </c>
      <c r="O1202" s="73">
        <v>0.9</v>
      </c>
      <c r="P1202" s="71">
        <v>0.99127544661404199</v>
      </c>
      <c r="Q1202" s="71">
        <v>0.98809818993305198</v>
      </c>
      <c r="R1202" s="71">
        <v>0.98796126668411399</v>
      </c>
      <c r="S1202" s="71">
        <v>0.98826431454626995</v>
      </c>
      <c r="T1202" s="73">
        <v>0.9</v>
      </c>
      <c r="U1202" s="71">
        <v>0.93975903614457801</v>
      </c>
      <c r="V1202" s="71">
        <v>0.95363253161418304</v>
      </c>
      <c r="W1202" s="71">
        <v>0.94634912326616105</v>
      </c>
      <c r="X1202" s="71">
        <v>0.94538296706034797</v>
      </c>
      <c r="Y1202" s="73">
        <v>0.92</v>
      </c>
      <c r="Z1202" s="73">
        <v>0.95939086294416198</v>
      </c>
      <c r="AA1202" s="73">
        <v>0.968053491827637</v>
      </c>
      <c r="AB1202" s="73">
        <v>0.95923460898502499</v>
      </c>
      <c r="AC1202" s="73">
        <v>0.96616345653305602</v>
      </c>
      <c r="AD1202" s="73">
        <v>0.92</v>
      </c>
      <c r="AE1202" s="71">
        <v>0.99577128148556704</v>
      </c>
      <c r="AF1202" s="71">
        <v>0.99227301996136497</v>
      </c>
      <c r="AG1202" s="71">
        <v>0.99688837028393595</v>
      </c>
      <c r="AH1202" s="71">
        <v>0.96645940754221005</v>
      </c>
      <c r="AI1202" s="73">
        <v>0.92</v>
      </c>
      <c r="AJ1202" s="71">
        <v>0.96882865440464705</v>
      </c>
      <c r="AK1202" s="71">
        <v>0.98178100018590797</v>
      </c>
      <c r="AL1202" s="71">
        <v>0.97510040160642597</v>
      </c>
      <c r="AM1202" s="71">
        <v>0.98018676660318205</v>
      </c>
      <c r="AN1202" s="70">
        <v>0.99</v>
      </c>
      <c r="AO1202" s="75">
        <v>1</v>
      </c>
      <c r="AP1202" s="75">
        <v>1</v>
      </c>
      <c r="AQ1202" s="75">
        <v>1</v>
      </c>
      <c r="AR1202" s="75">
        <v>1</v>
      </c>
      <c r="AS1202" s="95">
        <v>7.2186152540827803E-2</v>
      </c>
      <c r="AT1202" s="79">
        <v>0</v>
      </c>
      <c r="AU1202" s="79">
        <v>0</v>
      </c>
      <c r="AV1202" s="79">
        <v>0</v>
      </c>
      <c r="AW1202" s="79">
        <v>3.27102803738318E-2</v>
      </c>
      <c r="AX1202" s="56"/>
      <c r="AY1202" s="54"/>
    </row>
    <row r="1203" spans="1:51">
      <c r="A1203" s="53"/>
      <c r="B1203" s="56"/>
      <c r="C1203" s="90" t="s">
        <v>1079</v>
      </c>
      <c r="D1203" s="230" t="s">
        <v>1757</v>
      </c>
      <c r="E1203" s="68" t="s">
        <v>1080</v>
      </c>
      <c r="F1203" s="128" t="s">
        <v>1227</v>
      </c>
      <c r="G1203" s="128" t="s">
        <v>1227</v>
      </c>
      <c r="H1203" s="128" t="s">
        <v>1227</v>
      </c>
      <c r="I1203" s="128" t="s">
        <v>1227</v>
      </c>
      <c r="J1203" s="70">
        <v>0.9</v>
      </c>
      <c r="K1203" s="71">
        <v>0.98360655737704905</v>
      </c>
      <c r="L1203" s="71">
        <v>0.98529411764705899</v>
      </c>
      <c r="M1203" s="72">
        <v>0.96825396825396803</v>
      </c>
      <c r="N1203" s="71">
        <v>0.98519515477792696</v>
      </c>
      <c r="O1203" s="73">
        <v>0.9</v>
      </c>
      <c r="P1203" s="71">
        <v>0.98442466624284797</v>
      </c>
      <c r="Q1203" s="71">
        <v>0.98332291015217799</v>
      </c>
      <c r="R1203" s="71">
        <v>0.98339690374691502</v>
      </c>
      <c r="S1203" s="71">
        <v>0.98246006259908103</v>
      </c>
      <c r="T1203" s="73">
        <v>0.9</v>
      </c>
      <c r="U1203" s="71">
        <v>0.95454545454545503</v>
      </c>
      <c r="V1203" s="71">
        <v>0.94579945799457998</v>
      </c>
      <c r="W1203" s="71">
        <v>0.95557549921471796</v>
      </c>
      <c r="X1203" s="71">
        <v>0.95235966017641605</v>
      </c>
      <c r="Y1203" s="73">
        <v>0.92</v>
      </c>
      <c r="Z1203" s="73">
        <v>0.958599695585997</v>
      </c>
      <c r="AA1203" s="73">
        <v>0.97339502602660499</v>
      </c>
      <c r="AB1203" s="73">
        <v>0.959240069084629</v>
      </c>
      <c r="AC1203" s="73">
        <v>0.96704497958396296</v>
      </c>
      <c r="AD1203" s="73">
        <v>0.92</v>
      </c>
      <c r="AE1203" s="71">
        <v>0.990464632454924</v>
      </c>
      <c r="AF1203" s="71">
        <v>0.97026862557593696</v>
      </c>
      <c r="AG1203" s="71">
        <v>0.99266565503287796</v>
      </c>
      <c r="AH1203" s="71">
        <v>0.95919359467706899</v>
      </c>
      <c r="AI1203" s="73">
        <v>0.92</v>
      </c>
      <c r="AJ1203" s="71">
        <v>0.97418752915565199</v>
      </c>
      <c r="AK1203" s="71">
        <v>0.983757278577996</v>
      </c>
      <c r="AL1203" s="71">
        <v>0.97470764209953797</v>
      </c>
      <c r="AM1203" s="71">
        <v>0.98076348423726301</v>
      </c>
      <c r="AN1203" s="70">
        <v>0.99</v>
      </c>
      <c r="AO1203" s="75">
        <v>1</v>
      </c>
      <c r="AP1203" s="75">
        <v>1</v>
      </c>
      <c r="AQ1203" s="75">
        <v>1</v>
      </c>
      <c r="AR1203" s="75">
        <v>1</v>
      </c>
      <c r="AS1203" s="95">
        <v>7.2186152540827803E-2</v>
      </c>
      <c r="AT1203" s="79">
        <v>3.5714285714285698E-2</v>
      </c>
      <c r="AU1203" s="79">
        <v>2.7777777777777801E-2</v>
      </c>
      <c r="AV1203" s="79">
        <v>0</v>
      </c>
      <c r="AW1203" s="79">
        <v>3.4188034188034198E-2</v>
      </c>
      <c r="AX1203" s="56"/>
      <c r="AY1203" s="54"/>
    </row>
    <row r="1204" spans="1:51">
      <c r="A1204" s="53"/>
      <c r="B1204" s="56"/>
      <c r="C1204" s="90" t="s">
        <v>1079</v>
      </c>
      <c r="D1204" s="230" t="s">
        <v>1757</v>
      </c>
      <c r="E1204" s="68" t="s">
        <v>1080</v>
      </c>
      <c r="F1204" s="128" t="s">
        <v>1228</v>
      </c>
      <c r="G1204" s="128" t="s">
        <v>1228</v>
      </c>
      <c r="H1204" s="128" t="s">
        <v>1228</v>
      </c>
      <c r="I1204" s="128" t="s">
        <v>1228</v>
      </c>
      <c r="J1204" s="70">
        <v>0.9</v>
      </c>
      <c r="K1204" s="71">
        <v>1</v>
      </c>
      <c r="L1204" s="71">
        <v>1</v>
      </c>
      <c r="M1204" s="72">
        <v>0.96153846153846201</v>
      </c>
      <c r="N1204" s="71">
        <v>0.98338870431893699</v>
      </c>
      <c r="O1204" s="73">
        <v>0.9</v>
      </c>
      <c r="P1204" s="71">
        <v>0.99000666222518297</v>
      </c>
      <c r="Q1204" s="71">
        <v>0.99190476190476196</v>
      </c>
      <c r="R1204" s="71">
        <v>0.98944723618090502</v>
      </c>
      <c r="S1204" s="71">
        <v>0.99052685612954405</v>
      </c>
      <c r="T1204" s="73">
        <v>0.9</v>
      </c>
      <c r="U1204" s="71">
        <v>0.96269153897401705</v>
      </c>
      <c r="V1204" s="71">
        <v>0.96619047619047604</v>
      </c>
      <c r="W1204" s="71">
        <v>0.95979899497487398</v>
      </c>
      <c r="X1204" s="71">
        <v>0.96546735731952005</v>
      </c>
      <c r="Y1204" s="73">
        <v>0.92</v>
      </c>
      <c r="Z1204" s="73">
        <v>0.96631059983566103</v>
      </c>
      <c r="AA1204" s="73">
        <v>0.98207426376440499</v>
      </c>
      <c r="AB1204" s="73">
        <v>0.93533487297921503</v>
      </c>
      <c r="AC1204" s="73">
        <v>0.97516350046714395</v>
      </c>
      <c r="AD1204" s="73">
        <v>0.92</v>
      </c>
      <c r="AE1204" s="71">
        <v>0.79873903701877402</v>
      </c>
      <c r="AF1204" s="71">
        <v>0.99015101772816805</v>
      </c>
      <c r="AG1204" s="71">
        <v>0.99670097651095302</v>
      </c>
      <c r="AH1204" s="71">
        <v>0.92669827304197505</v>
      </c>
      <c r="AI1204" s="73">
        <v>0.92</v>
      </c>
      <c r="AJ1204" s="71">
        <v>0.97829286239882296</v>
      </c>
      <c r="AK1204" s="71">
        <v>0.98819854217285696</v>
      </c>
      <c r="AL1204" s="71">
        <v>0.96655518394648798</v>
      </c>
      <c r="AM1204" s="71">
        <v>0.98611232676878202</v>
      </c>
      <c r="AN1204" s="70">
        <v>0.99</v>
      </c>
      <c r="AO1204" s="75">
        <v>1</v>
      </c>
      <c r="AP1204" s="75">
        <v>1</v>
      </c>
      <c r="AQ1204" s="75">
        <v>1</v>
      </c>
      <c r="AR1204" s="75">
        <v>0.995391705069124</v>
      </c>
      <c r="AS1204" s="95">
        <v>7.2186152540827803E-2</v>
      </c>
      <c r="AT1204" s="79">
        <v>0</v>
      </c>
      <c r="AU1204" s="79">
        <v>0</v>
      </c>
      <c r="AV1204" s="79">
        <v>0</v>
      </c>
      <c r="AW1204" s="79">
        <v>4.2253521126760597E-2</v>
      </c>
      <c r="AX1204" s="56"/>
      <c r="AY1204" s="54"/>
    </row>
    <row r="1205" spans="1:51">
      <c r="A1205" s="53"/>
      <c r="B1205" s="56"/>
      <c r="C1205" s="90" t="s">
        <v>1079</v>
      </c>
      <c r="D1205" s="230" t="s">
        <v>1757</v>
      </c>
      <c r="E1205" s="68" t="s">
        <v>1080</v>
      </c>
      <c r="F1205" s="128" t="s">
        <v>1229</v>
      </c>
      <c r="G1205" s="128" t="s">
        <v>1229</v>
      </c>
      <c r="H1205" s="128" t="s">
        <v>1229</v>
      </c>
      <c r="I1205" s="128" t="s">
        <v>1229</v>
      </c>
      <c r="J1205" s="70">
        <v>0.9</v>
      </c>
      <c r="K1205" s="71">
        <v>1</v>
      </c>
      <c r="L1205" s="71">
        <v>1</v>
      </c>
      <c r="M1205" s="72">
        <v>1</v>
      </c>
      <c r="N1205" s="71">
        <v>0.98177083333333304</v>
      </c>
      <c r="O1205" s="73">
        <v>0.9</v>
      </c>
      <c r="P1205" s="71">
        <v>0.99403183023872699</v>
      </c>
      <c r="Q1205" s="71">
        <v>0.99341816586221998</v>
      </c>
      <c r="R1205" s="71">
        <v>0.98340425531914899</v>
      </c>
      <c r="S1205" s="71">
        <v>0.99123601053324595</v>
      </c>
      <c r="T1205" s="73">
        <v>0.9</v>
      </c>
      <c r="U1205" s="71">
        <v>0.95689655172413801</v>
      </c>
      <c r="V1205" s="71">
        <v>0.95041684949539296</v>
      </c>
      <c r="W1205" s="71">
        <v>0.94723404255319099</v>
      </c>
      <c r="X1205" s="71">
        <v>0.95239466754443702</v>
      </c>
      <c r="Y1205" s="73">
        <v>0.92</v>
      </c>
      <c r="Z1205" s="73">
        <v>0.95634095634095595</v>
      </c>
      <c r="AA1205" s="73">
        <v>0.97075365579302597</v>
      </c>
      <c r="AB1205" s="73">
        <v>0.96969696969696995</v>
      </c>
      <c r="AC1205" s="73">
        <v>0.96788833115588302</v>
      </c>
      <c r="AD1205" s="73">
        <v>0.92</v>
      </c>
      <c r="AE1205" s="71">
        <v>0.99720781810929404</v>
      </c>
      <c r="AF1205" s="71">
        <v>0.99804209495839402</v>
      </c>
      <c r="AG1205" s="71">
        <v>0.99741602067183499</v>
      </c>
      <c r="AH1205" s="71">
        <v>0.99724987086957095</v>
      </c>
      <c r="AI1205" s="73">
        <v>0.92</v>
      </c>
      <c r="AJ1205" s="71">
        <v>0.97322941375804795</v>
      </c>
      <c r="AK1205" s="71">
        <v>0.981691919191919</v>
      </c>
      <c r="AL1205" s="71">
        <v>0.98174386920980905</v>
      </c>
      <c r="AM1205" s="71">
        <v>0.982215931025608</v>
      </c>
      <c r="AN1205" s="70">
        <v>0.99</v>
      </c>
      <c r="AO1205" s="75">
        <v>1</v>
      </c>
      <c r="AP1205" s="75">
        <v>1</v>
      </c>
      <c r="AQ1205" s="75">
        <v>1</v>
      </c>
      <c r="AR1205" s="75">
        <v>1</v>
      </c>
      <c r="AS1205" s="95">
        <v>7.2186152540827803E-2</v>
      </c>
      <c r="AT1205" s="79">
        <v>0</v>
      </c>
      <c r="AU1205" s="79">
        <v>0</v>
      </c>
      <c r="AV1205" s="79">
        <v>0</v>
      </c>
      <c r="AW1205" s="79">
        <v>3.1578947368421102E-2</v>
      </c>
      <c r="AX1205" s="56"/>
      <c r="AY1205" s="54"/>
    </row>
    <row r="1206" spans="1:51">
      <c r="A1206" s="53"/>
      <c r="B1206" s="56"/>
      <c r="C1206" s="90" t="s">
        <v>1079</v>
      </c>
      <c r="D1206" s="230" t="s">
        <v>1757</v>
      </c>
      <c r="E1206" s="68" t="s">
        <v>1080</v>
      </c>
      <c r="F1206" s="128" t="s">
        <v>1230</v>
      </c>
      <c r="G1206" s="128" t="s">
        <v>1230</v>
      </c>
      <c r="H1206" s="128" t="s">
        <v>1230</v>
      </c>
      <c r="I1206" s="128" t="s">
        <v>1230</v>
      </c>
      <c r="J1206" s="70">
        <v>0.9</v>
      </c>
      <c r="K1206" s="71">
        <v>0.97368421052631604</v>
      </c>
      <c r="L1206" s="71">
        <v>1</v>
      </c>
      <c r="M1206" s="72">
        <v>0.96969696969696995</v>
      </c>
      <c r="N1206" s="71">
        <v>0.98803827751196205</v>
      </c>
      <c r="O1206" s="73">
        <v>0.9</v>
      </c>
      <c r="P1206" s="71">
        <v>0.97140957446808496</v>
      </c>
      <c r="Q1206" s="71">
        <v>0.98006295907660002</v>
      </c>
      <c r="R1206" s="71">
        <v>0.989071038251366</v>
      </c>
      <c r="S1206" s="71">
        <v>0.985514190932547</v>
      </c>
      <c r="T1206" s="73">
        <v>0.9</v>
      </c>
      <c r="U1206" s="71">
        <v>0.95944148936170204</v>
      </c>
      <c r="V1206" s="71">
        <v>0.94193774046869505</v>
      </c>
      <c r="W1206" s="71">
        <v>0.94925839188134298</v>
      </c>
      <c r="X1206" s="71">
        <v>0.95127165499447097</v>
      </c>
      <c r="Y1206" s="73">
        <v>0.92</v>
      </c>
      <c r="Z1206" s="73">
        <v>0.97186400937866402</v>
      </c>
      <c r="AA1206" s="73">
        <v>0.96357615894039705</v>
      </c>
      <c r="AB1206" s="73">
        <v>0.96135265700483097</v>
      </c>
      <c r="AC1206" s="73">
        <v>0.97245712943387397</v>
      </c>
      <c r="AD1206" s="73">
        <v>0.92</v>
      </c>
      <c r="AE1206" s="71">
        <v>0.99617290921638701</v>
      </c>
      <c r="AF1206" s="71">
        <v>0.96057692307692299</v>
      </c>
      <c r="AG1206" s="71">
        <v>0.99772953029657996</v>
      </c>
      <c r="AH1206" s="71">
        <v>0.96781858237896701</v>
      </c>
      <c r="AI1206" s="73">
        <v>0.92</v>
      </c>
      <c r="AJ1206" s="71">
        <v>0.97944565555901597</v>
      </c>
      <c r="AK1206" s="71">
        <v>0.98459495351925597</v>
      </c>
      <c r="AL1206" s="71">
        <v>0.980568720379147</v>
      </c>
      <c r="AM1206" s="71">
        <v>0.98451227243909101</v>
      </c>
      <c r="AN1206" s="70">
        <v>0.99</v>
      </c>
      <c r="AO1206" s="75">
        <v>1</v>
      </c>
      <c r="AP1206" s="75">
        <v>1</v>
      </c>
      <c r="AQ1206" s="75">
        <v>1</v>
      </c>
      <c r="AR1206" s="75">
        <v>1</v>
      </c>
      <c r="AS1206" s="95">
        <v>7.2186152540827803E-2</v>
      </c>
      <c r="AT1206" s="79">
        <v>0.14285714285714299</v>
      </c>
      <c r="AU1206" s="79">
        <v>0</v>
      </c>
      <c r="AV1206" s="79">
        <v>0</v>
      </c>
      <c r="AW1206" s="79">
        <v>2.9702970297029702E-2</v>
      </c>
      <c r="AX1206" s="56"/>
      <c r="AY1206" s="54"/>
    </row>
    <row r="1207" spans="1:51">
      <c r="A1207" s="53"/>
      <c r="B1207" s="56"/>
      <c r="C1207" s="90" t="s">
        <v>1079</v>
      </c>
      <c r="D1207" s="230" t="s">
        <v>1757</v>
      </c>
      <c r="E1207" s="68" t="s">
        <v>1080</v>
      </c>
      <c r="F1207" s="128" t="s">
        <v>1231</v>
      </c>
      <c r="G1207" s="128" t="s">
        <v>1231</v>
      </c>
      <c r="H1207" s="128" t="s">
        <v>1231</v>
      </c>
      <c r="I1207" s="128" t="s">
        <v>1231</v>
      </c>
      <c r="J1207" s="70">
        <v>0.9</v>
      </c>
      <c r="K1207" s="71">
        <v>0.90909090909090895</v>
      </c>
      <c r="L1207" s="71">
        <v>0.95652173913043503</v>
      </c>
      <c r="M1207" s="72">
        <v>0.86956521739130399</v>
      </c>
      <c r="N1207" s="71">
        <v>0.93382352941176505</v>
      </c>
      <c r="O1207" s="73">
        <v>0.9</v>
      </c>
      <c r="P1207" s="71">
        <v>0.97940074906367003</v>
      </c>
      <c r="Q1207" s="71">
        <v>0.98076923076923095</v>
      </c>
      <c r="R1207" s="71">
        <v>0.99117647058823499</v>
      </c>
      <c r="S1207" s="71">
        <v>0.98555637435519505</v>
      </c>
      <c r="T1207" s="73">
        <v>0.9</v>
      </c>
      <c r="U1207" s="71">
        <v>0.92696629213483195</v>
      </c>
      <c r="V1207" s="71">
        <v>0.906964656964657</v>
      </c>
      <c r="W1207" s="71">
        <v>0.95294117647058796</v>
      </c>
      <c r="X1207" s="71">
        <v>0.94276590518300196</v>
      </c>
      <c r="Y1207" s="73">
        <v>0.92</v>
      </c>
      <c r="Z1207" s="73">
        <v>0.93936731107205595</v>
      </c>
      <c r="AA1207" s="73">
        <v>0.93987730061349695</v>
      </c>
      <c r="AB1207" s="73">
        <v>0.96065012831479901</v>
      </c>
      <c r="AC1207" s="73">
        <v>0.95390421421511395</v>
      </c>
      <c r="AD1207" s="73">
        <v>0.92</v>
      </c>
      <c r="AE1207" s="71">
        <v>0.99547127087461096</v>
      </c>
      <c r="AF1207" s="71">
        <v>0.99755381604696702</v>
      </c>
      <c r="AG1207" s="71">
        <v>1</v>
      </c>
      <c r="AH1207" s="71">
        <v>0.99748003549245801</v>
      </c>
      <c r="AI1207" s="73">
        <v>0.92</v>
      </c>
      <c r="AJ1207" s="71">
        <v>0.954236520163117</v>
      </c>
      <c r="AK1207" s="71">
        <v>0.96239503468419096</v>
      </c>
      <c r="AL1207" s="71">
        <v>0.97282229965156797</v>
      </c>
      <c r="AM1207" s="71">
        <v>0.97192402972749803</v>
      </c>
      <c r="AN1207" s="70">
        <v>0.99</v>
      </c>
      <c r="AO1207" s="75">
        <v>1</v>
      </c>
      <c r="AP1207" s="75">
        <v>1</v>
      </c>
      <c r="AQ1207" s="75">
        <v>1</v>
      </c>
      <c r="AR1207" s="75">
        <v>1</v>
      </c>
      <c r="AS1207" s="95">
        <v>7.2186152540827803E-2</v>
      </c>
      <c r="AT1207" s="79">
        <v>0</v>
      </c>
      <c r="AU1207" s="79">
        <v>0</v>
      </c>
      <c r="AV1207" s="79">
        <v>0</v>
      </c>
      <c r="AW1207" s="79">
        <v>2.6785714285714302E-2</v>
      </c>
      <c r="AX1207" s="56"/>
      <c r="AY1207" s="54"/>
    </row>
    <row r="1208" spans="1:51">
      <c r="A1208" s="53"/>
      <c r="B1208" s="56"/>
      <c r="C1208" s="90" t="s">
        <v>1079</v>
      </c>
      <c r="D1208" s="230" t="s">
        <v>1757</v>
      </c>
      <c r="E1208" s="68" t="s">
        <v>1080</v>
      </c>
      <c r="F1208" s="128" t="s">
        <v>1232</v>
      </c>
      <c r="G1208" s="128" t="s">
        <v>1232</v>
      </c>
      <c r="H1208" s="128" t="s">
        <v>1232</v>
      </c>
      <c r="I1208" s="128" t="s">
        <v>1232</v>
      </c>
      <c r="J1208" s="70">
        <v>0.9</v>
      </c>
      <c r="K1208" s="71">
        <v>0.90476190476190499</v>
      </c>
      <c r="L1208" s="71">
        <v>0.92857142857142905</v>
      </c>
      <c r="M1208" s="72">
        <v>0.86046511627906996</v>
      </c>
      <c r="N1208" s="71">
        <v>0.92599620493358603</v>
      </c>
      <c r="O1208" s="73">
        <v>0.9</v>
      </c>
      <c r="P1208" s="71">
        <v>0.91766545075560202</v>
      </c>
      <c r="Q1208" s="71">
        <v>0.91482463896257005</v>
      </c>
      <c r="R1208" s="71">
        <v>0.90326673009831904</v>
      </c>
      <c r="S1208" s="71">
        <v>0.93087492193266297</v>
      </c>
      <c r="T1208" s="73">
        <v>0.9</v>
      </c>
      <c r="U1208" s="71">
        <v>0.93225638353309004</v>
      </c>
      <c r="V1208" s="71">
        <v>0.89389920424403202</v>
      </c>
      <c r="W1208" s="71">
        <v>0.89660640659689195</v>
      </c>
      <c r="X1208" s="71">
        <v>0.92281269516834197</v>
      </c>
      <c r="Y1208" s="73">
        <v>0.92</v>
      </c>
      <c r="Z1208" s="73">
        <v>0.93577981651376196</v>
      </c>
      <c r="AA1208" s="73">
        <v>0.93833780160857905</v>
      </c>
      <c r="AB1208" s="73">
        <v>0.95014520813165504</v>
      </c>
      <c r="AC1208" s="73">
        <v>0.955931321540062</v>
      </c>
      <c r="AD1208" s="73">
        <v>0.92</v>
      </c>
      <c r="AE1208" s="71">
        <v>0.99713269870398002</v>
      </c>
      <c r="AF1208" s="71">
        <v>0.993231516834432</v>
      </c>
      <c r="AG1208" s="71">
        <v>0.99653240864230497</v>
      </c>
      <c r="AH1208" s="71">
        <v>0.99496827504795604</v>
      </c>
      <c r="AI1208" s="73">
        <v>0.92</v>
      </c>
      <c r="AJ1208" s="71">
        <v>0.96058732612055597</v>
      </c>
      <c r="AK1208" s="71">
        <v>0.96919326241134796</v>
      </c>
      <c r="AL1208" s="71">
        <v>0.96876796321134295</v>
      </c>
      <c r="AM1208" s="71">
        <v>0.97544671551613304</v>
      </c>
      <c r="AN1208" s="70">
        <v>0.99</v>
      </c>
      <c r="AO1208" s="75">
        <v>1</v>
      </c>
      <c r="AP1208" s="75">
        <v>1</v>
      </c>
      <c r="AQ1208" s="75">
        <v>1</v>
      </c>
      <c r="AR1208" s="75">
        <v>1</v>
      </c>
      <c r="AS1208" s="95">
        <v>7.2186152540827803E-2</v>
      </c>
      <c r="AT1208" s="79">
        <v>0.16666666666666699</v>
      </c>
      <c r="AU1208" s="79">
        <v>6.6666666666666693E-2</v>
      </c>
      <c r="AV1208" s="79">
        <v>0.14285714285714299</v>
      </c>
      <c r="AW1208" s="79">
        <v>6.8181818181818205E-2</v>
      </c>
      <c r="AX1208" s="56"/>
      <c r="AY1208" s="54"/>
    </row>
    <row r="1209" spans="1:51">
      <c r="A1209" s="53"/>
      <c r="B1209" s="56"/>
      <c r="C1209" s="90" t="s">
        <v>1079</v>
      </c>
      <c r="D1209" s="230" t="s">
        <v>1757</v>
      </c>
      <c r="E1209" s="68" t="s">
        <v>1080</v>
      </c>
      <c r="F1209" s="128" t="s">
        <v>1233</v>
      </c>
      <c r="G1209" s="128" t="s">
        <v>1233</v>
      </c>
      <c r="H1209" s="128" t="s">
        <v>1233</v>
      </c>
      <c r="I1209" s="128" t="s">
        <v>1233</v>
      </c>
      <c r="J1209" s="70">
        <v>0.9</v>
      </c>
      <c r="K1209" s="71">
        <v>1</v>
      </c>
      <c r="L1209" s="71">
        <v>0.97222222222222199</v>
      </c>
      <c r="M1209" s="72">
        <v>1</v>
      </c>
      <c r="N1209" s="71">
        <v>0.99497487437185905</v>
      </c>
      <c r="O1209" s="73">
        <v>0.9</v>
      </c>
      <c r="P1209" s="71">
        <v>0.94306282722513102</v>
      </c>
      <c r="Q1209" s="71">
        <v>0.95797665369649798</v>
      </c>
      <c r="R1209" s="71">
        <v>0.96684350132625996</v>
      </c>
      <c r="S1209" s="71">
        <v>0.98369116432700199</v>
      </c>
      <c r="T1209" s="73">
        <v>0.9</v>
      </c>
      <c r="U1209" s="71">
        <v>0.95746073298429302</v>
      </c>
      <c r="V1209" s="71">
        <v>0.96108949416342404</v>
      </c>
      <c r="W1209" s="71">
        <v>0.97038019451812596</v>
      </c>
      <c r="X1209" s="71">
        <v>0.95825763831544197</v>
      </c>
      <c r="Y1209" s="73">
        <v>0.92</v>
      </c>
      <c r="Z1209" s="73">
        <v>0.97857525441885396</v>
      </c>
      <c r="AA1209" s="73">
        <v>0.97195253505933099</v>
      </c>
      <c r="AB1209" s="73">
        <v>0.96437659033078904</v>
      </c>
      <c r="AC1209" s="73">
        <v>0.97729043082269795</v>
      </c>
      <c r="AD1209" s="73">
        <v>0.92</v>
      </c>
      <c r="AE1209" s="71">
        <v>0.99887196841511605</v>
      </c>
      <c r="AF1209" s="71">
        <v>0.99450549450549497</v>
      </c>
      <c r="AG1209" s="71">
        <v>0.99802566633761103</v>
      </c>
      <c r="AH1209" s="71">
        <v>0.99147753589624799</v>
      </c>
      <c r="AI1209" s="73">
        <v>0.92</v>
      </c>
      <c r="AJ1209" s="71">
        <v>0.98144329896907201</v>
      </c>
      <c r="AK1209" s="71">
        <v>0.98541607091793004</v>
      </c>
      <c r="AL1209" s="71">
        <v>0.980959833072509</v>
      </c>
      <c r="AM1209" s="71">
        <v>0.98628730659235897</v>
      </c>
      <c r="AN1209" s="70">
        <v>0.99</v>
      </c>
      <c r="AO1209" s="75">
        <v>1</v>
      </c>
      <c r="AP1209" s="75">
        <v>1</v>
      </c>
      <c r="AQ1209" s="75">
        <v>1</v>
      </c>
      <c r="AR1209" s="75">
        <v>1</v>
      </c>
      <c r="AS1209" s="95">
        <v>7.2186152540827803E-2</v>
      </c>
      <c r="AT1209" s="79">
        <v>0.16666666666666699</v>
      </c>
      <c r="AU1209" s="79">
        <v>0.11111111111111099</v>
      </c>
      <c r="AV1209" s="79">
        <v>0</v>
      </c>
      <c r="AW1209" s="79">
        <v>6.7415730337078594E-2</v>
      </c>
      <c r="AX1209" s="56"/>
      <c r="AY1209" s="54"/>
    </row>
    <row r="1210" spans="1:51">
      <c r="A1210" s="53"/>
      <c r="B1210" s="56"/>
      <c r="C1210" s="90" t="s">
        <v>1079</v>
      </c>
      <c r="D1210" s="230" t="s">
        <v>1757</v>
      </c>
      <c r="E1210" s="68" t="s">
        <v>1080</v>
      </c>
      <c r="F1210" s="128" t="s">
        <v>1234</v>
      </c>
      <c r="G1210" s="128" t="s">
        <v>1234</v>
      </c>
      <c r="H1210" s="128" t="s">
        <v>1234</v>
      </c>
      <c r="I1210" s="128" t="s">
        <v>1234</v>
      </c>
      <c r="J1210" s="70">
        <v>0.9</v>
      </c>
      <c r="K1210" s="71">
        <v>1</v>
      </c>
      <c r="L1210" s="71">
        <v>1</v>
      </c>
      <c r="M1210" s="72">
        <v>0.96875</v>
      </c>
      <c r="N1210" s="71">
        <v>0.988826815642458</v>
      </c>
      <c r="O1210" s="73">
        <v>0.9</v>
      </c>
      <c r="P1210" s="71">
        <v>0.92487235594456596</v>
      </c>
      <c r="Q1210" s="71">
        <v>0.96125699526474395</v>
      </c>
      <c r="R1210" s="71">
        <v>0.81061692969870902</v>
      </c>
      <c r="S1210" s="71">
        <v>0.94187201010921595</v>
      </c>
      <c r="T1210" s="73">
        <v>0.9</v>
      </c>
      <c r="U1210" s="71">
        <v>0.94310722100656497</v>
      </c>
      <c r="V1210" s="71">
        <v>0.95609126130004296</v>
      </c>
      <c r="W1210" s="71">
        <v>0.84505021520803403</v>
      </c>
      <c r="X1210" s="71">
        <v>0.94200740139001704</v>
      </c>
      <c r="Y1210" s="73">
        <v>0.92</v>
      </c>
      <c r="Z1210" s="73">
        <v>0.93989071038251404</v>
      </c>
      <c r="AA1210" s="73">
        <v>0.97350993377483397</v>
      </c>
      <c r="AB1210" s="73">
        <v>0.95791245791245805</v>
      </c>
      <c r="AC1210" s="73">
        <v>0.96719094726354005</v>
      </c>
      <c r="AD1210" s="73">
        <v>0.92</v>
      </c>
      <c r="AE1210" s="71">
        <v>0.99799382716049401</v>
      </c>
      <c r="AF1210" s="71">
        <v>0.99275362318840599</v>
      </c>
      <c r="AG1210" s="71">
        <v>0.99789346975624404</v>
      </c>
      <c r="AH1210" s="71">
        <v>0.995073091499729</v>
      </c>
      <c r="AI1210" s="73">
        <v>0.92</v>
      </c>
      <c r="AJ1210" s="71">
        <v>0.95944992947813801</v>
      </c>
      <c r="AK1210" s="71">
        <v>0.98473034437946705</v>
      </c>
      <c r="AL1210" s="71">
        <v>0.97621225983531601</v>
      </c>
      <c r="AM1210" s="71">
        <v>0.98108257387461995</v>
      </c>
      <c r="AN1210" s="70">
        <v>0.99</v>
      </c>
      <c r="AO1210" s="75">
        <v>1</v>
      </c>
      <c r="AP1210" s="75">
        <v>1</v>
      </c>
      <c r="AQ1210" s="75">
        <v>1</v>
      </c>
      <c r="AR1210" s="75">
        <v>1</v>
      </c>
      <c r="AS1210" s="95">
        <v>7.2186152540827803E-2</v>
      </c>
      <c r="AT1210" s="79">
        <v>0</v>
      </c>
      <c r="AU1210" s="79">
        <v>0</v>
      </c>
      <c r="AV1210" s="79">
        <v>0</v>
      </c>
      <c r="AW1210" s="79">
        <v>2.80373831775701E-2</v>
      </c>
      <c r="AX1210" s="56"/>
      <c r="AY1210" s="54"/>
    </row>
    <row r="1211" spans="1:51">
      <c r="A1211" s="53"/>
      <c r="B1211" s="56"/>
      <c r="C1211" s="90" t="s">
        <v>1079</v>
      </c>
      <c r="D1211" s="230" t="s">
        <v>1757</v>
      </c>
      <c r="E1211" s="68" t="s">
        <v>1080</v>
      </c>
      <c r="F1211" s="128" t="s">
        <v>1235</v>
      </c>
      <c r="G1211" s="128" t="s">
        <v>1235</v>
      </c>
      <c r="H1211" s="128" t="s">
        <v>1235</v>
      </c>
      <c r="I1211" s="128" t="s">
        <v>1235</v>
      </c>
      <c r="J1211" s="70">
        <v>0.9</v>
      </c>
      <c r="K1211" s="71">
        <v>0.95918367346938804</v>
      </c>
      <c r="L1211" s="71">
        <v>0.92156862745098</v>
      </c>
      <c r="M1211" s="72">
        <v>0.98181818181818203</v>
      </c>
      <c r="N1211" s="71">
        <v>0.96688741721854299</v>
      </c>
      <c r="O1211" s="73">
        <v>0.9</v>
      </c>
      <c r="P1211" s="71">
        <v>0.98601694915254201</v>
      </c>
      <c r="Q1211" s="71">
        <v>0.94490953281123402</v>
      </c>
      <c r="R1211" s="71">
        <v>0.98150224215246595</v>
      </c>
      <c r="S1211" s="71">
        <v>0.97371800125672803</v>
      </c>
      <c r="T1211" s="73">
        <v>0.9</v>
      </c>
      <c r="U1211" s="71">
        <v>0.932627118644068</v>
      </c>
      <c r="V1211" s="71">
        <v>0.91628409397785604</v>
      </c>
      <c r="W1211" s="71">
        <v>0.94086322869955197</v>
      </c>
      <c r="X1211" s="71">
        <v>0.93418572248176401</v>
      </c>
      <c r="Y1211" s="73">
        <v>0.92</v>
      </c>
      <c r="Z1211" s="73">
        <v>0.94268774703557301</v>
      </c>
      <c r="AA1211" s="73">
        <v>0.961832061068702</v>
      </c>
      <c r="AB1211" s="73">
        <v>0.95939086294416198</v>
      </c>
      <c r="AC1211" s="73">
        <v>0.94484517594548301</v>
      </c>
      <c r="AD1211" s="73">
        <v>0.92</v>
      </c>
      <c r="AE1211" s="71">
        <v>0.99614112458654902</v>
      </c>
      <c r="AF1211" s="71">
        <v>0.980582524271845</v>
      </c>
      <c r="AG1211" s="71">
        <v>0.99365079365079401</v>
      </c>
      <c r="AH1211" s="71">
        <v>0.99205592627899597</v>
      </c>
      <c r="AI1211" s="73">
        <v>0.92</v>
      </c>
      <c r="AJ1211" s="71">
        <v>0.96053976691883003</v>
      </c>
      <c r="AK1211" s="71">
        <v>0.98066350710900496</v>
      </c>
      <c r="AL1211" s="71">
        <v>0.97405775819872698</v>
      </c>
      <c r="AM1211" s="71">
        <v>0.97025835521410697</v>
      </c>
      <c r="AN1211" s="70">
        <v>0.99</v>
      </c>
      <c r="AO1211" s="75">
        <v>1</v>
      </c>
      <c r="AP1211" s="75">
        <v>1</v>
      </c>
      <c r="AQ1211" s="75">
        <v>1</v>
      </c>
      <c r="AR1211" s="75">
        <v>1</v>
      </c>
      <c r="AS1211" s="95">
        <v>7.2186152540827803E-2</v>
      </c>
      <c r="AT1211" s="79">
        <v>0</v>
      </c>
      <c r="AU1211" s="79">
        <v>0</v>
      </c>
      <c r="AV1211" s="79">
        <v>6.25E-2</v>
      </c>
      <c r="AW1211" s="79">
        <v>2.7777777777777801E-2</v>
      </c>
      <c r="AX1211" s="56"/>
      <c r="AY1211" s="54"/>
    </row>
    <row r="1212" spans="1:51">
      <c r="A1212" s="53"/>
      <c r="B1212" s="56"/>
      <c r="C1212" s="90" t="s">
        <v>1079</v>
      </c>
      <c r="D1212" s="230" t="s">
        <v>1757</v>
      </c>
      <c r="E1212" s="68" t="s">
        <v>1080</v>
      </c>
      <c r="F1212" s="128" t="s">
        <v>1236</v>
      </c>
      <c r="G1212" s="128" t="s">
        <v>1236</v>
      </c>
      <c r="H1212" s="128" t="s">
        <v>1236</v>
      </c>
      <c r="I1212" s="128" t="s">
        <v>1236</v>
      </c>
      <c r="J1212" s="70">
        <v>0.9</v>
      </c>
      <c r="K1212" s="71">
        <v>0.86666666666666703</v>
      </c>
      <c r="L1212" s="71">
        <v>0.93333333333333302</v>
      </c>
      <c r="M1212" s="72">
        <v>0.92592592592592604</v>
      </c>
      <c r="N1212" s="71">
        <v>0.900552486187845</v>
      </c>
      <c r="O1212" s="73">
        <v>0.9</v>
      </c>
      <c r="P1212" s="71">
        <v>0.94184168012924097</v>
      </c>
      <c r="Q1212" s="71">
        <v>0.91010134030728995</v>
      </c>
      <c r="R1212" s="71">
        <v>0.81108163866784599</v>
      </c>
      <c r="S1212" s="71">
        <v>0.90991094844231801</v>
      </c>
      <c r="T1212" s="73">
        <v>0.9</v>
      </c>
      <c r="U1212" s="71">
        <v>0.84935379644588005</v>
      </c>
      <c r="V1212" s="71">
        <v>0.84439359267734504</v>
      </c>
      <c r="W1212" s="71">
        <v>0.72855879752431496</v>
      </c>
      <c r="X1212" s="71">
        <v>0.83763220842099195</v>
      </c>
      <c r="Y1212" s="73">
        <v>0.92</v>
      </c>
      <c r="Z1212" s="73">
        <v>0.93195876288659796</v>
      </c>
      <c r="AA1212" s="73">
        <v>0.94029850746268695</v>
      </c>
      <c r="AB1212" s="73">
        <v>0.85127201565557697</v>
      </c>
      <c r="AC1212" s="73">
        <v>0.92654604374831195</v>
      </c>
      <c r="AD1212" s="73">
        <v>0.92</v>
      </c>
      <c r="AE1212" s="71">
        <v>0.99875017358700202</v>
      </c>
      <c r="AF1212" s="71">
        <v>0.99842657342657304</v>
      </c>
      <c r="AG1212" s="71">
        <v>0.99843505477308303</v>
      </c>
      <c r="AH1212" s="71">
        <v>0.99627711926055895</v>
      </c>
      <c r="AI1212" s="73">
        <v>0.92</v>
      </c>
      <c r="AJ1212" s="71">
        <v>0.94544399303540305</v>
      </c>
      <c r="AK1212" s="71">
        <v>0.96598639455782298</v>
      </c>
      <c r="AL1212" s="71">
        <v>0.927510245901639</v>
      </c>
      <c r="AM1212" s="71">
        <v>0.95870045360628897</v>
      </c>
      <c r="AN1212" s="70">
        <v>0.99</v>
      </c>
      <c r="AO1212" s="75">
        <v>1</v>
      </c>
      <c r="AP1212" s="75">
        <v>1</v>
      </c>
      <c r="AQ1212" s="75">
        <v>1</v>
      </c>
      <c r="AR1212" s="75">
        <v>1</v>
      </c>
      <c r="AS1212" s="95">
        <v>7.2186152540827803E-2</v>
      </c>
      <c r="AT1212" s="79">
        <v>0.05</v>
      </c>
      <c r="AU1212" s="79">
        <v>8.3333333333333301E-2</v>
      </c>
      <c r="AV1212" s="79">
        <v>4.3478260869565202E-2</v>
      </c>
      <c r="AW1212" s="79">
        <v>4.7120418848167499E-2</v>
      </c>
      <c r="AX1212" s="56"/>
      <c r="AY1212" s="54"/>
    </row>
    <row r="1213" spans="1:51">
      <c r="A1213" s="53"/>
      <c r="B1213" s="56"/>
      <c r="C1213" s="90" t="s">
        <v>1079</v>
      </c>
      <c r="D1213" s="230" t="s">
        <v>1757</v>
      </c>
      <c r="E1213" s="68" t="s">
        <v>1080</v>
      </c>
      <c r="F1213" s="128" t="s">
        <v>1237</v>
      </c>
      <c r="G1213" s="128" t="s">
        <v>1237</v>
      </c>
      <c r="H1213" s="128" t="s">
        <v>1237</v>
      </c>
      <c r="I1213" s="128" t="s">
        <v>1237</v>
      </c>
      <c r="J1213" s="70">
        <v>0.9</v>
      </c>
      <c r="K1213" s="71">
        <v>0.82352941176470595</v>
      </c>
      <c r="L1213" s="71">
        <v>0.88636363636363602</v>
      </c>
      <c r="M1213" s="72">
        <v>0.77777777777777801</v>
      </c>
      <c r="N1213" s="71">
        <v>0.86200378071833605</v>
      </c>
      <c r="O1213" s="73">
        <v>0.9</v>
      </c>
      <c r="P1213" s="71">
        <v>0.88210140500916301</v>
      </c>
      <c r="Q1213" s="71">
        <v>0.65928535480624095</v>
      </c>
      <c r="R1213" s="71">
        <v>0.77130580090713796</v>
      </c>
      <c r="S1213" s="71">
        <v>0.83055013207763895</v>
      </c>
      <c r="T1213" s="73">
        <v>0.9</v>
      </c>
      <c r="U1213" s="71">
        <v>0.67623701893707999</v>
      </c>
      <c r="V1213" s="71">
        <v>0.54001006542526397</v>
      </c>
      <c r="W1213" s="71">
        <v>0.54070183814752903</v>
      </c>
      <c r="X1213" s="71">
        <v>0.62133915240611004</v>
      </c>
      <c r="Y1213" s="73">
        <v>0.92</v>
      </c>
      <c r="Z1213" s="73">
        <v>0.70802315963606299</v>
      </c>
      <c r="AA1213" s="73">
        <v>0.497478991596639</v>
      </c>
      <c r="AB1213" s="73">
        <v>0.42151162790697699</v>
      </c>
      <c r="AC1213" s="73">
        <v>0.62257053291536002</v>
      </c>
      <c r="AD1213" s="73">
        <v>0.92</v>
      </c>
      <c r="AE1213" s="71">
        <v>0.99696048632218803</v>
      </c>
      <c r="AF1213" s="71">
        <v>0.971830985915493</v>
      </c>
      <c r="AG1213" s="71">
        <v>1</v>
      </c>
      <c r="AH1213" s="71">
        <v>0.96938294865756003</v>
      </c>
      <c r="AI1213" s="73">
        <v>0.92</v>
      </c>
      <c r="AJ1213" s="71">
        <v>0.84742360026767805</v>
      </c>
      <c r="AK1213" s="71">
        <v>0.80914861019916795</v>
      </c>
      <c r="AL1213" s="71">
        <v>0.72708632355956504</v>
      </c>
      <c r="AM1213" s="71">
        <v>0.823827367390363</v>
      </c>
      <c r="AN1213" s="70">
        <v>0.99</v>
      </c>
      <c r="AO1213" s="75">
        <v>1</v>
      </c>
      <c r="AP1213" s="75">
        <v>1</v>
      </c>
      <c r="AQ1213" s="75">
        <v>1</v>
      </c>
      <c r="AR1213" s="75">
        <v>1</v>
      </c>
      <c r="AS1213" s="95">
        <v>7.2186152540827803E-2</v>
      </c>
      <c r="AT1213" s="79">
        <v>6.8965517241379296E-2</v>
      </c>
      <c r="AU1213" s="79">
        <v>3.4482758620689703E-2</v>
      </c>
      <c r="AV1213" s="79">
        <v>6.8965517241379296E-2</v>
      </c>
      <c r="AW1213" s="79">
        <v>4.9618320610687001E-2</v>
      </c>
      <c r="AX1213" s="56"/>
      <c r="AY1213" s="54"/>
    </row>
    <row r="1214" spans="1:51">
      <c r="A1214" s="53"/>
      <c r="B1214" s="56"/>
      <c r="C1214" s="90" t="s">
        <v>1079</v>
      </c>
      <c r="D1214" s="230" t="s">
        <v>1757</v>
      </c>
      <c r="E1214" s="68" t="s">
        <v>1080</v>
      </c>
      <c r="F1214" s="128" t="s">
        <v>1238</v>
      </c>
      <c r="G1214" s="128" t="s">
        <v>1238</v>
      </c>
      <c r="H1214" s="128" t="s">
        <v>1238</v>
      </c>
      <c r="I1214" s="128" t="s">
        <v>1238</v>
      </c>
      <c r="J1214" s="70">
        <v>0.9</v>
      </c>
      <c r="K1214" s="71">
        <v>0.95454545454545503</v>
      </c>
      <c r="L1214" s="71">
        <v>0.90697674418604601</v>
      </c>
      <c r="M1214" s="72">
        <v>0.86486486486486502</v>
      </c>
      <c r="N1214" s="71">
        <v>0.87991718426500998</v>
      </c>
      <c r="O1214" s="73">
        <v>0.9</v>
      </c>
      <c r="P1214" s="71">
        <v>0.975633849193283</v>
      </c>
      <c r="Q1214" s="71">
        <v>0.98457583547557803</v>
      </c>
      <c r="R1214" s="71">
        <v>0.97956510348441195</v>
      </c>
      <c r="S1214" s="71">
        <v>0.980400846998572</v>
      </c>
      <c r="T1214" s="73">
        <v>0.9</v>
      </c>
      <c r="U1214" s="71">
        <v>0.90747448139611497</v>
      </c>
      <c r="V1214" s="71">
        <v>0.91288203370465604</v>
      </c>
      <c r="W1214" s="71">
        <v>0.81844380403458195</v>
      </c>
      <c r="X1214" s="71">
        <v>0.89045649283498296</v>
      </c>
      <c r="Y1214" s="73">
        <v>0.92</v>
      </c>
      <c r="Z1214" s="73">
        <v>0.94876325088339197</v>
      </c>
      <c r="AA1214" s="73">
        <v>0.93772893772893795</v>
      </c>
      <c r="AB1214" s="73">
        <v>0.87993138936535198</v>
      </c>
      <c r="AC1214" s="73">
        <v>0.93716976797610796</v>
      </c>
      <c r="AD1214" s="73">
        <v>0.92</v>
      </c>
      <c r="AE1214" s="71">
        <v>1</v>
      </c>
      <c r="AF1214" s="71">
        <v>1</v>
      </c>
      <c r="AG1214" s="71">
        <v>1</v>
      </c>
      <c r="AH1214" s="71">
        <v>0.99931972789115597</v>
      </c>
      <c r="AI1214" s="73">
        <v>0.92</v>
      </c>
      <c r="AJ1214" s="71">
        <v>0.96809786519549101</v>
      </c>
      <c r="AK1214" s="71">
        <v>0.97035573122529595</v>
      </c>
      <c r="AL1214" s="71">
        <v>0.92545454545454497</v>
      </c>
      <c r="AM1214" s="71">
        <v>0.96658624115488301</v>
      </c>
      <c r="AN1214" s="70">
        <v>0.99</v>
      </c>
      <c r="AO1214" s="75">
        <v>1</v>
      </c>
      <c r="AP1214" s="75">
        <v>1</v>
      </c>
      <c r="AQ1214" s="75">
        <v>1</v>
      </c>
      <c r="AR1214" s="75">
        <v>1</v>
      </c>
      <c r="AS1214" s="95">
        <v>7.2186152540827803E-2</v>
      </c>
      <c r="AT1214" s="79">
        <v>8.3333333333333301E-2</v>
      </c>
      <c r="AU1214" s="79">
        <v>9.375E-2</v>
      </c>
      <c r="AV1214" s="79">
        <v>3.125E-2</v>
      </c>
      <c r="AW1214" s="79">
        <v>2.8880866425992802E-2</v>
      </c>
      <c r="AX1214" s="56"/>
      <c r="AY1214" s="54"/>
    </row>
    <row r="1215" spans="1:51">
      <c r="A1215" s="53"/>
      <c r="B1215" s="56"/>
      <c r="C1215" s="90" t="s">
        <v>1079</v>
      </c>
      <c r="D1215" s="230" t="s">
        <v>1759</v>
      </c>
      <c r="E1215" s="68" t="s">
        <v>1080</v>
      </c>
      <c r="F1215" s="128" t="s">
        <v>1239</v>
      </c>
      <c r="G1215" s="128" t="s">
        <v>1239</v>
      </c>
      <c r="H1215" s="128" t="s">
        <v>1239</v>
      </c>
      <c r="I1215" s="128" t="s">
        <v>1239</v>
      </c>
      <c r="J1215" s="70">
        <v>0.9</v>
      </c>
      <c r="K1215" s="71" t="s">
        <v>1710</v>
      </c>
      <c r="L1215" s="71" t="s">
        <v>1710</v>
      </c>
      <c r="M1215" s="72" t="s">
        <v>1710</v>
      </c>
      <c r="N1215" s="71" t="s">
        <v>1710</v>
      </c>
      <c r="O1215" s="73">
        <v>0.9</v>
      </c>
      <c r="P1215" s="71">
        <v>0</v>
      </c>
      <c r="Q1215" s="71">
        <v>0</v>
      </c>
      <c r="R1215" s="71">
        <v>0</v>
      </c>
      <c r="S1215" s="71">
        <v>0</v>
      </c>
      <c r="T1215" s="73">
        <v>0.9</v>
      </c>
      <c r="U1215" s="71">
        <v>0</v>
      </c>
      <c r="V1215" s="71">
        <v>0.66666666666666696</v>
      </c>
      <c r="W1215" s="71">
        <v>1</v>
      </c>
      <c r="X1215" s="71">
        <v>0.42105263157894701</v>
      </c>
      <c r="Y1215" s="73">
        <v>0.92</v>
      </c>
      <c r="Z1215" s="73" t="s">
        <v>1710</v>
      </c>
      <c r="AA1215" s="73" t="s">
        <v>1710</v>
      </c>
      <c r="AB1215" s="73" t="s">
        <v>1710</v>
      </c>
      <c r="AC1215" s="73">
        <v>1</v>
      </c>
      <c r="AD1215" s="73">
        <v>0.92</v>
      </c>
      <c r="AE1215" s="71">
        <v>0.996818950930626</v>
      </c>
      <c r="AF1215" s="71">
        <v>0.98916381758127103</v>
      </c>
      <c r="AG1215" s="71">
        <v>0.99837662337662303</v>
      </c>
      <c r="AH1215" s="71">
        <v>0.86361199197267002</v>
      </c>
      <c r="AI1215" s="73">
        <v>0.92</v>
      </c>
      <c r="AJ1215" s="71">
        <v>0</v>
      </c>
      <c r="AK1215" s="71">
        <v>0.66666666666666696</v>
      </c>
      <c r="AL1215" s="71">
        <v>1</v>
      </c>
      <c r="AM1215" s="71">
        <v>0.65</v>
      </c>
      <c r="AN1215" s="70">
        <v>0.99</v>
      </c>
      <c r="AO1215" s="75">
        <v>1</v>
      </c>
      <c r="AP1215" s="75">
        <v>1</v>
      </c>
      <c r="AQ1215" s="75">
        <v>1</v>
      </c>
      <c r="AR1215" s="75">
        <v>1</v>
      </c>
      <c r="AS1215" s="95">
        <v>7.2186152540827803E-2</v>
      </c>
      <c r="AT1215" s="79" t="s">
        <v>1710</v>
      </c>
      <c r="AU1215" s="79" t="s">
        <v>1710</v>
      </c>
      <c r="AV1215" s="79" t="s">
        <v>1710</v>
      </c>
      <c r="AW1215" s="79" t="s">
        <v>1710</v>
      </c>
      <c r="AX1215" s="56"/>
      <c r="AY1215" s="54"/>
    </row>
    <row r="1216" spans="1:51">
      <c r="A1216" s="53"/>
      <c r="B1216" s="56"/>
      <c r="C1216" s="90" t="s">
        <v>1079</v>
      </c>
      <c r="D1216" s="230" t="s">
        <v>1757</v>
      </c>
      <c r="E1216" s="68" t="s">
        <v>1080</v>
      </c>
      <c r="F1216" s="128" t="s">
        <v>1240</v>
      </c>
      <c r="G1216" s="128" t="s">
        <v>1240</v>
      </c>
      <c r="H1216" s="128" t="s">
        <v>1240</v>
      </c>
      <c r="I1216" s="128" t="s">
        <v>1240</v>
      </c>
      <c r="J1216" s="70">
        <v>0.9</v>
      </c>
      <c r="K1216" s="71">
        <v>0.97674418604651203</v>
      </c>
      <c r="L1216" s="71">
        <v>0.95555555555555605</v>
      </c>
      <c r="M1216" s="72">
        <v>0.939393939393939</v>
      </c>
      <c r="N1216" s="71">
        <v>0.956989247311828</v>
      </c>
      <c r="O1216" s="73">
        <v>0.9</v>
      </c>
      <c r="P1216" s="71">
        <v>0.98574821852731598</v>
      </c>
      <c r="Q1216" s="71">
        <v>0.98761138882851596</v>
      </c>
      <c r="R1216" s="71">
        <v>0.74953921769404097</v>
      </c>
      <c r="S1216" s="71">
        <v>0.91217066578637895</v>
      </c>
      <c r="T1216" s="73">
        <v>0.9</v>
      </c>
      <c r="U1216" s="71">
        <v>0.89514760773668101</v>
      </c>
      <c r="V1216" s="71">
        <v>0.82938491632253897</v>
      </c>
      <c r="W1216" s="71">
        <v>0.64509522834323196</v>
      </c>
      <c r="X1216" s="71">
        <v>0.80608223813158897</v>
      </c>
      <c r="Y1216" s="73">
        <v>0.92</v>
      </c>
      <c r="Z1216" s="73">
        <v>0.93004418262150201</v>
      </c>
      <c r="AA1216" s="73">
        <v>0.87249283667621802</v>
      </c>
      <c r="AB1216" s="73">
        <v>0.762820512820513</v>
      </c>
      <c r="AC1216" s="73">
        <v>0.90396975425330806</v>
      </c>
      <c r="AD1216" s="73">
        <v>0.92</v>
      </c>
      <c r="AE1216" s="71">
        <v>0.99823392470097105</v>
      </c>
      <c r="AF1216" s="71">
        <v>0.99734748010610097</v>
      </c>
      <c r="AG1216" s="71">
        <v>0.99876872563102803</v>
      </c>
      <c r="AH1216" s="71">
        <v>0.99227603775433604</v>
      </c>
      <c r="AI1216" s="73">
        <v>0.92</v>
      </c>
      <c r="AJ1216" s="71">
        <v>0.953763940520446</v>
      </c>
      <c r="AK1216" s="71">
        <v>0.94621626722023</v>
      </c>
      <c r="AL1216" s="71">
        <v>0.84389899346636099</v>
      </c>
      <c r="AM1216" s="71">
        <v>0.94032378242904602</v>
      </c>
      <c r="AN1216" s="70">
        <v>0.99</v>
      </c>
      <c r="AO1216" s="75">
        <v>1</v>
      </c>
      <c r="AP1216" s="75">
        <v>1</v>
      </c>
      <c r="AQ1216" s="75">
        <v>1</v>
      </c>
      <c r="AR1216" s="75">
        <v>1</v>
      </c>
      <c r="AS1216" s="95">
        <v>7.2186152540827803E-2</v>
      </c>
      <c r="AT1216" s="79">
        <v>0.13888888888888901</v>
      </c>
      <c r="AU1216" s="79">
        <v>5.0847457627118599E-2</v>
      </c>
      <c r="AV1216" s="79">
        <v>0</v>
      </c>
      <c r="AW1216" s="79">
        <v>1.7353579175705E-2</v>
      </c>
      <c r="AX1216" s="56"/>
      <c r="AY1216" s="54"/>
    </row>
    <row r="1217" spans="1:51">
      <c r="A1217" s="53"/>
      <c r="B1217" s="56"/>
      <c r="C1217" s="90" t="s">
        <v>1079</v>
      </c>
      <c r="D1217" s="230" t="s">
        <v>1757</v>
      </c>
      <c r="E1217" s="68" t="s">
        <v>1080</v>
      </c>
      <c r="F1217" s="129" t="s">
        <v>1241</v>
      </c>
      <c r="G1217" s="129" t="s">
        <v>1241</v>
      </c>
      <c r="H1217" s="129" t="s">
        <v>1241</v>
      </c>
      <c r="I1217" s="129" t="s">
        <v>1241</v>
      </c>
      <c r="J1217" s="70">
        <v>0.9</v>
      </c>
      <c r="K1217" s="71">
        <v>1</v>
      </c>
      <c r="L1217" s="71">
        <v>0.939393939393939</v>
      </c>
      <c r="M1217" s="72">
        <v>1</v>
      </c>
      <c r="N1217" s="71">
        <v>0.95015576323987505</v>
      </c>
      <c r="O1217" s="73">
        <v>0.9</v>
      </c>
      <c r="P1217" s="71">
        <v>0.97169811320754695</v>
      </c>
      <c r="Q1217" s="71">
        <v>0.97835294117647098</v>
      </c>
      <c r="R1217" s="71">
        <v>0.93619535250098496</v>
      </c>
      <c r="S1217" s="71">
        <v>0.97211591033351596</v>
      </c>
      <c r="T1217" s="73">
        <v>0.9</v>
      </c>
      <c r="U1217" s="71">
        <v>0.90431266846361202</v>
      </c>
      <c r="V1217" s="71">
        <v>0.88470588235294101</v>
      </c>
      <c r="W1217" s="71">
        <v>0.75187081528160704</v>
      </c>
      <c r="X1217" s="71">
        <v>0.85780676403967804</v>
      </c>
      <c r="Y1217" s="73">
        <v>0.92</v>
      </c>
      <c r="Z1217" s="73">
        <v>0.88663967611336003</v>
      </c>
      <c r="AA1217" s="73">
        <v>0.86455331412103698</v>
      </c>
      <c r="AB1217" s="73">
        <v>0.792838874680307</v>
      </c>
      <c r="AC1217" s="73">
        <v>0.87581811918704799</v>
      </c>
      <c r="AD1217" s="73">
        <v>0.92</v>
      </c>
      <c r="AE1217" s="71">
        <v>0.99781549319442098</v>
      </c>
      <c r="AF1217" s="71">
        <v>0.993392070484581</v>
      </c>
      <c r="AG1217" s="71">
        <v>0.99633905941988199</v>
      </c>
      <c r="AH1217" s="71">
        <v>0.99724482603959796</v>
      </c>
      <c r="AI1217" s="73">
        <v>0.92</v>
      </c>
      <c r="AJ1217" s="71">
        <v>0.933483146067416</v>
      </c>
      <c r="AK1217" s="71">
        <v>0.94538834951456296</v>
      </c>
      <c r="AL1217" s="71">
        <v>0.85051194539249098</v>
      </c>
      <c r="AM1217" s="71">
        <v>0.93435629695657696</v>
      </c>
      <c r="AN1217" s="70">
        <v>0.99</v>
      </c>
      <c r="AO1217" s="75">
        <v>1</v>
      </c>
      <c r="AP1217" s="75">
        <v>1</v>
      </c>
      <c r="AQ1217" s="75">
        <v>1</v>
      </c>
      <c r="AR1217" s="75">
        <v>1</v>
      </c>
      <c r="AS1217" s="95">
        <v>7.2186152540827803E-2</v>
      </c>
      <c r="AT1217" s="79">
        <v>9.0909090909090898E-2</v>
      </c>
      <c r="AU1217" s="79">
        <v>0.05</v>
      </c>
      <c r="AV1217" s="79">
        <v>0</v>
      </c>
      <c r="AW1217" s="79">
        <v>4.9723756906077297E-2</v>
      </c>
      <c r="AX1217" s="56"/>
      <c r="AY1217" s="54"/>
    </row>
    <row r="1218" spans="1:51">
      <c r="A1218" s="53"/>
      <c r="B1218" s="56"/>
      <c r="C1218" s="90" t="s">
        <v>1079</v>
      </c>
      <c r="D1218" s="230" t="s">
        <v>1759</v>
      </c>
      <c r="E1218" s="68" t="s">
        <v>1080</v>
      </c>
      <c r="F1218" s="128" t="s">
        <v>1242</v>
      </c>
      <c r="G1218" s="128" t="s">
        <v>1242</v>
      </c>
      <c r="H1218" s="128" t="s">
        <v>1242</v>
      </c>
      <c r="I1218" s="128" t="s">
        <v>1242</v>
      </c>
      <c r="J1218" s="70">
        <v>0.9</v>
      </c>
      <c r="K1218" s="71" t="s">
        <v>1710</v>
      </c>
      <c r="L1218" s="71" t="s">
        <v>1710</v>
      </c>
      <c r="M1218" s="72" t="s">
        <v>1710</v>
      </c>
      <c r="N1218" s="71" t="s">
        <v>1710</v>
      </c>
      <c r="O1218" s="73">
        <v>0.9</v>
      </c>
      <c r="P1218" s="71" t="s">
        <v>1710</v>
      </c>
      <c r="Q1218" s="71" t="s">
        <v>1710</v>
      </c>
      <c r="R1218" s="71">
        <v>0.5</v>
      </c>
      <c r="S1218" s="71">
        <v>0.33333333333333298</v>
      </c>
      <c r="T1218" s="73">
        <v>0.9</v>
      </c>
      <c r="U1218" s="71" t="s">
        <v>1710</v>
      </c>
      <c r="V1218" s="71" t="s">
        <v>1710</v>
      </c>
      <c r="W1218" s="71">
        <v>1</v>
      </c>
      <c r="X1218" s="71">
        <v>1</v>
      </c>
      <c r="Y1218" s="73">
        <v>0.92</v>
      </c>
      <c r="Z1218" s="73" t="s">
        <v>1710</v>
      </c>
      <c r="AA1218" s="73" t="s">
        <v>1710</v>
      </c>
      <c r="AB1218" s="73">
        <v>0</v>
      </c>
      <c r="AC1218" s="73">
        <v>0</v>
      </c>
      <c r="AD1218" s="73">
        <v>0.92</v>
      </c>
      <c r="AE1218" s="71">
        <v>0.99669468316177201</v>
      </c>
      <c r="AF1218" s="71">
        <v>0.81716542813148596</v>
      </c>
      <c r="AG1218" s="71">
        <v>0.99970549256368701</v>
      </c>
      <c r="AH1218" s="71">
        <v>0.95981216642118405</v>
      </c>
      <c r="AI1218" s="73">
        <v>0.92</v>
      </c>
      <c r="AJ1218" s="71" t="s">
        <v>1710</v>
      </c>
      <c r="AK1218" s="71">
        <v>1</v>
      </c>
      <c r="AL1218" s="71">
        <v>0.75</v>
      </c>
      <c r="AM1218" s="71">
        <v>0.9375</v>
      </c>
      <c r="AN1218" s="70">
        <v>0.99</v>
      </c>
      <c r="AO1218" s="75">
        <v>1</v>
      </c>
      <c r="AP1218" s="75">
        <v>1</v>
      </c>
      <c r="AQ1218" s="75">
        <v>1</v>
      </c>
      <c r="AR1218" s="75">
        <v>1</v>
      </c>
      <c r="AS1218" s="95">
        <v>7.2186152540827803E-2</v>
      </c>
      <c r="AT1218" s="79" t="s">
        <v>1710</v>
      </c>
      <c r="AU1218" s="79" t="s">
        <v>1710</v>
      </c>
      <c r="AV1218" s="79" t="s">
        <v>1710</v>
      </c>
      <c r="AW1218" s="79" t="s">
        <v>1710</v>
      </c>
      <c r="AX1218" s="56"/>
      <c r="AY1218" s="54"/>
    </row>
    <row r="1219" spans="1:51">
      <c r="A1219" s="53"/>
      <c r="B1219" s="56"/>
      <c r="C1219" s="90" t="s">
        <v>1079</v>
      </c>
      <c r="D1219" s="230" t="s">
        <v>1759</v>
      </c>
      <c r="E1219" s="68" t="s">
        <v>1080</v>
      </c>
      <c r="F1219" s="128" t="s">
        <v>1243</v>
      </c>
      <c r="G1219" s="128" t="s">
        <v>1243</v>
      </c>
      <c r="H1219" s="128" t="s">
        <v>1243</v>
      </c>
      <c r="I1219" s="128" t="s">
        <v>1243</v>
      </c>
      <c r="J1219" s="70">
        <v>0.9</v>
      </c>
      <c r="K1219" s="71" t="s">
        <v>1710</v>
      </c>
      <c r="L1219" s="71" t="s">
        <v>1710</v>
      </c>
      <c r="M1219" s="72" t="s">
        <v>1710</v>
      </c>
      <c r="N1219" s="71" t="s">
        <v>1710</v>
      </c>
      <c r="O1219" s="73">
        <v>0.9</v>
      </c>
      <c r="P1219" s="71">
        <v>7.9681274900398405E-3</v>
      </c>
      <c r="Q1219" s="71">
        <v>0.79457364341085301</v>
      </c>
      <c r="R1219" s="71">
        <v>0.99613152804642202</v>
      </c>
      <c r="S1219" s="71">
        <v>0.87721041128551602</v>
      </c>
      <c r="T1219" s="73">
        <v>0.9</v>
      </c>
      <c r="U1219" s="71">
        <v>1</v>
      </c>
      <c r="V1219" s="71">
        <v>0.99806201550387597</v>
      </c>
      <c r="W1219" s="71">
        <v>0.99613152804642202</v>
      </c>
      <c r="X1219" s="71">
        <v>0.99781442479634397</v>
      </c>
      <c r="Y1219" s="73">
        <v>0.92</v>
      </c>
      <c r="Z1219" s="73">
        <v>1</v>
      </c>
      <c r="AA1219" s="73">
        <v>0.99236641221374</v>
      </c>
      <c r="AB1219" s="73">
        <v>1</v>
      </c>
      <c r="AC1219" s="73">
        <v>0.99719101123595499</v>
      </c>
      <c r="AD1219" s="73">
        <v>0.92</v>
      </c>
      <c r="AE1219" s="71">
        <v>0.84855838677991602</v>
      </c>
      <c r="AF1219" s="71">
        <v>0.98938594053903905</v>
      </c>
      <c r="AG1219" s="71">
        <v>0.99969942891493802</v>
      </c>
      <c r="AH1219" s="71">
        <v>0.95655594136987998</v>
      </c>
      <c r="AI1219" s="73">
        <v>0.92</v>
      </c>
      <c r="AJ1219" s="71">
        <v>1</v>
      </c>
      <c r="AK1219" s="71">
        <v>0.99690880989180797</v>
      </c>
      <c r="AL1219" s="71">
        <v>0.99659863945578198</v>
      </c>
      <c r="AM1219" s="71">
        <v>0.99770679770679804</v>
      </c>
      <c r="AN1219" s="70">
        <v>0.99</v>
      </c>
      <c r="AO1219" s="75">
        <v>1</v>
      </c>
      <c r="AP1219" s="75">
        <v>1</v>
      </c>
      <c r="AQ1219" s="75">
        <v>1</v>
      </c>
      <c r="AR1219" s="75">
        <v>1</v>
      </c>
      <c r="AS1219" s="95">
        <v>7.2186152540827803E-2</v>
      </c>
      <c r="AT1219" s="79">
        <v>0</v>
      </c>
      <c r="AU1219" s="79">
        <v>8.6206896551724102E-3</v>
      </c>
      <c r="AV1219" s="79">
        <v>0</v>
      </c>
      <c r="AW1219" s="79">
        <v>6.7476383265856997E-3</v>
      </c>
      <c r="AX1219" s="56"/>
      <c r="AY1219" s="54"/>
    </row>
    <row r="1220" spans="1:51">
      <c r="A1220" s="53"/>
      <c r="B1220" s="56"/>
      <c r="C1220" s="90" t="s">
        <v>1079</v>
      </c>
      <c r="D1220" s="230" t="s">
        <v>1757</v>
      </c>
      <c r="E1220" s="68" t="s">
        <v>1080</v>
      </c>
      <c r="F1220" s="130" t="s">
        <v>1244</v>
      </c>
      <c r="G1220" s="130" t="s">
        <v>1244</v>
      </c>
      <c r="H1220" s="130" t="s">
        <v>1244</v>
      </c>
      <c r="I1220" s="130" t="s">
        <v>1244</v>
      </c>
      <c r="J1220" s="70">
        <v>0.9</v>
      </c>
      <c r="K1220" s="71">
        <v>0.75</v>
      </c>
      <c r="L1220" s="71">
        <v>0.76470588235294101</v>
      </c>
      <c r="M1220" s="72">
        <v>0.93333333333333302</v>
      </c>
      <c r="N1220" s="71">
        <v>0.88648648648648698</v>
      </c>
      <c r="O1220" s="73">
        <v>0.9</v>
      </c>
      <c r="P1220" s="71">
        <v>0.92770221904080197</v>
      </c>
      <c r="Q1220" s="71">
        <v>0.94628847314423703</v>
      </c>
      <c r="R1220" s="71">
        <v>0.95934001178550399</v>
      </c>
      <c r="S1220" s="71">
        <v>0.93867591721542798</v>
      </c>
      <c r="T1220" s="73">
        <v>0.9</v>
      </c>
      <c r="U1220" s="71">
        <v>0.923407301360057</v>
      </c>
      <c r="V1220" s="71">
        <v>0.88835244417622194</v>
      </c>
      <c r="W1220" s="71">
        <v>0.85503830288744798</v>
      </c>
      <c r="X1220" s="71">
        <v>0.90245766698024499</v>
      </c>
      <c r="Y1220" s="73">
        <v>0.92</v>
      </c>
      <c r="Z1220" s="73">
        <v>0.94467213114754101</v>
      </c>
      <c r="AA1220" s="73">
        <v>0.96655518394648798</v>
      </c>
      <c r="AB1220" s="73">
        <v>0.93165467625899301</v>
      </c>
      <c r="AC1220" s="73">
        <v>0.94410723318158796</v>
      </c>
      <c r="AD1220" s="73">
        <v>0.92</v>
      </c>
      <c r="AE1220" s="71">
        <v>0.92811002292144196</v>
      </c>
      <c r="AF1220" s="71">
        <v>0.80155045363547295</v>
      </c>
      <c r="AG1220" s="71">
        <v>0.83279883381924202</v>
      </c>
      <c r="AH1220" s="71">
        <v>0.86683010268045202</v>
      </c>
      <c r="AI1220" s="73">
        <v>0.92</v>
      </c>
      <c r="AJ1220" s="71">
        <v>0.958620689655172</v>
      </c>
      <c r="AK1220" s="71">
        <v>0.96932515337423297</v>
      </c>
      <c r="AL1220" s="71">
        <v>0.97570850202429105</v>
      </c>
      <c r="AM1220" s="71">
        <v>0.97138223790899503</v>
      </c>
      <c r="AN1220" s="70">
        <v>0.99</v>
      </c>
      <c r="AO1220" s="75">
        <v>1</v>
      </c>
      <c r="AP1220" s="75">
        <v>1</v>
      </c>
      <c r="AQ1220" s="75">
        <v>1</v>
      </c>
      <c r="AR1220" s="75">
        <v>1</v>
      </c>
      <c r="AS1220" s="95">
        <v>7.2186152540827803E-2</v>
      </c>
      <c r="AT1220" s="79">
        <v>-0.25</v>
      </c>
      <c r="AU1220" s="79">
        <v>9.0909090909090898E-2</v>
      </c>
      <c r="AV1220" s="79">
        <v>0</v>
      </c>
      <c r="AW1220" s="79">
        <v>0.05</v>
      </c>
      <c r="AX1220" s="56"/>
      <c r="AY1220" s="54"/>
    </row>
    <row r="1221" spans="1:51">
      <c r="A1221" s="53"/>
      <c r="B1221" s="56"/>
      <c r="C1221" s="90" t="s">
        <v>1079</v>
      </c>
      <c r="D1221" s="230" t="s">
        <v>1759</v>
      </c>
      <c r="E1221" s="68" t="s">
        <v>1080</v>
      </c>
      <c r="F1221" s="128" t="s">
        <v>1245</v>
      </c>
      <c r="G1221" s="128" t="s">
        <v>1245</v>
      </c>
      <c r="H1221" s="128" t="s">
        <v>1245</v>
      </c>
      <c r="I1221" s="128" t="s">
        <v>1245</v>
      </c>
      <c r="J1221" s="70">
        <v>0.9</v>
      </c>
      <c r="K1221" s="71" t="s">
        <v>1710</v>
      </c>
      <c r="L1221" s="71" t="s">
        <v>1710</v>
      </c>
      <c r="M1221" s="72" t="s">
        <v>1710</v>
      </c>
      <c r="N1221" s="71" t="s">
        <v>1710</v>
      </c>
      <c r="O1221" s="73">
        <v>0.9</v>
      </c>
      <c r="P1221" s="71">
        <v>0</v>
      </c>
      <c r="Q1221" s="71" t="s">
        <v>1710</v>
      </c>
      <c r="R1221" s="71">
        <v>0</v>
      </c>
      <c r="S1221" s="71">
        <v>0</v>
      </c>
      <c r="T1221" s="73">
        <v>0.9</v>
      </c>
      <c r="U1221" s="71">
        <v>1</v>
      </c>
      <c r="V1221" s="71" t="s">
        <v>1710</v>
      </c>
      <c r="W1221" s="71">
        <v>0.5</v>
      </c>
      <c r="X1221" s="71">
        <v>0.75</v>
      </c>
      <c r="Y1221" s="73">
        <v>0.92</v>
      </c>
      <c r="Z1221" s="73" t="s">
        <v>1710</v>
      </c>
      <c r="AA1221" s="73" t="s">
        <v>1710</v>
      </c>
      <c r="AB1221" s="73" t="s">
        <v>1710</v>
      </c>
      <c r="AC1221" s="73" t="s">
        <v>1710</v>
      </c>
      <c r="AD1221" s="73">
        <v>0.92</v>
      </c>
      <c r="AE1221" s="71">
        <v>0.99323276469758903</v>
      </c>
      <c r="AF1221" s="71">
        <v>0.99421009098428403</v>
      </c>
      <c r="AG1221" s="71">
        <v>0.990620114643043</v>
      </c>
      <c r="AH1221" s="71">
        <v>0.92202694140657304</v>
      </c>
      <c r="AI1221" s="73">
        <v>0.92</v>
      </c>
      <c r="AJ1221" s="71">
        <v>1</v>
      </c>
      <c r="AK1221" s="71" t="s">
        <v>1710</v>
      </c>
      <c r="AL1221" s="71">
        <v>0.5</v>
      </c>
      <c r="AM1221" s="71">
        <v>0.75</v>
      </c>
      <c r="AN1221" s="70">
        <v>0.99</v>
      </c>
      <c r="AO1221" s="75">
        <v>1</v>
      </c>
      <c r="AP1221" s="75">
        <v>1</v>
      </c>
      <c r="AQ1221" s="75">
        <v>1</v>
      </c>
      <c r="AR1221" s="75">
        <v>1</v>
      </c>
      <c r="AS1221" s="95">
        <v>7.2186152540827803E-2</v>
      </c>
      <c r="AT1221" s="79" t="s">
        <v>1710</v>
      </c>
      <c r="AU1221" s="79" t="s">
        <v>1710</v>
      </c>
      <c r="AV1221" s="79" t="s">
        <v>1710</v>
      </c>
      <c r="AW1221" s="79" t="s">
        <v>1710</v>
      </c>
      <c r="AX1221" s="56"/>
      <c r="AY1221" s="54"/>
    </row>
    <row r="1222" spans="1:51">
      <c r="A1222" s="53"/>
      <c r="B1222" s="56"/>
      <c r="C1222" s="90" t="s">
        <v>1079</v>
      </c>
      <c r="D1222" s="230" t="s">
        <v>1757</v>
      </c>
      <c r="E1222" s="68" t="s">
        <v>1080</v>
      </c>
      <c r="F1222" s="128" t="s">
        <v>1246</v>
      </c>
      <c r="G1222" s="128" t="s">
        <v>1246</v>
      </c>
      <c r="H1222" s="128" t="s">
        <v>1246</v>
      </c>
      <c r="I1222" s="128" t="s">
        <v>1246</v>
      </c>
      <c r="J1222" s="70">
        <v>0.9</v>
      </c>
      <c r="K1222" s="71">
        <v>0.94827586206896597</v>
      </c>
      <c r="L1222" s="71">
        <v>0.95384615384615401</v>
      </c>
      <c r="M1222" s="72">
        <v>0.98113207547169801</v>
      </c>
      <c r="N1222" s="71">
        <v>0.960812772133527</v>
      </c>
      <c r="O1222" s="73">
        <v>0.9</v>
      </c>
      <c r="P1222" s="71">
        <v>0.97804915752048205</v>
      </c>
      <c r="Q1222" s="71">
        <v>0.88808019774787195</v>
      </c>
      <c r="R1222" s="71">
        <v>0.92002617801047104</v>
      </c>
      <c r="S1222" s="71">
        <v>0.94330009649405</v>
      </c>
      <c r="T1222" s="73">
        <v>0.9</v>
      </c>
      <c r="U1222" s="71">
        <v>0.90879579533158095</v>
      </c>
      <c r="V1222" s="71">
        <v>0.92007690195001401</v>
      </c>
      <c r="W1222" s="71">
        <v>0.84829842931937205</v>
      </c>
      <c r="X1222" s="71">
        <v>0.90484400128658704</v>
      </c>
      <c r="Y1222" s="73">
        <v>0.92</v>
      </c>
      <c r="Z1222" s="73">
        <v>0.93742280773981101</v>
      </c>
      <c r="AA1222" s="73">
        <v>0.95260663507109</v>
      </c>
      <c r="AB1222" s="73">
        <v>0.89336691855583505</v>
      </c>
      <c r="AC1222" s="73">
        <v>0.933208595566139</v>
      </c>
      <c r="AD1222" s="73">
        <v>0.92</v>
      </c>
      <c r="AE1222" s="71">
        <v>0.99353317498569704</v>
      </c>
      <c r="AF1222" s="71">
        <v>0.97468311758360304</v>
      </c>
      <c r="AG1222" s="71">
        <v>0.99503964662008004</v>
      </c>
      <c r="AH1222" s="71">
        <v>0.95289869251978998</v>
      </c>
      <c r="AI1222" s="73">
        <v>0.92</v>
      </c>
      <c r="AJ1222" s="71">
        <v>0.95719101123595496</v>
      </c>
      <c r="AK1222" s="71">
        <v>0.96397660818713404</v>
      </c>
      <c r="AL1222" s="71">
        <v>0.93740803621958102</v>
      </c>
      <c r="AM1222" s="71">
        <v>0.96297888401937604</v>
      </c>
      <c r="AN1222" s="70">
        <v>0.99</v>
      </c>
      <c r="AO1222" s="75">
        <v>1</v>
      </c>
      <c r="AP1222" s="75">
        <v>1</v>
      </c>
      <c r="AQ1222" s="75">
        <v>1</v>
      </c>
      <c r="AR1222" s="75">
        <v>1</v>
      </c>
      <c r="AS1222" s="95">
        <v>7.2186152540827803E-2</v>
      </c>
      <c r="AT1222" s="79">
        <v>0.13793103448275901</v>
      </c>
      <c r="AU1222" s="79">
        <v>0</v>
      </c>
      <c r="AV1222" s="79">
        <v>3.7037037037037E-2</v>
      </c>
      <c r="AW1222" s="79">
        <v>4.9723756906077297E-2</v>
      </c>
      <c r="AX1222" s="56"/>
      <c r="AY1222" s="54"/>
    </row>
    <row r="1223" spans="1:51">
      <c r="A1223" s="53"/>
      <c r="B1223" s="56"/>
      <c r="C1223" s="90" t="s">
        <v>1079</v>
      </c>
      <c r="D1223" s="230" t="s">
        <v>1757</v>
      </c>
      <c r="E1223" s="68" t="s">
        <v>1080</v>
      </c>
      <c r="F1223" s="128" t="s">
        <v>1247</v>
      </c>
      <c r="G1223" s="128" t="s">
        <v>1247</v>
      </c>
      <c r="H1223" s="128" t="s">
        <v>1247</v>
      </c>
      <c r="I1223" s="128" t="s">
        <v>1247</v>
      </c>
      <c r="J1223" s="70">
        <v>0.9</v>
      </c>
      <c r="K1223" s="71">
        <v>0.97260273972602695</v>
      </c>
      <c r="L1223" s="71">
        <v>0.98648648648648696</v>
      </c>
      <c r="M1223" s="72">
        <v>0.91304347826086996</v>
      </c>
      <c r="N1223" s="71">
        <v>0.91304347826086996</v>
      </c>
      <c r="O1223" s="73">
        <v>0.9</v>
      </c>
      <c r="P1223" s="71">
        <v>0.94933502216592802</v>
      </c>
      <c r="Q1223" s="71">
        <v>0.94779185210544303</v>
      </c>
      <c r="R1223" s="71">
        <v>0.93118245390972698</v>
      </c>
      <c r="S1223" s="71">
        <v>0.95215326006866596</v>
      </c>
      <c r="T1223" s="73">
        <v>0.9</v>
      </c>
      <c r="U1223" s="71">
        <v>0.88727042431918901</v>
      </c>
      <c r="V1223" s="71">
        <v>0.89130434782608703</v>
      </c>
      <c r="W1223" s="71">
        <v>0.85330578512396704</v>
      </c>
      <c r="X1223" s="71">
        <v>0.88909965980528904</v>
      </c>
      <c r="Y1223" s="73">
        <v>0.92</v>
      </c>
      <c r="Z1223" s="73">
        <v>0.92058674759737003</v>
      </c>
      <c r="AA1223" s="73">
        <v>0.94635193133047202</v>
      </c>
      <c r="AB1223" s="73">
        <v>0.90593220338983005</v>
      </c>
      <c r="AC1223" s="73">
        <v>0.93432313278008305</v>
      </c>
      <c r="AD1223" s="73">
        <v>0.92</v>
      </c>
      <c r="AE1223" s="71">
        <v>0.99411498415572697</v>
      </c>
      <c r="AF1223" s="71">
        <v>0.933135215453195</v>
      </c>
      <c r="AG1223" s="71">
        <v>0.99695585996955904</v>
      </c>
      <c r="AH1223" s="71">
        <v>0.99385618456523095</v>
      </c>
      <c r="AI1223" s="73">
        <v>0.92</v>
      </c>
      <c r="AJ1223" s="71">
        <v>0.94235924932975901</v>
      </c>
      <c r="AK1223" s="71">
        <v>0.95969884853853005</v>
      </c>
      <c r="AL1223" s="71">
        <v>0.94566381156316903</v>
      </c>
      <c r="AM1223" s="71">
        <v>0.96295033956928999</v>
      </c>
      <c r="AN1223" s="70">
        <v>0.99</v>
      </c>
      <c r="AO1223" s="75">
        <v>1</v>
      </c>
      <c r="AP1223" s="75">
        <v>1</v>
      </c>
      <c r="AQ1223" s="75">
        <v>1</v>
      </c>
      <c r="AR1223" s="75">
        <v>1</v>
      </c>
      <c r="AS1223" s="95">
        <v>7.2186152540827803E-2</v>
      </c>
      <c r="AT1223" s="79">
        <v>0</v>
      </c>
      <c r="AU1223" s="79">
        <v>7.8947368421052599E-2</v>
      </c>
      <c r="AV1223" s="79">
        <v>3.8461538461538498E-2</v>
      </c>
      <c r="AW1223" s="79">
        <v>3.4300791556728202E-2</v>
      </c>
      <c r="AX1223" s="56"/>
      <c r="AY1223" s="54"/>
    </row>
    <row r="1224" spans="1:51">
      <c r="A1224" s="53"/>
      <c r="B1224" s="56"/>
      <c r="C1224" s="90" t="s">
        <v>1079</v>
      </c>
      <c r="D1224" s="230" t="s">
        <v>1759</v>
      </c>
      <c r="E1224" s="68" t="s">
        <v>1080</v>
      </c>
      <c r="F1224" s="128" t="s">
        <v>1248</v>
      </c>
      <c r="G1224" s="128" t="s">
        <v>1248</v>
      </c>
      <c r="H1224" s="128" t="s">
        <v>1248</v>
      </c>
      <c r="I1224" s="128" t="s">
        <v>1248</v>
      </c>
      <c r="J1224" s="70">
        <v>0.9</v>
      </c>
      <c r="K1224" s="71" t="s">
        <v>1710</v>
      </c>
      <c r="L1224" s="71" t="s">
        <v>1710</v>
      </c>
      <c r="M1224" s="72" t="s">
        <v>1710</v>
      </c>
      <c r="N1224" s="71" t="s">
        <v>1710</v>
      </c>
      <c r="O1224" s="73">
        <v>0.9</v>
      </c>
      <c r="P1224" s="71">
        <v>1</v>
      </c>
      <c r="Q1224" s="71" t="s">
        <v>1710</v>
      </c>
      <c r="R1224" s="71" t="s">
        <v>1710</v>
      </c>
      <c r="S1224" s="71">
        <v>1</v>
      </c>
      <c r="T1224" s="73">
        <v>0.9</v>
      </c>
      <c r="U1224" s="71">
        <v>1</v>
      </c>
      <c r="V1224" s="71" t="s">
        <v>1710</v>
      </c>
      <c r="W1224" s="71" t="s">
        <v>1710</v>
      </c>
      <c r="X1224" s="71">
        <v>1</v>
      </c>
      <c r="Y1224" s="73">
        <v>0.92</v>
      </c>
      <c r="Z1224" s="73" t="s">
        <v>1710</v>
      </c>
      <c r="AA1224" s="73" t="s">
        <v>1710</v>
      </c>
      <c r="AB1224" s="73" t="s">
        <v>1710</v>
      </c>
      <c r="AC1224" s="73">
        <v>1</v>
      </c>
      <c r="AD1224" s="73">
        <v>0.92</v>
      </c>
      <c r="AE1224" s="71">
        <v>0.99873031995937001</v>
      </c>
      <c r="AF1224" s="71">
        <v>0.99894847528916897</v>
      </c>
      <c r="AG1224" s="71">
        <v>1</v>
      </c>
      <c r="AH1224" s="71">
        <v>0.99903439055188303</v>
      </c>
      <c r="AI1224" s="73">
        <v>0.92</v>
      </c>
      <c r="AJ1224" s="71">
        <v>1</v>
      </c>
      <c r="AK1224" s="71" t="s">
        <v>1710</v>
      </c>
      <c r="AL1224" s="71" t="s">
        <v>1710</v>
      </c>
      <c r="AM1224" s="71">
        <v>1</v>
      </c>
      <c r="AN1224" s="70">
        <v>0.99</v>
      </c>
      <c r="AO1224" s="75">
        <v>1</v>
      </c>
      <c r="AP1224" s="75">
        <v>1</v>
      </c>
      <c r="AQ1224" s="75">
        <v>1</v>
      </c>
      <c r="AR1224" s="75">
        <v>1</v>
      </c>
      <c r="AS1224" s="95">
        <v>7.2186152540827803E-2</v>
      </c>
      <c r="AT1224" s="79" t="s">
        <v>1710</v>
      </c>
      <c r="AU1224" s="79" t="s">
        <v>1710</v>
      </c>
      <c r="AV1224" s="79" t="s">
        <v>1710</v>
      </c>
      <c r="AW1224" s="79" t="s">
        <v>1710</v>
      </c>
      <c r="AX1224" s="56"/>
      <c r="AY1224" s="54"/>
    </row>
    <row r="1225" spans="1:51">
      <c r="A1225" s="53"/>
      <c r="B1225" s="56"/>
      <c r="C1225" s="90" t="s">
        <v>1079</v>
      </c>
      <c r="D1225" s="230" t="s">
        <v>1757</v>
      </c>
      <c r="E1225" s="68" t="s">
        <v>1080</v>
      </c>
      <c r="F1225" s="128" t="s">
        <v>1249</v>
      </c>
      <c r="G1225" s="128" t="s">
        <v>1249</v>
      </c>
      <c r="H1225" s="128" t="s">
        <v>1249</v>
      </c>
      <c r="I1225" s="128" t="s">
        <v>1249</v>
      </c>
      <c r="J1225" s="70">
        <v>0.9</v>
      </c>
      <c r="K1225" s="71">
        <v>0.88679245283018904</v>
      </c>
      <c r="L1225" s="71">
        <v>0.96428571428571397</v>
      </c>
      <c r="M1225" s="72">
        <v>0.98</v>
      </c>
      <c r="N1225" s="71">
        <v>0.93581081081081097</v>
      </c>
      <c r="O1225" s="73">
        <v>0.9</v>
      </c>
      <c r="P1225" s="71">
        <v>0.92153465346534702</v>
      </c>
      <c r="Q1225" s="71">
        <v>0.93658637018735802</v>
      </c>
      <c r="R1225" s="71">
        <v>0.93096685624632303</v>
      </c>
      <c r="S1225" s="71">
        <v>0.94793585021485605</v>
      </c>
      <c r="T1225" s="73">
        <v>0.9</v>
      </c>
      <c r="U1225" s="71">
        <v>0.91831683168316802</v>
      </c>
      <c r="V1225" s="71">
        <v>0.93329215565163703</v>
      </c>
      <c r="W1225" s="71">
        <v>0.84957834869582305</v>
      </c>
      <c r="X1225" s="71">
        <v>0.90930018416206304</v>
      </c>
      <c r="Y1225" s="73">
        <v>0.92</v>
      </c>
      <c r="Z1225" s="73">
        <v>0.94306569343065705</v>
      </c>
      <c r="AA1225" s="73">
        <v>0.95046439628483004</v>
      </c>
      <c r="AB1225" s="73">
        <v>0.92137592137592095</v>
      </c>
      <c r="AC1225" s="73">
        <v>0.94650386507378803</v>
      </c>
      <c r="AD1225" s="73">
        <v>0.92</v>
      </c>
      <c r="AE1225" s="71">
        <v>0.99533316048742504</v>
      </c>
      <c r="AF1225" s="71">
        <v>0.73893129770992405</v>
      </c>
      <c r="AG1225" s="71">
        <v>0.99959497772377504</v>
      </c>
      <c r="AH1225" s="71">
        <v>0.90806745543519496</v>
      </c>
      <c r="AI1225" s="73">
        <v>0.92</v>
      </c>
      <c r="AJ1225" s="71">
        <v>0.963216266173752</v>
      </c>
      <c r="AK1225" s="71">
        <v>0.97474105033617997</v>
      </c>
      <c r="AL1225" s="71">
        <v>0.94435988499915402</v>
      </c>
      <c r="AM1225" s="71">
        <v>0.96939402049844903</v>
      </c>
      <c r="AN1225" s="70">
        <v>0.99</v>
      </c>
      <c r="AO1225" s="75">
        <v>1</v>
      </c>
      <c r="AP1225" s="75">
        <v>1</v>
      </c>
      <c r="AQ1225" s="75">
        <v>1</v>
      </c>
      <c r="AR1225" s="75">
        <v>1</v>
      </c>
      <c r="AS1225" s="95">
        <v>7.2186152540827803E-2</v>
      </c>
      <c r="AT1225" s="79">
        <v>6.4516129032258104E-2</v>
      </c>
      <c r="AU1225" s="79">
        <v>3.03030303030303E-2</v>
      </c>
      <c r="AV1225" s="79">
        <v>6.6666666666666693E-2</v>
      </c>
      <c r="AW1225" s="79">
        <v>2.5125628140703501E-2</v>
      </c>
      <c r="AX1225" s="56"/>
      <c r="AY1225" s="54"/>
    </row>
    <row r="1226" spans="1:51">
      <c r="A1226" s="53"/>
      <c r="B1226" s="56"/>
      <c r="C1226" s="90" t="s">
        <v>1079</v>
      </c>
      <c r="D1226" s="230" t="s">
        <v>1759</v>
      </c>
      <c r="E1226" s="68" t="s">
        <v>1080</v>
      </c>
      <c r="F1226" s="128" t="s">
        <v>1250</v>
      </c>
      <c r="G1226" s="128" t="s">
        <v>1250</v>
      </c>
      <c r="H1226" s="128" t="s">
        <v>1250</v>
      </c>
      <c r="I1226" s="128" t="s">
        <v>1250</v>
      </c>
      <c r="J1226" s="70">
        <v>0.9</v>
      </c>
      <c r="K1226" s="71" t="s">
        <v>1710</v>
      </c>
      <c r="L1226" s="71" t="s">
        <v>1710</v>
      </c>
      <c r="M1226" s="72" t="s">
        <v>1710</v>
      </c>
      <c r="N1226" s="71" t="s">
        <v>1710</v>
      </c>
      <c r="O1226" s="73">
        <v>0.9</v>
      </c>
      <c r="P1226" s="71">
        <v>0</v>
      </c>
      <c r="Q1226" s="71" t="s">
        <v>1710</v>
      </c>
      <c r="R1226" s="71" t="s">
        <v>1710</v>
      </c>
      <c r="S1226" s="71">
        <v>0</v>
      </c>
      <c r="T1226" s="73">
        <v>0.9</v>
      </c>
      <c r="U1226" s="71">
        <v>1</v>
      </c>
      <c r="V1226" s="71" t="s">
        <v>1710</v>
      </c>
      <c r="W1226" s="71" t="s">
        <v>1710</v>
      </c>
      <c r="X1226" s="71">
        <v>1</v>
      </c>
      <c r="Y1226" s="73">
        <v>0.92</v>
      </c>
      <c r="Z1226" s="73" t="s">
        <v>1710</v>
      </c>
      <c r="AA1226" s="73" t="s">
        <v>1710</v>
      </c>
      <c r="AB1226" s="73">
        <v>1</v>
      </c>
      <c r="AC1226" s="73">
        <v>1</v>
      </c>
      <c r="AD1226" s="73">
        <v>0.92</v>
      </c>
      <c r="AE1226" s="71">
        <v>0.99398122141080203</v>
      </c>
      <c r="AF1226" s="71">
        <v>0.97614515169541904</v>
      </c>
      <c r="AG1226" s="71">
        <v>0.99924632583846296</v>
      </c>
      <c r="AH1226" s="71">
        <v>0.99035920320246296</v>
      </c>
      <c r="AI1226" s="73">
        <v>0.92</v>
      </c>
      <c r="AJ1226" s="71">
        <v>1</v>
      </c>
      <c r="AK1226" s="71" t="s">
        <v>1710</v>
      </c>
      <c r="AL1226" s="71">
        <v>1</v>
      </c>
      <c r="AM1226" s="71">
        <v>1</v>
      </c>
      <c r="AN1226" s="70">
        <v>0.99</v>
      </c>
      <c r="AO1226" s="75">
        <v>1</v>
      </c>
      <c r="AP1226" s="75">
        <v>1</v>
      </c>
      <c r="AQ1226" s="75">
        <v>1</v>
      </c>
      <c r="AR1226" s="75">
        <v>1</v>
      </c>
      <c r="AS1226" s="95">
        <v>7.2186152540827803E-2</v>
      </c>
      <c r="AT1226" s="79" t="s">
        <v>1710</v>
      </c>
      <c r="AU1226" s="79" t="s">
        <v>1710</v>
      </c>
      <c r="AV1226" s="79" t="s">
        <v>1710</v>
      </c>
      <c r="AW1226" s="79" t="s">
        <v>1710</v>
      </c>
      <c r="AX1226" s="56"/>
      <c r="AY1226" s="54"/>
    </row>
    <row r="1227" spans="1:51">
      <c r="A1227" s="53"/>
      <c r="B1227" s="56"/>
      <c r="C1227" s="90" t="s">
        <v>1079</v>
      </c>
      <c r="D1227" s="230" t="s">
        <v>1759</v>
      </c>
      <c r="E1227" s="68" t="s">
        <v>1080</v>
      </c>
      <c r="F1227" s="128" t="s">
        <v>1251</v>
      </c>
      <c r="G1227" s="128" t="s">
        <v>1251</v>
      </c>
      <c r="H1227" s="128" t="s">
        <v>1251</v>
      </c>
      <c r="I1227" s="128" t="s">
        <v>1251</v>
      </c>
      <c r="J1227" s="70">
        <v>0.9</v>
      </c>
      <c r="K1227" s="71" t="s">
        <v>1710</v>
      </c>
      <c r="L1227" s="71" t="s">
        <v>1710</v>
      </c>
      <c r="M1227" s="72" t="s">
        <v>1710</v>
      </c>
      <c r="N1227" s="71" t="s">
        <v>1710</v>
      </c>
      <c r="O1227" s="73">
        <v>0.9</v>
      </c>
      <c r="P1227" s="71" t="s">
        <v>1710</v>
      </c>
      <c r="Q1227" s="71" t="s">
        <v>1710</v>
      </c>
      <c r="R1227" s="71">
        <v>0</v>
      </c>
      <c r="S1227" s="71">
        <v>0</v>
      </c>
      <c r="T1227" s="73">
        <v>0.9</v>
      </c>
      <c r="U1227" s="71" t="s">
        <v>1710</v>
      </c>
      <c r="V1227" s="71" t="s">
        <v>1710</v>
      </c>
      <c r="W1227" s="71">
        <v>1</v>
      </c>
      <c r="X1227" s="71">
        <v>1</v>
      </c>
      <c r="Y1227" s="73">
        <v>0.92</v>
      </c>
      <c r="Z1227" s="73" t="s">
        <v>1710</v>
      </c>
      <c r="AA1227" s="73" t="s">
        <v>1710</v>
      </c>
      <c r="AB1227" s="73" t="s">
        <v>1710</v>
      </c>
      <c r="AC1227" s="73">
        <v>1</v>
      </c>
      <c r="AD1227" s="73">
        <v>0.92</v>
      </c>
      <c r="AE1227" s="71">
        <v>0.99861125948082496</v>
      </c>
      <c r="AF1227" s="71">
        <v>0.99885057471264405</v>
      </c>
      <c r="AG1227" s="71">
        <v>0.99876619370758801</v>
      </c>
      <c r="AH1227" s="71">
        <v>0.99702813784381905</v>
      </c>
      <c r="AI1227" s="73">
        <v>0.92</v>
      </c>
      <c r="AJ1227" s="71" t="s">
        <v>1710</v>
      </c>
      <c r="AK1227" s="71">
        <v>1</v>
      </c>
      <c r="AL1227" s="71">
        <v>1</v>
      </c>
      <c r="AM1227" s="71">
        <v>1</v>
      </c>
      <c r="AN1227" s="70">
        <v>0.99</v>
      </c>
      <c r="AO1227" s="75">
        <v>1</v>
      </c>
      <c r="AP1227" s="75">
        <v>1</v>
      </c>
      <c r="AQ1227" s="75">
        <v>1</v>
      </c>
      <c r="AR1227" s="75">
        <v>1</v>
      </c>
      <c r="AS1227" s="95">
        <v>7.2186152540827803E-2</v>
      </c>
      <c r="AT1227" s="79" t="s">
        <v>1710</v>
      </c>
      <c r="AU1227" s="79" t="s">
        <v>1710</v>
      </c>
      <c r="AV1227" s="79" t="s">
        <v>1710</v>
      </c>
      <c r="AW1227" s="79" t="s">
        <v>1710</v>
      </c>
      <c r="AX1227" s="56"/>
      <c r="AY1227" s="54"/>
    </row>
    <row r="1228" spans="1:51">
      <c r="A1228" s="53"/>
      <c r="B1228" s="56"/>
      <c r="C1228" s="90" t="s">
        <v>1079</v>
      </c>
      <c r="D1228" s="230" t="s">
        <v>1757</v>
      </c>
      <c r="E1228" s="68" t="s">
        <v>1080</v>
      </c>
      <c r="F1228" s="128" t="s">
        <v>1252</v>
      </c>
      <c r="G1228" s="128" t="s">
        <v>1252</v>
      </c>
      <c r="H1228" s="128" t="s">
        <v>1252</v>
      </c>
      <c r="I1228" s="128" t="s">
        <v>1252</v>
      </c>
      <c r="J1228" s="70">
        <v>0.9</v>
      </c>
      <c r="K1228" s="71">
        <v>0.92307692307692302</v>
      </c>
      <c r="L1228" s="71">
        <v>0.96</v>
      </c>
      <c r="M1228" s="72">
        <v>0.95833333333333304</v>
      </c>
      <c r="N1228" s="71">
        <v>0.95348837209302295</v>
      </c>
      <c r="O1228" s="73">
        <v>0.9</v>
      </c>
      <c r="P1228" s="71">
        <v>0.97740112994350303</v>
      </c>
      <c r="Q1228" s="71">
        <v>0.96117381489842002</v>
      </c>
      <c r="R1228" s="71">
        <v>0.92389589905362801</v>
      </c>
      <c r="S1228" s="71">
        <v>0.84600389863547798</v>
      </c>
      <c r="T1228" s="73">
        <v>0.9</v>
      </c>
      <c r="U1228" s="71">
        <v>0.889265536723164</v>
      </c>
      <c r="V1228" s="71">
        <v>0.83566591422121905</v>
      </c>
      <c r="W1228" s="71">
        <v>0.82728706624605697</v>
      </c>
      <c r="X1228" s="71">
        <v>0.81163225524127802</v>
      </c>
      <c r="Y1228" s="73">
        <v>0.92</v>
      </c>
      <c r="Z1228" s="73">
        <v>0.92952127659574502</v>
      </c>
      <c r="AA1228" s="73">
        <v>0.86350974930362101</v>
      </c>
      <c r="AB1228" s="73">
        <v>0.77808219178082205</v>
      </c>
      <c r="AC1228" s="73">
        <v>0.84380180512064795</v>
      </c>
      <c r="AD1228" s="73">
        <v>0.92</v>
      </c>
      <c r="AE1228" s="71">
        <v>0.98930671894493005</v>
      </c>
      <c r="AF1228" s="71">
        <v>0.99889928453494803</v>
      </c>
      <c r="AG1228" s="71">
        <v>1</v>
      </c>
      <c r="AH1228" s="71">
        <v>0.99764762944100904</v>
      </c>
      <c r="AI1228" s="73">
        <v>0.92</v>
      </c>
      <c r="AJ1228" s="71">
        <v>0.94567803330689904</v>
      </c>
      <c r="AK1228" s="71">
        <v>0.94444444444444398</v>
      </c>
      <c r="AL1228" s="71">
        <v>0.92830058600482601</v>
      </c>
      <c r="AM1228" s="71">
        <v>0.93152522410521499</v>
      </c>
      <c r="AN1228" s="70">
        <v>0.99</v>
      </c>
      <c r="AO1228" s="75">
        <v>1</v>
      </c>
      <c r="AP1228" s="75">
        <v>1</v>
      </c>
      <c r="AQ1228" s="75">
        <v>1</v>
      </c>
      <c r="AR1228" s="75">
        <v>1</v>
      </c>
      <c r="AS1228" s="95">
        <v>7.2186152540827803E-2</v>
      </c>
      <c r="AT1228" s="79">
        <v>-5.5555555555555601E-2</v>
      </c>
      <c r="AU1228" s="79">
        <v>3.2258064516128997E-2</v>
      </c>
      <c r="AV1228" s="79">
        <v>0.08</v>
      </c>
      <c r="AW1228" s="79">
        <v>0</v>
      </c>
      <c r="AX1228" s="56"/>
      <c r="AY1228" s="54"/>
    </row>
    <row r="1229" spans="1:51">
      <c r="A1229" s="53"/>
      <c r="B1229" s="56"/>
      <c r="C1229" s="90" t="s">
        <v>1079</v>
      </c>
      <c r="D1229" s="230" t="s">
        <v>1757</v>
      </c>
      <c r="E1229" s="68" t="s">
        <v>1080</v>
      </c>
      <c r="F1229" s="128" t="s">
        <v>1253</v>
      </c>
      <c r="G1229" s="128" t="s">
        <v>1253</v>
      </c>
      <c r="H1229" s="128" t="s">
        <v>1253</v>
      </c>
      <c r="I1229" s="128" t="s">
        <v>1253</v>
      </c>
      <c r="J1229" s="70">
        <v>0.9</v>
      </c>
      <c r="K1229" s="71">
        <v>1</v>
      </c>
      <c r="L1229" s="71">
        <v>1</v>
      </c>
      <c r="M1229" s="72">
        <v>1</v>
      </c>
      <c r="N1229" s="71">
        <v>0.97872340425531901</v>
      </c>
      <c r="O1229" s="73">
        <v>0.9</v>
      </c>
      <c r="P1229" s="71">
        <v>0.95853858784893298</v>
      </c>
      <c r="Q1229" s="71">
        <v>0.95219407777381404</v>
      </c>
      <c r="R1229" s="71">
        <v>0.95498898331759496</v>
      </c>
      <c r="S1229" s="71">
        <v>0.959368386781703</v>
      </c>
      <c r="T1229" s="73">
        <v>0.9</v>
      </c>
      <c r="U1229" s="71">
        <v>0.931034482758621</v>
      </c>
      <c r="V1229" s="71">
        <v>0.92115590438815598</v>
      </c>
      <c r="W1229" s="71">
        <v>0.93169656909033705</v>
      </c>
      <c r="X1229" s="71">
        <v>0.931434152694123</v>
      </c>
      <c r="Y1229" s="73">
        <v>0.92</v>
      </c>
      <c r="Z1229" s="73">
        <v>0.961968680089485</v>
      </c>
      <c r="AA1229" s="73">
        <v>0.980582524271845</v>
      </c>
      <c r="AB1229" s="73">
        <v>0.95975855130784704</v>
      </c>
      <c r="AC1229" s="73">
        <v>0.96862406447898697</v>
      </c>
      <c r="AD1229" s="73">
        <v>0.92</v>
      </c>
      <c r="AE1229" s="71">
        <v>0.99963140434942899</v>
      </c>
      <c r="AF1229" s="71">
        <v>0.99952916557677196</v>
      </c>
      <c r="AG1229" s="71">
        <v>1</v>
      </c>
      <c r="AH1229" s="71">
        <v>0.99811473202262302</v>
      </c>
      <c r="AI1229" s="73">
        <v>0.92</v>
      </c>
      <c r="AJ1229" s="71">
        <v>0.97748423896727699</v>
      </c>
      <c r="AK1229" s="71">
        <v>0.97921686746988001</v>
      </c>
      <c r="AL1229" s="71">
        <v>0.97117215121022604</v>
      </c>
      <c r="AM1229" s="71">
        <v>0.98185243161497404</v>
      </c>
      <c r="AN1229" s="70">
        <v>0.99</v>
      </c>
      <c r="AO1229" s="75">
        <v>1</v>
      </c>
      <c r="AP1229" s="75">
        <v>1</v>
      </c>
      <c r="AQ1229" s="75">
        <v>1</v>
      </c>
      <c r="AR1229" s="75">
        <v>1</v>
      </c>
      <c r="AS1229" s="95">
        <v>7.2186152540827803E-2</v>
      </c>
      <c r="AT1229" s="79">
        <v>0.133333333333333</v>
      </c>
      <c r="AU1229" s="79">
        <v>-5.5555555555555601E-2</v>
      </c>
      <c r="AV1229" s="79">
        <v>0</v>
      </c>
      <c r="AW1229" s="79">
        <v>0</v>
      </c>
      <c r="AX1229" s="56"/>
      <c r="AY1229" s="54"/>
    </row>
    <row r="1230" spans="1:51">
      <c r="A1230" s="53"/>
      <c r="B1230" s="56"/>
      <c r="C1230" s="90" t="s">
        <v>1079</v>
      </c>
      <c r="D1230" s="230" t="s">
        <v>1757</v>
      </c>
      <c r="E1230" s="68" t="s">
        <v>1080</v>
      </c>
      <c r="F1230" s="128" t="s">
        <v>1254</v>
      </c>
      <c r="G1230" s="128" t="s">
        <v>1254</v>
      </c>
      <c r="H1230" s="128" t="s">
        <v>1254</v>
      </c>
      <c r="I1230" s="128" t="s">
        <v>1254</v>
      </c>
      <c r="J1230" s="70">
        <v>0.9</v>
      </c>
      <c r="K1230" s="71">
        <v>0.96666666666666701</v>
      </c>
      <c r="L1230" s="71">
        <v>1</v>
      </c>
      <c r="M1230" s="72">
        <v>1</v>
      </c>
      <c r="N1230" s="71">
        <v>0.98863636363636398</v>
      </c>
      <c r="O1230" s="73">
        <v>0.9</v>
      </c>
      <c r="P1230" s="71">
        <v>0.96006749156355498</v>
      </c>
      <c r="Q1230" s="71">
        <v>0.95297901669474605</v>
      </c>
      <c r="R1230" s="71">
        <v>0.87041068059788096</v>
      </c>
      <c r="S1230" s="71">
        <v>0.92691237830319895</v>
      </c>
      <c r="T1230" s="73">
        <v>0.9</v>
      </c>
      <c r="U1230" s="71">
        <v>0.84776902887139105</v>
      </c>
      <c r="V1230" s="71">
        <v>0.81942104457037801</v>
      </c>
      <c r="W1230" s="71">
        <v>0.71963430561602104</v>
      </c>
      <c r="X1230" s="71">
        <v>0.80719054242002797</v>
      </c>
      <c r="Y1230" s="73">
        <v>0.92</v>
      </c>
      <c r="Z1230" s="73">
        <v>0.89002433090024302</v>
      </c>
      <c r="AA1230" s="73">
        <v>0.83913934426229497</v>
      </c>
      <c r="AB1230" s="73">
        <v>0.80098684210526305</v>
      </c>
      <c r="AC1230" s="73">
        <v>0.87486081900284596</v>
      </c>
      <c r="AD1230" s="73">
        <v>0.92</v>
      </c>
      <c r="AE1230" s="71">
        <v>0.99678347723040495</v>
      </c>
      <c r="AF1230" s="71">
        <v>0.99528894472361795</v>
      </c>
      <c r="AG1230" s="71">
        <v>0.99839829151094495</v>
      </c>
      <c r="AH1230" s="71">
        <v>0.98597934535270404</v>
      </c>
      <c r="AI1230" s="73">
        <v>0.92</v>
      </c>
      <c r="AJ1230" s="71">
        <v>0.94167005007443505</v>
      </c>
      <c r="AK1230" s="71">
        <v>0.94403730846102596</v>
      </c>
      <c r="AL1230" s="71">
        <v>0.895152337486123</v>
      </c>
      <c r="AM1230" s="71">
        <v>0.94312349548076502</v>
      </c>
      <c r="AN1230" s="70">
        <v>0.99</v>
      </c>
      <c r="AO1230" s="75">
        <v>1</v>
      </c>
      <c r="AP1230" s="75">
        <v>1</v>
      </c>
      <c r="AQ1230" s="75">
        <v>1</v>
      </c>
      <c r="AR1230" s="75">
        <v>1</v>
      </c>
      <c r="AS1230" s="95">
        <v>7.2186152540827803E-2</v>
      </c>
      <c r="AT1230" s="79">
        <v>0</v>
      </c>
      <c r="AU1230" s="79">
        <v>3.5294117647058802E-2</v>
      </c>
      <c r="AV1230" s="79">
        <v>6.8493150684931503E-2</v>
      </c>
      <c r="AW1230" s="79">
        <v>3.6363636363636397E-2</v>
      </c>
      <c r="AX1230" s="56"/>
      <c r="AY1230" s="54"/>
    </row>
    <row r="1231" spans="1:51">
      <c r="A1231" s="53"/>
      <c r="B1231" s="56"/>
      <c r="C1231" s="90" t="s">
        <v>1079</v>
      </c>
      <c r="D1231" s="230" t="s">
        <v>1759</v>
      </c>
      <c r="E1231" s="68" t="s">
        <v>1080</v>
      </c>
      <c r="F1231" s="128" t="s">
        <v>1255</v>
      </c>
      <c r="G1231" s="128" t="s">
        <v>1255</v>
      </c>
      <c r="H1231" s="128" t="s">
        <v>1255</v>
      </c>
      <c r="I1231" s="128" t="s">
        <v>1255</v>
      </c>
      <c r="J1231" s="70">
        <v>0.9</v>
      </c>
      <c r="K1231" s="71" t="s">
        <v>1710</v>
      </c>
      <c r="L1231" s="71" t="s">
        <v>1710</v>
      </c>
      <c r="M1231" s="72" t="s">
        <v>1710</v>
      </c>
      <c r="N1231" s="71" t="s">
        <v>1710</v>
      </c>
      <c r="O1231" s="73">
        <v>0.9</v>
      </c>
      <c r="P1231" s="71">
        <v>0</v>
      </c>
      <c r="Q1231" s="71" t="s">
        <v>1710</v>
      </c>
      <c r="R1231" s="71" t="s">
        <v>1710</v>
      </c>
      <c r="S1231" s="71">
        <v>0</v>
      </c>
      <c r="T1231" s="73">
        <v>0.9</v>
      </c>
      <c r="U1231" s="71">
        <v>0.5</v>
      </c>
      <c r="V1231" s="71" t="s">
        <v>1710</v>
      </c>
      <c r="W1231" s="71" t="s">
        <v>1710</v>
      </c>
      <c r="X1231" s="71">
        <v>0.5</v>
      </c>
      <c r="Y1231" s="73">
        <v>0.92</v>
      </c>
      <c r="Z1231" s="73" t="s">
        <v>1710</v>
      </c>
      <c r="AA1231" s="73" t="s">
        <v>1710</v>
      </c>
      <c r="AB1231" s="73" t="s">
        <v>1710</v>
      </c>
      <c r="AC1231" s="73" t="s">
        <v>1710</v>
      </c>
      <c r="AD1231" s="73">
        <v>0.92</v>
      </c>
      <c r="AE1231" s="71" t="s">
        <v>1710</v>
      </c>
      <c r="AF1231" s="71" t="s">
        <v>1710</v>
      </c>
      <c r="AG1231" s="71">
        <v>0.99770114942528698</v>
      </c>
      <c r="AH1231" s="71">
        <v>0.81474779461660296</v>
      </c>
      <c r="AI1231" s="73">
        <v>0.92</v>
      </c>
      <c r="AJ1231" s="71">
        <v>0.66666666666666696</v>
      </c>
      <c r="AK1231" s="71" t="s">
        <v>1710</v>
      </c>
      <c r="AL1231" s="71" t="s">
        <v>1710</v>
      </c>
      <c r="AM1231" s="71">
        <v>0.66666666666666696</v>
      </c>
      <c r="AN1231" s="70">
        <v>0.99</v>
      </c>
      <c r="AO1231" s="75" t="s">
        <v>1710</v>
      </c>
      <c r="AP1231" s="75" t="s">
        <v>1710</v>
      </c>
      <c r="AQ1231" s="75">
        <v>1</v>
      </c>
      <c r="AR1231" s="75">
        <v>1</v>
      </c>
      <c r="AS1231" s="95">
        <v>7.2186152540827803E-2</v>
      </c>
      <c r="AT1231" s="79" t="s">
        <v>1710</v>
      </c>
      <c r="AU1231" s="79" t="s">
        <v>1710</v>
      </c>
      <c r="AV1231" s="79" t="s">
        <v>1710</v>
      </c>
      <c r="AW1231" s="79" t="s">
        <v>1710</v>
      </c>
      <c r="AX1231" s="56"/>
      <c r="AY1231" s="54"/>
    </row>
    <row r="1232" spans="1:51">
      <c r="A1232" s="53"/>
      <c r="B1232" s="56"/>
      <c r="C1232" s="90" t="s">
        <v>1079</v>
      </c>
      <c r="D1232" s="230" t="s">
        <v>1757</v>
      </c>
      <c r="E1232" s="68" t="s">
        <v>1080</v>
      </c>
      <c r="F1232" s="128" t="s">
        <v>1256</v>
      </c>
      <c r="G1232" s="128" t="s">
        <v>1256</v>
      </c>
      <c r="H1232" s="128" t="s">
        <v>1256</v>
      </c>
      <c r="I1232" s="128" t="s">
        <v>1256</v>
      </c>
      <c r="J1232" s="70">
        <v>0.9</v>
      </c>
      <c r="K1232" s="71">
        <v>0.931034482758621</v>
      </c>
      <c r="L1232" s="71">
        <v>0.83870967741935498</v>
      </c>
      <c r="M1232" s="72">
        <v>0.88461538461538503</v>
      </c>
      <c r="N1232" s="71">
        <v>0.91812865497076002</v>
      </c>
      <c r="O1232" s="73">
        <v>0.9</v>
      </c>
      <c r="P1232" s="71">
        <v>0.970748829953198</v>
      </c>
      <c r="Q1232" s="71">
        <v>0.972335743476894</v>
      </c>
      <c r="R1232" s="71">
        <v>0.87454798331015304</v>
      </c>
      <c r="S1232" s="71">
        <v>0.96635147091351503</v>
      </c>
      <c r="T1232" s="73">
        <v>0.9</v>
      </c>
      <c r="U1232" s="71">
        <v>0.91263650546021802</v>
      </c>
      <c r="V1232" s="71">
        <v>0.90506130147752295</v>
      </c>
      <c r="W1232" s="71">
        <v>0.76328233657858102</v>
      </c>
      <c r="X1232" s="71">
        <v>0.88536828135368295</v>
      </c>
      <c r="Y1232" s="73">
        <v>0.92</v>
      </c>
      <c r="Z1232" s="73">
        <v>0.94534412955465597</v>
      </c>
      <c r="AA1232" s="73">
        <v>0.94444444444444398</v>
      </c>
      <c r="AB1232" s="73">
        <v>0.88367729831144504</v>
      </c>
      <c r="AC1232" s="73">
        <v>0.93620043910629003</v>
      </c>
      <c r="AD1232" s="73">
        <v>0.92</v>
      </c>
      <c r="AE1232" s="71">
        <v>0.98143889618922497</v>
      </c>
      <c r="AF1232" s="71">
        <v>0.98433880085256198</v>
      </c>
      <c r="AG1232" s="71">
        <v>0.98443301913738901</v>
      </c>
      <c r="AH1232" s="71">
        <v>0.98568348589151999</v>
      </c>
      <c r="AI1232" s="73">
        <v>0.92</v>
      </c>
      <c r="AJ1232" s="71">
        <v>0.96565315315315303</v>
      </c>
      <c r="AK1232" s="71">
        <v>0.96662143826322899</v>
      </c>
      <c r="AL1232" s="71">
        <v>0.92562984496124001</v>
      </c>
      <c r="AM1232" s="71">
        <v>0.96538846889516305</v>
      </c>
      <c r="AN1232" s="70">
        <v>0.99</v>
      </c>
      <c r="AO1232" s="75">
        <v>1</v>
      </c>
      <c r="AP1232" s="75">
        <v>1</v>
      </c>
      <c r="AQ1232" s="75">
        <v>1</v>
      </c>
      <c r="AR1232" s="75">
        <v>1</v>
      </c>
      <c r="AS1232" s="95">
        <v>7.2186152540827803E-2</v>
      </c>
      <c r="AT1232" s="79">
        <v>3.4482758620689703E-2</v>
      </c>
      <c r="AU1232" s="79">
        <v>9.0909090909090898E-2</v>
      </c>
      <c r="AV1232" s="79">
        <v>4.3478260869565202E-2</v>
      </c>
      <c r="AW1232" s="79">
        <v>3.8961038961039002E-2</v>
      </c>
      <c r="AX1232" s="56"/>
      <c r="AY1232" s="54"/>
    </row>
    <row r="1233" spans="1:51">
      <c r="A1233" s="53"/>
      <c r="B1233" s="56"/>
      <c r="C1233" s="90" t="s">
        <v>1079</v>
      </c>
      <c r="D1233" s="230" t="s">
        <v>1759</v>
      </c>
      <c r="E1233" s="68" t="s">
        <v>1080</v>
      </c>
      <c r="F1233" s="128" t="s">
        <v>1257</v>
      </c>
      <c r="G1233" s="128" t="s">
        <v>1257</v>
      </c>
      <c r="H1233" s="128" t="s">
        <v>1257</v>
      </c>
      <c r="I1233" s="128" t="s">
        <v>1257</v>
      </c>
      <c r="J1233" s="70">
        <v>0.9</v>
      </c>
      <c r="K1233" s="71" t="s">
        <v>1710</v>
      </c>
      <c r="L1233" s="71" t="s">
        <v>1710</v>
      </c>
      <c r="M1233" s="72" t="s">
        <v>1710</v>
      </c>
      <c r="N1233" s="71" t="s">
        <v>1710</v>
      </c>
      <c r="O1233" s="73">
        <v>0.9</v>
      </c>
      <c r="P1233" s="71" t="s">
        <v>1710</v>
      </c>
      <c r="Q1233" s="71" t="s">
        <v>1710</v>
      </c>
      <c r="R1233" s="71" t="s">
        <v>1710</v>
      </c>
      <c r="S1233" s="71">
        <v>0</v>
      </c>
      <c r="T1233" s="73">
        <v>0.9</v>
      </c>
      <c r="U1233" s="71" t="s">
        <v>1710</v>
      </c>
      <c r="V1233" s="71" t="s">
        <v>1710</v>
      </c>
      <c r="W1233" s="71" t="s">
        <v>1710</v>
      </c>
      <c r="X1233" s="71">
        <v>0.88888888888888895</v>
      </c>
      <c r="Y1233" s="73">
        <v>0.92</v>
      </c>
      <c r="Z1233" s="73">
        <v>1</v>
      </c>
      <c r="AA1233" s="73" t="s">
        <v>1710</v>
      </c>
      <c r="AB1233" s="73" t="s">
        <v>1710</v>
      </c>
      <c r="AC1233" s="73">
        <v>1</v>
      </c>
      <c r="AD1233" s="73">
        <v>0.92</v>
      </c>
      <c r="AE1233" s="71">
        <v>0.998602180598267</v>
      </c>
      <c r="AF1233" s="71">
        <v>0.16590447154471499</v>
      </c>
      <c r="AG1233" s="71">
        <v>0.996927803379416</v>
      </c>
      <c r="AH1233" s="71">
        <v>0.81456611570247905</v>
      </c>
      <c r="AI1233" s="73">
        <v>0.92</v>
      </c>
      <c r="AJ1233" s="71">
        <v>1</v>
      </c>
      <c r="AK1233" s="71" t="s">
        <v>1710</v>
      </c>
      <c r="AL1233" s="71" t="s">
        <v>1710</v>
      </c>
      <c r="AM1233" s="71">
        <v>1</v>
      </c>
      <c r="AN1233" s="70">
        <v>0.99</v>
      </c>
      <c r="AO1233" s="75">
        <v>1</v>
      </c>
      <c r="AP1233" s="75">
        <v>1</v>
      </c>
      <c r="AQ1233" s="75">
        <v>1</v>
      </c>
      <c r="AR1233" s="75">
        <v>1</v>
      </c>
      <c r="AS1233" s="95">
        <v>7.2186152540827803E-2</v>
      </c>
      <c r="AT1233" s="79" t="s">
        <v>1710</v>
      </c>
      <c r="AU1233" s="79" t="s">
        <v>1710</v>
      </c>
      <c r="AV1233" s="79" t="s">
        <v>1710</v>
      </c>
      <c r="AW1233" s="79" t="s">
        <v>1710</v>
      </c>
      <c r="AX1233" s="56"/>
      <c r="AY1233" s="54"/>
    </row>
    <row r="1234" spans="1:51">
      <c r="A1234" s="53"/>
      <c r="B1234" s="56"/>
      <c r="C1234" s="90" t="s">
        <v>1079</v>
      </c>
      <c r="D1234" s="230" t="s">
        <v>1757</v>
      </c>
      <c r="E1234" s="68" t="s">
        <v>1080</v>
      </c>
      <c r="F1234" s="128" t="s">
        <v>1258</v>
      </c>
      <c r="G1234" s="128" t="s">
        <v>1258</v>
      </c>
      <c r="H1234" s="128" t="s">
        <v>1258</v>
      </c>
      <c r="I1234" s="128" t="s">
        <v>1258</v>
      </c>
      <c r="J1234" s="70">
        <v>0.9</v>
      </c>
      <c r="K1234" s="71">
        <v>0.92452830188679203</v>
      </c>
      <c r="L1234" s="71">
        <v>0.91071428571428603</v>
      </c>
      <c r="M1234" s="72">
        <v>0.92307692307692302</v>
      </c>
      <c r="N1234" s="71">
        <v>0.94146341463414596</v>
      </c>
      <c r="O1234" s="73">
        <v>0.9</v>
      </c>
      <c r="P1234" s="71">
        <v>0.96130696474634603</v>
      </c>
      <c r="Q1234" s="71">
        <v>0.95981507823613099</v>
      </c>
      <c r="R1234" s="71">
        <v>0.94703457025055504</v>
      </c>
      <c r="S1234" s="71">
        <v>0.95196982011685505</v>
      </c>
      <c r="T1234" s="73">
        <v>0.9</v>
      </c>
      <c r="U1234" s="71">
        <v>0.93508168529664704</v>
      </c>
      <c r="V1234" s="71">
        <v>0.89295874822190602</v>
      </c>
      <c r="W1234" s="71">
        <v>0.84300666032350102</v>
      </c>
      <c r="X1234" s="71">
        <v>0.89633332822156497</v>
      </c>
      <c r="Y1234" s="73">
        <v>0.92</v>
      </c>
      <c r="Z1234" s="73">
        <v>0.93062076160667695</v>
      </c>
      <c r="AA1234" s="73">
        <v>0.94946236559139796</v>
      </c>
      <c r="AB1234" s="73">
        <v>0.87701040681173104</v>
      </c>
      <c r="AC1234" s="73">
        <v>0.94217435207000999</v>
      </c>
      <c r="AD1234" s="73">
        <v>0.92</v>
      </c>
      <c r="AE1234" s="71">
        <v>0.99852175137265897</v>
      </c>
      <c r="AF1234" s="71">
        <v>0.99898515793479603</v>
      </c>
      <c r="AG1234" s="71">
        <v>0.99904092071611295</v>
      </c>
      <c r="AH1234" s="71">
        <v>0.97164414227675999</v>
      </c>
      <c r="AI1234" s="73">
        <v>0.92</v>
      </c>
      <c r="AJ1234" s="71">
        <v>0.96376370280146195</v>
      </c>
      <c r="AK1234" s="71">
        <v>0.97299771167048099</v>
      </c>
      <c r="AL1234" s="71">
        <v>0.93942686404997999</v>
      </c>
      <c r="AM1234" s="71">
        <v>0.970136763879348</v>
      </c>
      <c r="AN1234" s="70">
        <v>0.99</v>
      </c>
      <c r="AO1234" s="75">
        <v>1</v>
      </c>
      <c r="AP1234" s="75">
        <v>1</v>
      </c>
      <c r="AQ1234" s="75">
        <v>1</v>
      </c>
      <c r="AR1234" s="75">
        <v>1</v>
      </c>
      <c r="AS1234" s="95">
        <v>7.2186152540827803E-2</v>
      </c>
      <c r="AT1234" s="79">
        <v>9.0909090909090898E-2</v>
      </c>
      <c r="AU1234" s="79">
        <v>0.108108108108108</v>
      </c>
      <c r="AV1234" s="79">
        <v>3.5714285714285698E-2</v>
      </c>
      <c r="AW1234" s="79">
        <v>1.05263157894737E-2</v>
      </c>
      <c r="AX1234" s="56"/>
      <c r="AY1234" s="54"/>
    </row>
    <row r="1235" spans="1:51">
      <c r="A1235" s="53"/>
      <c r="B1235" s="56"/>
      <c r="C1235" s="90" t="s">
        <v>1079</v>
      </c>
      <c r="D1235" s="230" t="s">
        <v>1757</v>
      </c>
      <c r="E1235" s="68" t="s">
        <v>1080</v>
      </c>
      <c r="F1235" s="128" t="s">
        <v>1259</v>
      </c>
      <c r="G1235" s="128" t="s">
        <v>1259</v>
      </c>
      <c r="H1235" s="128" t="s">
        <v>1259</v>
      </c>
      <c r="I1235" s="128" t="s">
        <v>1259</v>
      </c>
      <c r="J1235" s="70">
        <v>0.9</v>
      </c>
      <c r="K1235" s="71">
        <v>1</v>
      </c>
      <c r="L1235" s="71">
        <v>0.97297297297297303</v>
      </c>
      <c r="M1235" s="72">
        <v>0.94594594594594605</v>
      </c>
      <c r="N1235" s="71">
        <v>0.94827586206896597</v>
      </c>
      <c r="O1235" s="73">
        <v>0.9</v>
      </c>
      <c r="P1235" s="71">
        <v>0.97784200385356501</v>
      </c>
      <c r="Q1235" s="71">
        <v>0.97289156626506001</v>
      </c>
      <c r="R1235" s="71">
        <v>0.95300751879699297</v>
      </c>
      <c r="S1235" s="71">
        <v>0.95441906889422301</v>
      </c>
      <c r="T1235" s="73">
        <v>0.9</v>
      </c>
      <c r="U1235" s="71">
        <v>0.92549775208734697</v>
      </c>
      <c r="V1235" s="71">
        <v>0.91290160642570295</v>
      </c>
      <c r="W1235" s="71">
        <v>0.88792293233082698</v>
      </c>
      <c r="X1235" s="71">
        <v>0.90705577604030496</v>
      </c>
      <c r="Y1235" s="73">
        <v>0.92</v>
      </c>
      <c r="Z1235" s="73">
        <v>0.94154676258992798</v>
      </c>
      <c r="AA1235" s="73">
        <v>0.95093062605752998</v>
      </c>
      <c r="AB1235" s="73">
        <v>0.93217391304347796</v>
      </c>
      <c r="AC1235" s="73">
        <v>0.93624009060022695</v>
      </c>
      <c r="AD1235" s="73">
        <v>0.92</v>
      </c>
      <c r="AE1235" s="71">
        <v>0.99619722003671696</v>
      </c>
      <c r="AF1235" s="71">
        <v>0.93441993429193204</v>
      </c>
      <c r="AG1235" s="71">
        <v>0.997937804173884</v>
      </c>
      <c r="AH1235" s="71">
        <v>0.937580595003628</v>
      </c>
      <c r="AI1235" s="73">
        <v>0.92</v>
      </c>
      <c r="AJ1235" s="71">
        <v>0.965925224798864</v>
      </c>
      <c r="AK1235" s="71">
        <v>0.96765027322404396</v>
      </c>
      <c r="AL1235" s="71">
        <v>0.95280480231836095</v>
      </c>
      <c r="AM1235" s="71">
        <v>0.96552740129640502</v>
      </c>
      <c r="AN1235" s="70">
        <v>0.99</v>
      </c>
      <c r="AO1235" s="75">
        <v>1</v>
      </c>
      <c r="AP1235" s="75">
        <v>1</v>
      </c>
      <c r="AQ1235" s="75">
        <v>1</v>
      </c>
      <c r="AR1235" s="75">
        <v>1</v>
      </c>
      <c r="AS1235" s="95">
        <v>7.2186152540827803E-2</v>
      </c>
      <c r="AT1235" s="79">
        <v>8.3333333333333301E-2</v>
      </c>
      <c r="AU1235" s="79">
        <v>3.3333333333333298E-2</v>
      </c>
      <c r="AV1235" s="79">
        <v>0</v>
      </c>
      <c r="AW1235" s="79">
        <v>4.1811846689895502E-2</v>
      </c>
      <c r="AX1235" s="56"/>
      <c r="AY1235" s="54"/>
    </row>
    <row r="1236" spans="1:51">
      <c r="A1236" s="53"/>
      <c r="B1236" s="56"/>
      <c r="C1236" s="90" t="s">
        <v>1079</v>
      </c>
      <c r="D1236" s="230" t="s">
        <v>1759</v>
      </c>
      <c r="E1236" s="68" t="s">
        <v>1080</v>
      </c>
      <c r="F1236" s="128" t="s">
        <v>1260</v>
      </c>
      <c r="G1236" s="128" t="s">
        <v>1260</v>
      </c>
      <c r="H1236" s="128" t="s">
        <v>1260</v>
      </c>
      <c r="I1236" s="128" t="s">
        <v>1260</v>
      </c>
      <c r="J1236" s="70">
        <v>0.9</v>
      </c>
      <c r="K1236" s="71" t="s">
        <v>1710</v>
      </c>
      <c r="L1236" s="71" t="s">
        <v>1710</v>
      </c>
      <c r="M1236" s="72" t="s">
        <v>1710</v>
      </c>
      <c r="N1236" s="71" t="s">
        <v>1710</v>
      </c>
      <c r="O1236" s="73">
        <v>0.9</v>
      </c>
      <c r="P1236" s="71">
        <v>0</v>
      </c>
      <c r="Q1236" s="71">
        <v>0.33333333333333298</v>
      </c>
      <c r="R1236" s="71">
        <v>0.25</v>
      </c>
      <c r="S1236" s="71">
        <v>0.30232558139534899</v>
      </c>
      <c r="T1236" s="73">
        <v>0.9</v>
      </c>
      <c r="U1236" s="71">
        <v>0.2</v>
      </c>
      <c r="V1236" s="71">
        <v>0.5</v>
      </c>
      <c r="W1236" s="71">
        <v>0.5</v>
      </c>
      <c r="X1236" s="71">
        <v>0.72093023255813904</v>
      </c>
      <c r="Y1236" s="73">
        <v>0.92</v>
      </c>
      <c r="Z1236" s="73" t="s">
        <v>1710</v>
      </c>
      <c r="AA1236" s="73" t="s">
        <v>1710</v>
      </c>
      <c r="AB1236" s="73" t="s">
        <v>1710</v>
      </c>
      <c r="AC1236" s="73">
        <v>1</v>
      </c>
      <c r="AD1236" s="73">
        <v>0.92</v>
      </c>
      <c r="AE1236" s="71">
        <v>0.75859577682177903</v>
      </c>
      <c r="AF1236" s="71">
        <v>0.99011333494092102</v>
      </c>
      <c r="AG1236" s="71">
        <v>0.99882684185828297</v>
      </c>
      <c r="AH1236" s="71">
        <v>0.95520559280319095</v>
      </c>
      <c r="AI1236" s="73">
        <v>0.92</v>
      </c>
      <c r="AJ1236" s="71">
        <v>0.2</v>
      </c>
      <c r="AK1236" s="71">
        <v>0.5</v>
      </c>
      <c r="AL1236" s="71">
        <v>0.5</v>
      </c>
      <c r="AM1236" s="71">
        <v>0.75</v>
      </c>
      <c r="AN1236" s="70">
        <v>0.99</v>
      </c>
      <c r="AO1236" s="75">
        <v>1</v>
      </c>
      <c r="AP1236" s="75">
        <v>1</v>
      </c>
      <c r="AQ1236" s="75">
        <v>1</v>
      </c>
      <c r="AR1236" s="75">
        <v>1</v>
      </c>
      <c r="AS1236" s="95">
        <v>7.2186152540827803E-2</v>
      </c>
      <c r="AT1236" s="79" t="s">
        <v>1710</v>
      </c>
      <c r="AU1236" s="79" t="s">
        <v>1710</v>
      </c>
      <c r="AV1236" s="79" t="s">
        <v>1710</v>
      </c>
      <c r="AW1236" s="79" t="s">
        <v>1710</v>
      </c>
      <c r="AX1236" s="56"/>
      <c r="AY1236" s="54"/>
    </row>
    <row r="1237" spans="1:51">
      <c r="A1237" s="53"/>
      <c r="B1237" s="56"/>
      <c r="C1237" s="90" t="s">
        <v>1079</v>
      </c>
      <c r="D1237" s="230" t="s">
        <v>1757</v>
      </c>
      <c r="E1237" s="68" t="s">
        <v>1080</v>
      </c>
      <c r="F1237" s="128" t="s">
        <v>1261</v>
      </c>
      <c r="G1237" s="128" t="s">
        <v>1261</v>
      </c>
      <c r="H1237" s="128" t="s">
        <v>1261</v>
      </c>
      <c r="I1237" s="128" t="s">
        <v>1261</v>
      </c>
      <c r="J1237" s="70">
        <v>0.9</v>
      </c>
      <c r="K1237" s="71">
        <v>0.96</v>
      </c>
      <c r="L1237" s="71">
        <v>0.96226415094339601</v>
      </c>
      <c r="M1237" s="72">
        <v>0.95454545454545503</v>
      </c>
      <c r="N1237" s="71">
        <v>0.96314907872696798</v>
      </c>
      <c r="O1237" s="73">
        <v>0.9</v>
      </c>
      <c r="P1237" s="71">
        <v>0.96996272747204604</v>
      </c>
      <c r="Q1237" s="71">
        <v>0.90254559270516699</v>
      </c>
      <c r="R1237" s="71">
        <v>0.69240217582031904</v>
      </c>
      <c r="S1237" s="71">
        <v>0.84404486685503899</v>
      </c>
      <c r="T1237" s="73">
        <v>0.9</v>
      </c>
      <c r="U1237" s="71">
        <v>0.84849813637360205</v>
      </c>
      <c r="V1237" s="71">
        <v>0.79616261398176302</v>
      </c>
      <c r="W1237" s="71">
        <v>0.74451658185646596</v>
      </c>
      <c r="X1237" s="71">
        <v>0.81895710249165199</v>
      </c>
      <c r="Y1237" s="73">
        <v>0.92</v>
      </c>
      <c r="Z1237" s="73">
        <v>0.934652278177458</v>
      </c>
      <c r="AA1237" s="73">
        <v>0.92070484581497802</v>
      </c>
      <c r="AB1237" s="73">
        <v>0.87731481481481499</v>
      </c>
      <c r="AC1237" s="73">
        <v>0.93425362657931699</v>
      </c>
      <c r="AD1237" s="73">
        <v>0.92</v>
      </c>
      <c r="AE1237" s="71">
        <v>0.96228024140645496</v>
      </c>
      <c r="AF1237" s="71">
        <v>0.96806853582554497</v>
      </c>
      <c r="AG1237" s="71">
        <v>0.99433710859427005</v>
      </c>
      <c r="AH1237" s="71">
        <v>0.95732260802184399</v>
      </c>
      <c r="AI1237" s="73">
        <v>0.92</v>
      </c>
      <c r="AJ1237" s="71">
        <v>0.95360410980895804</v>
      </c>
      <c r="AK1237" s="71">
        <v>0.95252754374594995</v>
      </c>
      <c r="AL1237" s="71">
        <v>0.91680633856468097</v>
      </c>
      <c r="AM1237" s="71">
        <v>0.96081212002077998</v>
      </c>
      <c r="AN1237" s="70">
        <v>0.99</v>
      </c>
      <c r="AO1237" s="75">
        <v>1</v>
      </c>
      <c r="AP1237" s="75">
        <v>1</v>
      </c>
      <c r="AQ1237" s="75">
        <v>1</v>
      </c>
      <c r="AR1237" s="75">
        <v>1</v>
      </c>
      <c r="AS1237" s="95">
        <v>7.2186152540827803E-2</v>
      </c>
      <c r="AT1237" s="79">
        <v>2.5641025641025599E-2</v>
      </c>
      <c r="AU1237" s="79">
        <v>0.06</v>
      </c>
      <c r="AV1237" s="79">
        <v>2.27272727272727E-2</v>
      </c>
      <c r="AW1237" s="79">
        <v>8.1466395112016303E-3</v>
      </c>
      <c r="AX1237" s="56"/>
      <c r="AY1237" s="54"/>
    </row>
    <row r="1238" spans="1:51">
      <c r="A1238" s="53"/>
      <c r="B1238" s="56"/>
      <c r="C1238" s="90" t="s">
        <v>1079</v>
      </c>
      <c r="D1238" s="230" t="s">
        <v>1759</v>
      </c>
      <c r="E1238" s="68" t="s">
        <v>1080</v>
      </c>
      <c r="F1238" s="128" t="s">
        <v>1262</v>
      </c>
      <c r="G1238" s="128" t="s">
        <v>1262</v>
      </c>
      <c r="H1238" s="128" t="s">
        <v>1262</v>
      </c>
      <c r="I1238" s="128" t="s">
        <v>1262</v>
      </c>
      <c r="J1238" s="70">
        <v>0.9</v>
      </c>
      <c r="K1238" s="71" t="s">
        <v>1710</v>
      </c>
      <c r="L1238" s="71" t="s">
        <v>1710</v>
      </c>
      <c r="M1238" s="72" t="s">
        <v>1710</v>
      </c>
      <c r="N1238" s="71" t="s">
        <v>1710</v>
      </c>
      <c r="O1238" s="73">
        <v>0.9</v>
      </c>
      <c r="P1238" s="71" t="s">
        <v>1710</v>
      </c>
      <c r="Q1238" s="71">
        <v>0</v>
      </c>
      <c r="R1238" s="71" t="s">
        <v>1710</v>
      </c>
      <c r="S1238" s="71">
        <v>0</v>
      </c>
      <c r="T1238" s="73">
        <v>0.9</v>
      </c>
      <c r="U1238" s="71" t="s">
        <v>1710</v>
      </c>
      <c r="V1238" s="71">
        <v>1</v>
      </c>
      <c r="W1238" s="71" t="s">
        <v>1710</v>
      </c>
      <c r="X1238" s="71">
        <v>1</v>
      </c>
      <c r="Y1238" s="73">
        <v>0.92</v>
      </c>
      <c r="Z1238" s="73" t="s">
        <v>1710</v>
      </c>
      <c r="AA1238" s="73" t="s">
        <v>1710</v>
      </c>
      <c r="AB1238" s="73" t="s">
        <v>1710</v>
      </c>
      <c r="AC1238" s="73" t="s">
        <v>1710</v>
      </c>
      <c r="AD1238" s="73">
        <v>0.92</v>
      </c>
      <c r="AE1238" s="71">
        <v>0.998784933171324</v>
      </c>
      <c r="AF1238" s="71">
        <v>0.43604651162790697</v>
      </c>
      <c r="AG1238" s="71">
        <v>0.58366800535475205</v>
      </c>
      <c r="AH1238" s="71">
        <v>0.87370858567866005</v>
      </c>
      <c r="AI1238" s="73">
        <v>0.92</v>
      </c>
      <c r="AJ1238" s="71" t="s">
        <v>1710</v>
      </c>
      <c r="AK1238" s="71">
        <v>1</v>
      </c>
      <c r="AL1238" s="71" t="s">
        <v>1710</v>
      </c>
      <c r="AM1238" s="71">
        <v>1</v>
      </c>
      <c r="AN1238" s="70">
        <v>0.99</v>
      </c>
      <c r="AO1238" s="75">
        <v>1</v>
      </c>
      <c r="AP1238" s="75">
        <v>1</v>
      </c>
      <c r="AQ1238" s="75" t="s">
        <v>1710</v>
      </c>
      <c r="AR1238" s="75">
        <v>1</v>
      </c>
      <c r="AS1238" s="95">
        <v>7.2186152540827803E-2</v>
      </c>
      <c r="AT1238" s="79" t="s">
        <v>1710</v>
      </c>
      <c r="AU1238" s="79" t="s">
        <v>1710</v>
      </c>
      <c r="AV1238" s="79" t="s">
        <v>1710</v>
      </c>
      <c r="AW1238" s="79" t="s">
        <v>1710</v>
      </c>
      <c r="AX1238" s="56"/>
      <c r="AY1238" s="54"/>
    </row>
    <row r="1239" spans="1:51">
      <c r="A1239" s="53"/>
      <c r="B1239" s="56"/>
      <c r="C1239" s="90" t="s">
        <v>1079</v>
      </c>
      <c r="D1239" s="230" t="s">
        <v>1759</v>
      </c>
      <c r="E1239" s="68" t="s">
        <v>1080</v>
      </c>
      <c r="F1239" s="128" t="s">
        <v>1263</v>
      </c>
      <c r="G1239" s="128" t="s">
        <v>1263</v>
      </c>
      <c r="H1239" s="128" t="s">
        <v>1263</v>
      </c>
      <c r="I1239" s="128" t="s">
        <v>1263</v>
      </c>
      <c r="J1239" s="70">
        <v>0.9</v>
      </c>
      <c r="K1239" s="71" t="s">
        <v>1710</v>
      </c>
      <c r="L1239" s="71" t="s">
        <v>1710</v>
      </c>
      <c r="M1239" s="72" t="s">
        <v>1710</v>
      </c>
      <c r="N1239" s="71" t="s">
        <v>1710</v>
      </c>
      <c r="O1239" s="73">
        <v>0.9</v>
      </c>
      <c r="P1239" s="71">
        <v>0</v>
      </c>
      <c r="Q1239" s="71">
        <v>0</v>
      </c>
      <c r="R1239" s="71">
        <v>0</v>
      </c>
      <c r="S1239" s="71">
        <v>0</v>
      </c>
      <c r="T1239" s="73">
        <v>0.9</v>
      </c>
      <c r="U1239" s="71">
        <v>1</v>
      </c>
      <c r="V1239" s="71">
        <v>1</v>
      </c>
      <c r="W1239" s="71">
        <v>1</v>
      </c>
      <c r="X1239" s="71">
        <v>1</v>
      </c>
      <c r="Y1239" s="73">
        <v>0.92</v>
      </c>
      <c r="Z1239" s="73">
        <v>0.5</v>
      </c>
      <c r="AA1239" s="73" t="s">
        <v>1710</v>
      </c>
      <c r="AB1239" s="73" t="s">
        <v>1710</v>
      </c>
      <c r="AC1239" s="73">
        <v>0.8</v>
      </c>
      <c r="AD1239" s="73">
        <v>0.92</v>
      </c>
      <c r="AE1239" s="71">
        <v>0.99884476534295996</v>
      </c>
      <c r="AF1239" s="71">
        <v>0.96487410631022696</v>
      </c>
      <c r="AG1239" s="71">
        <v>0.99924585218702899</v>
      </c>
      <c r="AH1239" s="71">
        <v>0.95378693945030002</v>
      </c>
      <c r="AI1239" s="73">
        <v>0.92</v>
      </c>
      <c r="AJ1239" s="71">
        <v>0.66666666666666696</v>
      </c>
      <c r="AK1239" s="71">
        <v>1</v>
      </c>
      <c r="AL1239" s="71">
        <v>1</v>
      </c>
      <c r="AM1239" s="71">
        <v>0.94736842105263197</v>
      </c>
      <c r="AN1239" s="70">
        <v>0.99</v>
      </c>
      <c r="AO1239" s="75">
        <v>1</v>
      </c>
      <c r="AP1239" s="75">
        <v>1</v>
      </c>
      <c r="AQ1239" s="75">
        <v>1</v>
      </c>
      <c r="AR1239" s="75">
        <v>1</v>
      </c>
      <c r="AS1239" s="95">
        <v>7.2186152540827803E-2</v>
      </c>
      <c r="AT1239" s="79" t="s">
        <v>1710</v>
      </c>
      <c r="AU1239" s="79" t="s">
        <v>1710</v>
      </c>
      <c r="AV1239" s="79" t="s">
        <v>1710</v>
      </c>
      <c r="AW1239" s="79" t="s">
        <v>1710</v>
      </c>
      <c r="AX1239" s="56"/>
      <c r="AY1239" s="54"/>
    </row>
    <row r="1240" spans="1:51">
      <c r="A1240" s="53"/>
      <c r="B1240" s="56"/>
      <c r="C1240" s="90" t="s">
        <v>1079</v>
      </c>
      <c r="D1240" s="230" t="s">
        <v>1758</v>
      </c>
      <c r="E1240" s="68" t="s">
        <v>1080</v>
      </c>
      <c r="F1240" s="128" t="s">
        <v>1264</v>
      </c>
      <c r="G1240" s="128" t="s">
        <v>1264</v>
      </c>
      <c r="H1240" s="128" t="s">
        <v>1264</v>
      </c>
      <c r="I1240" s="128" t="s">
        <v>1264</v>
      </c>
      <c r="J1240" s="70">
        <v>0.9</v>
      </c>
      <c r="K1240" s="71" t="s">
        <v>1710</v>
      </c>
      <c r="L1240" s="71" t="s">
        <v>1710</v>
      </c>
      <c r="M1240" s="72" t="s">
        <v>1710</v>
      </c>
      <c r="N1240" s="71" t="s">
        <v>1710</v>
      </c>
      <c r="O1240" s="73">
        <v>0.9</v>
      </c>
      <c r="P1240" s="71" t="s">
        <v>1710</v>
      </c>
      <c r="Q1240" s="71">
        <v>0</v>
      </c>
      <c r="R1240" s="71">
        <v>0</v>
      </c>
      <c r="S1240" s="71">
        <v>0</v>
      </c>
      <c r="T1240" s="73">
        <v>0.9</v>
      </c>
      <c r="U1240" s="71" t="s">
        <v>1710</v>
      </c>
      <c r="V1240" s="71">
        <v>1</v>
      </c>
      <c r="W1240" s="71">
        <v>1</v>
      </c>
      <c r="X1240" s="71">
        <v>1</v>
      </c>
      <c r="Y1240" s="73">
        <v>0.92</v>
      </c>
      <c r="Z1240" s="73" t="s">
        <v>1710</v>
      </c>
      <c r="AA1240" s="73" t="s">
        <v>1710</v>
      </c>
      <c r="AB1240" s="73">
        <v>1</v>
      </c>
      <c r="AC1240" s="73">
        <v>1</v>
      </c>
      <c r="AD1240" s="73">
        <v>0.92</v>
      </c>
      <c r="AE1240" s="71">
        <v>0.30802891933028897</v>
      </c>
      <c r="AF1240" s="71">
        <v>0.91558038485412796</v>
      </c>
      <c r="AG1240" s="71">
        <v>0.99919376511690405</v>
      </c>
      <c r="AH1240" s="71">
        <v>0.90856873419349304</v>
      </c>
      <c r="AI1240" s="73">
        <v>0.92</v>
      </c>
      <c r="AJ1240" s="71" t="s">
        <v>1710</v>
      </c>
      <c r="AK1240" s="71">
        <v>1</v>
      </c>
      <c r="AL1240" s="71">
        <v>1</v>
      </c>
      <c r="AM1240" s="71">
        <v>1</v>
      </c>
      <c r="AN1240" s="70">
        <v>0.99</v>
      </c>
      <c r="AO1240" s="75">
        <v>1</v>
      </c>
      <c r="AP1240" s="75">
        <v>1</v>
      </c>
      <c r="AQ1240" s="75">
        <v>1</v>
      </c>
      <c r="AR1240" s="75">
        <v>1</v>
      </c>
      <c r="AS1240" s="95">
        <v>7.2186152540827803E-2</v>
      </c>
      <c r="AT1240" s="79" t="s">
        <v>1710</v>
      </c>
      <c r="AU1240" s="79" t="s">
        <v>1710</v>
      </c>
      <c r="AV1240" s="79" t="s">
        <v>1710</v>
      </c>
      <c r="AW1240" s="79" t="s">
        <v>1710</v>
      </c>
      <c r="AX1240" s="56"/>
      <c r="AY1240" s="54"/>
    </row>
    <row r="1241" spans="1:51">
      <c r="A1241" s="53"/>
      <c r="B1241" s="56"/>
      <c r="C1241" s="90" t="s">
        <v>1079</v>
      </c>
      <c r="D1241" s="230" t="s">
        <v>1757</v>
      </c>
      <c r="E1241" s="68" t="s">
        <v>1080</v>
      </c>
      <c r="F1241" s="128" t="s">
        <v>1265</v>
      </c>
      <c r="G1241" s="128" t="s">
        <v>1265</v>
      </c>
      <c r="H1241" s="128" t="s">
        <v>1265</v>
      </c>
      <c r="I1241" s="128" t="s">
        <v>1265</v>
      </c>
      <c r="J1241" s="70">
        <v>0.9</v>
      </c>
      <c r="K1241" s="71">
        <v>0.95522388059701502</v>
      </c>
      <c r="L1241" s="71">
        <v>0.931506849315068</v>
      </c>
      <c r="M1241" s="72">
        <v>0.95522388059701502</v>
      </c>
      <c r="N1241" s="71">
        <v>0.96393034825870605</v>
      </c>
      <c r="O1241" s="73">
        <v>0.9</v>
      </c>
      <c r="P1241" s="71">
        <v>0.95898653998416505</v>
      </c>
      <c r="Q1241" s="71">
        <v>0.93897849462365601</v>
      </c>
      <c r="R1241" s="71">
        <v>0.92012658227848099</v>
      </c>
      <c r="S1241" s="71">
        <v>0.93722539873608202</v>
      </c>
      <c r="T1241" s="73">
        <v>0.9</v>
      </c>
      <c r="U1241" s="71">
        <v>0.894220110847189</v>
      </c>
      <c r="V1241" s="71">
        <v>0.88131720430107496</v>
      </c>
      <c r="W1241" s="71">
        <v>0.83746835443038004</v>
      </c>
      <c r="X1241" s="71">
        <v>0.889750225699669</v>
      </c>
      <c r="Y1241" s="73">
        <v>0.92</v>
      </c>
      <c r="Z1241" s="73">
        <v>0.91048487360132602</v>
      </c>
      <c r="AA1241" s="73">
        <v>0.90176322418136001</v>
      </c>
      <c r="AB1241" s="73">
        <v>0.87539682539682495</v>
      </c>
      <c r="AC1241" s="73">
        <v>0.91283494943175902</v>
      </c>
      <c r="AD1241" s="73">
        <v>0.92</v>
      </c>
      <c r="AE1241" s="71">
        <v>0.99783224945806204</v>
      </c>
      <c r="AF1241" s="71">
        <v>0.98990435706695001</v>
      </c>
      <c r="AG1241" s="71">
        <v>0.84063373718546097</v>
      </c>
      <c r="AH1241" s="71">
        <v>0.99174339550878798</v>
      </c>
      <c r="AI1241" s="73">
        <v>0.92</v>
      </c>
      <c r="AJ1241" s="71">
        <v>0.94981668194317104</v>
      </c>
      <c r="AK1241" s="71">
        <v>0.96281709718521902</v>
      </c>
      <c r="AL1241" s="71">
        <v>0.93243833224186901</v>
      </c>
      <c r="AM1241" s="71">
        <v>0.95874484188293296</v>
      </c>
      <c r="AN1241" s="70">
        <v>0.99</v>
      </c>
      <c r="AO1241" s="75">
        <v>1</v>
      </c>
      <c r="AP1241" s="75">
        <v>1</v>
      </c>
      <c r="AQ1241" s="75">
        <v>1</v>
      </c>
      <c r="AR1241" s="75">
        <v>1</v>
      </c>
      <c r="AS1241" s="95">
        <v>7.2186152540827803E-2</v>
      </c>
      <c r="AT1241" s="79">
        <v>7.3529411764705899E-2</v>
      </c>
      <c r="AU1241" s="79">
        <v>5.8823529411764698E-2</v>
      </c>
      <c r="AV1241" s="79">
        <v>8.0645161290322606E-2</v>
      </c>
      <c r="AW1241" s="79">
        <v>4.6386192017259999E-2</v>
      </c>
      <c r="AX1241" s="56"/>
      <c r="AY1241" s="54"/>
    </row>
    <row r="1242" spans="1:51">
      <c r="A1242" s="53"/>
      <c r="B1242" s="56"/>
      <c r="C1242" s="90" t="s">
        <v>1079</v>
      </c>
      <c r="D1242" s="230" t="s">
        <v>1757</v>
      </c>
      <c r="E1242" s="68" t="s">
        <v>1080</v>
      </c>
      <c r="F1242" s="131" t="s">
        <v>1266</v>
      </c>
      <c r="G1242" s="131" t="s">
        <v>1266</v>
      </c>
      <c r="H1242" s="131" t="s">
        <v>1266</v>
      </c>
      <c r="I1242" s="131" t="s">
        <v>1266</v>
      </c>
      <c r="J1242" s="70">
        <v>0.9</v>
      </c>
      <c r="K1242" s="71" t="s">
        <v>1710</v>
      </c>
      <c r="L1242" s="71" t="s">
        <v>1710</v>
      </c>
      <c r="M1242" s="72" t="s">
        <v>1710</v>
      </c>
      <c r="N1242" s="71" t="s">
        <v>1710</v>
      </c>
      <c r="O1242" s="73">
        <v>0.9</v>
      </c>
      <c r="P1242" s="71">
        <v>0</v>
      </c>
      <c r="Q1242" s="71">
        <v>0</v>
      </c>
      <c r="R1242" s="71">
        <v>0</v>
      </c>
      <c r="S1242" s="71">
        <v>0</v>
      </c>
      <c r="T1242" s="73">
        <v>0.9</v>
      </c>
      <c r="U1242" s="71">
        <v>1</v>
      </c>
      <c r="V1242" s="71">
        <v>0.98113207547169801</v>
      </c>
      <c r="W1242" s="71">
        <v>1</v>
      </c>
      <c r="X1242" s="71">
        <v>0.99038461538461497</v>
      </c>
      <c r="Y1242" s="73">
        <v>0.92</v>
      </c>
      <c r="Z1242" s="73">
        <v>1</v>
      </c>
      <c r="AA1242" s="73">
        <v>0.92857142857142905</v>
      </c>
      <c r="AB1242" s="73">
        <v>1</v>
      </c>
      <c r="AC1242" s="73">
        <v>0.97979797979798</v>
      </c>
      <c r="AD1242" s="73">
        <v>0.92</v>
      </c>
      <c r="AE1242" s="71">
        <v>0.91118679591302099</v>
      </c>
      <c r="AF1242" s="71">
        <v>0.98392987582176805</v>
      </c>
      <c r="AG1242" s="71">
        <v>1</v>
      </c>
      <c r="AH1242" s="71">
        <v>0.97176415681393902</v>
      </c>
      <c r="AI1242" s="73">
        <v>0.92</v>
      </c>
      <c r="AJ1242" s="71">
        <v>1</v>
      </c>
      <c r="AK1242" s="71">
        <v>0.97014925373134298</v>
      </c>
      <c r="AL1242" s="71">
        <v>1</v>
      </c>
      <c r="AM1242" s="71">
        <v>0.98869143780290802</v>
      </c>
      <c r="AN1242" s="70">
        <v>0.99</v>
      </c>
      <c r="AO1242" s="75">
        <v>1</v>
      </c>
      <c r="AP1242" s="75">
        <v>0.95283018867924496</v>
      </c>
      <c r="AQ1242" s="75">
        <v>1</v>
      </c>
      <c r="AR1242" s="75">
        <v>0.983108108108108</v>
      </c>
      <c r="AS1242" s="95">
        <v>7.2186152540827803E-2</v>
      </c>
      <c r="AT1242" s="79" t="s">
        <v>1710</v>
      </c>
      <c r="AU1242" s="79" t="s">
        <v>1710</v>
      </c>
      <c r="AV1242" s="79" t="s">
        <v>1710</v>
      </c>
      <c r="AW1242" s="79" t="s">
        <v>1710</v>
      </c>
      <c r="AX1242" s="56"/>
      <c r="AY1242" s="54"/>
    </row>
    <row r="1243" spans="1:51">
      <c r="A1243" s="53"/>
      <c r="B1243" s="56"/>
      <c r="C1243" s="90" t="s">
        <v>1079</v>
      </c>
      <c r="D1243" s="230" t="s">
        <v>1757</v>
      </c>
      <c r="E1243" s="68" t="s">
        <v>1080</v>
      </c>
      <c r="F1243" s="128" t="s">
        <v>1267</v>
      </c>
      <c r="G1243" s="128" t="s">
        <v>1267</v>
      </c>
      <c r="H1243" s="128" t="s">
        <v>1267</v>
      </c>
      <c r="I1243" s="128" t="s">
        <v>1267</v>
      </c>
      <c r="J1243" s="70">
        <v>0.9</v>
      </c>
      <c r="K1243" s="71">
        <v>0.97674418604651203</v>
      </c>
      <c r="L1243" s="71">
        <v>1</v>
      </c>
      <c r="M1243" s="72">
        <v>1</v>
      </c>
      <c r="N1243" s="71">
        <v>0.98809523809523803</v>
      </c>
      <c r="O1243" s="73">
        <v>0.9</v>
      </c>
      <c r="P1243" s="71">
        <v>0.95429674927582897</v>
      </c>
      <c r="Q1243" s="71">
        <v>0.98588107521042601</v>
      </c>
      <c r="R1243" s="71">
        <v>0.92269817823732103</v>
      </c>
      <c r="S1243" s="71">
        <v>0.97383121880974299</v>
      </c>
      <c r="T1243" s="73">
        <v>0.9</v>
      </c>
      <c r="U1243" s="71">
        <v>0.87576440296105595</v>
      </c>
      <c r="V1243" s="71">
        <v>0.88976377952755903</v>
      </c>
      <c r="W1243" s="71">
        <v>0.76243229935992096</v>
      </c>
      <c r="X1243" s="71">
        <v>0.87697693472701499</v>
      </c>
      <c r="Y1243" s="73">
        <v>0.92</v>
      </c>
      <c r="Z1243" s="73">
        <v>0.90676567656765705</v>
      </c>
      <c r="AA1243" s="73">
        <v>0.91970802919707995</v>
      </c>
      <c r="AB1243" s="73">
        <v>0.78397212543553996</v>
      </c>
      <c r="AC1243" s="73">
        <v>0.90487697715290005</v>
      </c>
      <c r="AD1243" s="73">
        <v>0.92</v>
      </c>
      <c r="AE1243" s="71">
        <v>0.98213724133593305</v>
      </c>
      <c r="AF1243" s="71">
        <v>0.99218946837994504</v>
      </c>
      <c r="AG1243" s="71">
        <v>0.99895844182897597</v>
      </c>
      <c r="AH1243" s="71">
        <v>0.93900866581686104</v>
      </c>
      <c r="AI1243" s="73">
        <v>0.92</v>
      </c>
      <c r="AJ1243" s="71">
        <v>0.94837962962962996</v>
      </c>
      <c r="AK1243" s="71">
        <v>0.96246280613412705</v>
      </c>
      <c r="AL1243" s="71">
        <v>0.86367558239861997</v>
      </c>
      <c r="AM1243" s="71">
        <v>0.94856842020005705</v>
      </c>
      <c r="AN1243" s="70">
        <v>0.99</v>
      </c>
      <c r="AO1243" s="75">
        <v>1</v>
      </c>
      <c r="AP1243" s="75">
        <v>1</v>
      </c>
      <c r="AQ1243" s="75">
        <v>1</v>
      </c>
      <c r="AR1243" s="75">
        <v>1</v>
      </c>
      <c r="AS1243" s="95">
        <v>7.2186152540827803E-2</v>
      </c>
      <c r="AT1243" s="79">
        <v>0.15384615384615399</v>
      </c>
      <c r="AU1243" s="79">
        <v>0</v>
      </c>
      <c r="AV1243" s="79">
        <v>0</v>
      </c>
      <c r="AW1243" s="79">
        <v>-2.2421524663677101E-2</v>
      </c>
      <c r="AX1243" s="56"/>
      <c r="AY1243" s="54"/>
    </row>
    <row r="1244" spans="1:51">
      <c r="A1244" s="53"/>
      <c r="B1244" s="56"/>
      <c r="C1244" s="90" t="s">
        <v>1079</v>
      </c>
      <c r="D1244" s="230" t="s">
        <v>1757</v>
      </c>
      <c r="E1244" s="68" t="s">
        <v>1080</v>
      </c>
      <c r="F1244" s="128" t="s">
        <v>1268</v>
      </c>
      <c r="G1244" s="128" t="s">
        <v>1268</v>
      </c>
      <c r="H1244" s="128" t="s">
        <v>1268</v>
      </c>
      <c r="I1244" s="128" t="s">
        <v>1268</v>
      </c>
      <c r="J1244" s="70">
        <v>0.9</v>
      </c>
      <c r="K1244" s="71">
        <v>0.97959183673469397</v>
      </c>
      <c r="L1244" s="71">
        <v>0.97826086956521696</v>
      </c>
      <c r="M1244" s="72">
        <v>0.97959183673469397</v>
      </c>
      <c r="N1244" s="71">
        <v>0.963917525773196</v>
      </c>
      <c r="O1244" s="73">
        <v>0.9</v>
      </c>
      <c r="P1244" s="71">
        <v>0.94924123495552104</v>
      </c>
      <c r="Q1244" s="71">
        <v>0.94111232279171197</v>
      </c>
      <c r="R1244" s="71">
        <v>0.90428061831153395</v>
      </c>
      <c r="S1244" s="71">
        <v>0.93020319136723695</v>
      </c>
      <c r="T1244" s="73">
        <v>0.9</v>
      </c>
      <c r="U1244" s="71">
        <v>0.891156462585034</v>
      </c>
      <c r="V1244" s="71">
        <v>0.83925845147219202</v>
      </c>
      <c r="W1244" s="71">
        <v>0.842845818470075</v>
      </c>
      <c r="X1244" s="71">
        <v>0.88524088317452998</v>
      </c>
      <c r="Y1244" s="73">
        <v>0.92</v>
      </c>
      <c r="Z1244" s="73">
        <v>0.91731669266770699</v>
      </c>
      <c r="AA1244" s="73">
        <v>0.91748251748251797</v>
      </c>
      <c r="AB1244" s="73">
        <v>0.86722488038277501</v>
      </c>
      <c r="AC1244" s="73">
        <v>0.90517008030316704</v>
      </c>
      <c r="AD1244" s="73">
        <v>0.92</v>
      </c>
      <c r="AE1244" s="71">
        <v>0.99834194869794202</v>
      </c>
      <c r="AF1244" s="71">
        <v>0.95238509749303601</v>
      </c>
      <c r="AG1244" s="71">
        <v>0.99806701030927802</v>
      </c>
      <c r="AH1244" s="71">
        <v>0.98777077589602202</v>
      </c>
      <c r="AI1244" s="73">
        <v>0.92</v>
      </c>
      <c r="AJ1244" s="71">
        <v>0.9516065830721</v>
      </c>
      <c r="AK1244" s="71">
        <v>0.95115972091269096</v>
      </c>
      <c r="AL1244" s="71">
        <v>0.91345009352150996</v>
      </c>
      <c r="AM1244" s="71">
        <v>0.95339477920520199</v>
      </c>
      <c r="AN1244" s="70">
        <v>0.99</v>
      </c>
      <c r="AO1244" s="75">
        <v>1</v>
      </c>
      <c r="AP1244" s="75">
        <v>1</v>
      </c>
      <c r="AQ1244" s="75">
        <v>1</v>
      </c>
      <c r="AR1244" s="75">
        <v>1</v>
      </c>
      <c r="AS1244" s="95">
        <v>7.2186152540827803E-2</v>
      </c>
      <c r="AT1244" s="79">
        <v>2.9411764705882401E-2</v>
      </c>
      <c r="AU1244" s="79">
        <v>0.08</v>
      </c>
      <c r="AV1244" s="79">
        <v>0.15384615384615399</v>
      </c>
      <c r="AW1244" s="79">
        <v>7.3954983922829606E-2</v>
      </c>
      <c r="AX1244" s="56"/>
      <c r="AY1244" s="54"/>
    </row>
    <row r="1245" spans="1:51">
      <c r="A1245" s="53"/>
      <c r="B1245" s="56"/>
      <c r="C1245" s="90" t="s">
        <v>1079</v>
      </c>
      <c r="D1245" s="230" t="s">
        <v>1757</v>
      </c>
      <c r="E1245" s="68" t="s">
        <v>1080</v>
      </c>
      <c r="F1245" s="128" t="s">
        <v>1269</v>
      </c>
      <c r="G1245" s="128" t="s">
        <v>1269</v>
      </c>
      <c r="H1245" s="128" t="s">
        <v>1269</v>
      </c>
      <c r="I1245" s="128" t="s">
        <v>1269</v>
      </c>
      <c r="J1245" s="70">
        <v>0.9</v>
      </c>
      <c r="K1245" s="71">
        <v>1</v>
      </c>
      <c r="L1245" s="71">
        <v>1</v>
      </c>
      <c r="M1245" s="72">
        <v>0.94736842105263197</v>
      </c>
      <c r="N1245" s="71">
        <v>0.99190283400809698</v>
      </c>
      <c r="O1245" s="73">
        <v>0.9</v>
      </c>
      <c r="P1245" s="71">
        <v>0.96708391284190998</v>
      </c>
      <c r="Q1245" s="71">
        <v>0.97126227719170599</v>
      </c>
      <c r="R1245" s="71">
        <v>0.90074525745257406</v>
      </c>
      <c r="S1245" s="71">
        <v>0.93025437864887395</v>
      </c>
      <c r="T1245" s="73">
        <v>0.9</v>
      </c>
      <c r="U1245" s="71">
        <v>0.89939731108020404</v>
      </c>
      <c r="V1245" s="71">
        <v>0.88577664605311002</v>
      </c>
      <c r="W1245" s="71">
        <v>0.83163956639566405</v>
      </c>
      <c r="X1245" s="71">
        <v>0.90221017514595503</v>
      </c>
      <c r="Y1245" s="73">
        <v>0.92</v>
      </c>
      <c r="Z1245" s="73">
        <v>0.90560875512995898</v>
      </c>
      <c r="AA1245" s="73">
        <v>0.95404814004376404</v>
      </c>
      <c r="AB1245" s="73">
        <v>0.93248945147679296</v>
      </c>
      <c r="AC1245" s="73">
        <v>0.92602739726027405</v>
      </c>
      <c r="AD1245" s="73">
        <v>0.92</v>
      </c>
      <c r="AE1245" s="71">
        <v>0.98367801168505997</v>
      </c>
      <c r="AF1245" s="71">
        <v>0.84127248500999297</v>
      </c>
      <c r="AG1245" s="71">
        <v>0.98667439165700999</v>
      </c>
      <c r="AH1245" s="71">
        <v>0.94317373279321504</v>
      </c>
      <c r="AI1245" s="73">
        <v>0.92</v>
      </c>
      <c r="AJ1245" s="71">
        <v>0.95463988919667597</v>
      </c>
      <c r="AK1245" s="71">
        <v>0.97379912663755497</v>
      </c>
      <c r="AL1245" s="71">
        <v>0.94804436660828995</v>
      </c>
      <c r="AM1245" s="71">
        <v>0.96575577406814495</v>
      </c>
      <c r="AN1245" s="70">
        <v>0.99</v>
      </c>
      <c r="AO1245" s="75">
        <v>1</v>
      </c>
      <c r="AP1245" s="75">
        <v>1</v>
      </c>
      <c r="AQ1245" s="75">
        <v>1</v>
      </c>
      <c r="AR1245" s="75">
        <v>1</v>
      </c>
      <c r="AS1245" s="95">
        <v>7.2186152540827803E-2</v>
      </c>
      <c r="AT1245" s="79">
        <v>8.1081081081081099E-2</v>
      </c>
      <c r="AU1245" s="79">
        <v>2.1276595744680899E-2</v>
      </c>
      <c r="AV1245" s="79">
        <v>2.5000000000000001E-2</v>
      </c>
      <c r="AW1245" s="79">
        <v>3.5714285714285698E-2</v>
      </c>
      <c r="AX1245" s="56"/>
      <c r="AY1245" s="54"/>
    </row>
    <row r="1246" spans="1:51">
      <c r="A1246" s="53"/>
      <c r="B1246" s="56"/>
      <c r="C1246" s="90" t="s">
        <v>1079</v>
      </c>
      <c r="D1246" s="230" t="s">
        <v>1759</v>
      </c>
      <c r="E1246" s="68" t="s">
        <v>1080</v>
      </c>
      <c r="F1246" s="128" t="s">
        <v>1270</v>
      </c>
      <c r="G1246" s="128" t="s">
        <v>1270</v>
      </c>
      <c r="H1246" s="128" t="s">
        <v>1270</v>
      </c>
      <c r="I1246" s="128" t="s">
        <v>1270</v>
      </c>
      <c r="J1246" s="70">
        <v>0.9</v>
      </c>
      <c r="K1246" s="71" t="s">
        <v>1710</v>
      </c>
      <c r="L1246" s="71" t="s">
        <v>1710</v>
      </c>
      <c r="M1246" s="72" t="s">
        <v>1710</v>
      </c>
      <c r="N1246" s="71" t="s">
        <v>1710</v>
      </c>
      <c r="O1246" s="73">
        <v>0.9</v>
      </c>
      <c r="P1246" s="71">
        <v>0.57621951219512202</v>
      </c>
      <c r="Q1246" s="71">
        <v>0.59770114942528696</v>
      </c>
      <c r="R1246" s="71">
        <v>0.64931506849315102</v>
      </c>
      <c r="S1246" s="71">
        <v>0.50478316326530603</v>
      </c>
      <c r="T1246" s="73">
        <v>0.9</v>
      </c>
      <c r="U1246" s="71">
        <v>1</v>
      </c>
      <c r="V1246" s="71">
        <v>1</v>
      </c>
      <c r="W1246" s="71">
        <v>1</v>
      </c>
      <c r="X1246" s="71">
        <v>0.99170918367346905</v>
      </c>
      <c r="Y1246" s="73">
        <v>0.92</v>
      </c>
      <c r="Z1246" s="73">
        <v>0.97938144329896903</v>
      </c>
      <c r="AA1246" s="73">
        <v>0.95876288659793796</v>
      </c>
      <c r="AB1246" s="73">
        <v>1</v>
      </c>
      <c r="AC1246" s="73">
        <v>0.98384925975773896</v>
      </c>
      <c r="AD1246" s="73">
        <v>0.92</v>
      </c>
      <c r="AE1246" s="71">
        <v>0.98190090000989005</v>
      </c>
      <c r="AF1246" s="71">
        <v>0.98043175487465195</v>
      </c>
      <c r="AG1246" s="71">
        <v>0.97934973637961298</v>
      </c>
      <c r="AH1246" s="71">
        <v>0.97273569145845395</v>
      </c>
      <c r="AI1246" s="73">
        <v>0.92</v>
      </c>
      <c r="AJ1246" s="71">
        <v>0.99531615925058503</v>
      </c>
      <c r="AK1246" s="71">
        <v>0.98888888888888904</v>
      </c>
      <c r="AL1246" s="71">
        <v>1</v>
      </c>
      <c r="AM1246" s="71">
        <v>0.99027386741745604</v>
      </c>
      <c r="AN1246" s="70">
        <v>0.99</v>
      </c>
      <c r="AO1246" s="75">
        <v>1</v>
      </c>
      <c r="AP1246" s="75">
        <v>1</v>
      </c>
      <c r="AQ1246" s="75">
        <v>1</v>
      </c>
      <c r="AR1246" s="75">
        <v>1</v>
      </c>
      <c r="AS1246" s="95">
        <v>7.2186152540827803E-2</v>
      </c>
      <c r="AT1246" s="79" t="s">
        <v>1710</v>
      </c>
      <c r="AU1246" s="79">
        <v>0</v>
      </c>
      <c r="AV1246" s="79" t="s">
        <v>1710</v>
      </c>
      <c r="AW1246" s="79">
        <v>0</v>
      </c>
      <c r="AX1246" s="56"/>
      <c r="AY1246" s="54"/>
    </row>
    <row r="1247" spans="1:51">
      <c r="A1247" s="53"/>
      <c r="B1247" s="56"/>
      <c r="C1247" s="90" t="s">
        <v>1079</v>
      </c>
      <c r="D1247" s="230" t="s">
        <v>1759</v>
      </c>
      <c r="E1247" s="68" t="s">
        <v>1080</v>
      </c>
      <c r="F1247" s="128" t="s">
        <v>1271</v>
      </c>
      <c r="G1247" s="128" t="s">
        <v>1271</v>
      </c>
      <c r="H1247" s="128" t="s">
        <v>1271</v>
      </c>
      <c r="I1247" s="128" t="s">
        <v>1271</v>
      </c>
      <c r="J1247" s="70">
        <v>0.9</v>
      </c>
      <c r="K1247" s="71" t="s">
        <v>1710</v>
      </c>
      <c r="L1247" s="71" t="s">
        <v>1710</v>
      </c>
      <c r="M1247" s="72" t="s">
        <v>1710</v>
      </c>
      <c r="N1247" s="71" t="s">
        <v>1710</v>
      </c>
      <c r="O1247" s="73">
        <v>0.9</v>
      </c>
      <c r="P1247" s="71">
        <v>0</v>
      </c>
      <c r="Q1247" s="71">
        <v>0</v>
      </c>
      <c r="R1247" s="71" t="s">
        <v>1710</v>
      </c>
      <c r="S1247" s="71">
        <v>0</v>
      </c>
      <c r="T1247" s="73">
        <v>0.9</v>
      </c>
      <c r="U1247" s="71">
        <v>0.5</v>
      </c>
      <c r="V1247" s="71">
        <v>1</v>
      </c>
      <c r="W1247" s="71" t="s">
        <v>1710</v>
      </c>
      <c r="X1247" s="71">
        <v>0.88888888888888895</v>
      </c>
      <c r="Y1247" s="73">
        <v>0.92</v>
      </c>
      <c r="Z1247" s="73" t="s">
        <v>1710</v>
      </c>
      <c r="AA1247" s="73" t="s">
        <v>1710</v>
      </c>
      <c r="AB1247" s="73">
        <v>1</v>
      </c>
      <c r="AC1247" s="73">
        <v>1</v>
      </c>
      <c r="AD1247" s="73">
        <v>0.92</v>
      </c>
      <c r="AE1247" s="71">
        <v>0.99076983503534999</v>
      </c>
      <c r="AF1247" s="71">
        <v>0.98694968553459095</v>
      </c>
      <c r="AG1247" s="71">
        <v>0.87550371155885498</v>
      </c>
      <c r="AH1247" s="71">
        <v>0.97198807894501205</v>
      </c>
      <c r="AI1247" s="73">
        <v>0.92</v>
      </c>
      <c r="AJ1247" s="71">
        <v>0.5</v>
      </c>
      <c r="AK1247" s="71">
        <v>1</v>
      </c>
      <c r="AL1247" s="71">
        <v>1</v>
      </c>
      <c r="AM1247" s="71">
        <v>0.90909090909090895</v>
      </c>
      <c r="AN1247" s="70">
        <v>0.99</v>
      </c>
      <c r="AO1247" s="75">
        <v>1</v>
      </c>
      <c r="AP1247" s="75">
        <v>1</v>
      </c>
      <c r="AQ1247" s="75">
        <v>1</v>
      </c>
      <c r="AR1247" s="75">
        <v>1</v>
      </c>
      <c r="AS1247" s="95">
        <v>7.2186152540827803E-2</v>
      </c>
      <c r="AT1247" s="79" t="s">
        <v>1710</v>
      </c>
      <c r="AU1247" s="79" t="s">
        <v>1710</v>
      </c>
      <c r="AV1247" s="79" t="s">
        <v>1710</v>
      </c>
      <c r="AW1247" s="79" t="s">
        <v>1710</v>
      </c>
      <c r="AX1247" s="56"/>
      <c r="AY1247" s="54"/>
    </row>
    <row r="1248" spans="1:51">
      <c r="A1248" s="53"/>
      <c r="B1248" s="56"/>
      <c r="C1248" s="90" t="s">
        <v>1079</v>
      </c>
      <c r="D1248" s="230" t="s">
        <v>1757</v>
      </c>
      <c r="E1248" s="68" t="s">
        <v>1080</v>
      </c>
      <c r="F1248" s="128" t="s">
        <v>1272</v>
      </c>
      <c r="G1248" s="128" t="s">
        <v>1272</v>
      </c>
      <c r="H1248" s="128" t="s">
        <v>1272</v>
      </c>
      <c r="I1248" s="128" t="s">
        <v>1272</v>
      </c>
      <c r="J1248" s="70">
        <v>0.9</v>
      </c>
      <c r="K1248" s="71">
        <v>0.94444444444444398</v>
      </c>
      <c r="L1248" s="71">
        <v>0.9</v>
      </c>
      <c r="M1248" s="72">
        <v>0.875</v>
      </c>
      <c r="N1248" s="71">
        <v>0.93055555555555602</v>
      </c>
      <c r="O1248" s="73">
        <v>0.9</v>
      </c>
      <c r="P1248" s="71">
        <v>0.97582811101163802</v>
      </c>
      <c r="Q1248" s="71">
        <v>0.97145669291338599</v>
      </c>
      <c r="R1248" s="71">
        <v>0.768078512396694</v>
      </c>
      <c r="S1248" s="71">
        <v>0.92942274949195403</v>
      </c>
      <c r="T1248" s="73">
        <v>0.9</v>
      </c>
      <c r="U1248" s="71">
        <v>0.89301700984780696</v>
      </c>
      <c r="V1248" s="71">
        <v>0.88976377952755903</v>
      </c>
      <c r="W1248" s="71">
        <v>0.78133608815427003</v>
      </c>
      <c r="X1248" s="71">
        <v>0.86170154336244298</v>
      </c>
      <c r="Y1248" s="73">
        <v>0.92</v>
      </c>
      <c r="Z1248" s="73">
        <v>0.91747572815533995</v>
      </c>
      <c r="AA1248" s="73">
        <v>0.92500000000000004</v>
      </c>
      <c r="AB1248" s="73">
        <v>0.81769722814498902</v>
      </c>
      <c r="AC1248" s="73">
        <v>0.89668820678513705</v>
      </c>
      <c r="AD1248" s="73">
        <v>0.92</v>
      </c>
      <c r="AE1248" s="71">
        <v>0.99842844816960397</v>
      </c>
      <c r="AF1248" s="71">
        <v>0.99619983962625902</v>
      </c>
      <c r="AG1248" s="71">
        <v>0.99389534883720898</v>
      </c>
      <c r="AH1248" s="71">
        <v>0.99124051220637699</v>
      </c>
      <c r="AI1248" s="73">
        <v>0.92</v>
      </c>
      <c r="AJ1248" s="71">
        <v>0.93988892518784695</v>
      </c>
      <c r="AK1248" s="71">
        <v>0.96177395333443605</v>
      </c>
      <c r="AL1248" s="71">
        <v>0.910465461013934</v>
      </c>
      <c r="AM1248" s="71">
        <v>0.94953971024872097</v>
      </c>
      <c r="AN1248" s="70">
        <v>0.99</v>
      </c>
      <c r="AO1248" s="75">
        <v>1</v>
      </c>
      <c r="AP1248" s="75">
        <v>1</v>
      </c>
      <c r="AQ1248" s="75">
        <v>1</v>
      </c>
      <c r="AR1248" s="75">
        <v>1</v>
      </c>
      <c r="AS1248" s="95">
        <v>7.2186152540827803E-2</v>
      </c>
      <c r="AT1248" s="79">
        <v>0</v>
      </c>
      <c r="AU1248" s="79">
        <v>0</v>
      </c>
      <c r="AV1248" s="79">
        <v>0</v>
      </c>
      <c r="AW1248" s="79">
        <v>8.0971659919028306E-3</v>
      </c>
      <c r="AX1248" s="56"/>
      <c r="AY1248" s="54"/>
    </row>
    <row r="1249" spans="1:51">
      <c r="A1249" s="53"/>
      <c r="B1249" s="56"/>
      <c r="C1249" s="90" t="s">
        <v>1079</v>
      </c>
      <c r="D1249" s="230" t="s">
        <v>1759</v>
      </c>
      <c r="E1249" s="68" t="s">
        <v>1080</v>
      </c>
      <c r="F1249" s="128" t="s">
        <v>1273</v>
      </c>
      <c r="G1249" s="128" t="s">
        <v>1273</v>
      </c>
      <c r="H1249" s="128" t="s">
        <v>1273</v>
      </c>
      <c r="I1249" s="128" t="s">
        <v>1273</v>
      </c>
      <c r="J1249" s="70">
        <v>0.9</v>
      </c>
      <c r="K1249" s="71" t="s">
        <v>1710</v>
      </c>
      <c r="L1249" s="71" t="s">
        <v>1710</v>
      </c>
      <c r="M1249" s="72" t="s">
        <v>1710</v>
      </c>
      <c r="N1249" s="71" t="s">
        <v>1710</v>
      </c>
      <c r="O1249" s="73">
        <v>0.9</v>
      </c>
      <c r="P1249" s="71">
        <v>0</v>
      </c>
      <c r="Q1249" s="71">
        <v>0</v>
      </c>
      <c r="R1249" s="71">
        <v>0</v>
      </c>
      <c r="S1249" s="71">
        <v>0</v>
      </c>
      <c r="T1249" s="73">
        <v>0.9</v>
      </c>
      <c r="U1249" s="71">
        <v>1</v>
      </c>
      <c r="V1249" s="71">
        <v>1</v>
      </c>
      <c r="W1249" s="71">
        <v>0.83333333333333304</v>
      </c>
      <c r="X1249" s="71">
        <v>0.91935483870967705</v>
      </c>
      <c r="Y1249" s="73">
        <v>0.92</v>
      </c>
      <c r="Z1249" s="73" t="s">
        <v>1710</v>
      </c>
      <c r="AA1249" s="73">
        <v>1</v>
      </c>
      <c r="AB1249" s="73" t="s">
        <v>1710</v>
      </c>
      <c r="AC1249" s="73">
        <v>1</v>
      </c>
      <c r="AD1249" s="73">
        <v>0.92</v>
      </c>
      <c r="AE1249" s="71">
        <v>0.99861671469740598</v>
      </c>
      <c r="AF1249" s="71">
        <v>0.95820668693009103</v>
      </c>
      <c r="AG1249" s="71">
        <v>0.99931381518755702</v>
      </c>
      <c r="AH1249" s="71">
        <v>0.99615969010368799</v>
      </c>
      <c r="AI1249" s="73">
        <v>0.92</v>
      </c>
      <c r="AJ1249" s="71">
        <v>0.8</v>
      </c>
      <c r="AK1249" s="71">
        <v>1</v>
      </c>
      <c r="AL1249" s="71">
        <v>0.88888888888888895</v>
      </c>
      <c r="AM1249" s="71">
        <v>0.91111111111111098</v>
      </c>
      <c r="AN1249" s="70">
        <v>0.99</v>
      </c>
      <c r="AO1249" s="75">
        <v>1</v>
      </c>
      <c r="AP1249" s="75">
        <v>1</v>
      </c>
      <c r="AQ1249" s="75">
        <v>1</v>
      </c>
      <c r="AR1249" s="75">
        <v>1</v>
      </c>
      <c r="AS1249" s="95">
        <v>7.2186152540827803E-2</v>
      </c>
      <c r="AT1249" s="79" t="s">
        <v>1710</v>
      </c>
      <c r="AU1249" s="79" t="s">
        <v>1710</v>
      </c>
      <c r="AV1249" s="79" t="s">
        <v>1710</v>
      </c>
      <c r="AW1249" s="79" t="s">
        <v>1710</v>
      </c>
      <c r="AX1249" s="56"/>
      <c r="AY1249" s="54"/>
    </row>
    <row r="1250" spans="1:51">
      <c r="A1250" s="53"/>
      <c r="B1250" s="56"/>
      <c r="C1250" s="90" t="s">
        <v>1079</v>
      </c>
      <c r="D1250" s="230" t="s">
        <v>1757</v>
      </c>
      <c r="E1250" s="68" t="s">
        <v>1080</v>
      </c>
      <c r="F1250" s="128" t="s">
        <v>1274</v>
      </c>
      <c r="G1250" s="128" t="s">
        <v>1274</v>
      </c>
      <c r="H1250" s="128" t="s">
        <v>1274</v>
      </c>
      <c r="I1250" s="128" t="s">
        <v>1274</v>
      </c>
      <c r="J1250" s="70">
        <v>0.9</v>
      </c>
      <c r="K1250" s="71">
        <v>1</v>
      </c>
      <c r="L1250" s="71">
        <v>0.98630136986301398</v>
      </c>
      <c r="M1250" s="72">
        <v>1</v>
      </c>
      <c r="N1250" s="71">
        <v>0.99191374663072795</v>
      </c>
      <c r="O1250" s="73">
        <v>0.9</v>
      </c>
      <c r="P1250" s="71">
        <v>0.92804898792311596</v>
      </c>
      <c r="Q1250" s="71">
        <v>0.929725931131413</v>
      </c>
      <c r="R1250" s="71">
        <v>0.87596899224806202</v>
      </c>
      <c r="S1250" s="71">
        <v>0.93033455087776995</v>
      </c>
      <c r="T1250" s="73">
        <v>0.9</v>
      </c>
      <c r="U1250" s="71">
        <v>0.89862221466235803</v>
      </c>
      <c r="V1250" s="71">
        <v>0.878847505270555</v>
      </c>
      <c r="W1250" s="71">
        <v>0.72443110777694397</v>
      </c>
      <c r="X1250" s="71">
        <v>0.86773422985048199</v>
      </c>
      <c r="Y1250" s="73">
        <v>0.92</v>
      </c>
      <c r="Z1250" s="73">
        <v>0.91371208885091804</v>
      </c>
      <c r="AA1250" s="73">
        <v>0.91318591318591302</v>
      </c>
      <c r="AB1250" s="73">
        <v>0.68878718535469097</v>
      </c>
      <c r="AC1250" s="73">
        <v>0.88402257679366103</v>
      </c>
      <c r="AD1250" s="73">
        <v>0.92</v>
      </c>
      <c r="AE1250" s="71">
        <v>0.99637709088106097</v>
      </c>
      <c r="AF1250" s="71">
        <v>0.89247086735049896</v>
      </c>
      <c r="AG1250" s="71">
        <v>0.99578397912065897</v>
      </c>
      <c r="AH1250" s="71">
        <v>0.97660718925606005</v>
      </c>
      <c r="AI1250" s="73">
        <v>0.92</v>
      </c>
      <c r="AJ1250" s="71">
        <v>0.94890510948905105</v>
      </c>
      <c r="AK1250" s="71">
        <v>0.957543775485728</v>
      </c>
      <c r="AL1250" s="71">
        <v>0.83073783696702796</v>
      </c>
      <c r="AM1250" s="71">
        <v>0.93741351564662101</v>
      </c>
      <c r="AN1250" s="70">
        <v>0.99</v>
      </c>
      <c r="AO1250" s="75">
        <v>1</v>
      </c>
      <c r="AP1250" s="75">
        <v>1</v>
      </c>
      <c r="AQ1250" s="75">
        <v>1</v>
      </c>
      <c r="AR1250" s="75">
        <v>1</v>
      </c>
      <c r="AS1250" s="95">
        <v>7.2186152540827803E-2</v>
      </c>
      <c r="AT1250" s="79">
        <v>0</v>
      </c>
      <c r="AU1250" s="79">
        <v>0</v>
      </c>
      <c r="AV1250" s="79">
        <v>0</v>
      </c>
      <c r="AW1250" s="79">
        <v>3.15985130111524E-2</v>
      </c>
      <c r="AX1250" s="56"/>
      <c r="AY1250" s="54"/>
    </row>
    <row r="1251" spans="1:51">
      <c r="A1251" s="53"/>
      <c r="B1251" s="56"/>
      <c r="C1251" s="90" t="s">
        <v>1079</v>
      </c>
      <c r="D1251" s="230" t="s">
        <v>1757</v>
      </c>
      <c r="E1251" s="68" t="s">
        <v>1080</v>
      </c>
      <c r="F1251" s="128" t="s">
        <v>1275</v>
      </c>
      <c r="G1251" s="128" t="s">
        <v>1275</v>
      </c>
      <c r="H1251" s="128" t="s">
        <v>1275</v>
      </c>
      <c r="I1251" s="128" t="s">
        <v>1275</v>
      </c>
      <c r="J1251" s="70">
        <v>0.9</v>
      </c>
      <c r="K1251" s="71">
        <v>0.77358490566037696</v>
      </c>
      <c r="L1251" s="71">
        <v>0.85416666666666696</v>
      </c>
      <c r="M1251" s="72">
        <v>0.875</v>
      </c>
      <c r="N1251" s="71">
        <v>0.86734693877550995</v>
      </c>
      <c r="O1251" s="73">
        <v>0.9</v>
      </c>
      <c r="P1251" s="71">
        <v>0.96241457858769897</v>
      </c>
      <c r="Q1251" s="71">
        <v>0.92564053168946303</v>
      </c>
      <c r="R1251" s="71">
        <v>0.95895788722341202</v>
      </c>
      <c r="S1251" s="71">
        <v>0.93008723949317995</v>
      </c>
      <c r="T1251" s="73">
        <v>0.9</v>
      </c>
      <c r="U1251" s="71">
        <v>0.84441913439635496</v>
      </c>
      <c r="V1251" s="71">
        <v>0.74031978424195699</v>
      </c>
      <c r="W1251" s="71">
        <v>0.71092077087794403</v>
      </c>
      <c r="X1251" s="71">
        <v>0.79517759468254501</v>
      </c>
      <c r="Y1251" s="73">
        <v>0.92</v>
      </c>
      <c r="Z1251" s="73">
        <v>0.85980148883374696</v>
      </c>
      <c r="AA1251" s="73">
        <v>0.83036773428232502</v>
      </c>
      <c r="AB1251" s="73">
        <v>0.80606717226435498</v>
      </c>
      <c r="AC1251" s="73">
        <v>0.86851156973108201</v>
      </c>
      <c r="AD1251" s="73">
        <v>0.92</v>
      </c>
      <c r="AE1251" s="71">
        <v>0.97861055059094804</v>
      </c>
      <c r="AF1251" s="71">
        <v>0.98648599556798799</v>
      </c>
      <c r="AG1251" s="71">
        <v>0.98554159753496096</v>
      </c>
      <c r="AH1251" s="71">
        <v>0.97291624482055294</v>
      </c>
      <c r="AI1251" s="73">
        <v>0.92</v>
      </c>
      <c r="AJ1251" s="71">
        <v>0.91954022988505701</v>
      </c>
      <c r="AK1251" s="71">
        <v>0.91052195526097801</v>
      </c>
      <c r="AL1251" s="71">
        <v>0.870384556457791</v>
      </c>
      <c r="AM1251" s="71">
        <v>0.92841252072380998</v>
      </c>
      <c r="AN1251" s="70">
        <v>0.99</v>
      </c>
      <c r="AO1251" s="75">
        <v>1</v>
      </c>
      <c r="AP1251" s="75">
        <v>1</v>
      </c>
      <c r="AQ1251" s="75">
        <v>1</v>
      </c>
      <c r="AR1251" s="75">
        <v>1</v>
      </c>
      <c r="AS1251" s="95">
        <v>7.2186152540827803E-2</v>
      </c>
      <c r="AT1251" s="79">
        <v>0.105263157894737</v>
      </c>
      <c r="AU1251" s="79">
        <v>6.9767441860465101E-2</v>
      </c>
      <c r="AV1251" s="79">
        <v>2.2222222222222199E-2</v>
      </c>
      <c r="AW1251" s="79">
        <v>3.4825870646766198E-2</v>
      </c>
      <c r="AX1251" s="56"/>
      <c r="AY1251" s="54"/>
    </row>
    <row r="1252" spans="1:51">
      <c r="A1252" s="53"/>
      <c r="B1252" s="56"/>
      <c r="C1252" s="90" t="s">
        <v>1079</v>
      </c>
      <c r="D1252" s="230" t="s">
        <v>1757</v>
      </c>
      <c r="E1252" s="68" t="s">
        <v>1080</v>
      </c>
      <c r="F1252" s="128" t="s">
        <v>1276</v>
      </c>
      <c r="G1252" s="128" t="s">
        <v>1276</v>
      </c>
      <c r="H1252" s="128" t="s">
        <v>1276</v>
      </c>
      <c r="I1252" s="128" t="s">
        <v>1276</v>
      </c>
      <c r="J1252" s="70">
        <v>0.9</v>
      </c>
      <c r="K1252" s="71">
        <v>1</v>
      </c>
      <c r="L1252" s="71">
        <v>1</v>
      </c>
      <c r="M1252" s="72">
        <v>1</v>
      </c>
      <c r="N1252" s="71">
        <v>0.98776758409785903</v>
      </c>
      <c r="O1252" s="73">
        <v>0.9</v>
      </c>
      <c r="P1252" s="71">
        <v>0.98197295943915897</v>
      </c>
      <c r="Q1252" s="71">
        <v>0.97764471057884195</v>
      </c>
      <c r="R1252" s="71">
        <v>0.96518375241779497</v>
      </c>
      <c r="S1252" s="71">
        <v>0.97772212462153796</v>
      </c>
      <c r="T1252" s="73">
        <v>0.9</v>
      </c>
      <c r="U1252" s="71">
        <v>0.95543314972458704</v>
      </c>
      <c r="V1252" s="71">
        <v>0.95449101796407199</v>
      </c>
      <c r="W1252" s="71">
        <v>0.79845261121856903</v>
      </c>
      <c r="X1252" s="71">
        <v>0.91529921877920195</v>
      </c>
      <c r="Y1252" s="73">
        <v>0.92</v>
      </c>
      <c r="Z1252" s="73">
        <v>0.94612352168199698</v>
      </c>
      <c r="AA1252" s="73">
        <v>0.95331695331695299</v>
      </c>
      <c r="AB1252" s="73">
        <v>0.76510067114094005</v>
      </c>
      <c r="AC1252" s="73">
        <v>0.91209341117597997</v>
      </c>
      <c r="AD1252" s="73">
        <v>0.92</v>
      </c>
      <c r="AE1252" s="71">
        <v>0.99974628948369904</v>
      </c>
      <c r="AF1252" s="71">
        <v>0.99416358405260996</v>
      </c>
      <c r="AG1252" s="71">
        <v>0.99644970414201195</v>
      </c>
      <c r="AH1252" s="71">
        <v>0.98509668845434095</v>
      </c>
      <c r="AI1252" s="73">
        <v>0.92</v>
      </c>
      <c r="AJ1252" s="71">
        <v>0.96627991298042104</v>
      </c>
      <c r="AK1252" s="71">
        <v>0.97836538461538503</v>
      </c>
      <c r="AL1252" s="71">
        <v>0.83377308707123998</v>
      </c>
      <c r="AM1252" s="71">
        <v>0.94503984611156899</v>
      </c>
      <c r="AN1252" s="70">
        <v>0.99</v>
      </c>
      <c r="AO1252" s="75">
        <v>1</v>
      </c>
      <c r="AP1252" s="75">
        <v>1</v>
      </c>
      <c r="AQ1252" s="75">
        <v>1</v>
      </c>
      <c r="AR1252" s="75">
        <v>1</v>
      </c>
      <c r="AS1252" s="95">
        <v>7.2186152540827803E-2</v>
      </c>
      <c r="AT1252" s="79">
        <v>0.17647058823529399</v>
      </c>
      <c r="AU1252" s="79">
        <v>5.8823529411764698E-2</v>
      </c>
      <c r="AV1252" s="79">
        <v>0</v>
      </c>
      <c r="AW1252" s="79">
        <v>6.1728395061728399E-2</v>
      </c>
      <c r="AX1252" s="56"/>
      <c r="AY1252" s="54"/>
    </row>
    <row r="1253" spans="1:51">
      <c r="A1253" s="53"/>
      <c r="B1253" s="56"/>
      <c r="C1253" s="90" t="s">
        <v>1079</v>
      </c>
      <c r="D1253" s="230" t="s">
        <v>1757</v>
      </c>
      <c r="E1253" s="68" t="s">
        <v>1080</v>
      </c>
      <c r="F1253" s="128" t="s">
        <v>1277</v>
      </c>
      <c r="G1253" s="128" t="s">
        <v>1277</v>
      </c>
      <c r="H1253" s="128" t="s">
        <v>1277</v>
      </c>
      <c r="I1253" s="128" t="s">
        <v>1277</v>
      </c>
      <c r="J1253" s="70">
        <v>0.9</v>
      </c>
      <c r="K1253" s="71">
        <v>0.96</v>
      </c>
      <c r="L1253" s="71">
        <v>0.98305084745762705</v>
      </c>
      <c r="M1253" s="72">
        <v>0.96226415094339601</v>
      </c>
      <c r="N1253" s="71">
        <v>0.97456279809221003</v>
      </c>
      <c r="O1253" s="73">
        <v>0.9</v>
      </c>
      <c r="P1253" s="71">
        <v>0.98483263598326398</v>
      </c>
      <c r="Q1253" s="71">
        <v>0.98125623130608197</v>
      </c>
      <c r="R1253" s="71">
        <v>0.98727966563692504</v>
      </c>
      <c r="S1253" s="71">
        <v>0.98498942917547605</v>
      </c>
      <c r="T1253" s="73">
        <v>0.9</v>
      </c>
      <c r="U1253" s="71">
        <v>0.90010460251045998</v>
      </c>
      <c r="V1253" s="71">
        <v>0.86640079760717803</v>
      </c>
      <c r="W1253" s="71">
        <v>0.83154642922042499</v>
      </c>
      <c r="X1253" s="71">
        <v>0.88810301748991005</v>
      </c>
      <c r="Y1253" s="73">
        <v>0.92</v>
      </c>
      <c r="Z1253" s="73">
        <v>0.92222222222222205</v>
      </c>
      <c r="AA1253" s="73">
        <v>0.92762364294330502</v>
      </c>
      <c r="AB1253" s="73">
        <v>0.82941903584672405</v>
      </c>
      <c r="AC1253" s="73">
        <v>0.92993809791783899</v>
      </c>
      <c r="AD1253" s="73">
        <v>0.92</v>
      </c>
      <c r="AE1253" s="71">
        <v>0.99893594381783402</v>
      </c>
      <c r="AF1253" s="71">
        <v>0.99648660518225696</v>
      </c>
      <c r="AG1253" s="71">
        <v>0.99928749554684704</v>
      </c>
      <c r="AH1253" s="71">
        <v>0.99863620866007496</v>
      </c>
      <c r="AI1253" s="73">
        <v>0.92</v>
      </c>
      <c r="AJ1253" s="71">
        <v>0.95022796352583605</v>
      </c>
      <c r="AK1253" s="71">
        <v>0.95277207392197105</v>
      </c>
      <c r="AL1253" s="71">
        <v>0.88387198986058302</v>
      </c>
      <c r="AM1253" s="71">
        <v>0.95089959548391001</v>
      </c>
      <c r="AN1253" s="70">
        <v>0.99</v>
      </c>
      <c r="AO1253" s="75">
        <v>1</v>
      </c>
      <c r="AP1253" s="75">
        <v>1</v>
      </c>
      <c r="AQ1253" s="75">
        <v>1</v>
      </c>
      <c r="AR1253" s="75">
        <v>1</v>
      </c>
      <c r="AS1253" s="95">
        <v>7.2186152540827803E-2</v>
      </c>
      <c r="AT1253" s="79">
        <v>9.0909090909090898E-2</v>
      </c>
      <c r="AU1253" s="79">
        <v>4.5454545454545497E-2</v>
      </c>
      <c r="AV1253" s="79">
        <v>0.11363636363636399</v>
      </c>
      <c r="AW1253" s="79">
        <v>4.92227979274611E-2</v>
      </c>
      <c r="AX1253" s="56"/>
      <c r="AY1253" s="54"/>
    </row>
    <row r="1254" spans="1:51">
      <c r="A1254" s="53"/>
      <c r="B1254" s="56"/>
      <c r="C1254" s="90" t="s">
        <v>1079</v>
      </c>
      <c r="D1254" s="230" t="s">
        <v>1757</v>
      </c>
      <c r="E1254" s="68" t="s">
        <v>1080</v>
      </c>
      <c r="F1254" s="128" t="s">
        <v>1278</v>
      </c>
      <c r="G1254" s="128" t="s">
        <v>1278</v>
      </c>
      <c r="H1254" s="128" t="s">
        <v>1278</v>
      </c>
      <c r="I1254" s="128" t="s">
        <v>1278</v>
      </c>
      <c r="J1254" s="70">
        <v>0.9</v>
      </c>
      <c r="K1254" s="71">
        <v>1</v>
      </c>
      <c r="L1254" s="71">
        <v>1</v>
      </c>
      <c r="M1254" s="72">
        <v>0.96551724137931005</v>
      </c>
      <c r="N1254" s="71">
        <v>0.99132947976878605</v>
      </c>
      <c r="O1254" s="73">
        <v>0.9</v>
      </c>
      <c r="P1254" s="71">
        <v>0.97439759036144602</v>
      </c>
      <c r="Q1254" s="71">
        <v>0.98632974316487199</v>
      </c>
      <c r="R1254" s="71">
        <v>0.98609501738122796</v>
      </c>
      <c r="S1254" s="71">
        <v>0.98097093197482799</v>
      </c>
      <c r="T1254" s="73">
        <v>0.9</v>
      </c>
      <c r="U1254" s="71">
        <v>0.936746987951807</v>
      </c>
      <c r="V1254" s="71">
        <v>0.92253521126760596</v>
      </c>
      <c r="W1254" s="71">
        <v>0.83275395905755101</v>
      </c>
      <c r="X1254" s="71">
        <v>0.910248726400959</v>
      </c>
      <c r="Y1254" s="73">
        <v>0.92</v>
      </c>
      <c r="Z1254" s="73">
        <v>0.93977591036414598</v>
      </c>
      <c r="AA1254" s="73">
        <v>0.93882978723404298</v>
      </c>
      <c r="AB1254" s="73">
        <v>0.861363636363636</v>
      </c>
      <c r="AC1254" s="73">
        <v>0.93617021276595702</v>
      </c>
      <c r="AD1254" s="73">
        <v>0.92</v>
      </c>
      <c r="AE1254" s="71">
        <v>0.99642817278714102</v>
      </c>
      <c r="AF1254" s="71">
        <v>0.99515399526168402</v>
      </c>
      <c r="AG1254" s="71">
        <v>0.98974049487024696</v>
      </c>
      <c r="AH1254" s="71">
        <v>0.99315757954154504</v>
      </c>
      <c r="AI1254" s="73">
        <v>0.92</v>
      </c>
      <c r="AJ1254" s="71">
        <v>0.96271686969361403</v>
      </c>
      <c r="AK1254" s="71">
        <v>0.97706093189964205</v>
      </c>
      <c r="AL1254" s="71">
        <v>0.88246946186860398</v>
      </c>
      <c r="AM1254" s="71">
        <v>0.96060606060606102</v>
      </c>
      <c r="AN1254" s="70">
        <v>0.99</v>
      </c>
      <c r="AO1254" s="75">
        <v>1</v>
      </c>
      <c r="AP1254" s="75">
        <v>1</v>
      </c>
      <c r="AQ1254" s="75">
        <v>1</v>
      </c>
      <c r="AR1254" s="75">
        <v>1</v>
      </c>
      <c r="AS1254" s="95">
        <v>7.2186152540827803E-2</v>
      </c>
      <c r="AT1254" s="79">
        <v>0</v>
      </c>
      <c r="AU1254" s="79">
        <v>9.0909090909090898E-2</v>
      </c>
      <c r="AV1254" s="79">
        <v>0.2</v>
      </c>
      <c r="AW1254" s="79">
        <v>5.1282051282051301E-2</v>
      </c>
      <c r="AX1254" s="56"/>
      <c r="AY1254" s="54"/>
    </row>
    <row r="1255" spans="1:51">
      <c r="A1255" s="53"/>
      <c r="B1255" s="56"/>
      <c r="C1255" s="90" t="s">
        <v>1079</v>
      </c>
      <c r="D1255" s="230" t="s">
        <v>1757</v>
      </c>
      <c r="E1255" s="68" t="s">
        <v>1080</v>
      </c>
      <c r="F1255" s="128" t="s">
        <v>1279</v>
      </c>
      <c r="G1255" s="128" t="s">
        <v>1279</v>
      </c>
      <c r="H1255" s="128" t="s">
        <v>1279</v>
      </c>
      <c r="I1255" s="128" t="s">
        <v>1279</v>
      </c>
      <c r="J1255" s="70">
        <v>0.9</v>
      </c>
      <c r="K1255" s="71">
        <v>0.95161290322580605</v>
      </c>
      <c r="L1255" s="71">
        <v>0.94915254237288105</v>
      </c>
      <c r="M1255" s="72">
        <v>0.94444444444444398</v>
      </c>
      <c r="N1255" s="71">
        <v>0.94822485207100604</v>
      </c>
      <c r="O1255" s="73">
        <v>0.9</v>
      </c>
      <c r="P1255" s="71">
        <v>0.94852941176470595</v>
      </c>
      <c r="Q1255" s="71">
        <v>0.94467253176930599</v>
      </c>
      <c r="R1255" s="71">
        <v>0.92386530014641299</v>
      </c>
      <c r="S1255" s="71">
        <v>0.951941820362873</v>
      </c>
      <c r="T1255" s="73">
        <v>0.9</v>
      </c>
      <c r="U1255" s="71">
        <v>0.90644016227180502</v>
      </c>
      <c r="V1255" s="71">
        <v>0.89071358748778096</v>
      </c>
      <c r="W1255" s="71">
        <v>0.86584919472913602</v>
      </c>
      <c r="X1255" s="71">
        <v>0.90433348328085195</v>
      </c>
      <c r="Y1255" s="73">
        <v>0.92</v>
      </c>
      <c r="Z1255" s="73">
        <v>0.90258939580764497</v>
      </c>
      <c r="AA1255" s="73">
        <v>0.93208430913348905</v>
      </c>
      <c r="AB1255" s="73">
        <v>0.89574468085106396</v>
      </c>
      <c r="AC1255" s="73">
        <v>0.926311541565779</v>
      </c>
      <c r="AD1255" s="73">
        <v>0.92</v>
      </c>
      <c r="AE1255" s="71">
        <v>0.98077348066298298</v>
      </c>
      <c r="AF1255" s="71">
        <v>0.98510078878176999</v>
      </c>
      <c r="AG1255" s="71">
        <v>0.97765164952110695</v>
      </c>
      <c r="AH1255" s="71">
        <v>0.98089875997374898</v>
      </c>
      <c r="AI1255" s="73">
        <v>0.92</v>
      </c>
      <c r="AJ1255" s="71">
        <v>0.94433471000179603</v>
      </c>
      <c r="AK1255" s="71">
        <v>0.95141564751214602</v>
      </c>
      <c r="AL1255" s="71">
        <v>0.93645589383294303</v>
      </c>
      <c r="AM1255" s="71">
        <v>0.961903458344739</v>
      </c>
      <c r="AN1255" s="70">
        <v>0.99</v>
      </c>
      <c r="AO1255" s="75">
        <v>1</v>
      </c>
      <c r="AP1255" s="75">
        <v>1</v>
      </c>
      <c r="AQ1255" s="75">
        <v>1</v>
      </c>
      <c r="AR1255" s="75">
        <v>1</v>
      </c>
      <c r="AS1255" s="95">
        <v>7.2186152540827803E-2</v>
      </c>
      <c r="AT1255" s="79">
        <v>0</v>
      </c>
      <c r="AU1255" s="79">
        <v>0</v>
      </c>
      <c r="AV1255" s="79">
        <v>0</v>
      </c>
      <c r="AW1255" s="79">
        <v>3.83141762452107E-3</v>
      </c>
      <c r="AX1255" s="56"/>
      <c r="AY1255" s="54"/>
    </row>
    <row r="1256" spans="1:51">
      <c r="A1256" s="53"/>
      <c r="B1256" s="56"/>
      <c r="C1256" s="90" t="s">
        <v>1079</v>
      </c>
      <c r="D1256" s="230" t="s">
        <v>1759</v>
      </c>
      <c r="E1256" s="68" t="s">
        <v>1080</v>
      </c>
      <c r="F1256" s="128" t="s">
        <v>1280</v>
      </c>
      <c r="G1256" s="128" t="s">
        <v>1280</v>
      </c>
      <c r="H1256" s="128" t="s">
        <v>1280</v>
      </c>
      <c r="I1256" s="128" t="s">
        <v>1280</v>
      </c>
      <c r="J1256" s="70">
        <v>0.9</v>
      </c>
      <c r="K1256" s="71" t="s">
        <v>1710</v>
      </c>
      <c r="L1256" s="71" t="s">
        <v>1710</v>
      </c>
      <c r="M1256" s="72" t="s">
        <v>1710</v>
      </c>
      <c r="N1256" s="71" t="s">
        <v>1710</v>
      </c>
      <c r="O1256" s="73">
        <v>0.9</v>
      </c>
      <c r="P1256" s="71">
        <v>1</v>
      </c>
      <c r="Q1256" s="71" t="s">
        <v>1710</v>
      </c>
      <c r="R1256" s="71" t="s">
        <v>1710</v>
      </c>
      <c r="S1256" s="71">
        <v>0.82352941176470595</v>
      </c>
      <c r="T1256" s="73">
        <v>0.9</v>
      </c>
      <c r="U1256" s="71">
        <v>1</v>
      </c>
      <c r="V1256" s="71" t="s">
        <v>1710</v>
      </c>
      <c r="W1256" s="71" t="s">
        <v>1710</v>
      </c>
      <c r="X1256" s="71">
        <v>0.82352941176470595</v>
      </c>
      <c r="Y1256" s="73">
        <v>0.92</v>
      </c>
      <c r="Z1256" s="73" t="s">
        <v>1710</v>
      </c>
      <c r="AA1256" s="73" t="s">
        <v>1710</v>
      </c>
      <c r="AB1256" s="73" t="s">
        <v>1710</v>
      </c>
      <c r="AC1256" s="73" t="s">
        <v>1710</v>
      </c>
      <c r="AD1256" s="73">
        <v>0.92</v>
      </c>
      <c r="AE1256" s="71">
        <v>0.99403959412474296</v>
      </c>
      <c r="AF1256" s="71">
        <v>0.99431273125942199</v>
      </c>
      <c r="AG1256" s="71">
        <v>0.99810540819841498</v>
      </c>
      <c r="AH1256" s="71">
        <v>0.98260165041260294</v>
      </c>
      <c r="AI1256" s="73">
        <v>0.92</v>
      </c>
      <c r="AJ1256" s="71">
        <v>1</v>
      </c>
      <c r="AK1256" s="71" t="s">
        <v>1710</v>
      </c>
      <c r="AL1256" s="71" t="s">
        <v>1710</v>
      </c>
      <c r="AM1256" s="71">
        <v>0.89285714285714302</v>
      </c>
      <c r="AN1256" s="70">
        <v>0.99</v>
      </c>
      <c r="AO1256" s="75">
        <v>1</v>
      </c>
      <c r="AP1256" s="75">
        <v>1</v>
      </c>
      <c r="AQ1256" s="75">
        <v>1</v>
      </c>
      <c r="AR1256" s="75">
        <v>1</v>
      </c>
      <c r="AS1256" s="95">
        <v>7.2186152540827803E-2</v>
      </c>
      <c r="AT1256" s="79">
        <v>0</v>
      </c>
      <c r="AU1256" s="79">
        <v>0</v>
      </c>
      <c r="AV1256" s="79" t="s">
        <v>1710</v>
      </c>
      <c r="AW1256" s="79">
        <v>0.66666666666666696</v>
      </c>
      <c r="AX1256" s="56"/>
      <c r="AY1256" s="54"/>
    </row>
    <row r="1257" spans="1:51">
      <c r="A1257" s="53"/>
      <c r="B1257" s="56"/>
      <c r="C1257" s="90" t="s">
        <v>1079</v>
      </c>
      <c r="D1257" s="230" t="s">
        <v>1757</v>
      </c>
      <c r="E1257" s="68" t="s">
        <v>1080</v>
      </c>
      <c r="F1257" s="128" t="s">
        <v>1281</v>
      </c>
      <c r="G1257" s="128" t="s">
        <v>1281</v>
      </c>
      <c r="H1257" s="128" t="s">
        <v>1281</v>
      </c>
      <c r="I1257" s="128" t="s">
        <v>1281</v>
      </c>
      <c r="J1257" s="70">
        <v>0.9</v>
      </c>
      <c r="K1257" s="71">
        <v>0.875</v>
      </c>
      <c r="L1257" s="71">
        <v>0.88888888888888895</v>
      </c>
      <c r="M1257" s="72">
        <v>0.97142857142857097</v>
      </c>
      <c r="N1257" s="71">
        <v>0.95140664961636801</v>
      </c>
      <c r="O1257" s="73">
        <v>0.9</v>
      </c>
      <c r="P1257" s="71">
        <v>0.94777777777777805</v>
      </c>
      <c r="Q1257" s="71">
        <v>0.99183832102603997</v>
      </c>
      <c r="R1257" s="71">
        <v>0.98995815899581596</v>
      </c>
      <c r="S1257" s="71">
        <v>0.98618712535835296</v>
      </c>
      <c r="T1257" s="73">
        <v>0.9</v>
      </c>
      <c r="U1257" s="71">
        <v>0.96055555555555605</v>
      </c>
      <c r="V1257" s="71">
        <v>0.968907889623008</v>
      </c>
      <c r="W1257" s="71">
        <v>0.96736401673640204</v>
      </c>
      <c r="X1257" s="71">
        <v>0.96902341859339503</v>
      </c>
      <c r="Y1257" s="73">
        <v>0.92</v>
      </c>
      <c r="Z1257" s="73">
        <v>0.96688741721854299</v>
      </c>
      <c r="AA1257" s="73">
        <v>0.97190584662110902</v>
      </c>
      <c r="AB1257" s="73">
        <v>0.96743554952510202</v>
      </c>
      <c r="AC1257" s="73">
        <v>0.97503035822707995</v>
      </c>
      <c r="AD1257" s="73">
        <v>0.92</v>
      </c>
      <c r="AE1257" s="71">
        <v>0.99862919808087702</v>
      </c>
      <c r="AF1257" s="71">
        <v>0.996112730806608</v>
      </c>
      <c r="AG1257" s="71">
        <v>0.99892066918510503</v>
      </c>
      <c r="AH1257" s="71">
        <v>0.99589007179995004</v>
      </c>
      <c r="AI1257" s="73">
        <v>0.92</v>
      </c>
      <c r="AJ1257" s="71">
        <v>0.97634885439763497</v>
      </c>
      <c r="AK1257" s="71">
        <v>0.98174807197943403</v>
      </c>
      <c r="AL1257" s="71">
        <v>0.97955486542443104</v>
      </c>
      <c r="AM1257" s="71">
        <v>0.98434105042331599</v>
      </c>
      <c r="AN1257" s="70">
        <v>0.99</v>
      </c>
      <c r="AO1257" s="75">
        <v>1</v>
      </c>
      <c r="AP1257" s="75">
        <v>1</v>
      </c>
      <c r="AQ1257" s="75">
        <v>1</v>
      </c>
      <c r="AR1257" s="75">
        <v>1</v>
      </c>
      <c r="AS1257" s="95">
        <v>7.2186152540827803E-2</v>
      </c>
      <c r="AT1257" s="79">
        <v>0</v>
      </c>
      <c r="AU1257" s="79">
        <v>0</v>
      </c>
      <c r="AV1257" s="79">
        <v>4.7619047619047603E-2</v>
      </c>
      <c r="AW1257" s="79">
        <v>2.7586206896551699E-2</v>
      </c>
      <c r="AX1257" s="56"/>
      <c r="AY1257" s="54"/>
    </row>
    <row r="1258" spans="1:51">
      <c r="A1258" s="53"/>
      <c r="B1258" s="56"/>
      <c r="C1258" s="90" t="s">
        <v>1079</v>
      </c>
      <c r="D1258" s="230" t="s">
        <v>1757</v>
      </c>
      <c r="E1258" s="68" t="s">
        <v>1080</v>
      </c>
      <c r="F1258" s="128" t="s">
        <v>1282</v>
      </c>
      <c r="G1258" s="128" t="s">
        <v>1282</v>
      </c>
      <c r="H1258" s="128" t="s">
        <v>1282</v>
      </c>
      <c r="I1258" s="128" t="s">
        <v>1282</v>
      </c>
      <c r="J1258" s="70">
        <v>0.9</v>
      </c>
      <c r="K1258" s="71">
        <v>1</v>
      </c>
      <c r="L1258" s="71">
        <v>0.94594594594594605</v>
      </c>
      <c r="M1258" s="72">
        <v>0.94871794871794901</v>
      </c>
      <c r="N1258" s="71">
        <v>0.95529411764705896</v>
      </c>
      <c r="O1258" s="73">
        <v>0.9</v>
      </c>
      <c r="P1258" s="71">
        <v>0.991629739044806</v>
      </c>
      <c r="Q1258" s="71">
        <v>0.98438661710037201</v>
      </c>
      <c r="R1258" s="71">
        <v>0.96064139941690996</v>
      </c>
      <c r="S1258" s="71">
        <v>0.98011837415388603</v>
      </c>
      <c r="T1258" s="73">
        <v>0.9</v>
      </c>
      <c r="U1258" s="71">
        <v>0.915805022156573</v>
      </c>
      <c r="V1258" s="71">
        <v>0.93420074349442395</v>
      </c>
      <c r="W1258" s="71">
        <v>0.93950437317784297</v>
      </c>
      <c r="X1258" s="71">
        <v>0.93898172067623698</v>
      </c>
      <c r="Y1258" s="73">
        <v>0.92</v>
      </c>
      <c r="Z1258" s="73">
        <v>0.94687791239515395</v>
      </c>
      <c r="AA1258" s="73">
        <v>0.95838926174496597</v>
      </c>
      <c r="AB1258" s="73">
        <v>0.95862507956715504</v>
      </c>
      <c r="AC1258" s="73">
        <v>0.96136022897642104</v>
      </c>
      <c r="AD1258" s="73">
        <v>0.92</v>
      </c>
      <c r="AE1258" s="71">
        <v>0.97488789237668205</v>
      </c>
      <c r="AF1258" s="71">
        <v>0.995215311004785</v>
      </c>
      <c r="AG1258" s="71">
        <v>0.99558303886925803</v>
      </c>
      <c r="AH1258" s="71">
        <v>0.99704659811857399</v>
      </c>
      <c r="AI1258" s="73">
        <v>0.92</v>
      </c>
      <c r="AJ1258" s="71">
        <v>0.96327319587628901</v>
      </c>
      <c r="AK1258" s="71">
        <v>0.97392344497607697</v>
      </c>
      <c r="AL1258" s="71">
        <v>0.97335495829471697</v>
      </c>
      <c r="AM1258" s="71">
        <v>0.97806106667845005</v>
      </c>
      <c r="AN1258" s="70">
        <v>0.99</v>
      </c>
      <c r="AO1258" s="75">
        <v>1</v>
      </c>
      <c r="AP1258" s="75">
        <v>1</v>
      </c>
      <c r="AQ1258" s="75">
        <v>1</v>
      </c>
      <c r="AR1258" s="75">
        <v>1</v>
      </c>
      <c r="AS1258" s="95">
        <v>7.2186152540827803E-2</v>
      </c>
      <c r="AT1258" s="79">
        <v>0</v>
      </c>
      <c r="AU1258" s="79">
        <v>0</v>
      </c>
      <c r="AV1258" s="79">
        <v>0.11764705882352899</v>
      </c>
      <c r="AW1258" s="79">
        <v>7.5187969924811998E-2</v>
      </c>
      <c r="AX1258" s="56"/>
      <c r="AY1258" s="54"/>
    </row>
    <row r="1259" spans="1:51">
      <c r="A1259" s="53"/>
      <c r="B1259" s="56"/>
      <c r="C1259" s="90" t="s">
        <v>1079</v>
      </c>
      <c r="D1259" s="230" t="s">
        <v>1757</v>
      </c>
      <c r="E1259" s="68" t="s">
        <v>1080</v>
      </c>
      <c r="F1259" s="128" t="s">
        <v>1283</v>
      </c>
      <c r="G1259" s="128" t="s">
        <v>1283</v>
      </c>
      <c r="H1259" s="128" t="s">
        <v>1283</v>
      </c>
      <c r="I1259" s="128" t="s">
        <v>1283</v>
      </c>
      <c r="J1259" s="70">
        <v>0.9</v>
      </c>
      <c r="K1259" s="71">
        <v>0.85294117647058798</v>
      </c>
      <c r="L1259" s="71">
        <v>0.86363636363636398</v>
      </c>
      <c r="M1259" s="72">
        <v>0.83783783783783805</v>
      </c>
      <c r="N1259" s="71">
        <v>0.89737991266375505</v>
      </c>
      <c r="O1259" s="73">
        <v>0.9</v>
      </c>
      <c r="P1259" s="71">
        <v>0.97076271186440699</v>
      </c>
      <c r="Q1259" s="71">
        <v>0.98797468354430396</v>
      </c>
      <c r="R1259" s="71">
        <v>0.98249227600411904</v>
      </c>
      <c r="S1259" s="71">
        <v>0.97194950911640998</v>
      </c>
      <c r="T1259" s="73">
        <v>0.9</v>
      </c>
      <c r="U1259" s="71">
        <v>0.91567796610169505</v>
      </c>
      <c r="V1259" s="71">
        <v>0.94715189873417704</v>
      </c>
      <c r="W1259" s="71">
        <v>0.92619292825266097</v>
      </c>
      <c r="X1259" s="71">
        <v>0.93706933349594501</v>
      </c>
      <c r="Y1259" s="73">
        <v>0.92</v>
      </c>
      <c r="Z1259" s="73">
        <v>0.92506244796003301</v>
      </c>
      <c r="AA1259" s="73">
        <v>0.93646759847522199</v>
      </c>
      <c r="AB1259" s="73">
        <v>0.94748729531338205</v>
      </c>
      <c r="AC1259" s="73">
        <v>0.94566366179670502</v>
      </c>
      <c r="AD1259" s="73">
        <v>0.92</v>
      </c>
      <c r="AE1259" s="71">
        <v>0.99889575971731404</v>
      </c>
      <c r="AF1259" s="71">
        <v>0.99940203308750297</v>
      </c>
      <c r="AG1259" s="71">
        <v>0.98872651356993702</v>
      </c>
      <c r="AH1259" s="71">
        <v>0.99856292803413005</v>
      </c>
      <c r="AI1259" s="73">
        <v>0.92</v>
      </c>
      <c r="AJ1259" s="71">
        <v>0.95478798090424</v>
      </c>
      <c r="AK1259" s="71">
        <v>0.96852555978031296</v>
      </c>
      <c r="AL1259" s="71">
        <v>0.96883005977796799</v>
      </c>
      <c r="AM1259" s="71">
        <v>0.97091489231146799</v>
      </c>
      <c r="AN1259" s="70">
        <v>0.99</v>
      </c>
      <c r="AO1259" s="75">
        <v>1</v>
      </c>
      <c r="AP1259" s="75">
        <v>1</v>
      </c>
      <c r="AQ1259" s="75">
        <v>1</v>
      </c>
      <c r="AR1259" s="75">
        <v>1</v>
      </c>
      <c r="AS1259" s="95">
        <v>7.2186152540827803E-2</v>
      </c>
      <c r="AT1259" s="79">
        <v>0.125</v>
      </c>
      <c r="AU1259" s="79">
        <v>6.6666666666666693E-2</v>
      </c>
      <c r="AV1259" s="79">
        <v>6.6666666666666693E-2</v>
      </c>
      <c r="AW1259" s="79">
        <v>3.7037037037037E-2</v>
      </c>
      <c r="AX1259" s="56"/>
      <c r="AY1259" s="54"/>
    </row>
    <row r="1260" spans="1:51">
      <c r="A1260" s="53"/>
      <c r="B1260" s="56"/>
      <c r="C1260" s="90" t="s">
        <v>1079</v>
      </c>
      <c r="D1260" s="230" t="s">
        <v>1757</v>
      </c>
      <c r="E1260" s="68" t="s">
        <v>1080</v>
      </c>
      <c r="F1260" s="128" t="s">
        <v>1284</v>
      </c>
      <c r="G1260" s="128" t="s">
        <v>1284</v>
      </c>
      <c r="H1260" s="128" t="s">
        <v>1284</v>
      </c>
      <c r="I1260" s="128" t="s">
        <v>1284</v>
      </c>
      <c r="J1260" s="70">
        <v>0.9</v>
      </c>
      <c r="K1260" s="71">
        <v>0.88571428571428601</v>
      </c>
      <c r="L1260" s="71">
        <v>0.89743589743589702</v>
      </c>
      <c r="M1260" s="72">
        <v>0.97222222222222199</v>
      </c>
      <c r="N1260" s="71">
        <v>0.91494252873563198</v>
      </c>
      <c r="O1260" s="73">
        <v>0.9</v>
      </c>
      <c r="P1260" s="71">
        <v>0.93074501573976898</v>
      </c>
      <c r="Q1260" s="71">
        <v>0.98825256975036702</v>
      </c>
      <c r="R1260" s="71">
        <v>0.97588932806324102</v>
      </c>
      <c r="S1260" s="71">
        <v>0.97752769474239498</v>
      </c>
      <c r="T1260" s="73">
        <v>0.9</v>
      </c>
      <c r="U1260" s="71">
        <v>0.96222455403987395</v>
      </c>
      <c r="V1260" s="71">
        <v>0.96989720998531603</v>
      </c>
      <c r="W1260" s="71">
        <v>0.96403162055336</v>
      </c>
      <c r="X1260" s="71">
        <v>0.96782134693159805</v>
      </c>
      <c r="Y1260" s="73">
        <v>0.92</v>
      </c>
      <c r="Z1260" s="73">
        <v>0.96324324324324295</v>
      </c>
      <c r="AA1260" s="73">
        <v>0.97180043383947901</v>
      </c>
      <c r="AB1260" s="73">
        <v>0.97134146341463401</v>
      </c>
      <c r="AC1260" s="73">
        <v>0.97172701949860696</v>
      </c>
      <c r="AD1260" s="73">
        <v>0.92</v>
      </c>
      <c r="AE1260" s="71">
        <v>1</v>
      </c>
      <c r="AF1260" s="71">
        <v>0.99901960784313704</v>
      </c>
      <c r="AG1260" s="71">
        <v>0.99080157687253601</v>
      </c>
      <c r="AH1260" s="71">
        <v>0.997135764750812</v>
      </c>
      <c r="AI1260" s="73">
        <v>0.92</v>
      </c>
      <c r="AJ1260" s="71">
        <v>0.97315436241610698</v>
      </c>
      <c r="AK1260" s="71">
        <v>0.98319941563184798</v>
      </c>
      <c r="AL1260" s="71">
        <v>0.98249820187005499</v>
      </c>
      <c r="AM1260" s="71">
        <v>0.98306312199224399</v>
      </c>
      <c r="AN1260" s="70">
        <v>0.99</v>
      </c>
      <c r="AO1260" s="75">
        <v>1</v>
      </c>
      <c r="AP1260" s="75">
        <v>1</v>
      </c>
      <c r="AQ1260" s="75">
        <v>1</v>
      </c>
      <c r="AR1260" s="75">
        <v>1</v>
      </c>
      <c r="AS1260" s="95">
        <v>7.2186152540827803E-2</v>
      </c>
      <c r="AT1260" s="79">
        <v>0</v>
      </c>
      <c r="AU1260" s="79">
        <v>0</v>
      </c>
      <c r="AV1260" s="79">
        <v>0</v>
      </c>
      <c r="AW1260" s="79">
        <v>1.85185185185185E-2</v>
      </c>
      <c r="AX1260" s="56"/>
      <c r="AY1260" s="54"/>
    </row>
    <row r="1261" spans="1:51">
      <c r="A1261" s="53"/>
      <c r="B1261" s="56"/>
      <c r="C1261" s="90" t="s">
        <v>1079</v>
      </c>
      <c r="D1261" s="230" t="s">
        <v>1757</v>
      </c>
      <c r="E1261" s="68" t="s">
        <v>1080</v>
      </c>
      <c r="F1261" s="128" t="s">
        <v>1285</v>
      </c>
      <c r="G1261" s="128" t="s">
        <v>1285</v>
      </c>
      <c r="H1261" s="128" t="s">
        <v>1285</v>
      </c>
      <c r="I1261" s="128" t="s">
        <v>1285</v>
      </c>
      <c r="J1261" s="70">
        <v>0.9</v>
      </c>
      <c r="K1261" s="71">
        <v>0.95652173913043503</v>
      </c>
      <c r="L1261" s="71">
        <v>0.92307692307692302</v>
      </c>
      <c r="M1261" s="72">
        <v>0.92857142857142905</v>
      </c>
      <c r="N1261" s="71">
        <v>0.95155709342560602</v>
      </c>
      <c r="O1261" s="73">
        <v>0.9</v>
      </c>
      <c r="P1261" s="71">
        <v>0.98652694610778402</v>
      </c>
      <c r="Q1261" s="71">
        <v>0.95534729878721103</v>
      </c>
      <c r="R1261" s="71">
        <v>0.98049645390070905</v>
      </c>
      <c r="S1261" s="71">
        <v>0.98294420466954402</v>
      </c>
      <c r="T1261" s="73">
        <v>0.9</v>
      </c>
      <c r="U1261" s="71">
        <v>0.96182634730538896</v>
      </c>
      <c r="V1261" s="71">
        <v>0.966372657111356</v>
      </c>
      <c r="W1261" s="71">
        <v>0.96749408983451501</v>
      </c>
      <c r="X1261" s="71">
        <v>0.96152046175445904</v>
      </c>
      <c r="Y1261" s="73">
        <v>0.92</v>
      </c>
      <c r="Z1261" s="73">
        <v>0.96589147286821697</v>
      </c>
      <c r="AA1261" s="73">
        <v>0.95130237825594599</v>
      </c>
      <c r="AB1261" s="73">
        <v>0.96673387096774199</v>
      </c>
      <c r="AC1261" s="73">
        <v>0.96452991452991499</v>
      </c>
      <c r="AD1261" s="73">
        <v>0.92</v>
      </c>
      <c r="AE1261" s="71">
        <v>0.99702702702702695</v>
      </c>
      <c r="AF1261" s="71">
        <v>0.99541930937279799</v>
      </c>
      <c r="AG1261" s="71">
        <v>0.99793246037215699</v>
      </c>
      <c r="AH1261" s="71">
        <v>0.99603253322753404</v>
      </c>
      <c r="AI1261" s="73">
        <v>0.92</v>
      </c>
      <c r="AJ1261" s="71">
        <v>0.97476022211004498</v>
      </c>
      <c r="AK1261" s="71">
        <v>0.97367445309603295</v>
      </c>
      <c r="AL1261" s="71">
        <v>0.97578241430700496</v>
      </c>
      <c r="AM1261" s="71">
        <v>0.97898086944356999</v>
      </c>
      <c r="AN1261" s="70">
        <v>0.99</v>
      </c>
      <c r="AO1261" s="75">
        <v>1</v>
      </c>
      <c r="AP1261" s="75">
        <v>1</v>
      </c>
      <c r="AQ1261" s="75">
        <v>1</v>
      </c>
      <c r="AR1261" s="75">
        <v>1</v>
      </c>
      <c r="AS1261" s="95">
        <v>7.2186152540827803E-2</v>
      </c>
      <c r="AT1261" s="79">
        <v>0</v>
      </c>
      <c r="AU1261" s="79">
        <v>0</v>
      </c>
      <c r="AV1261" s="79">
        <v>0</v>
      </c>
      <c r="AW1261" s="79">
        <v>-1.7857142857142901E-2</v>
      </c>
      <c r="AX1261" s="56"/>
      <c r="AY1261" s="54"/>
    </row>
    <row r="1262" spans="1:51">
      <c r="A1262" s="53"/>
      <c r="B1262" s="56"/>
      <c r="C1262" s="90" t="s">
        <v>1079</v>
      </c>
      <c r="D1262" s="230" t="s">
        <v>1757</v>
      </c>
      <c r="E1262" s="68" t="s">
        <v>1080</v>
      </c>
      <c r="F1262" s="128" t="s">
        <v>1286</v>
      </c>
      <c r="G1262" s="128" t="s">
        <v>1286</v>
      </c>
      <c r="H1262" s="128" t="s">
        <v>1286</v>
      </c>
      <c r="I1262" s="128" t="s">
        <v>1286</v>
      </c>
      <c r="J1262" s="70">
        <v>0.9</v>
      </c>
      <c r="K1262" s="71">
        <v>0.97058823529411797</v>
      </c>
      <c r="L1262" s="71">
        <v>0.94594594594594605</v>
      </c>
      <c r="M1262" s="72">
        <v>0.92857142857142905</v>
      </c>
      <c r="N1262" s="71">
        <v>0.94431554524361905</v>
      </c>
      <c r="O1262" s="73">
        <v>0.9</v>
      </c>
      <c r="P1262" s="71">
        <v>0.93439911797133401</v>
      </c>
      <c r="Q1262" s="71">
        <v>0.91594996090695902</v>
      </c>
      <c r="R1262" s="71">
        <v>0.96205357142857095</v>
      </c>
      <c r="S1262" s="71">
        <v>0.95059258700083005</v>
      </c>
      <c r="T1262" s="73">
        <v>0.9</v>
      </c>
      <c r="U1262" s="71">
        <v>0.95259095920617398</v>
      </c>
      <c r="V1262" s="71">
        <v>0.96911649726348703</v>
      </c>
      <c r="W1262" s="71">
        <v>0.97589285714285701</v>
      </c>
      <c r="X1262" s="71">
        <v>0.97233335849626301</v>
      </c>
      <c r="Y1262" s="73">
        <v>0.92</v>
      </c>
      <c r="Z1262" s="73">
        <v>0.95634517766497495</v>
      </c>
      <c r="AA1262" s="73">
        <v>0.97467488021902804</v>
      </c>
      <c r="AB1262" s="73">
        <v>0.96585051546391798</v>
      </c>
      <c r="AC1262" s="73">
        <v>0.97150221967635697</v>
      </c>
      <c r="AD1262" s="73">
        <v>0.92</v>
      </c>
      <c r="AE1262" s="71">
        <v>0.99913550896909398</v>
      </c>
      <c r="AF1262" s="71">
        <v>0.52408315024505703</v>
      </c>
      <c r="AG1262" s="71">
        <v>0.998517786561265</v>
      </c>
      <c r="AH1262" s="71">
        <v>0.93996198333737802</v>
      </c>
      <c r="AI1262" s="73">
        <v>0.92</v>
      </c>
      <c r="AJ1262" s="71">
        <v>0.97427652733118997</v>
      </c>
      <c r="AK1262" s="71">
        <v>0.98507462686567204</v>
      </c>
      <c r="AL1262" s="71">
        <v>0.978639240506329</v>
      </c>
      <c r="AM1262" s="71">
        <v>0.98425877875800005</v>
      </c>
      <c r="AN1262" s="70">
        <v>0.99</v>
      </c>
      <c r="AO1262" s="75">
        <v>1</v>
      </c>
      <c r="AP1262" s="75">
        <v>1</v>
      </c>
      <c r="AQ1262" s="75">
        <v>1</v>
      </c>
      <c r="AR1262" s="75">
        <v>1</v>
      </c>
      <c r="AS1262" s="95">
        <v>7.2186152540827803E-2</v>
      </c>
      <c r="AT1262" s="79">
        <v>0.1</v>
      </c>
      <c r="AU1262" s="79">
        <v>0</v>
      </c>
      <c r="AV1262" s="79">
        <v>0</v>
      </c>
      <c r="AW1262" s="79">
        <v>3.3707865168539297E-2</v>
      </c>
      <c r="AX1262" s="56"/>
      <c r="AY1262" s="54"/>
    </row>
    <row r="1263" spans="1:51">
      <c r="A1263" s="53"/>
      <c r="B1263" s="56"/>
      <c r="C1263" s="90" t="s">
        <v>1079</v>
      </c>
      <c r="D1263" s="230" t="s">
        <v>1757</v>
      </c>
      <c r="E1263" s="68" t="s">
        <v>1080</v>
      </c>
      <c r="F1263" s="128" t="s">
        <v>1287</v>
      </c>
      <c r="G1263" s="128" t="s">
        <v>1287</v>
      </c>
      <c r="H1263" s="128" t="s">
        <v>1287</v>
      </c>
      <c r="I1263" s="128" t="s">
        <v>1287</v>
      </c>
      <c r="J1263" s="70">
        <v>0.9</v>
      </c>
      <c r="K1263" s="71">
        <v>0.92857142857142905</v>
      </c>
      <c r="L1263" s="71">
        <v>0.96875</v>
      </c>
      <c r="M1263" s="72">
        <v>1</v>
      </c>
      <c r="N1263" s="71">
        <v>0.92991913746630706</v>
      </c>
      <c r="O1263" s="73">
        <v>0.9</v>
      </c>
      <c r="P1263" s="71">
        <v>0.94891368173810897</v>
      </c>
      <c r="Q1263" s="71">
        <v>0.99401964972234103</v>
      </c>
      <c r="R1263" s="71">
        <v>0.96994072819644395</v>
      </c>
      <c r="S1263" s="71">
        <v>0.97452574525745295</v>
      </c>
      <c r="T1263" s="73">
        <v>0.9</v>
      </c>
      <c r="U1263" s="71">
        <v>0.92894891368173804</v>
      </c>
      <c r="V1263" s="71">
        <v>0.97052541648867996</v>
      </c>
      <c r="W1263" s="71">
        <v>0.95046570702794198</v>
      </c>
      <c r="X1263" s="71">
        <v>0.96500193573364301</v>
      </c>
      <c r="Y1263" s="73">
        <v>0.92</v>
      </c>
      <c r="Z1263" s="73">
        <v>0.955808080808081</v>
      </c>
      <c r="AA1263" s="73">
        <v>0.97054380664652595</v>
      </c>
      <c r="AB1263" s="73">
        <v>0.97147037307973705</v>
      </c>
      <c r="AC1263" s="73">
        <v>0.96553344822183895</v>
      </c>
      <c r="AD1263" s="73">
        <v>0.92</v>
      </c>
      <c r="AE1263" s="71">
        <v>0.99879951980792303</v>
      </c>
      <c r="AF1263" s="71">
        <v>0.99259868421052599</v>
      </c>
      <c r="AG1263" s="71">
        <v>0.97962962962962996</v>
      </c>
      <c r="AH1263" s="71">
        <v>0.99344958021957697</v>
      </c>
      <c r="AI1263" s="73">
        <v>0.92</v>
      </c>
      <c r="AJ1263" s="71">
        <v>0.97835671342685404</v>
      </c>
      <c r="AK1263" s="71">
        <v>0.98362892223738096</v>
      </c>
      <c r="AL1263" s="71">
        <v>0.98096004290694605</v>
      </c>
      <c r="AM1263" s="71">
        <v>0.98207300329006997</v>
      </c>
      <c r="AN1263" s="70">
        <v>0.99</v>
      </c>
      <c r="AO1263" s="75">
        <v>1</v>
      </c>
      <c r="AP1263" s="75">
        <v>1</v>
      </c>
      <c r="AQ1263" s="75">
        <v>1</v>
      </c>
      <c r="AR1263" s="75">
        <v>1</v>
      </c>
      <c r="AS1263" s="95">
        <v>7.2186152540827803E-2</v>
      </c>
      <c r="AT1263" s="79">
        <v>0</v>
      </c>
      <c r="AU1263" s="79">
        <v>9.0909090909090898E-2</v>
      </c>
      <c r="AV1263" s="79">
        <v>0</v>
      </c>
      <c r="AW1263" s="79">
        <v>3.7878787878787901E-2</v>
      </c>
      <c r="AX1263" s="56"/>
      <c r="AY1263" s="54"/>
    </row>
    <row r="1264" spans="1:51">
      <c r="A1264" s="53"/>
      <c r="B1264" s="56"/>
      <c r="C1264" s="90" t="s">
        <v>1079</v>
      </c>
      <c r="D1264" s="230" t="s">
        <v>1757</v>
      </c>
      <c r="E1264" s="68" t="s">
        <v>1080</v>
      </c>
      <c r="F1264" s="128" t="s">
        <v>1288</v>
      </c>
      <c r="G1264" s="128" t="s">
        <v>1288</v>
      </c>
      <c r="H1264" s="128" t="s">
        <v>1288</v>
      </c>
      <c r="I1264" s="128" t="s">
        <v>1288</v>
      </c>
      <c r="J1264" s="70">
        <v>0.9</v>
      </c>
      <c r="K1264" s="71">
        <v>0.94444444444444398</v>
      </c>
      <c r="L1264" s="71">
        <v>0.94736842105263197</v>
      </c>
      <c r="M1264" s="72">
        <v>0.95454545454545503</v>
      </c>
      <c r="N1264" s="71">
        <v>0.93981481481481499</v>
      </c>
      <c r="O1264" s="73">
        <v>0.9</v>
      </c>
      <c r="P1264" s="71">
        <v>0.99146919431279601</v>
      </c>
      <c r="Q1264" s="71">
        <v>0.99158031088082899</v>
      </c>
      <c r="R1264" s="71">
        <v>0.99623210248681204</v>
      </c>
      <c r="S1264" s="71">
        <v>0.98780718933602896</v>
      </c>
      <c r="T1264" s="73">
        <v>0.9</v>
      </c>
      <c r="U1264" s="71">
        <v>0.95639810426540295</v>
      </c>
      <c r="V1264" s="71">
        <v>0.95401554404145095</v>
      </c>
      <c r="W1264" s="71">
        <v>0.97965335342878701</v>
      </c>
      <c r="X1264" s="71">
        <v>0.96569587466043305</v>
      </c>
      <c r="Y1264" s="73">
        <v>0.92</v>
      </c>
      <c r="Z1264" s="73">
        <v>0.96461824953445097</v>
      </c>
      <c r="AA1264" s="73">
        <v>0.97350993377483397</v>
      </c>
      <c r="AB1264" s="73">
        <v>0.97580645161290303</v>
      </c>
      <c r="AC1264" s="73">
        <v>0.971573208722741</v>
      </c>
      <c r="AD1264" s="73">
        <v>0.92</v>
      </c>
      <c r="AE1264" s="71">
        <v>0.99599198396793598</v>
      </c>
      <c r="AF1264" s="71">
        <v>0.99822695035460995</v>
      </c>
      <c r="AG1264" s="71">
        <v>0.99418604651162801</v>
      </c>
      <c r="AH1264" s="71">
        <v>0.99839579991249805</v>
      </c>
      <c r="AI1264" s="73">
        <v>0.92</v>
      </c>
      <c r="AJ1264" s="71">
        <v>0.98052763819095501</v>
      </c>
      <c r="AK1264" s="71">
        <v>0.98173118747281396</v>
      </c>
      <c r="AL1264" s="71">
        <v>0.98724373576309798</v>
      </c>
      <c r="AM1264" s="71">
        <v>0.984829813453448</v>
      </c>
      <c r="AN1264" s="70">
        <v>0.99</v>
      </c>
      <c r="AO1264" s="75">
        <v>1</v>
      </c>
      <c r="AP1264" s="75">
        <v>1</v>
      </c>
      <c r="AQ1264" s="75">
        <v>1</v>
      </c>
      <c r="AR1264" s="75">
        <v>1</v>
      </c>
      <c r="AS1264" s="95">
        <v>7.2186152540827803E-2</v>
      </c>
      <c r="AT1264" s="79" t="s">
        <v>1710</v>
      </c>
      <c r="AU1264" s="79">
        <v>0.16666666666666699</v>
      </c>
      <c r="AV1264" s="79">
        <v>0</v>
      </c>
      <c r="AW1264" s="79">
        <v>9.2592592592592601E-2</v>
      </c>
      <c r="AX1264" s="56"/>
      <c r="AY1264" s="54"/>
    </row>
    <row r="1265" spans="1:51">
      <c r="A1265" s="53"/>
      <c r="B1265" s="56"/>
      <c r="C1265" s="90" t="s">
        <v>1079</v>
      </c>
      <c r="D1265" s="230" t="s">
        <v>1757</v>
      </c>
      <c r="E1265" s="68" t="s">
        <v>1080</v>
      </c>
      <c r="F1265" s="128" t="s">
        <v>1289</v>
      </c>
      <c r="G1265" s="128" t="s">
        <v>1289</v>
      </c>
      <c r="H1265" s="128" t="s">
        <v>1289</v>
      </c>
      <c r="I1265" s="128" t="s">
        <v>1289</v>
      </c>
      <c r="J1265" s="70">
        <v>0.9</v>
      </c>
      <c r="K1265" s="71">
        <v>0.77142857142857102</v>
      </c>
      <c r="L1265" s="71">
        <v>0.89473684210526305</v>
      </c>
      <c r="M1265" s="72">
        <v>0.92105263157894701</v>
      </c>
      <c r="N1265" s="71">
        <v>0.85681293302540396</v>
      </c>
      <c r="O1265" s="73">
        <v>0.9</v>
      </c>
      <c r="P1265" s="71">
        <v>0.98820608317814995</v>
      </c>
      <c r="Q1265" s="71">
        <v>0.99124999999999996</v>
      </c>
      <c r="R1265" s="71">
        <v>0.93260967887833601</v>
      </c>
      <c r="S1265" s="71">
        <v>0.97161968835788604</v>
      </c>
      <c r="T1265" s="73">
        <v>0.9</v>
      </c>
      <c r="U1265" s="71">
        <v>0.92613283674736202</v>
      </c>
      <c r="V1265" s="71">
        <v>0.95125000000000004</v>
      </c>
      <c r="W1265" s="71">
        <v>0.94255992763455498</v>
      </c>
      <c r="X1265" s="71">
        <v>0.93929551869465999</v>
      </c>
      <c r="Y1265" s="73">
        <v>0.92</v>
      </c>
      <c r="Z1265" s="73">
        <v>0.91258741258741305</v>
      </c>
      <c r="AA1265" s="73">
        <v>0.92850915431560599</v>
      </c>
      <c r="AB1265" s="73">
        <v>0.93468468468468502</v>
      </c>
      <c r="AC1265" s="73">
        <v>0.92964545742323501</v>
      </c>
      <c r="AD1265" s="73">
        <v>0.92</v>
      </c>
      <c r="AE1265" s="71">
        <v>1</v>
      </c>
      <c r="AF1265" s="71">
        <v>1</v>
      </c>
      <c r="AG1265" s="71">
        <v>1</v>
      </c>
      <c r="AH1265" s="71">
        <v>1</v>
      </c>
      <c r="AI1265" s="73">
        <v>0.92</v>
      </c>
      <c r="AJ1265" s="71">
        <v>0.94977723774807599</v>
      </c>
      <c r="AK1265" s="71">
        <v>0.96815107102593001</v>
      </c>
      <c r="AL1265" s="71">
        <v>0.96471916454981699</v>
      </c>
      <c r="AM1265" s="71">
        <v>0.96553694325412298</v>
      </c>
      <c r="AN1265" s="70">
        <v>0.99</v>
      </c>
      <c r="AO1265" s="75">
        <v>1</v>
      </c>
      <c r="AP1265" s="75">
        <v>1</v>
      </c>
      <c r="AQ1265" s="75">
        <v>1</v>
      </c>
      <c r="AR1265" s="75">
        <v>1</v>
      </c>
      <c r="AS1265" s="95">
        <v>7.2186152540827803E-2</v>
      </c>
      <c r="AT1265" s="79">
        <v>0</v>
      </c>
      <c r="AU1265" s="79">
        <v>0</v>
      </c>
      <c r="AV1265" s="79">
        <v>0.14285714285714299</v>
      </c>
      <c r="AW1265" s="79">
        <v>4.5454545454545497E-2</v>
      </c>
      <c r="AX1265" s="56"/>
      <c r="AY1265" s="54"/>
    </row>
    <row r="1266" spans="1:51">
      <c r="A1266" s="53"/>
      <c r="B1266" s="56"/>
      <c r="C1266" s="90" t="s">
        <v>1079</v>
      </c>
      <c r="D1266" s="230" t="s">
        <v>1757</v>
      </c>
      <c r="E1266" s="68" t="s">
        <v>1080</v>
      </c>
      <c r="F1266" s="128" t="s">
        <v>1290</v>
      </c>
      <c r="G1266" s="128" t="s">
        <v>1290</v>
      </c>
      <c r="H1266" s="128" t="s">
        <v>1290</v>
      </c>
      <c r="I1266" s="128" t="s">
        <v>1290</v>
      </c>
      <c r="J1266" s="70">
        <v>0.9</v>
      </c>
      <c r="K1266" s="71">
        <v>1</v>
      </c>
      <c r="L1266" s="71">
        <v>1</v>
      </c>
      <c r="M1266" s="72">
        <v>1</v>
      </c>
      <c r="N1266" s="71">
        <v>0.96907216494845405</v>
      </c>
      <c r="O1266" s="73">
        <v>0.9</v>
      </c>
      <c r="P1266" s="71">
        <v>0.99493243243243201</v>
      </c>
      <c r="Q1266" s="71">
        <v>0.99033232628398804</v>
      </c>
      <c r="R1266" s="71">
        <v>0.99809644670050801</v>
      </c>
      <c r="S1266" s="71">
        <v>0.99298536315934804</v>
      </c>
      <c r="T1266" s="73">
        <v>0.9</v>
      </c>
      <c r="U1266" s="71">
        <v>0.98057432432432401</v>
      </c>
      <c r="V1266" s="71">
        <v>0.98126888217522701</v>
      </c>
      <c r="W1266" s="71">
        <v>0.980964467005076</v>
      </c>
      <c r="X1266" s="71">
        <v>0.98221485777409601</v>
      </c>
      <c r="Y1266" s="73">
        <v>0.92</v>
      </c>
      <c r="Z1266" s="73">
        <v>0.98444790046656305</v>
      </c>
      <c r="AA1266" s="73">
        <v>0.98842105263157898</v>
      </c>
      <c r="AB1266" s="73">
        <v>0.983822042467139</v>
      </c>
      <c r="AC1266" s="73">
        <v>0.984935515335429</v>
      </c>
      <c r="AD1266" s="73">
        <v>0.92</v>
      </c>
      <c r="AE1266" s="71">
        <v>0.99934853420195402</v>
      </c>
      <c r="AF1266" s="71">
        <v>0.99823633156966496</v>
      </c>
      <c r="AG1266" s="71">
        <v>0.99650349650349601</v>
      </c>
      <c r="AH1266" s="71">
        <v>0.99715297014465998</v>
      </c>
      <c r="AI1266" s="73">
        <v>0.92</v>
      </c>
      <c r="AJ1266" s="71">
        <v>0.98960043787630003</v>
      </c>
      <c r="AK1266" s="71">
        <v>0.99117082533589296</v>
      </c>
      <c r="AL1266" s="71">
        <v>0.99025720966484798</v>
      </c>
      <c r="AM1266" s="71">
        <v>0.99154929577464801</v>
      </c>
      <c r="AN1266" s="70">
        <v>0.99</v>
      </c>
      <c r="AO1266" s="75">
        <v>1</v>
      </c>
      <c r="AP1266" s="75">
        <v>1</v>
      </c>
      <c r="AQ1266" s="75">
        <v>1</v>
      </c>
      <c r="AR1266" s="75">
        <v>1</v>
      </c>
      <c r="AS1266" s="95">
        <v>7.2186152540827803E-2</v>
      </c>
      <c r="AT1266" s="79">
        <v>0</v>
      </c>
      <c r="AU1266" s="79">
        <v>0</v>
      </c>
      <c r="AV1266" s="79">
        <v>0</v>
      </c>
      <c r="AW1266" s="79">
        <v>3.77358490566038E-2</v>
      </c>
      <c r="AX1266" s="56"/>
      <c r="AY1266" s="54"/>
    </row>
    <row r="1267" spans="1:51">
      <c r="A1267" s="53"/>
      <c r="B1267" s="56"/>
      <c r="C1267" s="90" t="s">
        <v>1079</v>
      </c>
      <c r="D1267" s="230" t="s">
        <v>1757</v>
      </c>
      <c r="E1267" s="68" t="s">
        <v>1080</v>
      </c>
      <c r="F1267" s="128" t="s">
        <v>1291</v>
      </c>
      <c r="G1267" s="128" t="s">
        <v>1291</v>
      </c>
      <c r="H1267" s="128" t="s">
        <v>1291</v>
      </c>
      <c r="I1267" s="128" t="s">
        <v>1291</v>
      </c>
      <c r="J1267" s="70">
        <v>0.9</v>
      </c>
      <c r="K1267" s="71">
        <v>0.94736842105263197</v>
      </c>
      <c r="L1267" s="71">
        <v>0.89743589743589702</v>
      </c>
      <c r="M1267" s="72">
        <v>0.94444444444444398</v>
      </c>
      <c r="N1267" s="71">
        <v>0.94712643678160902</v>
      </c>
      <c r="O1267" s="73">
        <v>0.9</v>
      </c>
      <c r="P1267" s="71">
        <v>0.98926014319809097</v>
      </c>
      <c r="Q1267" s="71">
        <v>0.98756965280754405</v>
      </c>
      <c r="R1267" s="71">
        <v>0.98280542986425301</v>
      </c>
      <c r="S1267" s="71">
        <v>0.98785376413052195</v>
      </c>
      <c r="T1267" s="73">
        <v>0.9</v>
      </c>
      <c r="U1267" s="71">
        <v>0.89916467780429599</v>
      </c>
      <c r="V1267" s="71">
        <v>0.88126875267895399</v>
      </c>
      <c r="W1267" s="71">
        <v>0.905429864253394</v>
      </c>
      <c r="X1267" s="71">
        <v>0.91253106710494702</v>
      </c>
      <c r="Y1267" s="73">
        <v>0.92</v>
      </c>
      <c r="Z1267" s="73">
        <v>0.90290037831021397</v>
      </c>
      <c r="AA1267" s="73">
        <v>0.91646778042959398</v>
      </c>
      <c r="AB1267" s="73">
        <v>0.87946428571428603</v>
      </c>
      <c r="AC1267" s="73">
        <v>0.91716075156576204</v>
      </c>
      <c r="AD1267" s="73">
        <v>0.92</v>
      </c>
      <c r="AE1267" s="71">
        <v>1</v>
      </c>
      <c r="AF1267" s="71">
        <v>0.98901098901098905</v>
      </c>
      <c r="AG1267" s="71">
        <v>0.99038461538461497</v>
      </c>
      <c r="AH1267" s="71">
        <v>0.99390774586596997</v>
      </c>
      <c r="AI1267" s="73">
        <v>0.92</v>
      </c>
      <c r="AJ1267" s="71">
        <v>0.931956257594168</v>
      </c>
      <c r="AK1267" s="71">
        <v>0.948189415041783</v>
      </c>
      <c r="AL1267" s="71">
        <v>0.93134496342149697</v>
      </c>
      <c r="AM1267" s="71">
        <v>0.95360364020476196</v>
      </c>
      <c r="AN1267" s="70">
        <v>0.99</v>
      </c>
      <c r="AO1267" s="75">
        <v>1</v>
      </c>
      <c r="AP1267" s="75">
        <v>1</v>
      </c>
      <c r="AQ1267" s="75">
        <v>1</v>
      </c>
      <c r="AR1267" s="75">
        <v>1</v>
      </c>
      <c r="AS1267" s="95">
        <v>7.2186152540827803E-2</v>
      </c>
      <c r="AT1267" s="79">
        <v>0</v>
      </c>
      <c r="AU1267" s="79">
        <v>0</v>
      </c>
      <c r="AV1267" s="79">
        <v>0.14285714285714299</v>
      </c>
      <c r="AW1267" s="79">
        <v>7.1428571428571397E-2</v>
      </c>
      <c r="AX1267" s="56"/>
      <c r="AY1267" s="54"/>
    </row>
    <row r="1268" spans="1:51">
      <c r="A1268" s="53"/>
      <c r="B1268" s="56"/>
      <c r="C1268" s="90" t="s">
        <v>1079</v>
      </c>
      <c r="D1268" s="230" t="s">
        <v>1757</v>
      </c>
      <c r="E1268" s="68" t="s">
        <v>1080</v>
      </c>
      <c r="F1268" s="128" t="s">
        <v>1292</v>
      </c>
      <c r="G1268" s="128" t="s">
        <v>1292</v>
      </c>
      <c r="H1268" s="128" t="s">
        <v>1292</v>
      </c>
      <c r="I1268" s="128" t="s">
        <v>1292</v>
      </c>
      <c r="J1268" s="70">
        <v>0.9</v>
      </c>
      <c r="K1268" s="71">
        <v>0.96</v>
      </c>
      <c r="L1268" s="71">
        <v>0.96296296296296302</v>
      </c>
      <c r="M1268" s="72">
        <v>1</v>
      </c>
      <c r="N1268" s="71">
        <v>0.97077922077922096</v>
      </c>
      <c r="O1268" s="73">
        <v>0.9</v>
      </c>
      <c r="P1268" s="71">
        <v>0.978085351787774</v>
      </c>
      <c r="Q1268" s="71">
        <v>0.98815489749430496</v>
      </c>
      <c r="R1268" s="71">
        <v>0.98710865561694305</v>
      </c>
      <c r="S1268" s="71">
        <v>0.98489438873479795</v>
      </c>
      <c r="T1268" s="73">
        <v>0.9</v>
      </c>
      <c r="U1268" s="71">
        <v>0.94521337946943496</v>
      </c>
      <c r="V1268" s="71">
        <v>0.953075170842825</v>
      </c>
      <c r="W1268" s="71">
        <v>0.96316758747697995</v>
      </c>
      <c r="X1268" s="71">
        <v>0.96641775122679796</v>
      </c>
      <c r="Y1268" s="73">
        <v>0.92</v>
      </c>
      <c r="Z1268" s="73" t="s">
        <v>1710</v>
      </c>
      <c r="AA1268" s="73" t="s">
        <v>1710</v>
      </c>
      <c r="AB1268" s="73" t="s">
        <v>1710</v>
      </c>
      <c r="AC1268" s="73" t="s">
        <v>1710</v>
      </c>
      <c r="AD1268" s="73">
        <v>0.92</v>
      </c>
      <c r="AE1268" s="71">
        <v>1</v>
      </c>
      <c r="AF1268" s="71">
        <v>1</v>
      </c>
      <c r="AG1268" s="71">
        <v>1</v>
      </c>
      <c r="AH1268" s="71">
        <v>0.99701937406855401</v>
      </c>
      <c r="AI1268" s="73">
        <v>0.92</v>
      </c>
      <c r="AJ1268" s="71">
        <v>0.95847750865051895</v>
      </c>
      <c r="AK1268" s="71">
        <v>0.96993166287015897</v>
      </c>
      <c r="AL1268" s="71">
        <v>0.97375690607734799</v>
      </c>
      <c r="AM1268" s="71">
        <v>0.97973203618364901</v>
      </c>
      <c r="AN1268" s="70">
        <v>0.99</v>
      </c>
      <c r="AO1268" s="75">
        <v>1</v>
      </c>
      <c r="AP1268" s="75">
        <v>1</v>
      </c>
      <c r="AQ1268" s="75">
        <v>1</v>
      </c>
      <c r="AR1268" s="75">
        <v>1</v>
      </c>
      <c r="AS1268" s="95">
        <v>7.2186152540827803E-2</v>
      </c>
      <c r="AT1268" s="79">
        <v>0</v>
      </c>
      <c r="AU1268" s="79">
        <v>0.11111111111111099</v>
      </c>
      <c r="AV1268" s="79">
        <v>0.14285714285714299</v>
      </c>
      <c r="AW1268" s="79">
        <v>2.9411764705882401E-2</v>
      </c>
      <c r="AX1268" s="56"/>
      <c r="AY1268" s="54"/>
    </row>
    <row r="1269" spans="1:51">
      <c r="A1269" s="53"/>
      <c r="B1269" s="56"/>
      <c r="C1269" s="90" t="s">
        <v>1079</v>
      </c>
      <c r="D1269" s="230" t="s">
        <v>1757</v>
      </c>
      <c r="E1269" s="68" t="s">
        <v>1080</v>
      </c>
      <c r="F1269" s="128" t="s">
        <v>1293</v>
      </c>
      <c r="G1269" s="128" t="s">
        <v>1293</v>
      </c>
      <c r="H1269" s="128" t="s">
        <v>1293</v>
      </c>
      <c r="I1269" s="128" t="s">
        <v>1293</v>
      </c>
      <c r="J1269" s="70">
        <v>0.9</v>
      </c>
      <c r="K1269" s="71">
        <v>0.92307692307692302</v>
      </c>
      <c r="L1269" s="71">
        <v>1</v>
      </c>
      <c r="M1269" s="72">
        <v>0.84615384615384603</v>
      </c>
      <c r="N1269" s="71">
        <v>0.95744680851063801</v>
      </c>
      <c r="O1269" s="73">
        <v>0.9</v>
      </c>
      <c r="P1269" s="71">
        <v>0.98803589232303102</v>
      </c>
      <c r="Q1269" s="71">
        <v>0.98858773181169801</v>
      </c>
      <c r="R1269" s="71">
        <v>0.98289136013686895</v>
      </c>
      <c r="S1269" s="71">
        <v>0.98036584504555402</v>
      </c>
      <c r="T1269" s="73">
        <v>0.9</v>
      </c>
      <c r="U1269" s="71">
        <v>0.96311066799601197</v>
      </c>
      <c r="V1269" s="71">
        <v>0.96005706134094104</v>
      </c>
      <c r="W1269" s="71">
        <v>0.96834901625320802</v>
      </c>
      <c r="X1269" s="71">
        <v>0.92668973797584597</v>
      </c>
      <c r="Y1269" s="73">
        <v>0.92</v>
      </c>
      <c r="Z1269" s="73" t="s">
        <v>1710</v>
      </c>
      <c r="AA1269" s="73" t="s">
        <v>1710</v>
      </c>
      <c r="AB1269" s="73" t="s">
        <v>1710</v>
      </c>
      <c r="AC1269" s="73">
        <v>1</v>
      </c>
      <c r="AD1269" s="73">
        <v>0.92</v>
      </c>
      <c r="AE1269" s="71">
        <v>1</v>
      </c>
      <c r="AF1269" s="71">
        <v>1</v>
      </c>
      <c r="AG1269" s="71">
        <v>1</v>
      </c>
      <c r="AH1269" s="71">
        <v>0.99859747545582001</v>
      </c>
      <c r="AI1269" s="73">
        <v>0.92</v>
      </c>
      <c r="AJ1269" s="71">
        <v>0.98305084745762705</v>
      </c>
      <c r="AK1269" s="71">
        <v>0.99001426533523496</v>
      </c>
      <c r="AL1269" s="71">
        <v>0.98289136013686895</v>
      </c>
      <c r="AM1269" s="71">
        <v>0.97556497175141199</v>
      </c>
      <c r="AN1269" s="70">
        <v>0.99</v>
      </c>
      <c r="AO1269" s="75">
        <v>1</v>
      </c>
      <c r="AP1269" s="75">
        <v>1</v>
      </c>
      <c r="AQ1269" s="75">
        <v>1</v>
      </c>
      <c r="AR1269" s="75">
        <v>1</v>
      </c>
      <c r="AS1269" s="95">
        <v>7.2186152540827803E-2</v>
      </c>
      <c r="AT1269" s="79">
        <v>0</v>
      </c>
      <c r="AU1269" s="79">
        <v>0</v>
      </c>
      <c r="AV1269" s="79">
        <v>0</v>
      </c>
      <c r="AW1269" s="79">
        <v>5.8823529411764698E-2</v>
      </c>
      <c r="AX1269" s="56"/>
      <c r="AY1269" s="54"/>
    </row>
    <row r="1270" spans="1:51">
      <c r="A1270" s="53"/>
      <c r="B1270" s="56"/>
      <c r="C1270" s="90" t="s">
        <v>1079</v>
      </c>
      <c r="D1270" s="230" t="s">
        <v>1757</v>
      </c>
      <c r="E1270" s="68" t="s">
        <v>1080</v>
      </c>
      <c r="F1270" s="128" t="s">
        <v>1294</v>
      </c>
      <c r="G1270" s="128" t="s">
        <v>1294</v>
      </c>
      <c r="H1270" s="128" t="s">
        <v>1294</v>
      </c>
      <c r="I1270" s="128" t="s">
        <v>1294</v>
      </c>
      <c r="J1270" s="70">
        <v>0.9</v>
      </c>
      <c r="K1270" s="71">
        <v>1</v>
      </c>
      <c r="L1270" s="71">
        <v>0.91666666666666696</v>
      </c>
      <c r="M1270" s="72">
        <v>1</v>
      </c>
      <c r="N1270" s="71">
        <v>0.99099099099099097</v>
      </c>
      <c r="O1270" s="73">
        <v>0.9</v>
      </c>
      <c r="P1270" s="71">
        <v>0.92243767313019398</v>
      </c>
      <c r="Q1270" s="71">
        <v>0.95</v>
      </c>
      <c r="R1270" s="71">
        <v>0.94837261503928205</v>
      </c>
      <c r="S1270" s="71">
        <v>0.94827941479497202</v>
      </c>
      <c r="T1270" s="73">
        <v>0.9</v>
      </c>
      <c r="U1270" s="71">
        <v>0.90997229916897504</v>
      </c>
      <c r="V1270" s="71">
        <v>0.90543478260869603</v>
      </c>
      <c r="W1270" s="71">
        <v>0.90796857463524105</v>
      </c>
      <c r="X1270" s="71">
        <v>0.897795178240264</v>
      </c>
      <c r="Y1270" s="73">
        <v>0.92</v>
      </c>
      <c r="Z1270" s="73" t="s">
        <v>1710</v>
      </c>
      <c r="AA1270" s="73" t="s">
        <v>1710</v>
      </c>
      <c r="AB1270" s="73" t="s">
        <v>1710</v>
      </c>
      <c r="AC1270" s="73" t="s">
        <v>1710</v>
      </c>
      <c r="AD1270" s="73">
        <v>0.92</v>
      </c>
      <c r="AE1270" s="71">
        <v>0.99135247319266695</v>
      </c>
      <c r="AF1270" s="71">
        <v>0.91112531969309496</v>
      </c>
      <c r="AG1270" s="71">
        <v>0.99927979834353597</v>
      </c>
      <c r="AH1270" s="71">
        <v>0.985928864476316</v>
      </c>
      <c r="AI1270" s="73">
        <v>0.92</v>
      </c>
      <c r="AJ1270" s="71">
        <v>0.94182825484764499</v>
      </c>
      <c r="AK1270" s="71">
        <v>0.95326086956521705</v>
      </c>
      <c r="AL1270" s="71">
        <v>0.95510662177328798</v>
      </c>
      <c r="AM1270" s="71">
        <v>0.95107128141738795</v>
      </c>
      <c r="AN1270" s="70">
        <v>0.99</v>
      </c>
      <c r="AO1270" s="75">
        <v>1</v>
      </c>
      <c r="AP1270" s="75">
        <v>1</v>
      </c>
      <c r="AQ1270" s="75">
        <v>1</v>
      </c>
      <c r="AR1270" s="75">
        <v>1</v>
      </c>
      <c r="AS1270" s="95">
        <v>7.2186152540827803E-2</v>
      </c>
      <c r="AT1270" s="79">
        <v>0</v>
      </c>
      <c r="AU1270" s="79">
        <v>0</v>
      </c>
      <c r="AV1270" s="79">
        <v>0</v>
      </c>
      <c r="AW1270" s="79">
        <v>0</v>
      </c>
      <c r="AX1270" s="56"/>
      <c r="AY1270" s="54"/>
    </row>
    <row r="1271" spans="1:51">
      <c r="A1271" s="53"/>
      <c r="B1271" s="56"/>
      <c r="C1271" s="90" t="s">
        <v>1079</v>
      </c>
      <c r="D1271" s="230" t="s">
        <v>1757</v>
      </c>
      <c r="E1271" s="68" t="s">
        <v>1080</v>
      </c>
      <c r="F1271" s="128" t="s">
        <v>1295</v>
      </c>
      <c r="G1271" s="128" t="s">
        <v>1295</v>
      </c>
      <c r="H1271" s="128" t="s">
        <v>1295</v>
      </c>
      <c r="I1271" s="128" t="s">
        <v>1295</v>
      </c>
      <c r="J1271" s="70">
        <v>0.9</v>
      </c>
      <c r="K1271" s="71">
        <v>0.859649122807018</v>
      </c>
      <c r="L1271" s="71">
        <v>0.91379310344827602</v>
      </c>
      <c r="M1271" s="72">
        <v>0.90163934426229497</v>
      </c>
      <c r="N1271" s="71">
        <v>0.87671232876712302</v>
      </c>
      <c r="O1271" s="73">
        <v>0.9</v>
      </c>
      <c r="P1271" s="71">
        <v>0.98851148851148896</v>
      </c>
      <c r="Q1271" s="71">
        <v>0.97591362126245895</v>
      </c>
      <c r="R1271" s="71">
        <v>0.98624484181568095</v>
      </c>
      <c r="S1271" s="71">
        <v>0.98124037968188804</v>
      </c>
      <c r="T1271" s="73">
        <v>0.9</v>
      </c>
      <c r="U1271" s="71">
        <v>0.90409590409590401</v>
      </c>
      <c r="V1271" s="71">
        <v>0.91403654485049801</v>
      </c>
      <c r="W1271" s="71">
        <v>0.91093535075653398</v>
      </c>
      <c r="X1271" s="71">
        <v>0.92579527963057995</v>
      </c>
      <c r="Y1271" s="73">
        <v>0.92</v>
      </c>
      <c r="Z1271" s="73">
        <v>0.94368196876478905</v>
      </c>
      <c r="AA1271" s="73">
        <v>0.93441734417344202</v>
      </c>
      <c r="AB1271" s="73">
        <v>0.94303310238645099</v>
      </c>
      <c r="AC1271" s="73">
        <v>0.94498644986449898</v>
      </c>
      <c r="AD1271" s="73">
        <v>0.92</v>
      </c>
      <c r="AE1271" s="71">
        <v>0.99959693671906502</v>
      </c>
      <c r="AF1271" s="71">
        <v>0.98981670061099802</v>
      </c>
      <c r="AG1271" s="71">
        <v>1</v>
      </c>
      <c r="AH1271" s="71">
        <v>0.99805742730528701</v>
      </c>
      <c r="AI1271" s="73">
        <v>0.92</v>
      </c>
      <c r="AJ1271" s="71">
        <v>0.95431348724179799</v>
      </c>
      <c r="AK1271" s="71">
        <v>0.95275035260930896</v>
      </c>
      <c r="AL1271" s="71">
        <v>0.95116194625998596</v>
      </c>
      <c r="AM1271" s="71">
        <v>0.96330464457819998</v>
      </c>
      <c r="AN1271" s="70">
        <v>0.99</v>
      </c>
      <c r="AO1271" s="75">
        <v>1</v>
      </c>
      <c r="AP1271" s="75">
        <v>1</v>
      </c>
      <c r="AQ1271" s="75">
        <v>1</v>
      </c>
      <c r="AR1271" s="75">
        <v>1</v>
      </c>
      <c r="AS1271" s="95">
        <v>7.2186152540827803E-2</v>
      </c>
      <c r="AT1271" s="79">
        <v>6.6666666666666693E-2</v>
      </c>
      <c r="AU1271" s="79">
        <v>5.8823529411764698E-2</v>
      </c>
      <c r="AV1271" s="79">
        <v>0</v>
      </c>
      <c r="AW1271" s="79">
        <v>1.6304347826087001E-2</v>
      </c>
      <c r="AX1271" s="56"/>
      <c r="AY1271" s="54"/>
    </row>
    <row r="1272" spans="1:51">
      <c r="A1272" s="53"/>
      <c r="B1272" s="56"/>
      <c r="C1272" s="90" t="s">
        <v>1079</v>
      </c>
      <c r="D1272" s="230" t="s">
        <v>1757</v>
      </c>
      <c r="E1272" s="68" t="s">
        <v>1080</v>
      </c>
      <c r="F1272" s="128" t="s">
        <v>1296</v>
      </c>
      <c r="G1272" s="128" t="s">
        <v>1296</v>
      </c>
      <c r="H1272" s="128" t="s">
        <v>1296</v>
      </c>
      <c r="I1272" s="128" t="s">
        <v>1296</v>
      </c>
      <c r="J1272" s="70">
        <v>0.9</v>
      </c>
      <c r="K1272" s="71">
        <v>0.95348837209302295</v>
      </c>
      <c r="L1272" s="71">
        <v>0.94230769230769196</v>
      </c>
      <c r="M1272" s="72">
        <v>0.95348837209302295</v>
      </c>
      <c r="N1272" s="71">
        <v>0.95131086142322097</v>
      </c>
      <c r="O1272" s="73">
        <v>0.9</v>
      </c>
      <c r="P1272" s="71">
        <v>0.98811292719167898</v>
      </c>
      <c r="Q1272" s="71">
        <v>0.98839618731868994</v>
      </c>
      <c r="R1272" s="71">
        <v>0.99039487726787601</v>
      </c>
      <c r="S1272" s="71">
        <v>0.97889755723238303</v>
      </c>
      <c r="T1272" s="73">
        <v>0.9</v>
      </c>
      <c r="U1272" s="71">
        <v>0.94848935116394295</v>
      </c>
      <c r="V1272" s="71">
        <v>0.96394529631164505</v>
      </c>
      <c r="W1272" s="71">
        <v>0.93738882959800796</v>
      </c>
      <c r="X1272" s="71">
        <v>0.95942575776953598</v>
      </c>
      <c r="Y1272" s="73">
        <v>0.92</v>
      </c>
      <c r="Z1272" s="73">
        <v>0.96062176165803104</v>
      </c>
      <c r="AA1272" s="73">
        <v>0.97670725251455803</v>
      </c>
      <c r="AB1272" s="73">
        <v>0.941455696202532</v>
      </c>
      <c r="AC1272" s="73">
        <v>0.96978134842744301</v>
      </c>
      <c r="AD1272" s="73">
        <v>0.92</v>
      </c>
      <c r="AE1272" s="71">
        <v>0.99954658807526597</v>
      </c>
      <c r="AF1272" s="71">
        <v>0.99860675722744696</v>
      </c>
      <c r="AG1272" s="71">
        <v>1</v>
      </c>
      <c r="AH1272" s="71">
        <v>0.99947862356621497</v>
      </c>
      <c r="AI1272" s="73">
        <v>0.92</v>
      </c>
      <c r="AJ1272" s="71">
        <v>0.96758673081792901</v>
      </c>
      <c r="AK1272" s="71">
        <v>0.98279869827986999</v>
      </c>
      <c r="AL1272" s="71">
        <v>0.95711610486891396</v>
      </c>
      <c r="AM1272" s="71">
        <v>0.98046441665883199</v>
      </c>
      <c r="AN1272" s="70">
        <v>0.99</v>
      </c>
      <c r="AO1272" s="75">
        <v>1</v>
      </c>
      <c r="AP1272" s="75">
        <v>1</v>
      </c>
      <c r="AQ1272" s="75">
        <v>1</v>
      </c>
      <c r="AR1272" s="75">
        <v>1</v>
      </c>
      <c r="AS1272" s="95">
        <v>7.2186152540827803E-2</v>
      </c>
      <c r="AT1272" s="79">
        <v>0.14285714285714299</v>
      </c>
      <c r="AU1272" s="79">
        <v>0</v>
      </c>
      <c r="AV1272" s="79">
        <v>0</v>
      </c>
      <c r="AW1272" s="79">
        <v>3.7656903765690398E-2</v>
      </c>
      <c r="AX1272" s="56"/>
      <c r="AY1272" s="54"/>
    </row>
    <row r="1273" spans="1:51">
      <c r="A1273" s="53"/>
      <c r="B1273" s="56"/>
      <c r="C1273" s="90" t="s">
        <v>1079</v>
      </c>
      <c r="D1273" s="230" t="s">
        <v>1757</v>
      </c>
      <c r="E1273" s="68" t="s">
        <v>1080</v>
      </c>
      <c r="F1273" s="128" t="s">
        <v>1297</v>
      </c>
      <c r="G1273" s="128" t="s">
        <v>1297</v>
      </c>
      <c r="H1273" s="128" t="s">
        <v>1297</v>
      </c>
      <c r="I1273" s="128" t="s">
        <v>1297</v>
      </c>
      <c r="J1273" s="70">
        <v>0.9</v>
      </c>
      <c r="K1273" s="71">
        <v>0.96296296296296302</v>
      </c>
      <c r="L1273" s="71">
        <v>0.92</v>
      </c>
      <c r="M1273" s="72">
        <v>0.92592592592592604</v>
      </c>
      <c r="N1273" s="71">
        <v>0.82993197278911601</v>
      </c>
      <c r="O1273" s="73">
        <v>0.9</v>
      </c>
      <c r="P1273" s="71">
        <v>0.99493528418683197</v>
      </c>
      <c r="Q1273" s="71">
        <v>0.99473914949583497</v>
      </c>
      <c r="R1273" s="71">
        <v>0.99111675126903598</v>
      </c>
      <c r="S1273" s="71">
        <v>0.98440824853948194</v>
      </c>
      <c r="T1273" s="73">
        <v>0.9</v>
      </c>
      <c r="U1273" s="71">
        <v>0.91446257737760295</v>
      </c>
      <c r="V1273" s="71">
        <v>0.90442788250767203</v>
      </c>
      <c r="W1273" s="71">
        <v>0.89932318104906905</v>
      </c>
      <c r="X1273" s="71">
        <v>0.90586915309320204</v>
      </c>
      <c r="Y1273" s="73">
        <v>0.92</v>
      </c>
      <c r="Z1273" s="73">
        <v>0</v>
      </c>
      <c r="AA1273" s="73">
        <v>1</v>
      </c>
      <c r="AB1273" s="73" t="s">
        <v>1710</v>
      </c>
      <c r="AC1273" s="73">
        <v>0.5</v>
      </c>
      <c r="AD1273" s="73">
        <v>0.92</v>
      </c>
      <c r="AE1273" s="71">
        <v>1</v>
      </c>
      <c r="AF1273" s="71">
        <v>1</v>
      </c>
      <c r="AG1273" s="71">
        <v>1</v>
      </c>
      <c r="AH1273" s="71">
        <v>1</v>
      </c>
      <c r="AI1273" s="73">
        <v>0.92</v>
      </c>
      <c r="AJ1273" s="71">
        <v>0.95727937043282696</v>
      </c>
      <c r="AK1273" s="71">
        <v>0.96495838808585199</v>
      </c>
      <c r="AL1273" s="71">
        <v>0.96573604060913698</v>
      </c>
      <c r="AM1273" s="71">
        <v>0.97767978027929303</v>
      </c>
      <c r="AN1273" s="70">
        <v>0.99</v>
      </c>
      <c r="AO1273" s="75">
        <v>1</v>
      </c>
      <c r="AP1273" s="75">
        <v>1</v>
      </c>
      <c r="AQ1273" s="75">
        <v>1</v>
      </c>
      <c r="AR1273" s="75">
        <v>1</v>
      </c>
      <c r="AS1273" s="95">
        <v>7.2186152540827803E-2</v>
      </c>
      <c r="AT1273" s="79">
        <v>0</v>
      </c>
      <c r="AU1273" s="79">
        <v>0</v>
      </c>
      <c r="AV1273" s="79">
        <v>0</v>
      </c>
      <c r="AW1273" s="79">
        <v>-1.38888888888889E-2</v>
      </c>
      <c r="AX1273" s="56"/>
      <c r="AY1273" s="54"/>
    </row>
    <row r="1274" spans="1:51">
      <c r="A1274" s="53"/>
      <c r="B1274" s="56"/>
      <c r="C1274" s="90" t="s">
        <v>1079</v>
      </c>
      <c r="D1274" s="230" t="s">
        <v>1757</v>
      </c>
      <c r="E1274" s="68" t="s">
        <v>1080</v>
      </c>
      <c r="F1274" s="128" t="s">
        <v>1298</v>
      </c>
      <c r="G1274" s="128" t="s">
        <v>1298</v>
      </c>
      <c r="H1274" s="128" t="s">
        <v>1298</v>
      </c>
      <c r="I1274" s="128" t="s">
        <v>1298</v>
      </c>
      <c r="J1274" s="70">
        <v>0.9</v>
      </c>
      <c r="K1274" s="71">
        <v>0.97499999999999998</v>
      </c>
      <c r="L1274" s="71">
        <v>1</v>
      </c>
      <c r="M1274" s="72">
        <v>0.97674418604651203</v>
      </c>
      <c r="N1274" s="71">
        <v>0.99577167019027502</v>
      </c>
      <c r="O1274" s="73">
        <v>0.9</v>
      </c>
      <c r="P1274" s="71">
        <v>0.98862385321100898</v>
      </c>
      <c r="Q1274" s="71">
        <v>0.98975920287849395</v>
      </c>
      <c r="R1274" s="71">
        <v>0.99075889106692805</v>
      </c>
      <c r="S1274" s="71">
        <v>0.99075943469482797</v>
      </c>
      <c r="T1274" s="73">
        <v>0.9</v>
      </c>
      <c r="U1274" s="71">
        <v>0.96697247706421996</v>
      </c>
      <c r="V1274" s="71">
        <v>0.97398283974536404</v>
      </c>
      <c r="W1274" s="71">
        <v>0.97983758050966097</v>
      </c>
      <c r="X1274" s="71">
        <v>0.975772635502407</v>
      </c>
      <c r="Y1274" s="73">
        <v>0.92</v>
      </c>
      <c r="Z1274" s="73" t="s">
        <v>1710</v>
      </c>
      <c r="AA1274" s="73" t="s">
        <v>1710</v>
      </c>
      <c r="AB1274" s="73" t="s">
        <v>1710</v>
      </c>
      <c r="AC1274" s="73" t="s">
        <v>1710</v>
      </c>
      <c r="AD1274" s="73">
        <v>0.92</v>
      </c>
      <c r="AE1274" s="71">
        <v>1</v>
      </c>
      <c r="AF1274" s="71">
        <v>1</v>
      </c>
      <c r="AG1274" s="71">
        <v>0.99925093632958795</v>
      </c>
      <c r="AH1274" s="71">
        <v>0.99834267224370599</v>
      </c>
      <c r="AI1274" s="73">
        <v>0.92</v>
      </c>
      <c r="AJ1274" s="71">
        <v>0.97834862385321097</v>
      </c>
      <c r="AK1274" s="71">
        <v>0.98283974536396301</v>
      </c>
      <c r="AL1274" s="71">
        <v>0.98291795015401895</v>
      </c>
      <c r="AM1274" s="71">
        <v>0.98705803178547402</v>
      </c>
      <c r="AN1274" s="70">
        <v>0.99</v>
      </c>
      <c r="AO1274" s="75">
        <v>1</v>
      </c>
      <c r="AP1274" s="75">
        <v>1</v>
      </c>
      <c r="AQ1274" s="75">
        <v>1</v>
      </c>
      <c r="AR1274" s="75">
        <v>1</v>
      </c>
      <c r="AS1274" s="95">
        <v>7.2186152540827803E-2</v>
      </c>
      <c r="AT1274" s="79">
        <v>0</v>
      </c>
      <c r="AU1274" s="79">
        <v>7.1428571428571397E-2</v>
      </c>
      <c r="AV1274" s="79">
        <v>0.1</v>
      </c>
      <c r="AW1274" s="79">
        <v>4.0404040404040401E-2</v>
      </c>
      <c r="AX1274" s="56"/>
      <c r="AY1274" s="54"/>
    </row>
    <row r="1275" spans="1:51">
      <c r="A1275" s="53"/>
      <c r="B1275" s="56"/>
      <c r="C1275" s="90" t="s">
        <v>1079</v>
      </c>
      <c r="D1275" s="230" t="s">
        <v>1757</v>
      </c>
      <c r="E1275" s="68" t="s">
        <v>1080</v>
      </c>
      <c r="F1275" s="128" t="s">
        <v>1299</v>
      </c>
      <c r="G1275" s="128" t="s">
        <v>1299</v>
      </c>
      <c r="H1275" s="128" t="s">
        <v>1299</v>
      </c>
      <c r="I1275" s="128" t="s">
        <v>1299</v>
      </c>
      <c r="J1275" s="70">
        <v>0.9</v>
      </c>
      <c r="K1275" s="71">
        <v>0.72727272727272696</v>
      </c>
      <c r="L1275" s="71">
        <v>0.88</v>
      </c>
      <c r="M1275" s="72">
        <v>0.85714285714285698</v>
      </c>
      <c r="N1275" s="71">
        <v>0.85490196078431402</v>
      </c>
      <c r="O1275" s="73">
        <v>0.9</v>
      </c>
      <c r="P1275" s="71">
        <v>0.97606837606837604</v>
      </c>
      <c r="Q1275" s="71">
        <v>0.97991071428571397</v>
      </c>
      <c r="R1275" s="71">
        <v>0.85370286233530202</v>
      </c>
      <c r="S1275" s="71">
        <v>0.95033273819185204</v>
      </c>
      <c r="T1275" s="73">
        <v>0.9</v>
      </c>
      <c r="U1275" s="71">
        <v>0.87977207977208005</v>
      </c>
      <c r="V1275" s="71">
        <v>0.87544642857142896</v>
      </c>
      <c r="W1275" s="71">
        <v>0.79236710586097203</v>
      </c>
      <c r="X1275" s="71">
        <v>0.827787696802467</v>
      </c>
      <c r="Y1275" s="73">
        <v>0.92</v>
      </c>
      <c r="Z1275" s="73" t="s">
        <v>1710</v>
      </c>
      <c r="AA1275" s="73" t="s">
        <v>1710</v>
      </c>
      <c r="AB1275" s="73" t="s">
        <v>1710</v>
      </c>
      <c r="AC1275" s="73" t="s">
        <v>1710</v>
      </c>
      <c r="AD1275" s="73">
        <v>0.92</v>
      </c>
      <c r="AE1275" s="71">
        <v>0.98855151816824305</v>
      </c>
      <c r="AF1275" s="71">
        <v>0.99809885931558895</v>
      </c>
      <c r="AG1275" s="71">
        <v>1</v>
      </c>
      <c r="AH1275" s="71">
        <v>0.98990490124359898</v>
      </c>
      <c r="AI1275" s="73">
        <v>0.92</v>
      </c>
      <c r="AJ1275" s="71">
        <v>0.92763532763532797</v>
      </c>
      <c r="AK1275" s="71">
        <v>0.95760821062025903</v>
      </c>
      <c r="AL1275" s="71">
        <v>0.94002726033621098</v>
      </c>
      <c r="AM1275" s="71">
        <v>0.95252586731588595</v>
      </c>
      <c r="AN1275" s="70">
        <v>0.99</v>
      </c>
      <c r="AO1275" s="75">
        <v>1</v>
      </c>
      <c r="AP1275" s="75">
        <v>1</v>
      </c>
      <c r="AQ1275" s="75">
        <v>1</v>
      </c>
      <c r="AR1275" s="75">
        <v>1</v>
      </c>
      <c r="AS1275" s="95">
        <v>7.2186152540827803E-2</v>
      </c>
      <c r="AT1275" s="79">
        <v>0</v>
      </c>
      <c r="AU1275" s="79">
        <v>3.2258064516128997E-2</v>
      </c>
      <c r="AV1275" s="79">
        <v>0</v>
      </c>
      <c r="AW1275" s="79">
        <v>2.7777777777777801E-2</v>
      </c>
      <c r="AX1275" s="56"/>
      <c r="AY1275" s="54"/>
    </row>
    <row r="1276" spans="1:51">
      <c r="A1276" s="53"/>
      <c r="B1276" s="56"/>
      <c r="C1276" s="90" t="s">
        <v>1079</v>
      </c>
      <c r="D1276" s="230" t="s">
        <v>1757</v>
      </c>
      <c r="E1276" s="68" t="s">
        <v>1080</v>
      </c>
      <c r="F1276" s="128" t="s">
        <v>1300</v>
      </c>
      <c r="G1276" s="128" t="s">
        <v>1300</v>
      </c>
      <c r="H1276" s="128" t="s">
        <v>1300</v>
      </c>
      <c r="I1276" s="128" t="s">
        <v>1300</v>
      </c>
      <c r="J1276" s="70">
        <v>0.9</v>
      </c>
      <c r="K1276" s="71">
        <v>0.92</v>
      </c>
      <c r="L1276" s="71">
        <v>0.96551724137931005</v>
      </c>
      <c r="M1276" s="72">
        <v>0.931034482758621</v>
      </c>
      <c r="N1276" s="71">
        <v>0.92331288343558304</v>
      </c>
      <c r="O1276" s="73">
        <v>0.9</v>
      </c>
      <c r="P1276" s="71">
        <v>0.97861241523213305</v>
      </c>
      <c r="Q1276" s="71">
        <v>0.91909127142287805</v>
      </c>
      <c r="R1276" s="71">
        <v>0.98612917208495898</v>
      </c>
      <c r="S1276" s="71">
        <v>0.95987925566466703</v>
      </c>
      <c r="T1276" s="73">
        <v>0.9</v>
      </c>
      <c r="U1276" s="71">
        <v>0.70839853938445496</v>
      </c>
      <c r="V1276" s="71">
        <v>0.65842965324830605</v>
      </c>
      <c r="W1276" s="71">
        <v>0.70307758994364999</v>
      </c>
      <c r="X1276" s="71">
        <v>0.751098544190134</v>
      </c>
      <c r="Y1276" s="73">
        <v>0.92</v>
      </c>
      <c r="Z1276" s="73" t="s">
        <v>1710</v>
      </c>
      <c r="AA1276" s="73" t="s">
        <v>1710</v>
      </c>
      <c r="AB1276" s="73" t="s">
        <v>1710</v>
      </c>
      <c r="AC1276" s="73" t="s">
        <v>1710</v>
      </c>
      <c r="AD1276" s="73">
        <v>0.92</v>
      </c>
      <c r="AE1276" s="71">
        <v>0.99864084267754005</v>
      </c>
      <c r="AF1276" s="71">
        <v>0.99206349206349198</v>
      </c>
      <c r="AG1276" s="71">
        <v>0.99338113623827895</v>
      </c>
      <c r="AH1276" s="71">
        <v>0.99776826105313998</v>
      </c>
      <c r="AI1276" s="73">
        <v>0.92</v>
      </c>
      <c r="AJ1276" s="71">
        <v>0.87689097548252504</v>
      </c>
      <c r="AK1276" s="71">
        <v>0.91470705460342805</v>
      </c>
      <c r="AL1276" s="71">
        <v>0.91244039878630301</v>
      </c>
      <c r="AM1276" s="71">
        <v>0.92518436437277896</v>
      </c>
      <c r="AN1276" s="70">
        <v>0.99</v>
      </c>
      <c r="AO1276" s="75">
        <v>1</v>
      </c>
      <c r="AP1276" s="75">
        <v>1</v>
      </c>
      <c r="AQ1276" s="75">
        <v>1</v>
      </c>
      <c r="AR1276" s="75">
        <v>1</v>
      </c>
      <c r="AS1276" s="95">
        <v>7.2186152540827803E-2</v>
      </c>
      <c r="AT1276" s="79">
        <v>0</v>
      </c>
      <c r="AU1276" s="79">
        <v>-0.14285714285714299</v>
      </c>
      <c r="AV1276" s="79">
        <v>0.33333333333333298</v>
      </c>
      <c r="AW1276" s="79">
        <v>7.4074074074074098E-2</v>
      </c>
      <c r="AX1276" s="56"/>
      <c r="AY1276" s="54"/>
    </row>
    <row r="1277" spans="1:51">
      <c r="A1277" s="53"/>
      <c r="B1277" s="56"/>
      <c r="C1277" s="90" t="s">
        <v>1079</v>
      </c>
      <c r="D1277" s="230" t="s">
        <v>1757</v>
      </c>
      <c r="E1277" s="68" t="s">
        <v>1080</v>
      </c>
      <c r="F1277" s="128" t="s">
        <v>1301</v>
      </c>
      <c r="G1277" s="128" t="s">
        <v>1301</v>
      </c>
      <c r="H1277" s="128" t="s">
        <v>1301</v>
      </c>
      <c r="I1277" s="128" t="s">
        <v>1301</v>
      </c>
      <c r="J1277" s="70">
        <v>0.9</v>
      </c>
      <c r="K1277" s="71">
        <v>1</v>
      </c>
      <c r="L1277" s="71">
        <v>0.95454545454545503</v>
      </c>
      <c r="M1277" s="72">
        <v>0.94736842105263197</v>
      </c>
      <c r="N1277" s="71">
        <v>0.96624472573839704</v>
      </c>
      <c r="O1277" s="73">
        <v>0.9</v>
      </c>
      <c r="P1277" s="71">
        <v>0.98119777158774402</v>
      </c>
      <c r="Q1277" s="71">
        <v>0.940273037542662</v>
      </c>
      <c r="R1277" s="71">
        <v>0.98266586969515801</v>
      </c>
      <c r="S1277" s="71">
        <v>0.96256713211600398</v>
      </c>
      <c r="T1277" s="73">
        <v>0.9</v>
      </c>
      <c r="U1277" s="71">
        <v>0.92896935933147595</v>
      </c>
      <c r="V1277" s="71">
        <v>0.902161547212742</v>
      </c>
      <c r="W1277" s="71">
        <v>0.81829049611476401</v>
      </c>
      <c r="X1277" s="71">
        <v>0.90784103114930204</v>
      </c>
      <c r="Y1277" s="73">
        <v>0.92</v>
      </c>
      <c r="Z1277" s="73" t="s">
        <v>1710</v>
      </c>
      <c r="AA1277" s="73" t="s">
        <v>1710</v>
      </c>
      <c r="AB1277" s="73" t="s">
        <v>1710</v>
      </c>
      <c r="AC1277" s="73" t="s">
        <v>1710</v>
      </c>
      <c r="AD1277" s="73">
        <v>0.92</v>
      </c>
      <c r="AE1277" s="71">
        <v>0.99472295514511899</v>
      </c>
      <c r="AF1277" s="71">
        <v>0.990291262135922</v>
      </c>
      <c r="AG1277" s="71">
        <v>1</v>
      </c>
      <c r="AH1277" s="71">
        <v>0.99844176081028402</v>
      </c>
      <c r="AI1277" s="73">
        <v>0.92</v>
      </c>
      <c r="AJ1277" s="71">
        <v>0.97214484679665703</v>
      </c>
      <c r="AK1277" s="71">
        <v>0.97838452787258201</v>
      </c>
      <c r="AL1277" s="71">
        <v>0.97489539748954002</v>
      </c>
      <c r="AM1277" s="71">
        <v>0.97067669172932303</v>
      </c>
      <c r="AN1277" s="70">
        <v>0.99</v>
      </c>
      <c r="AO1277" s="75">
        <v>1</v>
      </c>
      <c r="AP1277" s="75">
        <v>1</v>
      </c>
      <c r="AQ1277" s="75">
        <v>1</v>
      </c>
      <c r="AR1277" s="75">
        <v>1</v>
      </c>
      <c r="AS1277" s="95">
        <v>7.2186152540827803E-2</v>
      </c>
      <c r="AT1277" s="79">
        <v>0</v>
      </c>
      <c r="AU1277" s="79">
        <v>0</v>
      </c>
      <c r="AV1277" s="79">
        <v>0</v>
      </c>
      <c r="AW1277" s="79">
        <v>0.02</v>
      </c>
      <c r="AX1277" s="56"/>
      <c r="AY1277" s="54"/>
    </row>
    <row r="1278" spans="1:51">
      <c r="A1278" s="53"/>
      <c r="B1278" s="56"/>
      <c r="C1278" s="90" t="s">
        <v>1079</v>
      </c>
      <c r="D1278" s="230" t="s">
        <v>1757</v>
      </c>
      <c r="E1278" s="68" t="s">
        <v>1080</v>
      </c>
      <c r="F1278" s="128" t="s">
        <v>1302</v>
      </c>
      <c r="G1278" s="128" t="s">
        <v>1302</v>
      </c>
      <c r="H1278" s="128" t="s">
        <v>1302</v>
      </c>
      <c r="I1278" s="128" t="s">
        <v>1302</v>
      </c>
      <c r="J1278" s="70">
        <v>0.9</v>
      </c>
      <c r="K1278" s="71">
        <v>0.83333333333333304</v>
      </c>
      <c r="L1278" s="71">
        <v>0.85185185185185197</v>
      </c>
      <c r="M1278" s="72">
        <v>0.84</v>
      </c>
      <c r="N1278" s="71">
        <v>0.89964157706093195</v>
      </c>
      <c r="O1278" s="73">
        <v>0.9</v>
      </c>
      <c r="P1278" s="71">
        <v>0.84973703981968396</v>
      </c>
      <c r="Q1278" s="71">
        <v>0.87473460721868401</v>
      </c>
      <c r="R1278" s="71">
        <v>0.78962875662934595</v>
      </c>
      <c r="S1278" s="71">
        <v>0.79758761712481197</v>
      </c>
      <c r="T1278" s="73">
        <v>0.9</v>
      </c>
      <c r="U1278" s="71">
        <v>0.83846731780616102</v>
      </c>
      <c r="V1278" s="71">
        <v>0.82059447983014899</v>
      </c>
      <c r="W1278" s="71">
        <v>0.76016499705362395</v>
      </c>
      <c r="X1278" s="71">
        <v>0.80276440441062302</v>
      </c>
      <c r="Y1278" s="73">
        <v>0.92</v>
      </c>
      <c r="Z1278" s="73" t="s">
        <v>1710</v>
      </c>
      <c r="AA1278" s="73" t="s">
        <v>1710</v>
      </c>
      <c r="AB1278" s="73" t="s">
        <v>1710</v>
      </c>
      <c r="AC1278" s="73" t="s">
        <v>1710</v>
      </c>
      <c r="AD1278" s="73">
        <v>0.92</v>
      </c>
      <c r="AE1278" s="71">
        <v>0.99684542586750802</v>
      </c>
      <c r="AF1278" s="71">
        <v>1</v>
      </c>
      <c r="AG1278" s="71">
        <v>1</v>
      </c>
      <c r="AH1278" s="71">
        <v>0.91503568961547299</v>
      </c>
      <c r="AI1278" s="73">
        <v>0.92</v>
      </c>
      <c r="AJ1278" s="71">
        <v>0.94290007513148</v>
      </c>
      <c r="AK1278" s="71">
        <v>0.96443736730360896</v>
      </c>
      <c r="AL1278" s="71">
        <v>0.95167943429581603</v>
      </c>
      <c r="AM1278" s="71">
        <v>0.95273593208055096</v>
      </c>
      <c r="AN1278" s="70">
        <v>0.99</v>
      </c>
      <c r="AO1278" s="75">
        <v>1</v>
      </c>
      <c r="AP1278" s="75">
        <v>1</v>
      </c>
      <c r="AQ1278" s="75">
        <v>1</v>
      </c>
      <c r="AR1278" s="75">
        <v>1</v>
      </c>
      <c r="AS1278" s="95">
        <v>7.2186152540827803E-2</v>
      </c>
      <c r="AT1278" s="79">
        <v>0</v>
      </c>
      <c r="AU1278" s="79">
        <v>0.11111111111111099</v>
      </c>
      <c r="AV1278" s="79">
        <v>0</v>
      </c>
      <c r="AW1278" s="79">
        <v>6.1728395061728399E-2</v>
      </c>
      <c r="AX1278" s="56"/>
      <c r="AY1278" s="54"/>
    </row>
    <row r="1279" spans="1:51">
      <c r="A1279" s="53"/>
      <c r="B1279" s="56"/>
      <c r="C1279" s="90" t="s">
        <v>1079</v>
      </c>
      <c r="D1279" s="230" t="s">
        <v>1757</v>
      </c>
      <c r="E1279" s="68" t="s">
        <v>1080</v>
      </c>
      <c r="F1279" s="128" t="s">
        <v>1303</v>
      </c>
      <c r="G1279" s="128" t="s">
        <v>1303</v>
      </c>
      <c r="H1279" s="128" t="s">
        <v>1303</v>
      </c>
      <c r="I1279" s="128" t="s">
        <v>1303</v>
      </c>
      <c r="J1279" s="70">
        <v>0.9</v>
      </c>
      <c r="K1279" s="71">
        <v>0.90476190476190499</v>
      </c>
      <c r="L1279" s="71">
        <v>1</v>
      </c>
      <c r="M1279" s="72">
        <v>1</v>
      </c>
      <c r="N1279" s="71">
        <v>0.97810218978102204</v>
      </c>
      <c r="O1279" s="73">
        <v>0.9</v>
      </c>
      <c r="P1279" s="71">
        <v>0.98545935228023795</v>
      </c>
      <c r="Q1279" s="71">
        <v>0.98219735503560501</v>
      </c>
      <c r="R1279" s="71">
        <v>0.98706896551724099</v>
      </c>
      <c r="S1279" s="71">
        <v>0.97978848413631003</v>
      </c>
      <c r="T1279" s="73">
        <v>0.9</v>
      </c>
      <c r="U1279" s="71">
        <v>0.943159286186385</v>
      </c>
      <c r="V1279" s="71">
        <v>0.92828077314343804</v>
      </c>
      <c r="W1279" s="71">
        <v>0.95258620689655205</v>
      </c>
      <c r="X1279" s="71">
        <v>0.95384253819036402</v>
      </c>
      <c r="Y1279" s="73">
        <v>0.92</v>
      </c>
      <c r="Z1279" s="73" t="s">
        <v>1710</v>
      </c>
      <c r="AA1279" s="73" t="s">
        <v>1710</v>
      </c>
      <c r="AB1279" s="73" t="s">
        <v>1710</v>
      </c>
      <c r="AC1279" s="73" t="s">
        <v>1710</v>
      </c>
      <c r="AD1279" s="73">
        <v>0.92</v>
      </c>
      <c r="AE1279" s="71">
        <v>1</v>
      </c>
      <c r="AF1279" s="71">
        <v>0.96739130434782605</v>
      </c>
      <c r="AG1279" s="71">
        <v>1</v>
      </c>
      <c r="AH1279" s="71">
        <v>0.99814126394052005</v>
      </c>
      <c r="AI1279" s="73">
        <v>0.92</v>
      </c>
      <c r="AJ1279" s="71">
        <v>0.96034368803701298</v>
      </c>
      <c r="AK1279" s="71">
        <v>0.96490335707019304</v>
      </c>
      <c r="AL1279" s="71">
        <v>0.97988505747126398</v>
      </c>
      <c r="AM1279" s="71">
        <v>0.97974148061104605</v>
      </c>
      <c r="AN1279" s="70">
        <v>0.99</v>
      </c>
      <c r="AO1279" s="75">
        <v>1</v>
      </c>
      <c r="AP1279" s="75">
        <v>1</v>
      </c>
      <c r="AQ1279" s="75">
        <v>1</v>
      </c>
      <c r="AR1279" s="75">
        <v>1</v>
      </c>
      <c r="AS1279" s="95">
        <v>7.2186152540827803E-2</v>
      </c>
      <c r="AT1279" s="79">
        <v>0</v>
      </c>
      <c r="AU1279" s="79">
        <v>-0.14285714285714299</v>
      </c>
      <c r="AV1279" s="79">
        <v>0</v>
      </c>
      <c r="AW1279" s="79">
        <v>2.7397260273972601E-2</v>
      </c>
      <c r="AX1279" s="56"/>
      <c r="AY1279" s="54"/>
    </row>
    <row r="1280" spans="1:51">
      <c r="A1280" s="53"/>
      <c r="B1280" s="56"/>
      <c r="C1280" s="90" t="s">
        <v>1079</v>
      </c>
      <c r="D1280" s="230" t="s">
        <v>1757</v>
      </c>
      <c r="E1280" s="68" t="s">
        <v>1080</v>
      </c>
      <c r="F1280" s="128" t="s">
        <v>1304</v>
      </c>
      <c r="G1280" s="128" t="s">
        <v>1304</v>
      </c>
      <c r="H1280" s="128" t="s">
        <v>1304</v>
      </c>
      <c r="I1280" s="128" t="s">
        <v>1304</v>
      </c>
      <c r="J1280" s="70">
        <v>0.9</v>
      </c>
      <c r="K1280" s="71">
        <v>0.90384615384615397</v>
      </c>
      <c r="L1280" s="71">
        <v>0.94</v>
      </c>
      <c r="M1280" s="72">
        <v>0.89361702127659604</v>
      </c>
      <c r="N1280" s="71">
        <v>0.92105263157894701</v>
      </c>
      <c r="O1280" s="73">
        <v>0.9</v>
      </c>
      <c r="P1280" s="71">
        <v>0.99133365430910003</v>
      </c>
      <c r="Q1280" s="71">
        <v>0.98464730290456404</v>
      </c>
      <c r="R1280" s="71">
        <v>0.98750000000000004</v>
      </c>
      <c r="S1280" s="71">
        <v>0.97796369376479897</v>
      </c>
      <c r="T1280" s="73">
        <v>0.9</v>
      </c>
      <c r="U1280" s="71">
        <v>0.91959557053442498</v>
      </c>
      <c r="V1280" s="71">
        <v>0.93402489626555996</v>
      </c>
      <c r="W1280" s="71">
        <v>0.90921052631578902</v>
      </c>
      <c r="X1280" s="71">
        <v>0.92126282557221795</v>
      </c>
      <c r="Y1280" s="73">
        <v>0.92</v>
      </c>
      <c r="Z1280" s="73">
        <v>0.91928494041170095</v>
      </c>
      <c r="AA1280" s="73">
        <v>0.95161290322580605</v>
      </c>
      <c r="AB1280" s="73">
        <v>0.93862392494136004</v>
      </c>
      <c r="AC1280" s="73">
        <v>0.941637552629222</v>
      </c>
      <c r="AD1280" s="73">
        <v>0.92</v>
      </c>
      <c r="AE1280" s="71">
        <v>0.99930410577592199</v>
      </c>
      <c r="AF1280" s="71">
        <v>0.99848484848484897</v>
      </c>
      <c r="AG1280" s="71">
        <v>1</v>
      </c>
      <c r="AH1280" s="71">
        <v>0.99850370137029498</v>
      </c>
      <c r="AI1280" s="73">
        <v>0.92</v>
      </c>
      <c r="AJ1280" s="71">
        <v>0.94188121335712505</v>
      </c>
      <c r="AK1280" s="71">
        <v>0.96631287494231699</v>
      </c>
      <c r="AL1280" s="71">
        <v>0.95411533654704495</v>
      </c>
      <c r="AM1280" s="71">
        <v>0.96230188120278504</v>
      </c>
      <c r="AN1280" s="70">
        <v>0.99</v>
      </c>
      <c r="AO1280" s="75">
        <v>1</v>
      </c>
      <c r="AP1280" s="75">
        <v>1</v>
      </c>
      <c r="AQ1280" s="75">
        <v>1</v>
      </c>
      <c r="AR1280" s="75">
        <v>1</v>
      </c>
      <c r="AS1280" s="95">
        <v>7.2186152540827803E-2</v>
      </c>
      <c r="AT1280" s="79">
        <v>0</v>
      </c>
      <c r="AU1280" s="79">
        <v>0</v>
      </c>
      <c r="AV1280" s="79">
        <v>0</v>
      </c>
      <c r="AW1280" s="79">
        <v>6.1032863849765299E-2</v>
      </c>
      <c r="AX1280" s="56"/>
      <c r="AY1280" s="54"/>
    </row>
    <row r="1281" spans="1:51">
      <c r="A1281" s="53"/>
      <c r="B1281" s="56"/>
      <c r="C1281" s="90" t="s">
        <v>1079</v>
      </c>
      <c r="D1281" s="230" t="s">
        <v>1757</v>
      </c>
      <c r="E1281" s="68" t="s">
        <v>1080</v>
      </c>
      <c r="F1281" s="128" t="s">
        <v>1305</v>
      </c>
      <c r="G1281" s="128" t="s">
        <v>1305</v>
      </c>
      <c r="H1281" s="128" t="s">
        <v>1305</v>
      </c>
      <c r="I1281" s="128" t="s">
        <v>1305</v>
      </c>
      <c r="J1281" s="70">
        <v>0.9</v>
      </c>
      <c r="K1281" s="71">
        <v>0.94366197183098599</v>
      </c>
      <c r="L1281" s="71">
        <v>0.93421052631578905</v>
      </c>
      <c r="M1281" s="72">
        <v>0.97402597402597402</v>
      </c>
      <c r="N1281" s="71">
        <v>0.95449241540256702</v>
      </c>
      <c r="O1281" s="73">
        <v>0.9</v>
      </c>
      <c r="P1281" s="71">
        <v>0.984520123839009</v>
      </c>
      <c r="Q1281" s="71">
        <v>0.98223615464994796</v>
      </c>
      <c r="R1281" s="71">
        <v>0.98553540587219302</v>
      </c>
      <c r="S1281" s="71">
        <v>0.98282176838249902</v>
      </c>
      <c r="T1281" s="73">
        <v>0.9</v>
      </c>
      <c r="U1281" s="71">
        <v>0.934365325077399</v>
      </c>
      <c r="V1281" s="71">
        <v>0.94200626959247602</v>
      </c>
      <c r="W1281" s="71">
        <v>0.94775474956822103</v>
      </c>
      <c r="X1281" s="71">
        <v>0.94681316931406501</v>
      </c>
      <c r="Y1281" s="73">
        <v>0.92</v>
      </c>
      <c r="Z1281" s="73">
        <v>0.937776266575995</v>
      </c>
      <c r="AA1281" s="73">
        <v>0.95990321465606598</v>
      </c>
      <c r="AB1281" s="73">
        <v>0.94807590933052199</v>
      </c>
      <c r="AC1281" s="73">
        <v>0.95933306222041503</v>
      </c>
      <c r="AD1281" s="73">
        <v>0.92</v>
      </c>
      <c r="AE1281" s="71">
        <v>0.98309037900874596</v>
      </c>
      <c r="AF1281" s="71">
        <v>0.99213372664700095</v>
      </c>
      <c r="AG1281" s="71">
        <v>0.99524714828897298</v>
      </c>
      <c r="AH1281" s="71">
        <v>0.98845690365954197</v>
      </c>
      <c r="AI1281" s="73">
        <v>0.92</v>
      </c>
      <c r="AJ1281" s="71">
        <v>0.95333765392093295</v>
      </c>
      <c r="AK1281" s="71">
        <v>0.97277595953585205</v>
      </c>
      <c r="AL1281" s="71">
        <v>0.96582008070258696</v>
      </c>
      <c r="AM1281" s="71">
        <v>0.97364971004051204</v>
      </c>
      <c r="AN1281" s="70">
        <v>0.99</v>
      </c>
      <c r="AO1281" s="75">
        <v>1</v>
      </c>
      <c r="AP1281" s="75">
        <v>1</v>
      </c>
      <c r="AQ1281" s="75">
        <v>1</v>
      </c>
      <c r="AR1281" s="75">
        <v>1</v>
      </c>
      <c r="AS1281" s="95">
        <v>7.2186152540827803E-2</v>
      </c>
      <c r="AT1281" s="79">
        <v>0.17857142857142899</v>
      </c>
      <c r="AU1281" s="79">
        <v>0</v>
      </c>
      <c r="AV1281" s="79">
        <v>9.0909090909090898E-2</v>
      </c>
      <c r="AW1281" s="79">
        <v>4.4217687074829898E-2</v>
      </c>
      <c r="AX1281" s="56"/>
      <c r="AY1281" s="54"/>
    </row>
    <row r="1282" spans="1:51">
      <c r="A1282" s="53"/>
      <c r="B1282" s="56"/>
      <c r="C1282" s="90" t="s">
        <v>1079</v>
      </c>
      <c r="D1282" s="230" t="s">
        <v>1757</v>
      </c>
      <c r="E1282" s="68" t="s">
        <v>1080</v>
      </c>
      <c r="F1282" s="128" t="s">
        <v>1306</v>
      </c>
      <c r="G1282" s="128" t="s">
        <v>1306</v>
      </c>
      <c r="H1282" s="128" t="s">
        <v>1306</v>
      </c>
      <c r="I1282" s="128" t="s">
        <v>1306</v>
      </c>
      <c r="J1282" s="70">
        <v>0.9</v>
      </c>
      <c r="K1282" s="71">
        <v>0.96551724137931005</v>
      </c>
      <c r="L1282" s="71">
        <v>1</v>
      </c>
      <c r="M1282" s="72">
        <v>1</v>
      </c>
      <c r="N1282" s="71">
        <v>0.88888888888888895</v>
      </c>
      <c r="O1282" s="73">
        <v>0.9</v>
      </c>
      <c r="P1282" s="71">
        <v>0.94799321650650104</v>
      </c>
      <c r="Q1282" s="71">
        <v>0.95625000000000004</v>
      </c>
      <c r="R1282" s="71">
        <v>0.94892473118279597</v>
      </c>
      <c r="S1282" s="71">
        <v>0.96008277948024001</v>
      </c>
      <c r="T1282" s="73">
        <v>0.9</v>
      </c>
      <c r="U1282" s="71">
        <v>0.75409836065573799</v>
      </c>
      <c r="V1282" s="71">
        <v>0.70982142857142905</v>
      </c>
      <c r="W1282" s="71">
        <v>0.70564516129032295</v>
      </c>
      <c r="X1282" s="71">
        <v>0.71218211485652905</v>
      </c>
      <c r="Y1282" s="73">
        <v>0.92</v>
      </c>
      <c r="Z1282" s="73" t="s">
        <v>1710</v>
      </c>
      <c r="AA1282" s="73" t="s">
        <v>1710</v>
      </c>
      <c r="AB1282" s="73" t="s">
        <v>1710</v>
      </c>
      <c r="AC1282" s="73">
        <v>0</v>
      </c>
      <c r="AD1282" s="73">
        <v>0.92</v>
      </c>
      <c r="AE1282" s="71">
        <v>1</v>
      </c>
      <c r="AF1282" s="71">
        <v>1</v>
      </c>
      <c r="AG1282" s="71">
        <v>0.99773755656108598</v>
      </c>
      <c r="AH1282" s="71">
        <v>0.99921568627450996</v>
      </c>
      <c r="AI1282" s="73">
        <v>0.92</v>
      </c>
      <c r="AJ1282" s="71">
        <v>0.894350282485876</v>
      </c>
      <c r="AK1282" s="71">
        <v>0.91294642857142905</v>
      </c>
      <c r="AL1282" s="71">
        <v>0.90058217644424499</v>
      </c>
      <c r="AM1282" s="71">
        <v>0.91551929964186196</v>
      </c>
      <c r="AN1282" s="70">
        <v>0.99</v>
      </c>
      <c r="AO1282" s="75">
        <v>1</v>
      </c>
      <c r="AP1282" s="75">
        <v>1</v>
      </c>
      <c r="AQ1282" s="75">
        <v>1</v>
      </c>
      <c r="AR1282" s="75">
        <v>1</v>
      </c>
      <c r="AS1282" s="95">
        <v>7.2186152540827803E-2</v>
      </c>
      <c r="AT1282" s="79">
        <v>0</v>
      </c>
      <c r="AU1282" s="79">
        <v>0</v>
      </c>
      <c r="AV1282" s="79">
        <v>0</v>
      </c>
      <c r="AW1282" s="79">
        <v>8.4507042253521097E-2</v>
      </c>
      <c r="AX1282" s="56"/>
      <c r="AY1282" s="54"/>
    </row>
    <row r="1283" spans="1:51">
      <c r="A1283" s="53"/>
      <c r="B1283" s="56"/>
      <c r="C1283" s="90" t="s">
        <v>1079</v>
      </c>
      <c r="D1283" s="230" t="s">
        <v>1757</v>
      </c>
      <c r="E1283" s="68" t="s">
        <v>1080</v>
      </c>
      <c r="F1283" s="128" t="s">
        <v>1307</v>
      </c>
      <c r="G1283" s="128" t="s">
        <v>1307</v>
      </c>
      <c r="H1283" s="128" t="s">
        <v>1307</v>
      </c>
      <c r="I1283" s="128" t="s">
        <v>1307</v>
      </c>
      <c r="J1283" s="70">
        <v>0.9</v>
      </c>
      <c r="K1283" s="71">
        <v>0.86</v>
      </c>
      <c r="L1283" s="71">
        <v>0.85714285714285698</v>
      </c>
      <c r="M1283" s="72">
        <v>0.90196078431372595</v>
      </c>
      <c r="N1283" s="71">
        <v>0.89310344827586197</v>
      </c>
      <c r="O1283" s="73">
        <v>0.9</v>
      </c>
      <c r="P1283" s="71">
        <v>0.94635193133047202</v>
      </c>
      <c r="Q1283" s="71">
        <v>0.96992753623188399</v>
      </c>
      <c r="R1283" s="71">
        <v>0.95297029702970304</v>
      </c>
      <c r="S1283" s="71">
        <v>0.96017518248175204</v>
      </c>
      <c r="T1283" s="73">
        <v>0.9</v>
      </c>
      <c r="U1283" s="71">
        <v>0.83733905579399104</v>
      </c>
      <c r="V1283" s="71">
        <v>0.81666666666666698</v>
      </c>
      <c r="W1283" s="71">
        <v>0.83168316831683198</v>
      </c>
      <c r="X1283" s="71">
        <v>0.82837956204379604</v>
      </c>
      <c r="Y1283" s="73">
        <v>0.92</v>
      </c>
      <c r="Z1283" s="73">
        <v>0.91296030607364898</v>
      </c>
      <c r="AA1283" s="73">
        <v>0.92665289256198302</v>
      </c>
      <c r="AB1283" s="73">
        <v>0.90130841121495298</v>
      </c>
      <c r="AC1283" s="73">
        <v>0.93038166616124396</v>
      </c>
      <c r="AD1283" s="73">
        <v>0.92</v>
      </c>
      <c r="AE1283" s="71">
        <v>0.99799599198396804</v>
      </c>
      <c r="AF1283" s="71">
        <v>0.99854386603567502</v>
      </c>
      <c r="AG1283" s="71">
        <v>0.99926008139104705</v>
      </c>
      <c r="AH1283" s="71">
        <v>0.99685307096867504</v>
      </c>
      <c r="AI1283" s="73">
        <v>0.92</v>
      </c>
      <c r="AJ1283" s="71">
        <v>0.93576114001357202</v>
      </c>
      <c r="AK1283" s="71">
        <v>0.94315520545028697</v>
      </c>
      <c r="AL1283" s="71">
        <v>0.93415707515233604</v>
      </c>
      <c r="AM1283" s="71">
        <v>0.95230205790024403</v>
      </c>
      <c r="AN1283" s="70">
        <v>0.99</v>
      </c>
      <c r="AO1283" s="75">
        <v>1</v>
      </c>
      <c r="AP1283" s="75">
        <v>1</v>
      </c>
      <c r="AQ1283" s="75">
        <v>1</v>
      </c>
      <c r="AR1283" s="75">
        <v>1</v>
      </c>
      <c r="AS1283" s="95">
        <v>7.2186152540827803E-2</v>
      </c>
      <c r="AT1283" s="79">
        <v>6.6666666666666693E-2</v>
      </c>
      <c r="AU1283" s="79">
        <v>6.0606060606060601E-2</v>
      </c>
      <c r="AV1283" s="79">
        <v>8.3333333333333301E-2</v>
      </c>
      <c r="AW1283" s="79">
        <v>4.27927927927928E-2</v>
      </c>
      <c r="AX1283" s="56"/>
      <c r="AY1283" s="54"/>
    </row>
    <row r="1284" spans="1:51">
      <c r="A1284" s="53"/>
      <c r="B1284" s="56"/>
      <c r="C1284" s="90" t="s">
        <v>1079</v>
      </c>
      <c r="D1284" s="230" t="s">
        <v>1757</v>
      </c>
      <c r="E1284" s="68" t="s">
        <v>1080</v>
      </c>
      <c r="F1284" s="128" t="s">
        <v>1308</v>
      </c>
      <c r="G1284" s="128" t="s">
        <v>1308</v>
      </c>
      <c r="H1284" s="128" t="s">
        <v>1308</v>
      </c>
      <c r="I1284" s="128" t="s">
        <v>1308</v>
      </c>
      <c r="J1284" s="70">
        <v>0.9</v>
      </c>
      <c r="K1284" s="71">
        <v>0.96969696969696995</v>
      </c>
      <c r="L1284" s="71">
        <v>1</v>
      </c>
      <c r="M1284" s="72">
        <v>1</v>
      </c>
      <c r="N1284" s="71">
        <v>0.98365122615803802</v>
      </c>
      <c r="O1284" s="73">
        <v>0.9</v>
      </c>
      <c r="P1284" s="71">
        <v>0.99577702702702697</v>
      </c>
      <c r="Q1284" s="71">
        <v>0.99542682926829296</v>
      </c>
      <c r="R1284" s="71">
        <v>0.99938800489596102</v>
      </c>
      <c r="S1284" s="71">
        <v>0.99602814344076296</v>
      </c>
      <c r="T1284" s="73">
        <v>0.9</v>
      </c>
      <c r="U1284" s="71">
        <v>0.95861486486486502</v>
      </c>
      <c r="V1284" s="71">
        <v>0.96875</v>
      </c>
      <c r="W1284" s="71">
        <v>0.97919216646266805</v>
      </c>
      <c r="X1284" s="71">
        <v>0.97406945074897899</v>
      </c>
      <c r="Y1284" s="73">
        <v>0.92</v>
      </c>
      <c r="Z1284" s="73">
        <v>0.98040961709706098</v>
      </c>
      <c r="AA1284" s="73">
        <v>0.98171318575553401</v>
      </c>
      <c r="AB1284" s="73">
        <v>0.98606502986065003</v>
      </c>
      <c r="AC1284" s="73">
        <v>0.98730407523510999</v>
      </c>
      <c r="AD1284" s="73">
        <v>0.92</v>
      </c>
      <c r="AE1284" s="71">
        <v>1</v>
      </c>
      <c r="AF1284" s="71">
        <v>0.99768518518518501</v>
      </c>
      <c r="AG1284" s="71">
        <v>0.99742930591259604</v>
      </c>
      <c r="AH1284" s="71">
        <v>0.99847357374546797</v>
      </c>
      <c r="AI1284" s="73">
        <v>0.92</v>
      </c>
      <c r="AJ1284" s="71">
        <v>0.97659297789336796</v>
      </c>
      <c r="AK1284" s="71">
        <v>0.98553806890684803</v>
      </c>
      <c r="AL1284" s="71">
        <v>0.99077021005728805</v>
      </c>
      <c r="AM1284" s="71">
        <v>0.99035740143487105</v>
      </c>
      <c r="AN1284" s="70">
        <v>0.99</v>
      </c>
      <c r="AO1284" s="75">
        <v>1</v>
      </c>
      <c r="AP1284" s="75">
        <v>1</v>
      </c>
      <c r="AQ1284" s="75">
        <v>1</v>
      </c>
      <c r="AR1284" s="75">
        <v>1</v>
      </c>
      <c r="AS1284" s="95">
        <v>7.2186152540827803E-2</v>
      </c>
      <c r="AT1284" s="79">
        <v>0</v>
      </c>
      <c r="AU1284" s="79">
        <v>0</v>
      </c>
      <c r="AV1284" s="79">
        <v>0</v>
      </c>
      <c r="AW1284" s="79">
        <v>0</v>
      </c>
      <c r="AX1284" s="56"/>
      <c r="AY1284" s="54"/>
    </row>
    <row r="1285" spans="1:51">
      <c r="A1285" s="53"/>
      <c r="B1285" s="56"/>
      <c r="C1285" s="90" t="s">
        <v>1079</v>
      </c>
      <c r="D1285" s="230" t="s">
        <v>1757</v>
      </c>
      <c r="E1285" s="68" t="s">
        <v>1080</v>
      </c>
      <c r="F1285" s="128" t="s">
        <v>1309</v>
      </c>
      <c r="G1285" s="128" t="s">
        <v>1309</v>
      </c>
      <c r="H1285" s="128" t="s">
        <v>1309</v>
      </c>
      <c r="I1285" s="128" t="s">
        <v>1309</v>
      </c>
      <c r="J1285" s="70">
        <v>0.9</v>
      </c>
      <c r="K1285" s="71">
        <v>0.91525423728813604</v>
      </c>
      <c r="L1285" s="71">
        <v>0.859375</v>
      </c>
      <c r="M1285" s="72">
        <v>0.89473684210526305</v>
      </c>
      <c r="N1285" s="71">
        <v>0.90370370370370401</v>
      </c>
      <c r="O1285" s="73">
        <v>0.9</v>
      </c>
      <c r="P1285" s="71">
        <v>0.98604860486048596</v>
      </c>
      <c r="Q1285" s="71">
        <v>0.98422238918106697</v>
      </c>
      <c r="R1285" s="71">
        <v>0.91799754299754299</v>
      </c>
      <c r="S1285" s="71">
        <v>0.97176748267618895</v>
      </c>
      <c r="T1285" s="73">
        <v>0.9</v>
      </c>
      <c r="U1285" s="71">
        <v>0.94149414941494103</v>
      </c>
      <c r="V1285" s="71">
        <v>0.95379413974455296</v>
      </c>
      <c r="W1285" s="71">
        <v>0.91369778869778895</v>
      </c>
      <c r="X1285" s="71">
        <v>0.94047871213725898</v>
      </c>
      <c r="Y1285" s="73">
        <v>0.92</v>
      </c>
      <c r="Z1285" s="73">
        <v>0.95101010101010097</v>
      </c>
      <c r="AA1285" s="73">
        <v>0.95786802030456897</v>
      </c>
      <c r="AB1285" s="73">
        <v>0.95332068311195495</v>
      </c>
      <c r="AC1285" s="73">
        <v>0.96294360984106298</v>
      </c>
      <c r="AD1285" s="73">
        <v>0.92</v>
      </c>
      <c r="AE1285" s="71">
        <v>0.99782040104620795</v>
      </c>
      <c r="AF1285" s="71">
        <v>0.99914748508098905</v>
      </c>
      <c r="AG1285" s="71">
        <v>0.99654832347139999</v>
      </c>
      <c r="AH1285" s="71">
        <v>0.99676750132677205</v>
      </c>
      <c r="AI1285" s="73">
        <v>0.92</v>
      </c>
      <c r="AJ1285" s="71">
        <v>0.96644455021418396</v>
      </c>
      <c r="AK1285" s="71">
        <v>0.97128670120898097</v>
      </c>
      <c r="AL1285" s="71">
        <v>0.96673455532926</v>
      </c>
      <c r="AM1285" s="71">
        <v>0.97679193073283899</v>
      </c>
      <c r="AN1285" s="70">
        <v>0.99</v>
      </c>
      <c r="AO1285" s="75">
        <v>1</v>
      </c>
      <c r="AP1285" s="75">
        <v>1</v>
      </c>
      <c r="AQ1285" s="75">
        <v>1</v>
      </c>
      <c r="AR1285" s="75">
        <v>1</v>
      </c>
      <c r="AS1285" s="95">
        <v>7.2186152540827803E-2</v>
      </c>
      <c r="AT1285" s="79">
        <v>6.6666666666666693E-2</v>
      </c>
      <c r="AU1285" s="79">
        <v>0.125</v>
      </c>
      <c r="AV1285" s="79">
        <v>0</v>
      </c>
      <c r="AW1285" s="79">
        <v>6.02409638554217E-2</v>
      </c>
      <c r="AX1285" s="56"/>
      <c r="AY1285" s="54"/>
    </row>
    <row r="1286" spans="1:51">
      <c r="A1286" s="53"/>
      <c r="B1286" s="56"/>
      <c r="C1286" s="90" t="s">
        <v>1079</v>
      </c>
      <c r="D1286" s="230" t="s">
        <v>1757</v>
      </c>
      <c r="E1286" s="68" t="s">
        <v>1080</v>
      </c>
      <c r="F1286" s="128" t="s">
        <v>1310</v>
      </c>
      <c r="G1286" s="128" t="s">
        <v>1310</v>
      </c>
      <c r="H1286" s="128" t="s">
        <v>1310</v>
      </c>
      <c r="I1286" s="128" t="s">
        <v>1310</v>
      </c>
      <c r="J1286" s="70">
        <v>0.9</v>
      </c>
      <c r="K1286" s="71">
        <v>0.93333333333333302</v>
      </c>
      <c r="L1286" s="71">
        <v>0.939393939393939</v>
      </c>
      <c r="M1286" s="72">
        <v>0.9375</v>
      </c>
      <c r="N1286" s="71">
        <v>0.94382022471910099</v>
      </c>
      <c r="O1286" s="73">
        <v>0.9</v>
      </c>
      <c r="P1286" s="71">
        <v>0.99475065616797897</v>
      </c>
      <c r="Q1286" s="71">
        <v>0.98983297022512695</v>
      </c>
      <c r="R1286" s="71">
        <v>0.99153498871331802</v>
      </c>
      <c r="S1286" s="71">
        <v>0.98105820715067105</v>
      </c>
      <c r="T1286" s="73">
        <v>0.9</v>
      </c>
      <c r="U1286" s="71">
        <v>0.94313210848643902</v>
      </c>
      <c r="V1286" s="71">
        <v>0.951343500363108</v>
      </c>
      <c r="W1286" s="71">
        <v>0.96670428893905203</v>
      </c>
      <c r="X1286" s="71">
        <v>0.94875928378145002</v>
      </c>
      <c r="Y1286" s="73">
        <v>0.92</v>
      </c>
      <c r="Z1286" s="73">
        <v>0.96418473138548499</v>
      </c>
      <c r="AA1286" s="73">
        <v>0.97128205128205103</v>
      </c>
      <c r="AB1286" s="73">
        <v>0.98228043143297405</v>
      </c>
      <c r="AC1286" s="73">
        <v>0.97603719599427796</v>
      </c>
      <c r="AD1286" s="73">
        <v>0.92</v>
      </c>
      <c r="AE1286" s="71">
        <v>0.99710564399421098</v>
      </c>
      <c r="AF1286" s="71">
        <v>1</v>
      </c>
      <c r="AG1286" s="71">
        <v>0.99883177570093495</v>
      </c>
      <c r="AH1286" s="71">
        <v>0.99913433139830898</v>
      </c>
      <c r="AI1286" s="73">
        <v>0.92</v>
      </c>
      <c r="AJ1286" s="71">
        <v>0.96733212341197805</v>
      </c>
      <c r="AK1286" s="71">
        <v>0.97874149659863896</v>
      </c>
      <c r="AL1286" s="71">
        <v>0.98697492673396303</v>
      </c>
      <c r="AM1286" s="71">
        <v>0.98319151171341501</v>
      </c>
      <c r="AN1286" s="70">
        <v>0.99</v>
      </c>
      <c r="AO1286" s="75">
        <v>1</v>
      </c>
      <c r="AP1286" s="75">
        <v>1</v>
      </c>
      <c r="AQ1286" s="75">
        <v>1</v>
      </c>
      <c r="AR1286" s="75">
        <v>1</v>
      </c>
      <c r="AS1286" s="95">
        <v>7.2186152540827803E-2</v>
      </c>
      <c r="AT1286" s="79">
        <v>0.11111111111111099</v>
      </c>
      <c r="AU1286" s="79">
        <v>0</v>
      </c>
      <c r="AV1286" s="79">
        <v>0</v>
      </c>
      <c r="AW1286" s="79">
        <v>1.4492753623188401E-2</v>
      </c>
      <c r="AX1286" s="56"/>
      <c r="AY1286" s="54"/>
    </row>
    <row r="1287" spans="1:51">
      <c r="A1287" s="53"/>
      <c r="B1287" s="56"/>
      <c r="C1287" s="90" t="s">
        <v>1079</v>
      </c>
      <c r="D1287" s="230" t="s">
        <v>1757</v>
      </c>
      <c r="E1287" s="68" t="s">
        <v>1080</v>
      </c>
      <c r="F1287" s="128" t="s">
        <v>1311</v>
      </c>
      <c r="G1287" s="128" t="s">
        <v>1311</v>
      </c>
      <c r="H1287" s="128" t="s">
        <v>1311</v>
      </c>
      <c r="I1287" s="128" t="s">
        <v>1311</v>
      </c>
      <c r="J1287" s="70">
        <v>0.9</v>
      </c>
      <c r="K1287" s="71">
        <v>0.82142857142857095</v>
      </c>
      <c r="L1287" s="71">
        <v>0.967741935483871</v>
      </c>
      <c r="M1287" s="72">
        <v>0.967741935483871</v>
      </c>
      <c r="N1287" s="71">
        <v>0.92352941176470604</v>
      </c>
      <c r="O1287" s="73">
        <v>0.9</v>
      </c>
      <c r="P1287" s="71">
        <v>0.99039385206532204</v>
      </c>
      <c r="Q1287" s="71">
        <v>0.992539964476021</v>
      </c>
      <c r="R1287" s="71">
        <v>0.990575916230366</v>
      </c>
      <c r="S1287" s="71">
        <v>0.99301069926132002</v>
      </c>
      <c r="T1287" s="73">
        <v>0.9</v>
      </c>
      <c r="U1287" s="71">
        <v>0.95437079731027896</v>
      </c>
      <c r="V1287" s="71">
        <v>0.96092362344582605</v>
      </c>
      <c r="W1287" s="71">
        <v>0.94450261780104705</v>
      </c>
      <c r="X1287" s="71">
        <v>0.959521680082149</v>
      </c>
      <c r="Y1287" s="73">
        <v>0.92</v>
      </c>
      <c r="Z1287" s="73" t="s">
        <v>1710</v>
      </c>
      <c r="AA1287" s="73" t="s">
        <v>1710</v>
      </c>
      <c r="AB1287" s="73" t="s">
        <v>1710</v>
      </c>
      <c r="AC1287" s="73" t="s">
        <v>1710</v>
      </c>
      <c r="AD1287" s="73">
        <v>0.92</v>
      </c>
      <c r="AE1287" s="71">
        <v>1</v>
      </c>
      <c r="AF1287" s="71">
        <v>0.99340659340659299</v>
      </c>
      <c r="AG1287" s="71">
        <v>0.99814471243042702</v>
      </c>
      <c r="AH1287" s="71">
        <v>0.99764123806236304</v>
      </c>
      <c r="AI1287" s="73">
        <v>0.92</v>
      </c>
      <c r="AJ1287" s="71">
        <v>0.96061479346781897</v>
      </c>
      <c r="AK1287" s="71">
        <v>0.97939609236234504</v>
      </c>
      <c r="AL1287" s="71">
        <v>0.98010471204188498</v>
      </c>
      <c r="AM1287" s="71">
        <v>0.98065520553844099</v>
      </c>
      <c r="AN1287" s="70">
        <v>0.99</v>
      </c>
      <c r="AO1287" s="75">
        <v>1</v>
      </c>
      <c r="AP1287" s="75">
        <v>1</v>
      </c>
      <c r="AQ1287" s="75">
        <v>1</v>
      </c>
      <c r="AR1287" s="75">
        <v>1</v>
      </c>
      <c r="AS1287" s="95">
        <v>7.2186152540827803E-2</v>
      </c>
      <c r="AT1287" s="79">
        <v>0</v>
      </c>
      <c r="AU1287" s="79">
        <v>0.2</v>
      </c>
      <c r="AV1287" s="79">
        <v>0</v>
      </c>
      <c r="AW1287" s="79">
        <v>5.1948051948052E-2</v>
      </c>
      <c r="AX1287" s="56"/>
      <c r="AY1287" s="54"/>
    </row>
    <row r="1288" spans="1:51">
      <c r="A1288" s="53"/>
      <c r="B1288" s="56"/>
      <c r="C1288" s="90" t="s">
        <v>1079</v>
      </c>
      <c r="D1288" s="230" t="s">
        <v>1757</v>
      </c>
      <c r="E1288" s="68" t="s">
        <v>1080</v>
      </c>
      <c r="F1288" s="128" t="s">
        <v>1312</v>
      </c>
      <c r="G1288" s="128" t="s">
        <v>1312</v>
      </c>
      <c r="H1288" s="128" t="s">
        <v>1312</v>
      </c>
      <c r="I1288" s="128" t="s">
        <v>1312</v>
      </c>
      <c r="J1288" s="70">
        <v>0.9</v>
      </c>
      <c r="K1288" s="71">
        <v>0.97222222222222199</v>
      </c>
      <c r="L1288" s="71">
        <v>0.97368421052631604</v>
      </c>
      <c r="M1288" s="72">
        <v>0.94285714285714295</v>
      </c>
      <c r="N1288" s="71">
        <v>0.96487119437939095</v>
      </c>
      <c r="O1288" s="73">
        <v>0.9</v>
      </c>
      <c r="P1288" s="71">
        <v>0.98011187072716</v>
      </c>
      <c r="Q1288" s="71">
        <v>0.98641167589330603</v>
      </c>
      <c r="R1288" s="71">
        <v>0.98351893095768395</v>
      </c>
      <c r="S1288" s="71">
        <v>0.95977011494252895</v>
      </c>
      <c r="T1288" s="73">
        <v>0.9</v>
      </c>
      <c r="U1288" s="71">
        <v>0.95276569297700398</v>
      </c>
      <c r="V1288" s="71">
        <v>0.961248112732763</v>
      </c>
      <c r="W1288" s="71">
        <v>0.94253897550111398</v>
      </c>
      <c r="X1288" s="71">
        <v>0.94471426258701596</v>
      </c>
      <c r="Y1288" s="73">
        <v>0.92</v>
      </c>
      <c r="Z1288" s="73">
        <v>0.93941368078175902</v>
      </c>
      <c r="AA1288" s="73">
        <v>0.96056338028168997</v>
      </c>
      <c r="AB1288" s="73">
        <v>0.94706798131811099</v>
      </c>
      <c r="AC1288" s="73">
        <v>0.954034372269152</v>
      </c>
      <c r="AD1288" s="73">
        <v>0.92</v>
      </c>
      <c r="AE1288" s="71">
        <v>0.99605026929981999</v>
      </c>
      <c r="AF1288" s="71">
        <v>0.99914236706689497</v>
      </c>
      <c r="AG1288" s="71">
        <v>0.998505231689088</v>
      </c>
      <c r="AH1288" s="71">
        <v>0.99850254567235697</v>
      </c>
      <c r="AI1288" s="73">
        <v>0.92</v>
      </c>
      <c r="AJ1288" s="71">
        <v>0.95801526717557295</v>
      </c>
      <c r="AK1288" s="71">
        <v>0.97387731141766998</v>
      </c>
      <c r="AL1288" s="71">
        <v>0.96644295302013405</v>
      </c>
      <c r="AM1288" s="71">
        <v>0.97194163860830496</v>
      </c>
      <c r="AN1288" s="70">
        <v>0.99</v>
      </c>
      <c r="AO1288" s="75">
        <v>1</v>
      </c>
      <c r="AP1288" s="75">
        <v>1</v>
      </c>
      <c r="AQ1288" s="75">
        <v>1</v>
      </c>
      <c r="AR1288" s="75">
        <v>1</v>
      </c>
      <c r="AS1288" s="95">
        <v>7.2186152540827803E-2</v>
      </c>
      <c r="AT1288" s="79">
        <v>0</v>
      </c>
      <c r="AU1288" s="79">
        <v>0.33333333333333298</v>
      </c>
      <c r="AV1288" s="79">
        <v>0.125</v>
      </c>
      <c r="AW1288" s="79">
        <v>5.63380281690141E-2</v>
      </c>
      <c r="AX1288" s="56"/>
      <c r="AY1288" s="54"/>
    </row>
    <row r="1289" spans="1:51">
      <c r="A1289" s="53"/>
      <c r="B1289" s="56"/>
      <c r="C1289" s="90" t="s">
        <v>1079</v>
      </c>
      <c r="D1289" s="230" t="s">
        <v>1757</v>
      </c>
      <c r="E1289" s="68" t="s">
        <v>1080</v>
      </c>
      <c r="F1289" s="128" t="s">
        <v>1313</v>
      </c>
      <c r="G1289" s="128" t="s">
        <v>1313</v>
      </c>
      <c r="H1289" s="128" t="s">
        <v>1313</v>
      </c>
      <c r="I1289" s="128" t="s">
        <v>1313</v>
      </c>
      <c r="J1289" s="70">
        <v>0.9</v>
      </c>
      <c r="K1289" s="71">
        <v>0.875</v>
      </c>
      <c r="L1289" s="71">
        <v>0.90476190476190499</v>
      </c>
      <c r="M1289" s="72">
        <v>0.91304347826086996</v>
      </c>
      <c r="N1289" s="71">
        <v>0.91338582677165403</v>
      </c>
      <c r="O1289" s="73">
        <v>0.9</v>
      </c>
      <c r="P1289" s="71">
        <v>0.96149843912591004</v>
      </c>
      <c r="Q1289" s="71">
        <v>0.97309027777777801</v>
      </c>
      <c r="R1289" s="71">
        <v>0.94940267041461701</v>
      </c>
      <c r="S1289" s="71">
        <v>0.95520472339879303</v>
      </c>
      <c r="T1289" s="73">
        <v>0.9</v>
      </c>
      <c r="U1289" s="71">
        <v>0.90218522372528598</v>
      </c>
      <c r="V1289" s="71">
        <v>0.90277777777777801</v>
      </c>
      <c r="W1289" s="71">
        <v>0.89529163738580497</v>
      </c>
      <c r="X1289" s="71">
        <v>0.89982030548068304</v>
      </c>
      <c r="Y1289" s="73">
        <v>0.92</v>
      </c>
      <c r="Z1289" s="73">
        <v>0.89260385005065901</v>
      </c>
      <c r="AA1289" s="73">
        <v>0.94926004228329797</v>
      </c>
      <c r="AB1289" s="73">
        <v>0.95027195027194999</v>
      </c>
      <c r="AC1289" s="73">
        <v>0.95129017655047499</v>
      </c>
      <c r="AD1289" s="73">
        <v>0.92</v>
      </c>
      <c r="AE1289" s="71">
        <v>0.99914015477214102</v>
      </c>
      <c r="AF1289" s="71">
        <v>0.99847792998477902</v>
      </c>
      <c r="AG1289" s="71">
        <v>0.99783549783549796</v>
      </c>
      <c r="AH1289" s="71">
        <v>0.99661303979678195</v>
      </c>
      <c r="AI1289" s="73">
        <v>0.92</v>
      </c>
      <c r="AJ1289" s="71">
        <v>0.92967145790554395</v>
      </c>
      <c r="AK1289" s="71">
        <v>0.96043851286939896</v>
      </c>
      <c r="AL1289" s="71">
        <v>0.96789667896678999</v>
      </c>
      <c r="AM1289" s="71">
        <v>0.96796484771097002</v>
      </c>
      <c r="AN1289" s="70">
        <v>0.99</v>
      </c>
      <c r="AO1289" s="75">
        <v>1</v>
      </c>
      <c r="AP1289" s="75">
        <v>1</v>
      </c>
      <c r="AQ1289" s="75">
        <v>1</v>
      </c>
      <c r="AR1289" s="75">
        <v>1</v>
      </c>
      <c r="AS1289" s="95">
        <v>7.2186152540827803E-2</v>
      </c>
      <c r="AT1289" s="79">
        <v>0</v>
      </c>
      <c r="AU1289" s="79">
        <v>0.25</v>
      </c>
      <c r="AV1289" s="79">
        <v>0</v>
      </c>
      <c r="AW1289" s="79">
        <v>6.8181818181818205E-2</v>
      </c>
      <c r="AX1289" s="56"/>
      <c r="AY1289" s="54"/>
    </row>
    <row r="1290" spans="1:51">
      <c r="A1290" s="53"/>
      <c r="B1290" s="56"/>
      <c r="C1290" s="90" t="s">
        <v>1079</v>
      </c>
      <c r="D1290" s="230" t="s">
        <v>1757</v>
      </c>
      <c r="E1290" s="68" t="s">
        <v>1080</v>
      </c>
      <c r="F1290" s="128" t="s">
        <v>1314</v>
      </c>
      <c r="G1290" s="128" t="s">
        <v>1314</v>
      </c>
      <c r="H1290" s="128" t="s">
        <v>1314</v>
      </c>
      <c r="I1290" s="128" t="s">
        <v>1314</v>
      </c>
      <c r="J1290" s="70">
        <v>0.9</v>
      </c>
      <c r="K1290" s="71">
        <v>0.72499999999999998</v>
      </c>
      <c r="L1290" s="71">
        <v>0.8125</v>
      </c>
      <c r="M1290" s="72">
        <v>0.844444444444444</v>
      </c>
      <c r="N1290" s="71">
        <v>0.80318091451292295</v>
      </c>
      <c r="O1290" s="73">
        <v>0.9</v>
      </c>
      <c r="P1290" s="71">
        <v>0.992810681273536</v>
      </c>
      <c r="Q1290" s="71">
        <v>0.99112187247780503</v>
      </c>
      <c r="R1290" s="71">
        <v>0.98671366594360099</v>
      </c>
      <c r="S1290" s="71">
        <v>0.98255784896796405</v>
      </c>
      <c r="T1290" s="73">
        <v>0.9</v>
      </c>
      <c r="U1290" s="71">
        <v>0.89798014378637403</v>
      </c>
      <c r="V1290" s="71">
        <v>0.86575195049771303</v>
      </c>
      <c r="W1290" s="71">
        <v>0.86496746203904595</v>
      </c>
      <c r="X1290" s="71">
        <v>0.877929931530811</v>
      </c>
      <c r="Y1290" s="73">
        <v>0.92</v>
      </c>
      <c r="Z1290" s="73" t="s">
        <v>1710</v>
      </c>
      <c r="AA1290" s="73" t="s">
        <v>1710</v>
      </c>
      <c r="AB1290" s="73" t="s">
        <v>1710</v>
      </c>
      <c r="AC1290" s="73" t="s">
        <v>1710</v>
      </c>
      <c r="AD1290" s="73">
        <v>0.92</v>
      </c>
      <c r="AE1290" s="71">
        <v>0.99159663865546199</v>
      </c>
      <c r="AF1290" s="71">
        <v>1</v>
      </c>
      <c r="AG1290" s="71">
        <v>1</v>
      </c>
      <c r="AH1290" s="71">
        <v>0.99773282176491096</v>
      </c>
      <c r="AI1290" s="73">
        <v>0.92</v>
      </c>
      <c r="AJ1290" s="71">
        <v>0.96131461828141096</v>
      </c>
      <c r="AK1290" s="71">
        <v>0.96556362658057604</v>
      </c>
      <c r="AL1290" s="71">
        <v>0.97396963123644298</v>
      </c>
      <c r="AM1290" s="71">
        <v>0.97168774051676698</v>
      </c>
      <c r="AN1290" s="70">
        <v>0.99</v>
      </c>
      <c r="AO1290" s="75">
        <v>1</v>
      </c>
      <c r="AP1290" s="75">
        <v>1</v>
      </c>
      <c r="AQ1290" s="75">
        <v>1</v>
      </c>
      <c r="AR1290" s="75">
        <v>1</v>
      </c>
      <c r="AS1290" s="95">
        <v>7.2186152540827803E-2</v>
      </c>
      <c r="AT1290" s="79">
        <v>0.2</v>
      </c>
      <c r="AU1290" s="79">
        <v>0</v>
      </c>
      <c r="AV1290" s="79">
        <v>9.0909090909090898E-2</v>
      </c>
      <c r="AW1290" s="79">
        <v>3.125E-2</v>
      </c>
      <c r="AX1290" s="56"/>
      <c r="AY1290" s="54"/>
    </row>
    <row r="1291" spans="1:51">
      <c r="A1291" s="53"/>
      <c r="B1291" s="56"/>
      <c r="C1291" s="90" t="s">
        <v>1079</v>
      </c>
      <c r="D1291" s="230" t="s">
        <v>1757</v>
      </c>
      <c r="E1291" s="68" t="s">
        <v>1080</v>
      </c>
      <c r="F1291" s="128" t="s">
        <v>1315</v>
      </c>
      <c r="G1291" s="128" t="s">
        <v>1315</v>
      </c>
      <c r="H1291" s="128" t="s">
        <v>1315</v>
      </c>
      <c r="I1291" s="128" t="s">
        <v>1315</v>
      </c>
      <c r="J1291" s="70">
        <v>0.9</v>
      </c>
      <c r="K1291" s="71">
        <v>1</v>
      </c>
      <c r="L1291" s="71">
        <v>0.83333333333333304</v>
      </c>
      <c r="M1291" s="72">
        <v>0.9375</v>
      </c>
      <c r="N1291" s="71">
        <v>0.86528497409326399</v>
      </c>
      <c r="O1291" s="73">
        <v>0.9</v>
      </c>
      <c r="P1291" s="71">
        <v>0.98514115898959898</v>
      </c>
      <c r="Q1291" s="71">
        <v>0.980140186915888</v>
      </c>
      <c r="R1291" s="71">
        <v>0.97862453531598503</v>
      </c>
      <c r="S1291" s="71">
        <v>0.963359897407713</v>
      </c>
      <c r="T1291" s="73">
        <v>0.9</v>
      </c>
      <c r="U1291" s="71">
        <v>0.93759286775631501</v>
      </c>
      <c r="V1291" s="71">
        <v>0.95093457943925197</v>
      </c>
      <c r="W1291" s="71">
        <v>0.94516728624535296</v>
      </c>
      <c r="X1291" s="71">
        <v>0.93386461482092198</v>
      </c>
      <c r="Y1291" s="73">
        <v>0.92</v>
      </c>
      <c r="Z1291" s="73">
        <v>0.95245170876671603</v>
      </c>
      <c r="AA1291" s="73">
        <v>0.95520000000000005</v>
      </c>
      <c r="AB1291" s="73">
        <v>0.95774647887323905</v>
      </c>
      <c r="AC1291" s="73">
        <v>0.96395904436860103</v>
      </c>
      <c r="AD1291" s="73">
        <v>0.92</v>
      </c>
      <c r="AE1291" s="71">
        <v>1</v>
      </c>
      <c r="AF1291" s="71">
        <v>1</v>
      </c>
      <c r="AG1291" s="71">
        <v>1</v>
      </c>
      <c r="AH1291" s="71">
        <v>0.99303944315545201</v>
      </c>
      <c r="AI1291" s="73">
        <v>0.92</v>
      </c>
      <c r="AJ1291" s="71">
        <v>0.966567607726597</v>
      </c>
      <c r="AK1291" s="71">
        <v>0.97366644159351801</v>
      </c>
      <c r="AL1291" s="71">
        <v>0.97458506224066399</v>
      </c>
      <c r="AM1291" s="71">
        <v>0.97653766034426004</v>
      </c>
      <c r="AN1291" s="70">
        <v>0.99</v>
      </c>
      <c r="AO1291" s="75">
        <v>1</v>
      </c>
      <c r="AP1291" s="75">
        <v>1</v>
      </c>
      <c r="AQ1291" s="75">
        <v>1</v>
      </c>
      <c r="AR1291" s="75">
        <v>1</v>
      </c>
      <c r="AS1291" s="95">
        <v>7.2186152540827803E-2</v>
      </c>
      <c r="AT1291" s="79">
        <v>0</v>
      </c>
      <c r="AU1291" s="79">
        <v>0</v>
      </c>
      <c r="AV1291" s="79">
        <v>0.16666666666666699</v>
      </c>
      <c r="AW1291" s="79">
        <v>4.6875E-2</v>
      </c>
      <c r="AX1291" s="56"/>
      <c r="AY1291" s="54"/>
    </row>
    <row r="1292" spans="1:51">
      <c r="A1292" s="53"/>
      <c r="B1292" s="56"/>
      <c r="C1292" s="90" t="s">
        <v>1079</v>
      </c>
      <c r="D1292" s="230" t="s">
        <v>1759</v>
      </c>
      <c r="E1292" s="68" t="s">
        <v>1080</v>
      </c>
      <c r="F1292" s="128" t="s">
        <v>1316</v>
      </c>
      <c r="G1292" s="128" t="s">
        <v>1316</v>
      </c>
      <c r="H1292" s="128" t="s">
        <v>1316</v>
      </c>
      <c r="I1292" s="128" t="s">
        <v>1316</v>
      </c>
      <c r="J1292" s="70">
        <v>0.9</v>
      </c>
      <c r="K1292" s="71" t="s">
        <v>1710</v>
      </c>
      <c r="L1292" s="71" t="s">
        <v>1710</v>
      </c>
      <c r="M1292" s="72" t="s">
        <v>1710</v>
      </c>
      <c r="N1292" s="71" t="s">
        <v>1710</v>
      </c>
      <c r="O1292" s="73">
        <v>0.9</v>
      </c>
      <c r="P1292" s="71" t="s">
        <v>1710</v>
      </c>
      <c r="Q1292" s="71" t="s">
        <v>1710</v>
      </c>
      <c r="R1292" s="71" t="s">
        <v>1710</v>
      </c>
      <c r="S1292" s="71">
        <v>0</v>
      </c>
      <c r="T1292" s="73">
        <v>0.9</v>
      </c>
      <c r="U1292" s="71" t="s">
        <v>1710</v>
      </c>
      <c r="V1292" s="71" t="s">
        <v>1710</v>
      </c>
      <c r="W1292" s="71" t="s">
        <v>1710</v>
      </c>
      <c r="X1292" s="71">
        <v>0</v>
      </c>
      <c r="Y1292" s="73">
        <v>0.92</v>
      </c>
      <c r="Z1292" s="73" t="s">
        <v>1710</v>
      </c>
      <c r="AA1292" s="73" t="s">
        <v>1710</v>
      </c>
      <c r="AB1292" s="73" t="s">
        <v>1710</v>
      </c>
      <c r="AC1292" s="73" t="s">
        <v>1710</v>
      </c>
      <c r="AD1292" s="73">
        <v>0.92</v>
      </c>
      <c r="AE1292" s="71">
        <v>0.99819494584837498</v>
      </c>
      <c r="AF1292" s="71">
        <v>1</v>
      </c>
      <c r="AG1292" s="71">
        <v>1</v>
      </c>
      <c r="AH1292" s="71">
        <v>0.99775280898876395</v>
      </c>
      <c r="AI1292" s="73">
        <v>0.92</v>
      </c>
      <c r="AJ1292" s="71" t="s">
        <v>1710</v>
      </c>
      <c r="AK1292" s="71" t="s">
        <v>1710</v>
      </c>
      <c r="AL1292" s="71" t="s">
        <v>1710</v>
      </c>
      <c r="AM1292" s="71">
        <v>0</v>
      </c>
      <c r="AN1292" s="70">
        <v>0.99</v>
      </c>
      <c r="AO1292" s="75">
        <v>1</v>
      </c>
      <c r="AP1292" s="75">
        <v>1</v>
      </c>
      <c r="AQ1292" s="75">
        <v>1</v>
      </c>
      <c r="AR1292" s="75">
        <v>1</v>
      </c>
      <c r="AS1292" s="95">
        <v>7.2186152540827803E-2</v>
      </c>
      <c r="AT1292" s="79" t="s">
        <v>1710</v>
      </c>
      <c r="AU1292" s="79" t="s">
        <v>1710</v>
      </c>
      <c r="AV1292" s="79" t="s">
        <v>1710</v>
      </c>
      <c r="AW1292" s="79" t="s">
        <v>1710</v>
      </c>
      <c r="AX1292" s="56"/>
      <c r="AY1292" s="54"/>
    </row>
    <row r="1293" spans="1:51">
      <c r="A1293" s="53"/>
      <c r="B1293" s="56"/>
      <c r="C1293" s="90" t="s">
        <v>1079</v>
      </c>
      <c r="D1293" s="230" t="s">
        <v>1757</v>
      </c>
      <c r="E1293" s="68" t="s">
        <v>1080</v>
      </c>
      <c r="F1293" s="128" t="s">
        <v>1317</v>
      </c>
      <c r="G1293" s="128" t="s">
        <v>1317</v>
      </c>
      <c r="H1293" s="128" t="s">
        <v>1317</v>
      </c>
      <c r="I1293" s="128" t="s">
        <v>1317</v>
      </c>
      <c r="J1293" s="70">
        <v>0.9</v>
      </c>
      <c r="K1293" s="71">
        <v>0.93333333333333302</v>
      </c>
      <c r="L1293" s="71">
        <v>0.929824561403509</v>
      </c>
      <c r="M1293" s="72">
        <v>0.96078431372549</v>
      </c>
      <c r="N1293" s="71">
        <v>0.93162393162393198</v>
      </c>
      <c r="O1293" s="73">
        <v>0.9</v>
      </c>
      <c r="P1293" s="71">
        <v>0.98347547974413696</v>
      </c>
      <c r="Q1293" s="71">
        <v>0.99407665505226495</v>
      </c>
      <c r="R1293" s="71">
        <v>0.98607452013549102</v>
      </c>
      <c r="S1293" s="71">
        <v>0.97782574568288805</v>
      </c>
      <c r="T1293" s="73">
        <v>0.9</v>
      </c>
      <c r="U1293" s="71">
        <v>0.95682302771854999</v>
      </c>
      <c r="V1293" s="71">
        <v>0.96445993031358901</v>
      </c>
      <c r="W1293" s="71">
        <v>0.95671810312382399</v>
      </c>
      <c r="X1293" s="71">
        <v>0.95427786499215095</v>
      </c>
      <c r="Y1293" s="73">
        <v>0.92</v>
      </c>
      <c r="Z1293" s="73">
        <v>0.94845360824742297</v>
      </c>
      <c r="AA1293" s="73">
        <v>0.965853658536585</v>
      </c>
      <c r="AB1293" s="73">
        <v>0.95871040723981904</v>
      </c>
      <c r="AC1293" s="73">
        <v>0.96455223880596996</v>
      </c>
      <c r="AD1293" s="73">
        <v>0.92</v>
      </c>
      <c r="AE1293" s="71">
        <v>0.99788583509513695</v>
      </c>
      <c r="AF1293" s="71">
        <v>0.99876390605686005</v>
      </c>
      <c r="AG1293" s="71">
        <v>1</v>
      </c>
      <c r="AH1293" s="71">
        <v>0.99482334670635397</v>
      </c>
      <c r="AI1293" s="73">
        <v>0.92</v>
      </c>
      <c r="AJ1293" s="71">
        <v>0.96534148827726796</v>
      </c>
      <c r="AK1293" s="71">
        <v>0.97760532150776103</v>
      </c>
      <c r="AL1293" s="71">
        <v>0.97265536723163804</v>
      </c>
      <c r="AM1293" s="71">
        <v>0.97838019022080702</v>
      </c>
      <c r="AN1293" s="70">
        <v>0.99</v>
      </c>
      <c r="AO1293" s="75">
        <v>1</v>
      </c>
      <c r="AP1293" s="75">
        <v>1</v>
      </c>
      <c r="AQ1293" s="75">
        <v>1</v>
      </c>
      <c r="AR1293" s="75">
        <v>1</v>
      </c>
      <c r="AS1293" s="95">
        <v>7.2186152540827803E-2</v>
      </c>
      <c r="AT1293" s="79">
        <v>7.69230769230769E-2</v>
      </c>
      <c r="AU1293" s="79">
        <v>0</v>
      </c>
      <c r="AV1293" s="79">
        <v>0</v>
      </c>
      <c r="AW1293" s="79">
        <v>3.0534351145038201E-2</v>
      </c>
      <c r="AX1293" s="56"/>
      <c r="AY1293" s="54"/>
    </row>
    <row r="1294" spans="1:51">
      <c r="A1294" s="53"/>
      <c r="B1294" s="56"/>
      <c r="C1294" s="90" t="s">
        <v>1079</v>
      </c>
      <c r="D1294" s="230" t="s">
        <v>1757</v>
      </c>
      <c r="E1294" s="68" t="s">
        <v>1080</v>
      </c>
      <c r="F1294" s="128" t="s">
        <v>1318</v>
      </c>
      <c r="G1294" s="128" t="s">
        <v>1318</v>
      </c>
      <c r="H1294" s="128" t="s">
        <v>1318</v>
      </c>
      <c r="I1294" s="128" t="s">
        <v>1318</v>
      </c>
      <c r="J1294" s="70">
        <v>0.9</v>
      </c>
      <c r="K1294" s="71">
        <v>0.92</v>
      </c>
      <c r="L1294" s="71">
        <v>0.88888888888888895</v>
      </c>
      <c r="M1294" s="72">
        <v>0.82142857142857095</v>
      </c>
      <c r="N1294" s="71">
        <v>0.876506024096386</v>
      </c>
      <c r="O1294" s="73">
        <v>0.9</v>
      </c>
      <c r="P1294" s="71">
        <v>0.98284118116520303</v>
      </c>
      <c r="Q1294" s="71">
        <v>0.98059360730593603</v>
      </c>
      <c r="R1294" s="71">
        <v>0.98570559610705599</v>
      </c>
      <c r="S1294" s="71">
        <v>0.98678631028916897</v>
      </c>
      <c r="T1294" s="73">
        <v>0.9</v>
      </c>
      <c r="U1294" s="71">
        <v>0.94972067039106101</v>
      </c>
      <c r="V1294" s="71">
        <v>0.94463470319634701</v>
      </c>
      <c r="W1294" s="71">
        <v>0.94130170316301698</v>
      </c>
      <c r="X1294" s="71">
        <v>0.94692638087161096</v>
      </c>
      <c r="Y1294" s="73">
        <v>0.92</v>
      </c>
      <c r="Z1294" s="73">
        <v>0.954391891891892</v>
      </c>
      <c r="AA1294" s="73">
        <v>0.96</v>
      </c>
      <c r="AB1294" s="73">
        <v>0.96157365050320198</v>
      </c>
      <c r="AC1294" s="73">
        <v>0.96461028032889395</v>
      </c>
      <c r="AD1294" s="73">
        <v>0.92</v>
      </c>
      <c r="AE1294" s="71">
        <v>0.97835153922542195</v>
      </c>
      <c r="AF1294" s="71">
        <v>0.95307150050352496</v>
      </c>
      <c r="AG1294" s="71">
        <v>0.98697068403908805</v>
      </c>
      <c r="AH1294" s="71">
        <v>0.95709349577642799</v>
      </c>
      <c r="AI1294" s="73">
        <v>0.92</v>
      </c>
      <c r="AJ1294" s="71">
        <v>0.96964769647696503</v>
      </c>
      <c r="AK1294" s="71">
        <v>0.97250859106529197</v>
      </c>
      <c r="AL1294" s="71">
        <v>0.97332846181951005</v>
      </c>
      <c r="AM1294" s="71">
        <v>0.97796258521191803</v>
      </c>
      <c r="AN1294" s="70">
        <v>0.99</v>
      </c>
      <c r="AO1294" s="75">
        <v>1</v>
      </c>
      <c r="AP1294" s="75">
        <v>1</v>
      </c>
      <c r="AQ1294" s="75">
        <v>1</v>
      </c>
      <c r="AR1294" s="75">
        <v>1</v>
      </c>
      <c r="AS1294" s="95">
        <v>7.2186152540827803E-2</v>
      </c>
      <c r="AT1294" s="79">
        <v>0</v>
      </c>
      <c r="AU1294" s="79">
        <v>5.5555555555555601E-2</v>
      </c>
      <c r="AV1294" s="79">
        <v>0</v>
      </c>
      <c r="AW1294" s="79">
        <v>1.2987012987013E-2</v>
      </c>
      <c r="AX1294" s="56"/>
      <c r="AY1294" s="54"/>
    </row>
    <row r="1295" spans="1:51">
      <c r="A1295" s="53"/>
      <c r="B1295" s="56"/>
      <c r="C1295" s="90" t="s">
        <v>1079</v>
      </c>
      <c r="D1295" s="230" t="s">
        <v>1757</v>
      </c>
      <c r="E1295" s="68" t="s">
        <v>1080</v>
      </c>
      <c r="F1295" s="128" t="s">
        <v>1319</v>
      </c>
      <c r="G1295" s="128" t="s">
        <v>1319</v>
      </c>
      <c r="H1295" s="128" t="s">
        <v>1319</v>
      </c>
      <c r="I1295" s="128" t="s">
        <v>1319</v>
      </c>
      <c r="J1295" s="70">
        <v>0.9</v>
      </c>
      <c r="K1295" s="71">
        <v>0.87096774193548399</v>
      </c>
      <c r="L1295" s="71">
        <v>0.90090090090090102</v>
      </c>
      <c r="M1295" s="72">
        <v>0.87</v>
      </c>
      <c r="N1295" s="71">
        <v>0.89041095890411004</v>
      </c>
      <c r="O1295" s="73">
        <v>0.9</v>
      </c>
      <c r="P1295" s="71">
        <v>0.99157379722750705</v>
      </c>
      <c r="Q1295" s="71">
        <v>0.98647842513422201</v>
      </c>
      <c r="R1295" s="71">
        <v>0.98539695598519095</v>
      </c>
      <c r="S1295" s="71">
        <v>0.99058342972816704</v>
      </c>
      <c r="T1295" s="73">
        <v>0.9</v>
      </c>
      <c r="U1295" s="71">
        <v>0.95868442511552099</v>
      </c>
      <c r="V1295" s="71">
        <v>0.95366872141578796</v>
      </c>
      <c r="W1295" s="71">
        <v>0.945084327437269</v>
      </c>
      <c r="X1295" s="71">
        <v>0.95786943319838103</v>
      </c>
      <c r="Y1295" s="73">
        <v>0.92</v>
      </c>
      <c r="Z1295" s="73">
        <v>0.97272306981044798</v>
      </c>
      <c r="AA1295" s="73">
        <v>0.97607379648313597</v>
      </c>
      <c r="AB1295" s="73">
        <v>0.95689875031879601</v>
      </c>
      <c r="AC1295" s="73">
        <v>0.97260609357997796</v>
      </c>
      <c r="AD1295" s="73">
        <v>0.92</v>
      </c>
      <c r="AE1295" s="71">
        <v>0.99363564041368302</v>
      </c>
      <c r="AF1295" s="71">
        <v>0.97365754812563299</v>
      </c>
      <c r="AG1295" s="71">
        <v>0.97683923705722098</v>
      </c>
      <c r="AH1295" s="71">
        <v>0.98380989368415905</v>
      </c>
      <c r="AI1295" s="73">
        <v>0.92</v>
      </c>
      <c r="AJ1295" s="71">
        <v>0.98151634434365898</v>
      </c>
      <c r="AK1295" s="71">
        <v>0.98458642193199197</v>
      </c>
      <c r="AL1295" s="71">
        <v>0.97142206535352404</v>
      </c>
      <c r="AM1295" s="71">
        <v>0.98281384012420103</v>
      </c>
      <c r="AN1295" s="70">
        <v>0.99</v>
      </c>
      <c r="AO1295" s="75">
        <v>1</v>
      </c>
      <c r="AP1295" s="75">
        <v>1</v>
      </c>
      <c r="AQ1295" s="75">
        <v>1</v>
      </c>
      <c r="AR1295" s="75">
        <v>1</v>
      </c>
      <c r="AS1295" s="95">
        <v>7.2186152540827803E-2</v>
      </c>
      <c r="AT1295" s="79">
        <v>8.5714285714285701E-2</v>
      </c>
      <c r="AU1295" s="79">
        <v>1.9607843137254902E-2</v>
      </c>
      <c r="AV1295" s="79">
        <v>2.27272727272727E-2</v>
      </c>
      <c r="AW1295" s="79">
        <v>0</v>
      </c>
      <c r="AX1295" s="56"/>
      <c r="AY1295" s="54"/>
    </row>
    <row r="1296" spans="1:51">
      <c r="A1296" s="53"/>
      <c r="B1296" s="56"/>
      <c r="C1296" s="90" t="s">
        <v>1079</v>
      </c>
      <c r="D1296" s="230" t="s">
        <v>1757</v>
      </c>
      <c r="E1296" s="68" t="s">
        <v>1080</v>
      </c>
      <c r="F1296" s="128" t="s">
        <v>1320</v>
      </c>
      <c r="G1296" s="128" t="s">
        <v>1320</v>
      </c>
      <c r="H1296" s="128" t="s">
        <v>1320</v>
      </c>
      <c r="I1296" s="128" t="s">
        <v>1320</v>
      </c>
      <c r="J1296" s="70">
        <v>0.9</v>
      </c>
      <c r="K1296" s="71">
        <v>0.95161290322580605</v>
      </c>
      <c r="L1296" s="71">
        <v>0.97101449275362295</v>
      </c>
      <c r="M1296" s="72">
        <v>0.96923076923076901</v>
      </c>
      <c r="N1296" s="71">
        <v>0.95744680851063801</v>
      </c>
      <c r="O1296" s="73">
        <v>0.9</v>
      </c>
      <c r="P1296" s="71">
        <v>0.970135177617102</v>
      </c>
      <c r="Q1296" s="71">
        <v>0.97512206463613105</v>
      </c>
      <c r="R1296" s="71">
        <v>0.96335447498238203</v>
      </c>
      <c r="S1296" s="71">
        <v>0.96731997645468604</v>
      </c>
      <c r="T1296" s="73">
        <v>0.9</v>
      </c>
      <c r="U1296" s="71">
        <v>0.94938698522477205</v>
      </c>
      <c r="V1296" s="71">
        <v>0.94419902348291096</v>
      </c>
      <c r="W1296" s="71">
        <v>0.95207892882311496</v>
      </c>
      <c r="X1296" s="71">
        <v>0.94493012710109203</v>
      </c>
      <c r="Y1296" s="73">
        <v>0.92</v>
      </c>
      <c r="Z1296" s="73">
        <v>0.94588859416445603</v>
      </c>
      <c r="AA1296" s="73">
        <v>0.95170142700329297</v>
      </c>
      <c r="AB1296" s="73">
        <v>0.93314366998577503</v>
      </c>
      <c r="AC1296" s="73">
        <v>0.94766280463443897</v>
      </c>
      <c r="AD1296" s="73">
        <v>0.92</v>
      </c>
      <c r="AE1296" s="71">
        <v>0.99917012448132803</v>
      </c>
      <c r="AF1296" s="71">
        <v>0.99761646803900295</v>
      </c>
      <c r="AG1296" s="71">
        <v>0.99874450721908303</v>
      </c>
      <c r="AH1296" s="71">
        <v>0.99713263347472703</v>
      </c>
      <c r="AI1296" s="73">
        <v>0.92</v>
      </c>
      <c r="AJ1296" s="71">
        <v>0.96900908014212395</v>
      </c>
      <c r="AK1296" s="71">
        <v>0.97270400909866395</v>
      </c>
      <c r="AL1296" s="71">
        <v>0.96010751167067498</v>
      </c>
      <c r="AM1296" s="71">
        <v>0.97047844804097905</v>
      </c>
      <c r="AN1296" s="70">
        <v>0.99</v>
      </c>
      <c r="AO1296" s="75">
        <v>1</v>
      </c>
      <c r="AP1296" s="75">
        <v>1</v>
      </c>
      <c r="AQ1296" s="75">
        <v>1</v>
      </c>
      <c r="AR1296" s="75">
        <v>1</v>
      </c>
      <c r="AS1296" s="95">
        <v>7.2186152540827803E-2</v>
      </c>
      <c r="AT1296" s="79">
        <v>0.11111111111111099</v>
      </c>
      <c r="AU1296" s="79">
        <v>0</v>
      </c>
      <c r="AV1296" s="79">
        <v>4.1666666666666699E-2</v>
      </c>
      <c r="AW1296" s="79">
        <v>5.6910569105691103E-2</v>
      </c>
      <c r="AX1296" s="56"/>
      <c r="AY1296" s="54"/>
    </row>
    <row r="1297" spans="1:51">
      <c r="A1297" s="53"/>
      <c r="B1297" s="56"/>
      <c r="C1297" s="90" t="s">
        <v>1079</v>
      </c>
      <c r="D1297" s="230" t="s">
        <v>1757</v>
      </c>
      <c r="E1297" s="68" t="s">
        <v>1080</v>
      </c>
      <c r="F1297" s="128" t="s">
        <v>1321</v>
      </c>
      <c r="G1297" s="128" t="s">
        <v>1321</v>
      </c>
      <c r="H1297" s="128" t="s">
        <v>1321</v>
      </c>
      <c r="I1297" s="128" t="s">
        <v>1321</v>
      </c>
      <c r="J1297" s="70">
        <v>0.9</v>
      </c>
      <c r="K1297" s="71">
        <v>1</v>
      </c>
      <c r="L1297" s="71">
        <v>0.96666666666666701</v>
      </c>
      <c r="M1297" s="72">
        <v>1</v>
      </c>
      <c r="N1297" s="71">
        <v>0.96374622356495498</v>
      </c>
      <c r="O1297" s="73">
        <v>0.9</v>
      </c>
      <c r="P1297" s="71">
        <v>0.97777777777777797</v>
      </c>
      <c r="Q1297" s="71">
        <v>0.98544973544973502</v>
      </c>
      <c r="R1297" s="71">
        <v>0.98427849522739996</v>
      </c>
      <c r="S1297" s="71">
        <v>0.98616431565189999</v>
      </c>
      <c r="T1297" s="73">
        <v>0.9</v>
      </c>
      <c r="U1297" s="71">
        <v>0.94054054054054104</v>
      </c>
      <c r="V1297" s="71">
        <v>0.93694885361552005</v>
      </c>
      <c r="W1297" s="71">
        <v>0.94946659180235804</v>
      </c>
      <c r="X1297" s="71">
        <v>0.95132723421515197</v>
      </c>
      <c r="Y1297" s="73">
        <v>0.92</v>
      </c>
      <c r="Z1297" s="73" t="s">
        <v>1710</v>
      </c>
      <c r="AA1297" s="73" t="s">
        <v>1710</v>
      </c>
      <c r="AB1297" s="73" t="s">
        <v>1710</v>
      </c>
      <c r="AC1297" s="73" t="s">
        <v>1710</v>
      </c>
      <c r="AD1297" s="73">
        <v>0.92</v>
      </c>
      <c r="AE1297" s="71">
        <v>1</v>
      </c>
      <c r="AF1297" s="71">
        <v>1</v>
      </c>
      <c r="AG1297" s="71">
        <v>0.96363636363636396</v>
      </c>
      <c r="AH1297" s="71">
        <v>0.99244712990936601</v>
      </c>
      <c r="AI1297" s="73">
        <v>0.92</v>
      </c>
      <c r="AJ1297" s="71">
        <v>0.97357357357357399</v>
      </c>
      <c r="AK1297" s="71">
        <v>0.98280423280423301</v>
      </c>
      <c r="AL1297" s="71">
        <v>0.98427849522739996</v>
      </c>
      <c r="AM1297" s="71">
        <v>0.986524854657713</v>
      </c>
      <c r="AN1297" s="70">
        <v>0.99</v>
      </c>
      <c r="AO1297" s="75">
        <v>1</v>
      </c>
      <c r="AP1297" s="75">
        <v>1</v>
      </c>
      <c r="AQ1297" s="75">
        <v>1</v>
      </c>
      <c r="AR1297" s="75">
        <v>1</v>
      </c>
      <c r="AS1297" s="95">
        <v>7.2186152540827803E-2</v>
      </c>
      <c r="AT1297" s="79">
        <v>0</v>
      </c>
      <c r="AU1297" s="79">
        <v>0</v>
      </c>
      <c r="AV1297" s="79">
        <v>0</v>
      </c>
      <c r="AW1297" s="79">
        <v>4.6511627906976702E-2</v>
      </c>
      <c r="AX1297" s="56"/>
      <c r="AY1297" s="54"/>
    </row>
    <row r="1298" spans="1:51">
      <c r="A1298" s="53"/>
      <c r="B1298" s="56"/>
      <c r="C1298" s="90" t="s">
        <v>1079</v>
      </c>
      <c r="D1298" s="230" t="s">
        <v>1757</v>
      </c>
      <c r="E1298" s="68" t="s">
        <v>1080</v>
      </c>
      <c r="F1298" s="128" t="s">
        <v>1322</v>
      </c>
      <c r="G1298" s="128" t="s">
        <v>1322</v>
      </c>
      <c r="H1298" s="128" t="s">
        <v>1322</v>
      </c>
      <c r="I1298" s="128" t="s">
        <v>1322</v>
      </c>
      <c r="J1298" s="70">
        <v>0.9</v>
      </c>
      <c r="K1298" s="71">
        <v>1</v>
      </c>
      <c r="L1298" s="71">
        <v>1</v>
      </c>
      <c r="M1298" s="72">
        <v>0.95652173913043503</v>
      </c>
      <c r="N1298" s="71">
        <v>0.97826086956521696</v>
      </c>
      <c r="O1298" s="73">
        <v>0.9</v>
      </c>
      <c r="P1298" s="71">
        <v>0.993166287015945</v>
      </c>
      <c r="Q1298" s="71">
        <v>0.98733108108108103</v>
      </c>
      <c r="R1298" s="71">
        <v>0.98959318826868503</v>
      </c>
      <c r="S1298" s="71">
        <v>0.988162762022195</v>
      </c>
      <c r="T1298" s="73">
        <v>0.9</v>
      </c>
      <c r="U1298" s="71">
        <v>0.92255125284738004</v>
      </c>
      <c r="V1298" s="71">
        <v>0.93243243243243201</v>
      </c>
      <c r="W1298" s="71">
        <v>0.93282876064332998</v>
      </c>
      <c r="X1298" s="71">
        <v>0.93966296752979905</v>
      </c>
      <c r="Y1298" s="73">
        <v>0.92</v>
      </c>
      <c r="Z1298" s="73">
        <v>0.91516709511568095</v>
      </c>
      <c r="AA1298" s="73">
        <v>0.96161616161616204</v>
      </c>
      <c r="AB1298" s="73">
        <v>0.93083003952569199</v>
      </c>
      <c r="AC1298" s="73">
        <v>0.95079153156589702</v>
      </c>
      <c r="AD1298" s="73">
        <v>0.92</v>
      </c>
      <c r="AE1298" s="71">
        <v>1</v>
      </c>
      <c r="AF1298" s="71">
        <v>1</v>
      </c>
      <c r="AG1298" s="71">
        <v>1</v>
      </c>
      <c r="AH1298" s="71">
        <v>0.99950495049504995</v>
      </c>
      <c r="AI1298" s="73">
        <v>0.92</v>
      </c>
      <c r="AJ1298" s="71">
        <v>0.94948697711128605</v>
      </c>
      <c r="AK1298" s="71">
        <v>0.97498511018463396</v>
      </c>
      <c r="AL1298" s="71">
        <v>0.958413307741523</v>
      </c>
      <c r="AM1298" s="71">
        <v>0.97294347426470595</v>
      </c>
      <c r="AN1298" s="70">
        <v>0.99</v>
      </c>
      <c r="AO1298" s="75">
        <v>1</v>
      </c>
      <c r="AP1298" s="75">
        <v>1</v>
      </c>
      <c r="AQ1298" s="75">
        <v>1</v>
      </c>
      <c r="AR1298" s="75">
        <v>1</v>
      </c>
      <c r="AS1298" s="95">
        <v>7.2186152540827803E-2</v>
      </c>
      <c r="AT1298" s="79">
        <v>0</v>
      </c>
      <c r="AU1298" s="79">
        <v>0</v>
      </c>
      <c r="AV1298" s="79">
        <v>0</v>
      </c>
      <c r="AW1298" s="79">
        <v>2.5000000000000001E-2</v>
      </c>
      <c r="AX1298" s="56"/>
      <c r="AY1298" s="54"/>
    </row>
    <row r="1299" spans="1:51">
      <c r="A1299" s="53"/>
      <c r="B1299" s="56"/>
      <c r="C1299" s="90" t="s">
        <v>1079</v>
      </c>
      <c r="D1299" s="230" t="s">
        <v>1757</v>
      </c>
      <c r="E1299" s="68" t="s">
        <v>1080</v>
      </c>
      <c r="F1299" s="128" t="s">
        <v>1323</v>
      </c>
      <c r="G1299" s="128" t="s">
        <v>1323</v>
      </c>
      <c r="H1299" s="128" t="s">
        <v>1323</v>
      </c>
      <c r="I1299" s="128" t="s">
        <v>1323</v>
      </c>
      <c r="J1299" s="70">
        <v>0.9</v>
      </c>
      <c r="K1299" s="71">
        <v>0.94736842105263197</v>
      </c>
      <c r="L1299" s="71">
        <v>0.94444444444444398</v>
      </c>
      <c r="M1299" s="72">
        <v>0.82352941176470595</v>
      </c>
      <c r="N1299" s="71">
        <v>0.95652173913043503</v>
      </c>
      <c r="O1299" s="73">
        <v>0.9</v>
      </c>
      <c r="P1299" s="71">
        <v>0.98897637795275595</v>
      </c>
      <c r="Q1299" s="71">
        <v>0.98923766816143499</v>
      </c>
      <c r="R1299" s="71">
        <v>0.97788944723618099</v>
      </c>
      <c r="S1299" s="71">
        <v>0.98607163160886901</v>
      </c>
      <c r="T1299" s="73">
        <v>0.9</v>
      </c>
      <c r="U1299" s="71">
        <v>0.907086614173228</v>
      </c>
      <c r="V1299" s="71">
        <v>0.91748878923766797</v>
      </c>
      <c r="W1299" s="71">
        <v>0.90050251256281399</v>
      </c>
      <c r="X1299" s="71">
        <v>0.92978965321205198</v>
      </c>
      <c r="Y1299" s="73">
        <v>0.92</v>
      </c>
      <c r="Z1299" s="73">
        <v>0.88813559322033897</v>
      </c>
      <c r="AA1299" s="73">
        <v>0.91489361702127703</v>
      </c>
      <c r="AB1299" s="73">
        <v>0.93333333333333302</v>
      </c>
      <c r="AC1299" s="73">
        <v>0.92793931731984802</v>
      </c>
      <c r="AD1299" s="73">
        <v>0.92</v>
      </c>
      <c r="AE1299" s="71">
        <v>1</v>
      </c>
      <c r="AF1299" s="71">
        <v>1</v>
      </c>
      <c r="AG1299" s="71">
        <v>1</v>
      </c>
      <c r="AH1299" s="71">
        <v>0.98520345252774399</v>
      </c>
      <c r="AI1299" s="73">
        <v>0.92</v>
      </c>
      <c r="AJ1299" s="71">
        <v>0.945161290322581</v>
      </c>
      <c r="AK1299" s="71">
        <v>0.95439302481555999</v>
      </c>
      <c r="AL1299" s="71">
        <v>0.96641221374045805</v>
      </c>
      <c r="AM1299" s="71">
        <v>0.96650585802894595</v>
      </c>
      <c r="AN1299" s="70">
        <v>0.99</v>
      </c>
      <c r="AO1299" s="75">
        <v>1</v>
      </c>
      <c r="AP1299" s="75">
        <v>1</v>
      </c>
      <c r="AQ1299" s="75">
        <v>1</v>
      </c>
      <c r="AR1299" s="75">
        <v>1</v>
      </c>
      <c r="AS1299" s="95">
        <v>7.2186152540827803E-2</v>
      </c>
      <c r="AT1299" s="79">
        <v>0</v>
      </c>
      <c r="AU1299" s="79">
        <v>0</v>
      </c>
      <c r="AV1299" s="79">
        <v>0</v>
      </c>
      <c r="AW1299" s="79">
        <v>5.1282051282051301E-2</v>
      </c>
      <c r="AX1299" s="56"/>
      <c r="AY1299" s="54"/>
    </row>
    <row r="1300" spans="1:51">
      <c r="A1300" s="53"/>
      <c r="B1300" s="56"/>
      <c r="C1300" s="90" t="s">
        <v>1079</v>
      </c>
      <c r="D1300" s="230" t="s">
        <v>1757</v>
      </c>
      <c r="E1300" s="68" t="s">
        <v>1080</v>
      </c>
      <c r="F1300" s="128" t="s">
        <v>1324</v>
      </c>
      <c r="G1300" s="128" t="s">
        <v>1324</v>
      </c>
      <c r="H1300" s="128" t="s">
        <v>1324</v>
      </c>
      <c r="I1300" s="128" t="s">
        <v>1324</v>
      </c>
      <c r="J1300" s="70">
        <v>0.9</v>
      </c>
      <c r="K1300" s="71">
        <v>0.95454545454545503</v>
      </c>
      <c r="L1300" s="71">
        <v>0.96363636363636396</v>
      </c>
      <c r="M1300" s="72">
        <v>0.92</v>
      </c>
      <c r="N1300" s="71">
        <v>0.92387543252595195</v>
      </c>
      <c r="O1300" s="73">
        <v>0.9</v>
      </c>
      <c r="P1300" s="71">
        <v>0.98977695167286295</v>
      </c>
      <c r="Q1300" s="71">
        <v>0.96720333929636304</v>
      </c>
      <c r="R1300" s="71">
        <v>0.98933975240715299</v>
      </c>
      <c r="S1300" s="71">
        <v>0.97736315408729202</v>
      </c>
      <c r="T1300" s="73">
        <v>0.9</v>
      </c>
      <c r="U1300" s="71">
        <v>0.92843866171003697</v>
      </c>
      <c r="V1300" s="71">
        <v>0.94484197972570105</v>
      </c>
      <c r="W1300" s="71">
        <v>0.94635488308115501</v>
      </c>
      <c r="X1300" s="71">
        <v>0.948607427055703</v>
      </c>
      <c r="Y1300" s="73">
        <v>0.92</v>
      </c>
      <c r="Z1300" s="73">
        <v>0.88115064345192995</v>
      </c>
      <c r="AA1300" s="73">
        <v>0.96561286744315</v>
      </c>
      <c r="AB1300" s="73">
        <v>0.95020533880903502</v>
      </c>
      <c r="AC1300" s="73">
        <v>0.95631424375917795</v>
      </c>
      <c r="AD1300" s="73">
        <v>0.92</v>
      </c>
      <c r="AE1300" s="71">
        <v>0.996805111821086</v>
      </c>
      <c r="AF1300" s="71">
        <v>0.98567818028643595</v>
      </c>
      <c r="AG1300" s="71">
        <v>0.99563953488372103</v>
      </c>
      <c r="AH1300" s="71">
        <v>0.99067164179104505</v>
      </c>
      <c r="AI1300" s="73">
        <v>0.92</v>
      </c>
      <c r="AJ1300" s="71">
        <v>0.93838180247624503</v>
      </c>
      <c r="AK1300" s="71">
        <v>0.980802792321117</v>
      </c>
      <c r="AL1300" s="71">
        <v>0.97199917644636602</v>
      </c>
      <c r="AM1300" s="71">
        <v>0.97579040036745002</v>
      </c>
      <c r="AN1300" s="70">
        <v>0.99</v>
      </c>
      <c r="AO1300" s="75">
        <v>1</v>
      </c>
      <c r="AP1300" s="75">
        <v>1</v>
      </c>
      <c r="AQ1300" s="75">
        <v>1</v>
      </c>
      <c r="AR1300" s="75">
        <v>1</v>
      </c>
      <c r="AS1300" s="95">
        <v>7.2186152540827803E-2</v>
      </c>
      <c r="AT1300" s="79">
        <v>0</v>
      </c>
      <c r="AU1300" s="79">
        <v>0</v>
      </c>
      <c r="AV1300" s="79">
        <v>0</v>
      </c>
      <c r="AW1300" s="79">
        <v>7.0707070707070704E-2</v>
      </c>
      <c r="AX1300" s="56"/>
      <c r="AY1300" s="54"/>
    </row>
    <row r="1301" spans="1:51">
      <c r="A1301" s="53"/>
      <c r="B1301" s="56"/>
      <c r="C1301" s="90" t="s">
        <v>1079</v>
      </c>
      <c r="D1301" s="230" t="s">
        <v>1757</v>
      </c>
      <c r="E1301" s="68" t="s">
        <v>1080</v>
      </c>
      <c r="F1301" s="128" t="s">
        <v>1325</v>
      </c>
      <c r="G1301" s="128" t="s">
        <v>1325</v>
      </c>
      <c r="H1301" s="128" t="s">
        <v>1325</v>
      </c>
      <c r="I1301" s="128" t="s">
        <v>1325</v>
      </c>
      <c r="J1301" s="70">
        <v>0.9</v>
      </c>
      <c r="K1301" s="71">
        <v>0.94117647058823495</v>
      </c>
      <c r="L1301" s="71">
        <v>0.89473684210526305</v>
      </c>
      <c r="M1301" s="72">
        <v>1</v>
      </c>
      <c r="N1301" s="71">
        <v>0.932668329177057</v>
      </c>
      <c r="O1301" s="73">
        <v>0.9</v>
      </c>
      <c r="P1301" s="71">
        <v>0.98194945848375403</v>
      </c>
      <c r="Q1301" s="71">
        <v>0.98816848083293896</v>
      </c>
      <c r="R1301" s="71">
        <v>0.99254526091586803</v>
      </c>
      <c r="S1301" s="71">
        <v>0.98818806810316995</v>
      </c>
      <c r="T1301" s="73">
        <v>0.9</v>
      </c>
      <c r="U1301" s="71">
        <v>0.966064981949458</v>
      </c>
      <c r="V1301" s="71">
        <v>0.96403218173213401</v>
      </c>
      <c r="W1301" s="71">
        <v>0.96751863684771</v>
      </c>
      <c r="X1301" s="71">
        <v>0.97042402989895304</v>
      </c>
      <c r="Y1301" s="73">
        <v>0.92</v>
      </c>
      <c r="Z1301" s="73">
        <v>0.96</v>
      </c>
      <c r="AA1301" s="73">
        <v>0.97243107769423598</v>
      </c>
      <c r="AB1301" s="73">
        <v>0.96</v>
      </c>
      <c r="AC1301" s="73">
        <v>0.96402580218326195</v>
      </c>
      <c r="AD1301" s="73">
        <v>0.92</v>
      </c>
      <c r="AE1301" s="71">
        <v>1</v>
      </c>
      <c r="AF1301" s="71">
        <v>0.99342105263157898</v>
      </c>
      <c r="AG1301" s="71">
        <v>0.996466431095406</v>
      </c>
      <c r="AH1301" s="71">
        <v>0.99643933168994803</v>
      </c>
      <c r="AI1301" s="73">
        <v>0.92</v>
      </c>
      <c r="AJ1301" s="71">
        <v>0.97437070938215098</v>
      </c>
      <c r="AK1301" s="71">
        <v>0.98459214501510595</v>
      </c>
      <c r="AL1301" s="71">
        <v>0.97908211052138605</v>
      </c>
      <c r="AM1301" s="71">
        <v>0.98294192554861304</v>
      </c>
      <c r="AN1301" s="70">
        <v>0.99</v>
      </c>
      <c r="AO1301" s="75">
        <v>1</v>
      </c>
      <c r="AP1301" s="75">
        <v>1</v>
      </c>
      <c r="AQ1301" s="75">
        <v>1</v>
      </c>
      <c r="AR1301" s="75">
        <v>1</v>
      </c>
      <c r="AS1301" s="95">
        <v>7.2186152540827803E-2</v>
      </c>
      <c r="AT1301" s="79">
        <v>0</v>
      </c>
      <c r="AU1301" s="79">
        <v>0</v>
      </c>
      <c r="AV1301" s="79">
        <v>0</v>
      </c>
      <c r="AW1301" s="79">
        <v>2.27272727272727E-2</v>
      </c>
      <c r="AX1301" s="56"/>
      <c r="AY1301" s="54"/>
    </row>
    <row r="1302" spans="1:51">
      <c r="A1302" s="53"/>
      <c r="B1302" s="56"/>
      <c r="C1302" s="90" t="s">
        <v>1079</v>
      </c>
      <c r="D1302" s="230" t="s">
        <v>1757</v>
      </c>
      <c r="E1302" s="68" t="s">
        <v>1080</v>
      </c>
      <c r="F1302" s="128" t="s">
        <v>1326</v>
      </c>
      <c r="G1302" s="128" t="s">
        <v>1326</v>
      </c>
      <c r="H1302" s="128" t="s">
        <v>1326</v>
      </c>
      <c r="I1302" s="128" t="s">
        <v>1326</v>
      </c>
      <c r="J1302" s="70">
        <v>0.9</v>
      </c>
      <c r="K1302" s="71">
        <v>0.95348837209302295</v>
      </c>
      <c r="L1302" s="71">
        <v>0.96296296296296302</v>
      </c>
      <c r="M1302" s="72">
        <v>0.934782608695652</v>
      </c>
      <c r="N1302" s="71">
        <v>0.96666666666666701</v>
      </c>
      <c r="O1302" s="73">
        <v>0.9</v>
      </c>
      <c r="P1302" s="71">
        <v>0.98014488865038896</v>
      </c>
      <c r="Q1302" s="71">
        <v>0.99193881769326198</v>
      </c>
      <c r="R1302" s="71">
        <v>0.98692003948667295</v>
      </c>
      <c r="S1302" s="71">
        <v>0.98834311605395897</v>
      </c>
      <c r="T1302" s="73">
        <v>0.9</v>
      </c>
      <c r="U1302" s="71">
        <v>0.85940434665951204</v>
      </c>
      <c r="V1302" s="71">
        <v>0.86254650682099998</v>
      </c>
      <c r="W1302" s="71">
        <v>0.86870681145113504</v>
      </c>
      <c r="X1302" s="71">
        <v>0.87712902893625799</v>
      </c>
      <c r="Y1302" s="73">
        <v>0.92</v>
      </c>
      <c r="Z1302" s="73">
        <v>0</v>
      </c>
      <c r="AA1302" s="73" t="s">
        <v>1710</v>
      </c>
      <c r="AB1302" s="73" t="s">
        <v>1710</v>
      </c>
      <c r="AC1302" s="73">
        <v>0</v>
      </c>
      <c r="AD1302" s="73">
        <v>0.92</v>
      </c>
      <c r="AE1302" s="71">
        <v>1</v>
      </c>
      <c r="AF1302" s="71">
        <v>0.98730158730158701</v>
      </c>
      <c r="AG1302" s="71">
        <v>1</v>
      </c>
      <c r="AH1302" s="71">
        <v>0.99542072123640502</v>
      </c>
      <c r="AI1302" s="73">
        <v>0.92</v>
      </c>
      <c r="AJ1302" s="71">
        <v>0.954399141630901</v>
      </c>
      <c r="AK1302" s="71">
        <v>0.95638693675072295</v>
      </c>
      <c r="AL1302" s="71">
        <v>0.96076011846001996</v>
      </c>
      <c r="AM1302" s="71">
        <v>0.96535958480929196</v>
      </c>
      <c r="AN1302" s="70">
        <v>0.99</v>
      </c>
      <c r="AO1302" s="75">
        <v>1</v>
      </c>
      <c r="AP1302" s="75">
        <v>1</v>
      </c>
      <c r="AQ1302" s="75">
        <v>1</v>
      </c>
      <c r="AR1302" s="75">
        <v>1</v>
      </c>
      <c r="AS1302" s="95">
        <v>7.2186152540827803E-2</v>
      </c>
      <c r="AT1302" s="79">
        <v>0</v>
      </c>
      <c r="AU1302" s="79">
        <v>0</v>
      </c>
      <c r="AV1302" s="79">
        <v>0</v>
      </c>
      <c r="AW1302" s="79">
        <v>1.88679245283019E-2</v>
      </c>
      <c r="AX1302" s="56"/>
      <c r="AY1302" s="54"/>
    </row>
    <row r="1303" spans="1:51">
      <c r="A1303" s="53"/>
      <c r="B1303" s="56"/>
      <c r="C1303" s="90" t="s">
        <v>1079</v>
      </c>
      <c r="D1303" s="230" t="s">
        <v>1759</v>
      </c>
      <c r="E1303" s="68" t="s">
        <v>1080</v>
      </c>
      <c r="F1303" s="128" t="s">
        <v>1327</v>
      </c>
      <c r="G1303" s="128" t="s">
        <v>1327</v>
      </c>
      <c r="H1303" s="128" t="s">
        <v>1327</v>
      </c>
      <c r="I1303" s="128" t="s">
        <v>1327</v>
      </c>
      <c r="J1303" s="70">
        <v>0.9</v>
      </c>
      <c r="K1303" s="71" t="s">
        <v>1710</v>
      </c>
      <c r="L1303" s="71" t="s">
        <v>1710</v>
      </c>
      <c r="M1303" s="72" t="s">
        <v>1710</v>
      </c>
      <c r="N1303" s="71" t="s">
        <v>1710</v>
      </c>
      <c r="O1303" s="73">
        <v>0.9</v>
      </c>
      <c r="P1303" s="71" t="s">
        <v>1710</v>
      </c>
      <c r="Q1303" s="71" t="s">
        <v>1710</v>
      </c>
      <c r="R1303" s="71" t="s">
        <v>1710</v>
      </c>
      <c r="S1303" s="71" t="s">
        <v>1710</v>
      </c>
      <c r="T1303" s="73">
        <v>0.9</v>
      </c>
      <c r="U1303" s="71" t="s">
        <v>1710</v>
      </c>
      <c r="V1303" s="71" t="s">
        <v>1710</v>
      </c>
      <c r="W1303" s="71" t="s">
        <v>1710</v>
      </c>
      <c r="X1303" s="71" t="s">
        <v>1710</v>
      </c>
      <c r="Y1303" s="73">
        <v>0.92</v>
      </c>
      <c r="Z1303" s="73" t="s">
        <v>1710</v>
      </c>
      <c r="AA1303" s="73" t="s">
        <v>1710</v>
      </c>
      <c r="AB1303" s="73" t="s">
        <v>1710</v>
      </c>
      <c r="AC1303" s="73" t="s">
        <v>1710</v>
      </c>
      <c r="AD1303" s="73">
        <v>0.92</v>
      </c>
      <c r="AE1303" s="71">
        <v>1</v>
      </c>
      <c r="AF1303" s="71">
        <v>0.96153846153846201</v>
      </c>
      <c r="AG1303" s="71">
        <v>0.94915254237288105</v>
      </c>
      <c r="AH1303" s="71">
        <v>0.99250780437044706</v>
      </c>
      <c r="AI1303" s="73">
        <v>0.92</v>
      </c>
      <c r="AJ1303" s="71" t="s">
        <v>1710</v>
      </c>
      <c r="AK1303" s="71" t="s">
        <v>1710</v>
      </c>
      <c r="AL1303" s="71" t="s">
        <v>1710</v>
      </c>
      <c r="AM1303" s="71" t="s">
        <v>1710</v>
      </c>
      <c r="AN1303" s="70">
        <v>0.99</v>
      </c>
      <c r="AO1303" s="75">
        <v>1</v>
      </c>
      <c r="AP1303" s="75">
        <v>1</v>
      </c>
      <c r="AQ1303" s="75">
        <v>1</v>
      </c>
      <c r="AR1303" s="75">
        <v>1</v>
      </c>
      <c r="AS1303" s="95">
        <v>7.2186152540827803E-2</v>
      </c>
      <c r="AT1303" s="79" t="s">
        <v>1710</v>
      </c>
      <c r="AU1303" s="79" t="s">
        <v>1710</v>
      </c>
      <c r="AV1303" s="79" t="s">
        <v>1710</v>
      </c>
      <c r="AW1303" s="79" t="s">
        <v>1710</v>
      </c>
      <c r="AX1303" s="56"/>
      <c r="AY1303" s="54"/>
    </row>
    <row r="1304" spans="1:51">
      <c r="A1304" s="53"/>
      <c r="B1304" s="56"/>
      <c r="C1304" s="90" t="s">
        <v>1079</v>
      </c>
      <c r="D1304" s="230" t="s">
        <v>1757</v>
      </c>
      <c r="E1304" s="68" t="s">
        <v>1080</v>
      </c>
      <c r="F1304" s="128" t="s">
        <v>1328</v>
      </c>
      <c r="G1304" s="128" t="s">
        <v>1328</v>
      </c>
      <c r="H1304" s="128" t="s">
        <v>1328</v>
      </c>
      <c r="I1304" s="128" t="s">
        <v>1328</v>
      </c>
      <c r="J1304" s="70">
        <v>0.9</v>
      </c>
      <c r="K1304" s="71">
        <v>0.952380952380952</v>
      </c>
      <c r="L1304" s="71">
        <v>0.90909090909090895</v>
      </c>
      <c r="M1304" s="72">
        <v>1</v>
      </c>
      <c r="N1304" s="71">
        <v>0.95220588235294101</v>
      </c>
      <c r="O1304" s="73">
        <v>0.9</v>
      </c>
      <c r="P1304" s="71">
        <v>0.99295774647887303</v>
      </c>
      <c r="Q1304" s="71">
        <v>0.99403874813710902</v>
      </c>
      <c r="R1304" s="71">
        <v>0.99674267100977199</v>
      </c>
      <c r="S1304" s="71">
        <v>0.99229113132856495</v>
      </c>
      <c r="T1304" s="73">
        <v>0.9</v>
      </c>
      <c r="U1304" s="71">
        <v>0.96478873239436602</v>
      </c>
      <c r="V1304" s="71">
        <v>0.95603576751117703</v>
      </c>
      <c r="W1304" s="71">
        <v>0.96172638436482105</v>
      </c>
      <c r="X1304" s="71">
        <v>0.96576151121605702</v>
      </c>
      <c r="Y1304" s="73">
        <v>0.92</v>
      </c>
      <c r="Z1304" s="73">
        <v>0.96309963099631002</v>
      </c>
      <c r="AA1304" s="73">
        <v>0.98360655737704905</v>
      </c>
      <c r="AB1304" s="73">
        <v>0.97323600973236002</v>
      </c>
      <c r="AC1304" s="73">
        <v>0.96775787523162404</v>
      </c>
      <c r="AD1304" s="73">
        <v>0.92</v>
      </c>
      <c r="AE1304" s="71">
        <v>1</v>
      </c>
      <c r="AF1304" s="71">
        <v>0.99280575539568305</v>
      </c>
      <c r="AG1304" s="71">
        <v>0.99652777777777801</v>
      </c>
      <c r="AH1304" s="71">
        <v>0.98829228905934596</v>
      </c>
      <c r="AI1304" s="73">
        <v>0.92</v>
      </c>
      <c r="AJ1304" s="71">
        <v>0.97560975609756095</v>
      </c>
      <c r="AK1304" s="71">
        <v>0.98457087753133998</v>
      </c>
      <c r="AL1304" s="71">
        <v>0.983414634146341</v>
      </c>
      <c r="AM1304" s="71">
        <v>0.98150782361308697</v>
      </c>
      <c r="AN1304" s="70">
        <v>0.99</v>
      </c>
      <c r="AO1304" s="75">
        <v>1</v>
      </c>
      <c r="AP1304" s="75">
        <v>1</v>
      </c>
      <c r="AQ1304" s="75">
        <v>1</v>
      </c>
      <c r="AR1304" s="75">
        <v>1</v>
      </c>
      <c r="AS1304" s="95">
        <v>7.2186152540827803E-2</v>
      </c>
      <c r="AT1304" s="79">
        <v>0</v>
      </c>
      <c r="AU1304" s="79">
        <v>0.2</v>
      </c>
      <c r="AV1304" s="79">
        <v>0</v>
      </c>
      <c r="AW1304" s="79">
        <v>0.114285714285714</v>
      </c>
      <c r="AX1304" s="56"/>
      <c r="AY1304" s="54"/>
    </row>
    <row r="1305" spans="1:51">
      <c r="A1305" s="53"/>
      <c r="B1305" s="56"/>
      <c r="C1305" s="90" t="s">
        <v>1079</v>
      </c>
      <c r="D1305" s="230" t="s">
        <v>1757</v>
      </c>
      <c r="E1305" s="68" t="s">
        <v>1080</v>
      </c>
      <c r="F1305" s="128" t="s">
        <v>1329</v>
      </c>
      <c r="G1305" s="128" t="s">
        <v>1329</v>
      </c>
      <c r="H1305" s="128" t="s">
        <v>1329</v>
      </c>
      <c r="I1305" s="128" t="s">
        <v>1329</v>
      </c>
      <c r="J1305" s="70">
        <v>0.9</v>
      </c>
      <c r="K1305" s="71">
        <v>0.88</v>
      </c>
      <c r="L1305" s="71">
        <v>0.94444444444444398</v>
      </c>
      <c r="M1305" s="72">
        <v>0.87272727272727302</v>
      </c>
      <c r="N1305" s="71">
        <v>0.92346938775510201</v>
      </c>
      <c r="O1305" s="73">
        <v>0.9</v>
      </c>
      <c r="P1305" s="71">
        <v>0.96932084309133504</v>
      </c>
      <c r="Q1305" s="71">
        <v>0.97732997481108297</v>
      </c>
      <c r="R1305" s="71">
        <v>0.98844646172890405</v>
      </c>
      <c r="S1305" s="71">
        <v>0.97702387680135605</v>
      </c>
      <c r="T1305" s="73">
        <v>0.9</v>
      </c>
      <c r="U1305" s="71">
        <v>0.91007025761124105</v>
      </c>
      <c r="V1305" s="71">
        <v>0.88539042821158698</v>
      </c>
      <c r="W1305" s="71">
        <v>0.94388281411182196</v>
      </c>
      <c r="X1305" s="71">
        <v>0.897711217858152</v>
      </c>
      <c r="Y1305" s="73">
        <v>0.92</v>
      </c>
      <c r="Z1305" s="73" t="s">
        <v>1710</v>
      </c>
      <c r="AA1305" s="73" t="s">
        <v>1710</v>
      </c>
      <c r="AB1305" s="73" t="s">
        <v>1710</v>
      </c>
      <c r="AC1305" s="73" t="s">
        <v>1710</v>
      </c>
      <c r="AD1305" s="73">
        <v>0.92</v>
      </c>
      <c r="AE1305" s="71">
        <v>0.99913194444444398</v>
      </c>
      <c r="AF1305" s="71">
        <v>0.99575070821529699</v>
      </c>
      <c r="AG1305" s="71">
        <v>0.98958333333333304</v>
      </c>
      <c r="AH1305" s="71">
        <v>0.99421062304723395</v>
      </c>
      <c r="AI1305" s="73">
        <v>0.92</v>
      </c>
      <c r="AJ1305" s="71">
        <v>0.97142857142857097</v>
      </c>
      <c r="AK1305" s="71">
        <v>0.97535084562792396</v>
      </c>
      <c r="AL1305" s="71">
        <v>0.98101918712605696</v>
      </c>
      <c r="AM1305" s="71">
        <v>0.98285179429217295</v>
      </c>
      <c r="AN1305" s="70">
        <v>0.99</v>
      </c>
      <c r="AO1305" s="75">
        <v>1</v>
      </c>
      <c r="AP1305" s="75">
        <v>1</v>
      </c>
      <c r="AQ1305" s="75">
        <v>1</v>
      </c>
      <c r="AR1305" s="75">
        <v>1</v>
      </c>
      <c r="AS1305" s="95">
        <v>7.2186152540827803E-2</v>
      </c>
      <c r="AT1305" s="79">
        <v>0</v>
      </c>
      <c r="AU1305" s="79">
        <v>9.5238095238095205E-2</v>
      </c>
      <c r="AV1305" s="79">
        <v>0</v>
      </c>
      <c r="AW1305" s="79">
        <v>3.25581395348837E-2</v>
      </c>
      <c r="AX1305" s="56"/>
      <c r="AY1305" s="54"/>
    </row>
    <row r="1306" spans="1:51">
      <c r="A1306" s="53"/>
      <c r="B1306" s="56"/>
      <c r="C1306" s="90" t="s">
        <v>1079</v>
      </c>
      <c r="D1306" s="230" t="s">
        <v>1757</v>
      </c>
      <c r="E1306" s="68" t="s">
        <v>1080</v>
      </c>
      <c r="F1306" s="128" t="s">
        <v>1330</v>
      </c>
      <c r="G1306" s="128" t="s">
        <v>1330</v>
      </c>
      <c r="H1306" s="128" t="s">
        <v>1330</v>
      </c>
      <c r="I1306" s="128" t="s">
        <v>1330</v>
      </c>
      <c r="J1306" s="70">
        <v>0.9</v>
      </c>
      <c r="K1306" s="71">
        <v>0.95348837209302295</v>
      </c>
      <c r="L1306" s="71">
        <v>0.934782608695652</v>
      </c>
      <c r="M1306" s="72">
        <v>0.91111111111111098</v>
      </c>
      <c r="N1306" s="71">
        <v>0.91683569979715995</v>
      </c>
      <c r="O1306" s="73">
        <v>0.9</v>
      </c>
      <c r="P1306" s="71">
        <v>0.99082568807339499</v>
      </c>
      <c r="Q1306" s="71">
        <v>0.99162084315265797</v>
      </c>
      <c r="R1306" s="71">
        <v>0.98994974874371899</v>
      </c>
      <c r="S1306" s="71">
        <v>0.98922003804692404</v>
      </c>
      <c r="T1306" s="73">
        <v>0.9</v>
      </c>
      <c r="U1306" s="71">
        <v>0.92307692307692302</v>
      </c>
      <c r="V1306" s="71">
        <v>0.93584708038753595</v>
      </c>
      <c r="W1306" s="71">
        <v>0.95226130653266305</v>
      </c>
      <c r="X1306" s="71">
        <v>0.93997040794758002</v>
      </c>
      <c r="Y1306" s="73">
        <v>0.92</v>
      </c>
      <c r="Z1306" s="73" t="s">
        <v>1710</v>
      </c>
      <c r="AA1306" s="73" t="s">
        <v>1710</v>
      </c>
      <c r="AB1306" s="73" t="s">
        <v>1710</v>
      </c>
      <c r="AC1306" s="73" t="s">
        <v>1710</v>
      </c>
      <c r="AD1306" s="73">
        <v>0.92</v>
      </c>
      <c r="AE1306" s="71">
        <v>0.99761904761904796</v>
      </c>
      <c r="AF1306" s="71">
        <v>0.98727272727272697</v>
      </c>
      <c r="AG1306" s="71">
        <v>1</v>
      </c>
      <c r="AH1306" s="71">
        <v>0.99240440020953402</v>
      </c>
      <c r="AI1306" s="73">
        <v>0.92</v>
      </c>
      <c r="AJ1306" s="71">
        <v>0.95800988002822896</v>
      </c>
      <c r="AK1306" s="71">
        <v>0.96622152395915195</v>
      </c>
      <c r="AL1306" s="71">
        <v>0.97551020408163303</v>
      </c>
      <c r="AM1306" s="71">
        <v>0.97439826679700903</v>
      </c>
      <c r="AN1306" s="70">
        <v>0.99</v>
      </c>
      <c r="AO1306" s="75">
        <v>1</v>
      </c>
      <c r="AP1306" s="75">
        <v>1</v>
      </c>
      <c r="AQ1306" s="75">
        <v>1</v>
      </c>
      <c r="AR1306" s="75">
        <v>1</v>
      </c>
      <c r="AS1306" s="95">
        <v>7.2186152540827803E-2</v>
      </c>
      <c r="AT1306" s="79">
        <v>9.0909090909090898E-2</v>
      </c>
      <c r="AU1306" s="79">
        <v>0</v>
      </c>
      <c r="AV1306" s="79">
        <v>7.1428571428571397E-2</v>
      </c>
      <c r="AW1306" s="79">
        <v>3.6697247706422E-2</v>
      </c>
      <c r="AX1306" s="56"/>
      <c r="AY1306" s="54"/>
    </row>
    <row r="1307" spans="1:51">
      <c r="A1307" s="53"/>
      <c r="B1307" s="56"/>
      <c r="C1307" s="90" t="s">
        <v>1079</v>
      </c>
      <c r="D1307" s="230" t="s">
        <v>1757</v>
      </c>
      <c r="E1307" s="68" t="s">
        <v>1080</v>
      </c>
      <c r="F1307" s="128" t="s">
        <v>1331</v>
      </c>
      <c r="G1307" s="128" t="s">
        <v>1331</v>
      </c>
      <c r="H1307" s="128" t="s">
        <v>1331</v>
      </c>
      <c r="I1307" s="128" t="s">
        <v>1331</v>
      </c>
      <c r="J1307" s="70">
        <v>0.9</v>
      </c>
      <c r="K1307" s="71">
        <v>0.90909090909090895</v>
      </c>
      <c r="L1307" s="71">
        <v>0.91666666666666696</v>
      </c>
      <c r="M1307" s="72">
        <v>0.94117647058823495</v>
      </c>
      <c r="N1307" s="71">
        <v>0.94960212201591498</v>
      </c>
      <c r="O1307" s="73">
        <v>0.9</v>
      </c>
      <c r="P1307" s="71">
        <v>0.97912918315941</v>
      </c>
      <c r="Q1307" s="71">
        <v>0.97208490840360595</v>
      </c>
      <c r="R1307" s="71">
        <v>0.98261725155788804</v>
      </c>
      <c r="S1307" s="71">
        <v>0.979525682938993</v>
      </c>
      <c r="T1307" s="73">
        <v>0.9</v>
      </c>
      <c r="U1307" s="71">
        <v>0.96437567470313101</v>
      </c>
      <c r="V1307" s="71">
        <v>0.95899970921779598</v>
      </c>
      <c r="W1307" s="71">
        <v>0.97540177107248305</v>
      </c>
      <c r="X1307" s="71">
        <v>0.96362276278605896</v>
      </c>
      <c r="Y1307" s="73">
        <v>0.92</v>
      </c>
      <c r="Z1307" s="73" t="s">
        <v>1710</v>
      </c>
      <c r="AA1307" s="73" t="s">
        <v>1710</v>
      </c>
      <c r="AB1307" s="73" t="s">
        <v>1710</v>
      </c>
      <c r="AC1307" s="73" t="s">
        <v>1710</v>
      </c>
      <c r="AD1307" s="73">
        <v>0.92</v>
      </c>
      <c r="AE1307" s="71">
        <v>0.99812030075187996</v>
      </c>
      <c r="AF1307" s="71">
        <v>0.99792099792099798</v>
      </c>
      <c r="AG1307" s="71">
        <v>0.99764150943396201</v>
      </c>
      <c r="AH1307" s="71">
        <v>0.98894924143097995</v>
      </c>
      <c r="AI1307" s="73">
        <v>0.92</v>
      </c>
      <c r="AJ1307" s="71">
        <v>0.97661029147175205</v>
      </c>
      <c r="AK1307" s="71">
        <v>0.98284384995638296</v>
      </c>
      <c r="AL1307" s="71">
        <v>0.988520826500492</v>
      </c>
      <c r="AM1307" s="71">
        <v>0.98501135922868099</v>
      </c>
      <c r="AN1307" s="70">
        <v>0.99</v>
      </c>
      <c r="AO1307" s="75">
        <v>1</v>
      </c>
      <c r="AP1307" s="75">
        <v>1</v>
      </c>
      <c r="AQ1307" s="75">
        <v>1</v>
      </c>
      <c r="AR1307" s="75">
        <v>1</v>
      </c>
      <c r="AS1307" s="95">
        <v>7.2186152540827803E-2</v>
      </c>
      <c r="AT1307" s="79">
        <v>0</v>
      </c>
      <c r="AU1307" s="79">
        <v>0</v>
      </c>
      <c r="AV1307" s="79">
        <v>0</v>
      </c>
      <c r="AW1307" s="79">
        <v>6.9444444444444406E-2</v>
      </c>
      <c r="AX1307" s="56"/>
      <c r="AY1307" s="54"/>
    </row>
    <row r="1308" spans="1:51">
      <c r="A1308" s="53"/>
      <c r="B1308" s="56"/>
      <c r="C1308" s="90" t="s">
        <v>1079</v>
      </c>
      <c r="D1308" s="230" t="s">
        <v>1757</v>
      </c>
      <c r="E1308" s="68" t="s">
        <v>1080</v>
      </c>
      <c r="F1308" s="128" t="s">
        <v>1332</v>
      </c>
      <c r="G1308" s="128" t="s">
        <v>1332</v>
      </c>
      <c r="H1308" s="128" t="s">
        <v>1332</v>
      </c>
      <c r="I1308" s="128" t="s">
        <v>1332</v>
      </c>
      <c r="J1308" s="70">
        <v>0.9</v>
      </c>
      <c r="K1308" s="71">
        <v>0.96296296296296302</v>
      </c>
      <c r="L1308" s="71">
        <v>0.95833333333333304</v>
      </c>
      <c r="M1308" s="72">
        <v>1</v>
      </c>
      <c r="N1308" s="71">
        <v>0.96071428571428596</v>
      </c>
      <c r="O1308" s="73">
        <v>0.9</v>
      </c>
      <c r="P1308" s="71">
        <v>0.98552223371251302</v>
      </c>
      <c r="Q1308" s="71">
        <v>0.89488188976378003</v>
      </c>
      <c r="R1308" s="71">
        <v>0.98933333333333295</v>
      </c>
      <c r="S1308" s="71">
        <v>0.976422425230279</v>
      </c>
      <c r="T1308" s="73">
        <v>0.9</v>
      </c>
      <c r="U1308" s="71">
        <v>0.93846949327817997</v>
      </c>
      <c r="V1308" s="71">
        <v>0.79133858267716495</v>
      </c>
      <c r="W1308" s="71">
        <v>0.92355555555555602</v>
      </c>
      <c r="X1308" s="71">
        <v>0.90182328190743299</v>
      </c>
      <c r="Y1308" s="73">
        <v>0.92</v>
      </c>
      <c r="Z1308" s="73" t="s">
        <v>1710</v>
      </c>
      <c r="AA1308" s="73" t="s">
        <v>1710</v>
      </c>
      <c r="AB1308" s="73" t="s">
        <v>1710</v>
      </c>
      <c r="AC1308" s="73">
        <v>0</v>
      </c>
      <c r="AD1308" s="73">
        <v>0.92</v>
      </c>
      <c r="AE1308" s="71">
        <v>0.993506493506494</v>
      </c>
      <c r="AF1308" s="71">
        <v>0.99689440993788803</v>
      </c>
      <c r="AG1308" s="71">
        <v>0.98235294117647098</v>
      </c>
      <c r="AH1308" s="71">
        <v>0.99071566731141203</v>
      </c>
      <c r="AI1308" s="73">
        <v>0.92</v>
      </c>
      <c r="AJ1308" s="71">
        <v>0.96173733195449795</v>
      </c>
      <c r="AK1308" s="71">
        <v>0.94409448818897601</v>
      </c>
      <c r="AL1308" s="71">
        <v>0.97022222222222199</v>
      </c>
      <c r="AM1308" s="71">
        <v>0.96872867864453005</v>
      </c>
      <c r="AN1308" s="70">
        <v>0.99</v>
      </c>
      <c r="AO1308" s="75">
        <v>1</v>
      </c>
      <c r="AP1308" s="75">
        <v>1</v>
      </c>
      <c r="AQ1308" s="75">
        <v>1</v>
      </c>
      <c r="AR1308" s="75">
        <v>1</v>
      </c>
      <c r="AS1308" s="95">
        <v>7.2186152540827803E-2</v>
      </c>
      <c r="AT1308" s="79">
        <v>0</v>
      </c>
      <c r="AU1308" s="79">
        <v>0</v>
      </c>
      <c r="AV1308" s="79">
        <v>0</v>
      </c>
      <c r="AW1308" s="79">
        <v>3.2258064516128997E-2</v>
      </c>
      <c r="AX1308" s="56"/>
      <c r="AY1308" s="54"/>
    </row>
    <row r="1309" spans="1:51">
      <c r="A1309" s="53"/>
      <c r="B1309" s="56"/>
      <c r="C1309" s="90" t="s">
        <v>1079</v>
      </c>
      <c r="D1309" s="230" t="s">
        <v>1757</v>
      </c>
      <c r="E1309" s="68" t="s">
        <v>1080</v>
      </c>
      <c r="F1309" s="128" t="s">
        <v>1333</v>
      </c>
      <c r="G1309" s="128" t="s">
        <v>1333</v>
      </c>
      <c r="H1309" s="128" t="s">
        <v>1333</v>
      </c>
      <c r="I1309" s="128" t="s">
        <v>1333</v>
      </c>
      <c r="J1309" s="70">
        <v>0.9</v>
      </c>
      <c r="K1309" s="71">
        <v>0.97222222222222199</v>
      </c>
      <c r="L1309" s="71">
        <v>1</v>
      </c>
      <c r="M1309" s="72">
        <v>0.94871794871794901</v>
      </c>
      <c r="N1309" s="71">
        <v>0.95584988962472395</v>
      </c>
      <c r="O1309" s="73">
        <v>0.9</v>
      </c>
      <c r="P1309" s="71">
        <v>0.98086828550404703</v>
      </c>
      <c r="Q1309" s="71">
        <v>0.93218423283413399</v>
      </c>
      <c r="R1309" s="71">
        <v>0.94244604316546798</v>
      </c>
      <c r="S1309" s="71">
        <v>0.96016406337790805</v>
      </c>
      <c r="T1309" s="73">
        <v>0.9</v>
      </c>
      <c r="U1309" s="71">
        <v>0.93009565857248</v>
      </c>
      <c r="V1309" s="71">
        <v>0.91296976547047204</v>
      </c>
      <c r="W1309" s="71">
        <v>0.95062132112491804</v>
      </c>
      <c r="X1309" s="71">
        <v>0.94044274637599701</v>
      </c>
      <c r="Y1309" s="73">
        <v>0.92</v>
      </c>
      <c r="Z1309" s="73" t="s">
        <v>1710</v>
      </c>
      <c r="AA1309" s="73" t="s">
        <v>1710</v>
      </c>
      <c r="AB1309" s="73" t="s">
        <v>1710</v>
      </c>
      <c r="AC1309" s="73" t="s">
        <v>1710</v>
      </c>
      <c r="AD1309" s="73">
        <v>0.92</v>
      </c>
      <c r="AE1309" s="71">
        <v>0.99551569506726501</v>
      </c>
      <c r="AF1309" s="71">
        <v>1</v>
      </c>
      <c r="AG1309" s="71">
        <v>1</v>
      </c>
      <c r="AH1309" s="71">
        <v>0.99473552268738996</v>
      </c>
      <c r="AI1309" s="73">
        <v>0.92</v>
      </c>
      <c r="AJ1309" s="71">
        <v>0.96320824135393701</v>
      </c>
      <c r="AK1309" s="71">
        <v>0.968070076292738</v>
      </c>
      <c r="AL1309" s="71">
        <v>0.97253106605624595</v>
      </c>
      <c r="AM1309" s="71">
        <v>0.97496909765142103</v>
      </c>
      <c r="AN1309" s="70">
        <v>0.99</v>
      </c>
      <c r="AO1309" s="75">
        <v>1</v>
      </c>
      <c r="AP1309" s="75">
        <v>1</v>
      </c>
      <c r="AQ1309" s="75">
        <v>1</v>
      </c>
      <c r="AR1309" s="75">
        <v>1</v>
      </c>
      <c r="AS1309" s="95">
        <v>7.2186152540827803E-2</v>
      </c>
      <c r="AT1309" s="79">
        <v>0</v>
      </c>
      <c r="AU1309" s="79">
        <v>0.2</v>
      </c>
      <c r="AV1309" s="79">
        <v>0.16666666666666699</v>
      </c>
      <c r="AW1309" s="79">
        <v>7.69230769230769E-2</v>
      </c>
      <c r="AX1309" s="56"/>
      <c r="AY1309" s="54"/>
    </row>
    <row r="1310" spans="1:51">
      <c r="A1310" s="53"/>
      <c r="B1310" s="56"/>
      <c r="C1310" s="90" t="s">
        <v>1079</v>
      </c>
      <c r="D1310" s="230" t="s">
        <v>1757</v>
      </c>
      <c r="E1310" s="68" t="s">
        <v>1080</v>
      </c>
      <c r="F1310" s="128" t="s">
        <v>1334</v>
      </c>
      <c r="G1310" s="128" t="s">
        <v>1334</v>
      </c>
      <c r="H1310" s="128" t="s">
        <v>1334</v>
      </c>
      <c r="I1310" s="128" t="s">
        <v>1334</v>
      </c>
      <c r="J1310" s="70">
        <v>0.9</v>
      </c>
      <c r="K1310" s="71">
        <v>0.88888888888888895</v>
      </c>
      <c r="L1310" s="71">
        <v>0.96153846153846201</v>
      </c>
      <c r="M1310" s="72">
        <v>0.95454545454545503</v>
      </c>
      <c r="N1310" s="71">
        <v>0.9272030651341</v>
      </c>
      <c r="O1310" s="73">
        <v>0.9</v>
      </c>
      <c r="P1310" s="71">
        <v>0.98102981029810299</v>
      </c>
      <c r="Q1310" s="71">
        <v>0.98453608247422697</v>
      </c>
      <c r="R1310" s="71">
        <v>0.94954721862871905</v>
      </c>
      <c r="S1310" s="71">
        <v>0.978738926524231</v>
      </c>
      <c r="T1310" s="73">
        <v>0.9</v>
      </c>
      <c r="U1310" s="71">
        <v>0.96815718157181596</v>
      </c>
      <c r="V1310" s="71">
        <v>0.96855670103092795</v>
      </c>
      <c r="W1310" s="71">
        <v>0.91203104786545897</v>
      </c>
      <c r="X1310" s="71">
        <v>0.95252735799895805</v>
      </c>
      <c r="Y1310" s="73">
        <v>0.92</v>
      </c>
      <c r="Z1310" s="73" t="s">
        <v>1710</v>
      </c>
      <c r="AA1310" s="73" t="s">
        <v>1710</v>
      </c>
      <c r="AB1310" s="73" t="s">
        <v>1710</v>
      </c>
      <c r="AC1310" s="73" t="s">
        <v>1710</v>
      </c>
      <c r="AD1310" s="73">
        <v>0.92</v>
      </c>
      <c r="AE1310" s="71">
        <v>0.99637243047158397</v>
      </c>
      <c r="AF1310" s="71">
        <v>0.98909090909090902</v>
      </c>
      <c r="AG1310" s="71">
        <v>0.99035369774919602</v>
      </c>
      <c r="AH1310" s="71">
        <v>0.990729613733906</v>
      </c>
      <c r="AI1310" s="73">
        <v>0.92</v>
      </c>
      <c r="AJ1310" s="71">
        <v>0.98102981029810299</v>
      </c>
      <c r="AK1310" s="71">
        <v>0.981958762886598</v>
      </c>
      <c r="AL1310" s="71">
        <v>0.95536869340232899</v>
      </c>
      <c r="AM1310" s="71">
        <v>0.98306409588327304</v>
      </c>
      <c r="AN1310" s="70">
        <v>0.99</v>
      </c>
      <c r="AO1310" s="75">
        <v>1</v>
      </c>
      <c r="AP1310" s="75">
        <v>1</v>
      </c>
      <c r="AQ1310" s="75">
        <v>1</v>
      </c>
      <c r="AR1310" s="75">
        <v>1</v>
      </c>
      <c r="AS1310" s="95">
        <v>7.2186152540827803E-2</v>
      </c>
      <c r="AT1310" s="79">
        <v>0.5</v>
      </c>
      <c r="AU1310" s="79">
        <v>0</v>
      </c>
      <c r="AV1310" s="79">
        <v>0</v>
      </c>
      <c r="AW1310" s="79">
        <v>7.1428571428571397E-2</v>
      </c>
      <c r="AX1310" s="56"/>
      <c r="AY1310" s="54"/>
    </row>
    <row r="1311" spans="1:51">
      <c r="A1311" s="53"/>
      <c r="B1311" s="56"/>
      <c r="C1311" s="90" t="s">
        <v>1079</v>
      </c>
      <c r="D1311" s="230" t="s">
        <v>1757</v>
      </c>
      <c r="E1311" s="68" t="s">
        <v>1080</v>
      </c>
      <c r="F1311" s="128" t="s">
        <v>1335</v>
      </c>
      <c r="G1311" s="128" t="s">
        <v>1335</v>
      </c>
      <c r="H1311" s="128" t="s">
        <v>1335</v>
      </c>
      <c r="I1311" s="128" t="s">
        <v>1335</v>
      </c>
      <c r="J1311" s="70">
        <v>0.9</v>
      </c>
      <c r="K1311" s="71">
        <v>0.92307692307692302</v>
      </c>
      <c r="L1311" s="71">
        <v>1</v>
      </c>
      <c r="M1311" s="72">
        <v>0.95454545454545503</v>
      </c>
      <c r="N1311" s="71">
        <v>0.97142857142857097</v>
      </c>
      <c r="O1311" s="73">
        <v>0.9</v>
      </c>
      <c r="P1311" s="71">
        <v>0.99341623994147799</v>
      </c>
      <c r="Q1311" s="71">
        <v>0.99124343257443104</v>
      </c>
      <c r="R1311" s="71">
        <v>0.99154929577464801</v>
      </c>
      <c r="S1311" s="71">
        <v>0.98937614354010495</v>
      </c>
      <c r="T1311" s="73">
        <v>0.9</v>
      </c>
      <c r="U1311" s="71">
        <v>0.96927578639356304</v>
      </c>
      <c r="V1311" s="71">
        <v>0.973730297723292</v>
      </c>
      <c r="W1311" s="71">
        <v>0.97676056338028205</v>
      </c>
      <c r="X1311" s="71">
        <v>0.96098683822227504</v>
      </c>
      <c r="Y1311" s="73">
        <v>0.92</v>
      </c>
      <c r="Z1311" s="73" t="s">
        <v>1710</v>
      </c>
      <c r="AA1311" s="73" t="s">
        <v>1710</v>
      </c>
      <c r="AB1311" s="73" t="s">
        <v>1710</v>
      </c>
      <c r="AC1311" s="73" t="s">
        <v>1710</v>
      </c>
      <c r="AD1311" s="73">
        <v>0.92</v>
      </c>
      <c r="AE1311" s="71">
        <v>1</v>
      </c>
      <c r="AF1311" s="71">
        <v>1</v>
      </c>
      <c r="AG1311" s="71">
        <v>1</v>
      </c>
      <c r="AH1311" s="71">
        <v>0.99855351976856299</v>
      </c>
      <c r="AI1311" s="73">
        <v>0.92</v>
      </c>
      <c r="AJ1311" s="71">
        <v>0.98024871982443296</v>
      </c>
      <c r="AK1311" s="71">
        <v>0.98131932282545198</v>
      </c>
      <c r="AL1311" s="71">
        <v>0.98591549295774605</v>
      </c>
      <c r="AM1311" s="71">
        <v>0.98441834385882099</v>
      </c>
      <c r="AN1311" s="70">
        <v>0.99</v>
      </c>
      <c r="AO1311" s="75">
        <v>1</v>
      </c>
      <c r="AP1311" s="75">
        <v>1</v>
      </c>
      <c r="AQ1311" s="75">
        <v>1</v>
      </c>
      <c r="AR1311" s="75">
        <v>1</v>
      </c>
      <c r="AS1311" s="95">
        <v>7.2186152540827803E-2</v>
      </c>
      <c r="AT1311" s="79">
        <v>0</v>
      </c>
      <c r="AU1311" s="79">
        <v>0</v>
      </c>
      <c r="AV1311" s="79">
        <v>0</v>
      </c>
      <c r="AW1311" s="79">
        <v>2.8571428571428598E-2</v>
      </c>
      <c r="AX1311" s="56"/>
      <c r="AY1311" s="54"/>
    </row>
    <row r="1312" spans="1:51">
      <c r="A1312" s="53"/>
      <c r="B1312" s="56"/>
      <c r="C1312" s="90" t="s">
        <v>1079</v>
      </c>
      <c r="D1312" s="230" t="s">
        <v>1757</v>
      </c>
      <c r="E1312" s="68" t="s">
        <v>1080</v>
      </c>
      <c r="F1312" s="128" t="s">
        <v>1336</v>
      </c>
      <c r="G1312" s="128" t="s">
        <v>1336</v>
      </c>
      <c r="H1312" s="128" t="s">
        <v>1336</v>
      </c>
      <c r="I1312" s="128" t="s">
        <v>1336</v>
      </c>
      <c r="J1312" s="70">
        <v>0.9</v>
      </c>
      <c r="K1312" s="71">
        <v>0.875</v>
      </c>
      <c r="L1312" s="71">
        <v>0.92</v>
      </c>
      <c r="M1312" s="72">
        <v>0.92</v>
      </c>
      <c r="N1312" s="71">
        <v>0.89849624060150401</v>
      </c>
      <c r="O1312" s="73">
        <v>0.9</v>
      </c>
      <c r="P1312" s="71">
        <v>0.99144008056394795</v>
      </c>
      <c r="Q1312" s="71">
        <v>0.97378716744913896</v>
      </c>
      <c r="R1312" s="71">
        <v>0.99421708185053403</v>
      </c>
      <c r="S1312" s="71">
        <v>0.97841754197653896</v>
      </c>
      <c r="T1312" s="73">
        <v>0.9</v>
      </c>
      <c r="U1312" s="71">
        <v>0.75981873111782505</v>
      </c>
      <c r="V1312" s="71">
        <v>0.76643192488262901</v>
      </c>
      <c r="W1312" s="71">
        <v>0.79937722419928803</v>
      </c>
      <c r="X1312" s="71">
        <v>0.77252165912750104</v>
      </c>
      <c r="Y1312" s="73">
        <v>0.92</v>
      </c>
      <c r="Z1312" s="73" t="s">
        <v>1710</v>
      </c>
      <c r="AA1312" s="73" t="s">
        <v>1710</v>
      </c>
      <c r="AB1312" s="73" t="s">
        <v>1710</v>
      </c>
      <c r="AC1312" s="73" t="s">
        <v>1710</v>
      </c>
      <c r="AD1312" s="73">
        <v>0.92</v>
      </c>
      <c r="AE1312" s="71">
        <v>1</v>
      </c>
      <c r="AF1312" s="71">
        <v>0.97777777777777797</v>
      </c>
      <c r="AG1312" s="71">
        <v>1</v>
      </c>
      <c r="AH1312" s="71">
        <v>0.99248120300751896</v>
      </c>
      <c r="AI1312" s="73">
        <v>0.92</v>
      </c>
      <c r="AJ1312" s="71">
        <v>0.95568982880161102</v>
      </c>
      <c r="AK1312" s="71">
        <v>0.97222222222222199</v>
      </c>
      <c r="AL1312" s="71">
        <v>0.979982206405694</v>
      </c>
      <c r="AM1312" s="71">
        <v>0.97500575021084102</v>
      </c>
      <c r="AN1312" s="70">
        <v>0.99</v>
      </c>
      <c r="AO1312" s="75">
        <v>1</v>
      </c>
      <c r="AP1312" s="75">
        <v>1</v>
      </c>
      <c r="AQ1312" s="75">
        <v>1</v>
      </c>
      <c r="AR1312" s="75">
        <v>1</v>
      </c>
      <c r="AS1312" s="95">
        <v>7.2186152540827803E-2</v>
      </c>
      <c r="AT1312" s="79">
        <v>0</v>
      </c>
      <c r="AU1312" s="79">
        <v>0.33333333333333298</v>
      </c>
      <c r="AV1312" s="79">
        <v>0</v>
      </c>
      <c r="AW1312" s="79">
        <v>0.10294117647058799</v>
      </c>
      <c r="AX1312" s="56"/>
      <c r="AY1312" s="54"/>
    </row>
    <row r="1313" spans="1:51">
      <c r="A1313" s="53"/>
      <c r="B1313" s="56"/>
      <c r="C1313" s="90" t="s">
        <v>1079</v>
      </c>
      <c r="D1313" s="230" t="s">
        <v>1757</v>
      </c>
      <c r="E1313" s="68" t="s">
        <v>1080</v>
      </c>
      <c r="F1313" s="128" t="s">
        <v>1337</v>
      </c>
      <c r="G1313" s="128" t="s">
        <v>1337</v>
      </c>
      <c r="H1313" s="128" t="s">
        <v>1337</v>
      </c>
      <c r="I1313" s="128" t="s">
        <v>1337</v>
      </c>
      <c r="J1313" s="70">
        <v>0.9</v>
      </c>
      <c r="K1313" s="71">
        <v>0.95454545454545503</v>
      </c>
      <c r="L1313" s="71">
        <v>0.76923076923076905</v>
      </c>
      <c r="M1313" s="72">
        <v>0.8</v>
      </c>
      <c r="N1313" s="71">
        <v>0.89510489510489499</v>
      </c>
      <c r="O1313" s="73">
        <v>0.9</v>
      </c>
      <c r="P1313" s="71">
        <v>0.97261410788381697</v>
      </c>
      <c r="Q1313" s="71">
        <v>0.981238273921201</v>
      </c>
      <c r="R1313" s="71">
        <v>0.971204188481675</v>
      </c>
      <c r="S1313" s="71">
        <v>0.96539505428226802</v>
      </c>
      <c r="T1313" s="73">
        <v>0.9</v>
      </c>
      <c r="U1313" s="71">
        <v>0.93112033195020705</v>
      </c>
      <c r="V1313" s="71">
        <v>0.92026266416510305</v>
      </c>
      <c r="W1313" s="71">
        <v>0.93019197207678905</v>
      </c>
      <c r="X1313" s="71">
        <v>0.93651990349819103</v>
      </c>
      <c r="Y1313" s="73">
        <v>0.92</v>
      </c>
      <c r="Z1313" s="73">
        <v>0.94695481335952802</v>
      </c>
      <c r="AA1313" s="73">
        <v>0.95805529075309803</v>
      </c>
      <c r="AB1313" s="73">
        <v>0.94768490679494899</v>
      </c>
      <c r="AC1313" s="73">
        <v>0.96361724500525803</v>
      </c>
      <c r="AD1313" s="73">
        <v>0.92</v>
      </c>
      <c r="AE1313" s="71">
        <v>1</v>
      </c>
      <c r="AF1313" s="71">
        <v>0.99168831168831195</v>
      </c>
      <c r="AG1313" s="71">
        <v>0.98419753086419703</v>
      </c>
      <c r="AH1313" s="71">
        <v>0.989423856027976</v>
      </c>
      <c r="AI1313" s="73">
        <v>0.92</v>
      </c>
      <c r="AJ1313" s="71">
        <v>0.96266306792622602</v>
      </c>
      <c r="AK1313" s="71">
        <v>0.96643026004728105</v>
      </c>
      <c r="AL1313" s="71">
        <v>0.96084015663937306</v>
      </c>
      <c r="AM1313" s="71">
        <v>0.97366509262622603</v>
      </c>
      <c r="AN1313" s="70">
        <v>0.99</v>
      </c>
      <c r="AO1313" s="75">
        <v>1</v>
      </c>
      <c r="AP1313" s="75">
        <v>1</v>
      </c>
      <c r="AQ1313" s="75">
        <v>1</v>
      </c>
      <c r="AR1313" s="75">
        <v>1</v>
      </c>
      <c r="AS1313" s="95">
        <v>7.2186152540827803E-2</v>
      </c>
      <c r="AT1313" s="79">
        <v>7.1428571428571397E-2</v>
      </c>
      <c r="AU1313" s="79">
        <v>0</v>
      </c>
      <c r="AV1313" s="79">
        <v>0</v>
      </c>
      <c r="AW1313" s="79">
        <v>4.2105263157894701E-2</v>
      </c>
      <c r="AX1313" s="56"/>
      <c r="AY1313" s="54"/>
    </row>
    <row r="1314" spans="1:51">
      <c r="A1314" s="53"/>
      <c r="B1314" s="56"/>
      <c r="C1314" s="90" t="s">
        <v>1079</v>
      </c>
      <c r="D1314" s="230" t="s">
        <v>1757</v>
      </c>
      <c r="E1314" s="68" t="s">
        <v>1080</v>
      </c>
      <c r="F1314" s="128" t="s">
        <v>1338</v>
      </c>
      <c r="G1314" s="128" t="s">
        <v>1338</v>
      </c>
      <c r="H1314" s="128" t="s">
        <v>1338</v>
      </c>
      <c r="I1314" s="128" t="s">
        <v>1338</v>
      </c>
      <c r="J1314" s="70">
        <v>0.9</v>
      </c>
      <c r="K1314" s="71">
        <v>0.8</v>
      </c>
      <c r="L1314" s="71">
        <v>0.82857142857142896</v>
      </c>
      <c r="M1314" s="72">
        <v>0.628571428571429</v>
      </c>
      <c r="N1314" s="71">
        <v>0.82750000000000001</v>
      </c>
      <c r="O1314" s="73">
        <v>0.9</v>
      </c>
      <c r="P1314" s="71">
        <v>0.90373280943025502</v>
      </c>
      <c r="Q1314" s="71">
        <v>0.92359702501690299</v>
      </c>
      <c r="R1314" s="71">
        <v>0.867197875166003</v>
      </c>
      <c r="S1314" s="71">
        <v>0.85017343627615505</v>
      </c>
      <c r="T1314" s="73">
        <v>0.9</v>
      </c>
      <c r="U1314" s="71">
        <v>0.97511460379829695</v>
      </c>
      <c r="V1314" s="71">
        <v>0.97430696416497597</v>
      </c>
      <c r="W1314" s="71">
        <v>0.95883134130146097</v>
      </c>
      <c r="X1314" s="71">
        <v>0.95843124090858201</v>
      </c>
      <c r="Y1314" s="73">
        <v>0.92</v>
      </c>
      <c r="Z1314" s="73">
        <v>0.97521982414068697</v>
      </c>
      <c r="AA1314" s="73">
        <v>0.96787148594377503</v>
      </c>
      <c r="AB1314" s="73">
        <v>0.98016448959845204</v>
      </c>
      <c r="AC1314" s="73">
        <v>0.97911954062989404</v>
      </c>
      <c r="AD1314" s="73">
        <v>0.92</v>
      </c>
      <c r="AE1314" s="71">
        <v>0.99546485260771</v>
      </c>
      <c r="AF1314" s="71">
        <v>0.997076023391813</v>
      </c>
      <c r="AG1314" s="71">
        <v>0.99882491186838995</v>
      </c>
      <c r="AH1314" s="71">
        <v>0.99798900656924505</v>
      </c>
      <c r="AI1314" s="73">
        <v>0.92</v>
      </c>
      <c r="AJ1314" s="71">
        <v>0.98524118070554401</v>
      </c>
      <c r="AK1314" s="71">
        <v>0.98091042584434696</v>
      </c>
      <c r="AL1314" s="71">
        <v>0.98516652672824001</v>
      </c>
      <c r="AM1314" s="71">
        <v>0.98644492539013595</v>
      </c>
      <c r="AN1314" s="70">
        <v>0.99</v>
      </c>
      <c r="AO1314" s="75">
        <v>1</v>
      </c>
      <c r="AP1314" s="75">
        <v>1</v>
      </c>
      <c r="AQ1314" s="75">
        <v>1</v>
      </c>
      <c r="AR1314" s="75">
        <v>1</v>
      </c>
      <c r="AS1314" s="95">
        <v>7.2186152540827803E-2</v>
      </c>
      <c r="AT1314" s="79">
        <v>3.125E-2</v>
      </c>
      <c r="AU1314" s="79">
        <v>0.01</v>
      </c>
      <c r="AV1314" s="79">
        <v>4.08163265306122E-2</v>
      </c>
      <c r="AW1314" s="79">
        <v>2.5998142989786401E-2</v>
      </c>
      <c r="AX1314" s="56"/>
      <c r="AY1314" s="54"/>
    </row>
    <row r="1315" spans="1:51">
      <c r="A1315" s="53"/>
      <c r="B1315" s="56"/>
      <c r="C1315" s="90" t="s">
        <v>1079</v>
      </c>
      <c r="D1315" s="230" t="s">
        <v>1757</v>
      </c>
      <c r="E1315" s="68" t="s">
        <v>1080</v>
      </c>
      <c r="F1315" s="128" t="s">
        <v>1339</v>
      </c>
      <c r="G1315" s="128" t="s">
        <v>1339</v>
      </c>
      <c r="H1315" s="128" t="s">
        <v>1339</v>
      </c>
      <c r="I1315" s="128" t="s">
        <v>1339</v>
      </c>
      <c r="J1315" s="70">
        <v>0.9</v>
      </c>
      <c r="K1315" s="71">
        <v>0.92452830188679203</v>
      </c>
      <c r="L1315" s="71">
        <v>0.87037037037037002</v>
      </c>
      <c r="M1315" s="72">
        <v>0.92452830188679203</v>
      </c>
      <c r="N1315" s="71">
        <v>0.92332789559543205</v>
      </c>
      <c r="O1315" s="73">
        <v>0.9</v>
      </c>
      <c r="P1315" s="71">
        <v>0.92431561996779399</v>
      </c>
      <c r="Q1315" s="71">
        <v>0.89781392984240005</v>
      </c>
      <c r="R1315" s="71">
        <v>0.97072072072072102</v>
      </c>
      <c r="S1315" s="71">
        <v>0.95725421171737501</v>
      </c>
      <c r="T1315" s="73">
        <v>0.9</v>
      </c>
      <c r="U1315" s="71">
        <v>0.85346215780998402</v>
      </c>
      <c r="V1315" s="71">
        <v>0.90137264870361</v>
      </c>
      <c r="W1315" s="71">
        <v>0.88738738738738698</v>
      </c>
      <c r="X1315" s="71">
        <v>0.89024390243902396</v>
      </c>
      <c r="Y1315" s="73">
        <v>0.92</v>
      </c>
      <c r="Z1315" s="73">
        <v>0.95118483412322297</v>
      </c>
      <c r="AA1315" s="73">
        <v>0.96227293898462996</v>
      </c>
      <c r="AB1315" s="73">
        <v>0.96297542914843504</v>
      </c>
      <c r="AC1315" s="73">
        <v>0.962397533278183</v>
      </c>
      <c r="AD1315" s="73">
        <v>0.92</v>
      </c>
      <c r="AE1315" s="71">
        <v>0.99667221297836905</v>
      </c>
      <c r="AF1315" s="71">
        <v>0.99856011519078502</v>
      </c>
      <c r="AG1315" s="71">
        <v>0.99835742444152398</v>
      </c>
      <c r="AH1315" s="71">
        <v>0.99699568611339395</v>
      </c>
      <c r="AI1315" s="73">
        <v>0.92</v>
      </c>
      <c r="AJ1315" s="71">
        <v>0.96249685376289995</v>
      </c>
      <c r="AK1315" s="71">
        <v>0.97301895964997598</v>
      </c>
      <c r="AL1315" s="71">
        <v>0.97302504816955704</v>
      </c>
      <c r="AM1315" s="71">
        <v>0.97259052262322399</v>
      </c>
      <c r="AN1315" s="70">
        <v>0.99</v>
      </c>
      <c r="AO1315" s="75">
        <v>1</v>
      </c>
      <c r="AP1315" s="75">
        <v>1</v>
      </c>
      <c r="AQ1315" s="75">
        <v>1</v>
      </c>
      <c r="AR1315" s="75">
        <v>1</v>
      </c>
      <c r="AS1315" s="95">
        <v>7.2186152540827803E-2</v>
      </c>
      <c r="AT1315" s="79">
        <v>5.4794520547945202E-2</v>
      </c>
      <c r="AU1315" s="79">
        <v>1.4705882352941201E-2</v>
      </c>
      <c r="AV1315" s="79">
        <v>0</v>
      </c>
      <c r="AW1315" s="79">
        <v>2.1505376344085999E-2</v>
      </c>
      <c r="AX1315" s="56"/>
      <c r="AY1315" s="54"/>
    </row>
    <row r="1316" spans="1:51">
      <c r="A1316" s="53"/>
      <c r="B1316" s="56"/>
      <c r="C1316" s="90" t="s">
        <v>1079</v>
      </c>
      <c r="D1316" s="230" t="s">
        <v>1757</v>
      </c>
      <c r="E1316" s="68" t="s">
        <v>1080</v>
      </c>
      <c r="F1316" s="128" t="s">
        <v>1340</v>
      </c>
      <c r="G1316" s="128" t="s">
        <v>1340</v>
      </c>
      <c r="H1316" s="128" t="s">
        <v>1340</v>
      </c>
      <c r="I1316" s="128" t="s">
        <v>1340</v>
      </c>
      <c r="J1316" s="70">
        <v>0.9</v>
      </c>
      <c r="K1316" s="71">
        <v>0.92500000000000004</v>
      </c>
      <c r="L1316" s="71">
        <v>0.88888888888888895</v>
      </c>
      <c r="M1316" s="72">
        <v>0.94117647058823495</v>
      </c>
      <c r="N1316" s="71">
        <v>0.91480730223123696</v>
      </c>
      <c r="O1316" s="73">
        <v>0.9</v>
      </c>
      <c r="P1316" s="71">
        <v>0.96714456391875703</v>
      </c>
      <c r="Q1316" s="71">
        <v>0.98141025641025603</v>
      </c>
      <c r="R1316" s="71">
        <v>0.98291069459757396</v>
      </c>
      <c r="S1316" s="71">
        <v>0.97664929702094205</v>
      </c>
      <c r="T1316" s="73">
        <v>0.9</v>
      </c>
      <c r="U1316" s="71">
        <v>0.88231780167263996</v>
      </c>
      <c r="V1316" s="71">
        <v>0.9</v>
      </c>
      <c r="W1316" s="71">
        <v>0.92447629547960297</v>
      </c>
      <c r="X1316" s="71">
        <v>0.90630223183561098</v>
      </c>
      <c r="Y1316" s="73">
        <v>0.92</v>
      </c>
      <c r="Z1316" s="73">
        <v>0.92270194986072396</v>
      </c>
      <c r="AA1316" s="73">
        <v>0.94254445964432298</v>
      </c>
      <c r="AB1316" s="73">
        <v>0.94229035166816999</v>
      </c>
      <c r="AC1316" s="73">
        <v>0.94940695900388805</v>
      </c>
      <c r="AD1316" s="73">
        <v>0.92</v>
      </c>
      <c r="AE1316" s="71">
        <v>1</v>
      </c>
      <c r="AF1316" s="71">
        <v>0.99280575539568305</v>
      </c>
      <c r="AG1316" s="71">
        <v>0.99740259740259696</v>
      </c>
      <c r="AH1316" s="71">
        <v>0.99589123867069496</v>
      </c>
      <c r="AI1316" s="73">
        <v>0.92</v>
      </c>
      <c r="AJ1316" s="71">
        <v>0.94083601286173602</v>
      </c>
      <c r="AK1316" s="71">
        <v>0.96029119788219697</v>
      </c>
      <c r="AL1316" s="71">
        <v>0.96032729977684095</v>
      </c>
      <c r="AM1316" s="71">
        <v>0.96409512333079195</v>
      </c>
      <c r="AN1316" s="70">
        <v>0.99</v>
      </c>
      <c r="AO1316" s="75">
        <v>1</v>
      </c>
      <c r="AP1316" s="75">
        <v>1</v>
      </c>
      <c r="AQ1316" s="75">
        <v>1</v>
      </c>
      <c r="AR1316" s="75">
        <v>1</v>
      </c>
      <c r="AS1316" s="95">
        <v>7.2186152540827803E-2</v>
      </c>
      <c r="AT1316" s="79">
        <v>0</v>
      </c>
      <c r="AU1316" s="79">
        <v>0</v>
      </c>
      <c r="AV1316" s="79">
        <v>0</v>
      </c>
      <c r="AW1316" s="79">
        <v>3.0716723549488099E-2</v>
      </c>
      <c r="AX1316" s="56"/>
      <c r="AY1316" s="54"/>
    </row>
    <row r="1317" spans="1:51">
      <c r="A1317" s="53"/>
      <c r="B1317" s="56"/>
      <c r="C1317" s="90" t="s">
        <v>1079</v>
      </c>
      <c r="D1317" s="230" t="s">
        <v>1757</v>
      </c>
      <c r="E1317" s="68" t="s">
        <v>1080</v>
      </c>
      <c r="F1317" s="128" t="s">
        <v>1341</v>
      </c>
      <c r="G1317" s="128" t="s">
        <v>1341</v>
      </c>
      <c r="H1317" s="128" t="s">
        <v>1341</v>
      </c>
      <c r="I1317" s="128" t="s">
        <v>1341</v>
      </c>
      <c r="J1317" s="70">
        <v>0.9</v>
      </c>
      <c r="K1317" s="71">
        <v>0.8125</v>
      </c>
      <c r="L1317" s="71">
        <v>1</v>
      </c>
      <c r="M1317" s="72">
        <v>0.94117647058823495</v>
      </c>
      <c r="N1317" s="71">
        <v>0.92817679558011001</v>
      </c>
      <c r="O1317" s="73">
        <v>0.9</v>
      </c>
      <c r="P1317" s="71">
        <v>0.99284578696343395</v>
      </c>
      <c r="Q1317" s="71">
        <v>0.99194089993284096</v>
      </c>
      <c r="R1317" s="71">
        <v>0.99223163841807904</v>
      </c>
      <c r="S1317" s="71">
        <v>0.99343985450766403</v>
      </c>
      <c r="T1317" s="73">
        <v>0.9</v>
      </c>
      <c r="U1317" s="71">
        <v>0.89904610492845805</v>
      </c>
      <c r="V1317" s="71">
        <v>0.90396239086635299</v>
      </c>
      <c r="W1317" s="71">
        <v>0.89759887005649697</v>
      </c>
      <c r="X1317" s="71">
        <v>0.91101584827227899</v>
      </c>
      <c r="Y1317" s="73">
        <v>0.92</v>
      </c>
      <c r="Z1317" s="73" t="s">
        <v>1710</v>
      </c>
      <c r="AA1317" s="73" t="s">
        <v>1710</v>
      </c>
      <c r="AB1317" s="73" t="s">
        <v>1710</v>
      </c>
      <c r="AC1317" s="73" t="s">
        <v>1710</v>
      </c>
      <c r="AD1317" s="73">
        <v>0.92</v>
      </c>
      <c r="AE1317" s="71">
        <v>1</v>
      </c>
      <c r="AF1317" s="71">
        <v>1</v>
      </c>
      <c r="AG1317" s="71">
        <v>0.96969696969696995</v>
      </c>
      <c r="AH1317" s="71">
        <v>0.99159663865546199</v>
      </c>
      <c r="AI1317" s="73">
        <v>0.92</v>
      </c>
      <c r="AJ1317" s="71">
        <v>0.97058823529411797</v>
      </c>
      <c r="AK1317" s="71">
        <v>0.98119543317662905</v>
      </c>
      <c r="AL1317" s="71">
        <v>0.98516949152542399</v>
      </c>
      <c r="AM1317" s="71">
        <v>0.98265783320342903</v>
      </c>
      <c r="AN1317" s="70">
        <v>0.99</v>
      </c>
      <c r="AO1317" s="75">
        <v>1</v>
      </c>
      <c r="AP1317" s="75">
        <v>1</v>
      </c>
      <c r="AQ1317" s="75">
        <v>1</v>
      </c>
      <c r="AR1317" s="75">
        <v>1</v>
      </c>
      <c r="AS1317" s="95">
        <v>7.2186152540827803E-2</v>
      </c>
      <c r="AT1317" s="79">
        <v>2.2222222222222199E-2</v>
      </c>
      <c r="AU1317" s="79">
        <v>0</v>
      </c>
      <c r="AV1317" s="79">
        <v>0</v>
      </c>
      <c r="AW1317" s="79">
        <v>1.99667221297837E-2</v>
      </c>
      <c r="AX1317" s="56"/>
      <c r="AY1317" s="54"/>
    </row>
    <row r="1318" spans="1:51">
      <c r="A1318" s="53"/>
      <c r="B1318" s="56"/>
      <c r="C1318" s="90" t="s">
        <v>1079</v>
      </c>
      <c r="D1318" s="230" t="s">
        <v>1757</v>
      </c>
      <c r="E1318" s="68" t="s">
        <v>1080</v>
      </c>
      <c r="F1318" s="128" t="s">
        <v>1342</v>
      </c>
      <c r="G1318" s="128" t="s">
        <v>1342</v>
      </c>
      <c r="H1318" s="128" t="s">
        <v>1342</v>
      </c>
      <c r="I1318" s="128" t="s">
        <v>1342</v>
      </c>
      <c r="J1318" s="70">
        <v>0.9</v>
      </c>
      <c r="K1318" s="71">
        <v>0.86666666666666703</v>
      </c>
      <c r="L1318" s="71">
        <v>0.92063492063492103</v>
      </c>
      <c r="M1318" s="72">
        <v>0.77192982456140302</v>
      </c>
      <c r="N1318" s="71">
        <v>0.89528023598820095</v>
      </c>
      <c r="O1318" s="73">
        <v>0.9</v>
      </c>
      <c r="P1318" s="71">
        <v>0.96545105566218803</v>
      </c>
      <c r="Q1318" s="71">
        <v>0.96025104602510503</v>
      </c>
      <c r="R1318" s="71">
        <v>0.96622613803230495</v>
      </c>
      <c r="S1318" s="71">
        <v>0.96066387872451597</v>
      </c>
      <c r="T1318" s="73">
        <v>0.9</v>
      </c>
      <c r="U1318" s="71">
        <v>0.93474088291746604</v>
      </c>
      <c r="V1318" s="71">
        <v>0.935564853556485</v>
      </c>
      <c r="W1318" s="71">
        <v>0.92988252569750396</v>
      </c>
      <c r="X1318" s="71">
        <v>0.93024699424986901</v>
      </c>
      <c r="Y1318" s="73">
        <v>0.92</v>
      </c>
      <c r="Z1318" s="73">
        <v>0.95205770046669502</v>
      </c>
      <c r="AA1318" s="73">
        <v>0.97843794920939098</v>
      </c>
      <c r="AB1318" s="73">
        <v>0.96149323927101704</v>
      </c>
      <c r="AC1318" s="73">
        <v>0.97037820682359199</v>
      </c>
      <c r="AD1318" s="73">
        <v>0.92</v>
      </c>
      <c r="AE1318" s="71">
        <v>0.99183006535947704</v>
      </c>
      <c r="AF1318" s="71">
        <v>0.96387520525451598</v>
      </c>
      <c r="AG1318" s="71">
        <v>0.992307692307692</v>
      </c>
      <c r="AH1318" s="71">
        <v>0.974172035718323</v>
      </c>
      <c r="AI1318" s="73">
        <v>0.92</v>
      </c>
      <c r="AJ1318" s="71">
        <v>0.96876888978440501</v>
      </c>
      <c r="AK1318" s="71">
        <v>0.98503462139825804</v>
      </c>
      <c r="AL1318" s="71">
        <v>0.96915796344647498</v>
      </c>
      <c r="AM1318" s="71">
        <v>0.97967566501815595</v>
      </c>
      <c r="AN1318" s="70">
        <v>0.99</v>
      </c>
      <c r="AO1318" s="75">
        <v>1</v>
      </c>
      <c r="AP1318" s="75">
        <v>1</v>
      </c>
      <c r="AQ1318" s="75">
        <v>1</v>
      </c>
      <c r="AR1318" s="75">
        <v>1</v>
      </c>
      <c r="AS1318" s="95">
        <v>7.2186152540827803E-2</v>
      </c>
      <c r="AT1318" s="79">
        <v>0</v>
      </c>
      <c r="AU1318" s="79">
        <v>0</v>
      </c>
      <c r="AV1318" s="79">
        <v>0</v>
      </c>
      <c r="AW1318" s="79">
        <v>2.2900763358778602E-2</v>
      </c>
      <c r="AX1318" s="56"/>
      <c r="AY1318" s="54"/>
    </row>
    <row r="1319" spans="1:51">
      <c r="A1319" s="53"/>
      <c r="B1319" s="56"/>
      <c r="C1319" s="90" t="s">
        <v>1079</v>
      </c>
      <c r="D1319" s="230" t="s">
        <v>1757</v>
      </c>
      <c r="E1319" s="68" t="s">
        <v>1080</v>
      </c>
      <c r="F1319" s="128" t="s">
        <v>1343</v>
      </c>
      <c r="G1319" s="128" t="s">
        <v>1343</v>
      </c>
      <c r="H1319" s="128" t="s">
        <v>1343</v>
      </c>
      <c r="I1319" s="128" t="s">
        <v>1343</v>
      </c>
      <c r="J1319" s="70">
        <v>0.9</v>
      </c>
      <c r="K1319" s="71">
        <v>0.96551724137931005</v>
      </c>
      <c r="L1319" s="71">
        <v>0.76666666666666705</v>
      </c>
      <c r="M1319" s="72">
        <v>0.87096774193548399</v>
      </c>
      <c r="N1319" s="71">
        <v>0.92463768115942002</v>
      </c>
      <c r="O1319" s="73">
        <v>0.9</v>
      </c>
      <c r="P1319" s="71">
        <v>0.97737333989178599</v>
      </c>
      <c r="Q1319" s="71">
        <v>0.98529411764705899</v>
      </c>
      <c r="R1319" s="71">
        <v>0.96792189679218998</v>
      </c>
      <c r="S1319" s="71">
        <v>0.97070470341037696</v>
      </c>
      <c r="T1319" s="73">
        <v>0.9</v>
      </c>
      <c r="U1319" s="71">
        <v>0.927693064436793</v>
      </c>
      <c r="V1319" s="71">
        <v>0.911356209150327</v>
      </c>
      <c r="W1319" s="71">
        <v>0.94607159460715995</v>
      </c>
      <c r="X1319" s="71">
        <v>0.93757071278487103</v>
      </c>
      <c r="Y1319" s="73">
        <v>0.92</v>
      </c>
      <c r="Z1319" s="73" t="s">
        <v>1710</v>
      </c>
      <c r="AA1319" s="73" t="s">
        <v>1710</v>
      </c>
      <c r="AB1319" s="73" t="s">
        <v>1710</v>
      </c>
      <c r="AC1319" s="73" t="s">
        <v>1710</v>
      </c>
      <c r="AD1319" s="73">
        <v>0.92</v>
      </c>
      <c r="AE1319" s="71">
        <v>0.99795918367346903</v>
      </c>
      <c r="AF1319" s="71">
        <v>0.939393939393939</v>
      </c>
      <c r="AG1319" s="71">
        <v>0.98287112561174494</v>
      </c>
      <c r="AH1319" s="71">
        <v>0.99095496524802396</v>
      </c>
      <c r="AI1319" s="73">
        <v>0.92</v>
      </c>
      <c r="AJ1319" s="71">
        <v>0.95769798327594702</v>
      </c>
      <c r="AK1319" s="71">
        <v>0.97671568627451</v>
      </c>
      <c r="AL1319" s="71">
        <v>0.98186889818689005</v>
      </c>
      <c r="AM1319" s="71">
        <v>0.981331824793923</v>
      </c>
      <c r="AN1319" s="70">
        <v>0.99</v>
      </c>
      <c r="AO1319" s="75">
        <v>1</v>
      </c>
      <c r="AP1319" s="75">
        <v>1</v>
      </c>
      <c r="AQ1319" s="75">
        <v>1</v>
      </c>
      <c r="AR1319" s="75">
        <v>1</v>
      </c>
      <c r="AS1319" s="95">
        <v>7.2186152540827803E-2</v>
      </c>
      <c r="AT1319" s="79">
        <v>0.33333333333333298</v>
      </c>
      <c r="AU1319" s="79">
        <v>0</v>
      </c>
      <c r="AV1319" s="79">
        <v>0</v>
      </c>
      <c r="AW1319" s="79">
        <v>4.7619047619047603E-2</v>
      </c>
      <c r="AX1319" s="56"/>
      <c r="AY1319" s="54"/>
    </row>
    <row r="1320" spans="1:51">
      <c r="A1320" s="53"/>
      <c r="B1320" s="56"/>
      <c r="C1320" s="90" t="s">
        <v>1079</v>
      </c>
      <c r="D1320" s="230" t="s">
        <v>1757</v>
      </c>
      <c r="E1320" s="68" t="s">
        <v>1080</v>
      </c>
      <c r="F1320" s="128" t="s">
        <v>1344</v>
      </c>
      <c r="G1320" s="128" t="s">
        <v>1344</v>
      </c>
      <c r="H1320" s="128" t="s">
        <v>1344</v>
      </c>
      <c r="I1320" s="128" t="s">
        <v>1344</v>
      </c>
      <c r="J1320" s="70">
        <v>0.9</v>
      </c>
      <c r="K1320" s="71">
        <v>0.56666666666666698</v>
      </c>
      <c r="L1320" s="71">
        <v>0.96666666666666701</v>
      </c>
      <c r="M1320" s="72">
        <v>0.75</v>
      </c>
      <c r="N1320" s="71">
        <v>0.85106382978723405</v>
      </c>
      <c r="O1320" s="73">
        <v>0.9</v>
      </c>
      <c r="P1320" s="71">
        <v>0.98765432098765404</v>
      </c>
      <c r="Q1320" s="71">
        <v>0.99103139013452901</v>
      </c>
      <c r="R1320" s="71">
        <v>0.99236252545824799</v>
      </c>
      <c r="S1320" s="71">
        <v>0.98862516793551303</v>
      </c>
      <c r="T1320" s="73">
        <v>0.9</v>
      </c>
      <c r="U1320" s="71">
        <v>0.96061140505584997</v>
      </c>
      <c r="V1320" s="71">
        <v>0.96995515695067303</v>
      </c>
      <c r="W1320" s="71">
        <v>0.962830957230143</v>
      </c>
      <c r="X1320" s="71">
        <v>0.95794894760411997</v>
      </c>
      <c r="Y1320" s="73">
        <v>0.92</v>
      </c>
      <c r="Z1320" s="73" t="s">
        <v>1710</v>
      </c>
      <c r="AA1320" s="73" t="s">
        <v>1710</v>
      </c>
      <c r="AB1320" s="73" t="s">
        <v>1710</v>
      </c>
      <c r="AC1320" s="73" t="s">
        <v>1710</v>
      </c>
      <c r="AD1320" s="73">
        <v>0.92</v>
      </c>
      <c r="AE1320" s="71">
        <v>1</v>
      </c>
      <c r="AF1320" s="71">
        <v>1</v>
      </c>
      <c r="AG1320" s="71">
        <v>0.99862258953168004</v>
      </c>
      <c r="AH1320" s="71">
        <v>0.998926174496644</v>
      </c>
      <c r="AI1320" s="73">
        <v>0.92</v>
      </c>
      <c r="AJ1320" s="71">
        <v>0.97119341563785999</v>
      </c>
      <c r="AK1320" s="71">
        <v>0.97668161434977596</v>
      </c>
      <c r="AL1320" s="71">
        <v>0.98523421588594695</v>
      </c>
      <c r="AM1320" s="71">
        <v>0.97908643081056901</v>
      </c>
      <c r="AN1320" s="70">
        <v>0.99</v>
      </c>
      <c r="AO1320" s="75">
        <v>1</v>
      </c>
      <c r="AP1320" s="75">
        <v>1</v>
      </c>
      <c r="AQ1320" s="75">
        <v>1</v>
      </c>
      <c r="AR1320" s="75">
        <v>1</v>
      </c>
      <c r="AS1320" s="95">
        <v>7.2186152540827803E-2</v>
      </c>
      <c r="AT1320" s="79">
        <v>0</v>
      </c>
      <c r="AU1320" s="79">
        <v>0</v>
      </c>
      <c r="AV1320" s="79">
        <v>0</v>
      </c>
      <c r="AW1320" s="79">
        <v>2.32558139534884E-2</v>
      </c>
      <c r="AX1320" s="56"/>
      <c r="AY1320" s="54"/>
    </row>
    <row r="1321" spans="1:51">
      <c r="A1321" s="53"/>
      <c r="B1321" s="56"/>
      <c r="C1321" s="90" t="s">
        <v>1079</v>
      </c>
      <c r="D1321" s="230" t="s">
        <v>1757</v>
      </c>
      <c r="E1321" s="68" t="s">
        <v>1080</v>
      </c>
      <c r="F1321" s="128" t="s">
        <v>1345</v>
      </c>
      <c r="G1321" s="128" t="s">
        <v>1345</v>
      </c>
      <c r="H1321" s="128" t="s">
        <v>1345</v>
      </c>
      <c r="I1321" s="128" t="s">
        <v>1345</v>
      </c>
      <c r="J1321" s="70">
        <v>0.9</v>
      </c>
      <c r="K1321" s="71">
        <v>1</v>
      </c>
      <c r="L1321" s="71">
        <v>1</v>
      </c>
      <c r="M1321" s="72">
        <v>1</v>
      </c>
      <c r="N1321" s="71">
        <v>0.970491803278689</v>
      </c>
      <c r="O1321" s="73">
        <v>0.9</v>
      </c>
      <c r="P1321" s="71">
        <v>0.98869752421959101</v>
      </c>
      <c r="Q1321" s="71">
        <v>0.98907766990291301</v>
      </c>
      <c r="R1321" s="71">
        <v>0.99282511210762303</v>
      </c>
      <c r="S1321" s="71">
        <v>0.98339432573879504</v>
      </c>
      <c r="T1321" s="73">
        <v>0.9</v>
      </c>
      <c r="U1321" s="71">
        <v>0.92249730893433801</v>
      </c>
      <c r="V1321" s="71">
        <v>0.95631067961165095</v>
      </c>
      <c r="W1321" s="71">
        <v>0.95695067264573996</v>
      </c>
      <c r="X1321" s="71">
        <v>0.95541651910439496</v>
      </c>
      <c r="Y1321" s="73">
        <v>0.92</v>
      </c>
      <c r="Z1321" s="73" t="s">
        <v>1710</v>
      </c>
      <c r="AA1321" s="73" t="s">
        <v>1710</v>
      </c>
      <c r="AB1321" s="73" t="s">
        <v>1710</v>
      </c>
      <c r="AC1321" s="73" t="s">
        <v>1710</v>
      </c>
      <c r="AD1321" s="73">
        <v>0.92</v>
      </c>
      <c r="AE1321" s="71">
        <v>1</v>
      </c>
      <c r="AF1321" s="71">
        <v>1</v>
      </c>
      <c r="AG1321" s="71">
        <v>0.99733333333333296</v>
      </c>
      <c r="AH1321" s="71">
        <v>0.99624161073825501</v>
      </c>
      <c r="AI1321" s="73">
        <v>0.92</v>
      </c>
      <c r="AJ1321" s="71">
        <v>0.97685683530678102</v>
      </c>
      <c r="AK1321" s="71">
        <v>0.98260517799352798</v>
      </c>
      <c r="AL1321" s="71">
        <v>0.98520179372197303</v>
      </c>
      <c r="AM1321" s="71">
        <v>0.98595207177428901</v>
      </c>
      <c r="AN1321" s="70">
        <v>0.99</v>
      </c>
      <c r="AO1321" s="75">
        <v>1</v>
      </c>
      <c r="AP1321" s="75">
        <v>1</v>
      </c>
      <c r="AQ1321" s="75">
        <v>1</v>
      </c>
      <c r="AR1321" s="75">
        <v>1</v>
      </c>
      <c r="AS1321" s="95">
        <v>7.2186152540827803E-2</v>
      </c>
      <c r="AT1321" s="79">
        <v>0</v>
      </c>
      <c r="AU1321" s="79">
        <v>0</v>
      </c>
      <c r="AV1321" s="79">
        <v>0</v>
      </c>
      <c r="AW1321" s="79">
        <v>2.9411764705882401E-2</v>
      </c>
      <c r="AX1321" s="56"/>
      <c r="AY1321" s="54"/>
    </row>
    <row r="1322" spans="1:51">
      <c r="A1322" s="53"/>
      <c r="B1322" s="56"/>
      <c r="C1322" s="90" t="s">
        <v>1079</v>
      </c>
      <c r="D1322" s="230" t="s">
        <v>1757</v>
      </c>
      <c r="E1322" s="68" t="s">
        <v>1080</v>
      </c>
      <c r="F1322" s="128" t="s">
        <v>1346</v>
      </c>
      <c r="G1322" s="128" t="s">
        <v>1346</v>
      </c>
      <c r="H1322" s="128" t="s">
        <v>1346</v>
      </c>
      <c r="I1322" s="128" t="s">
        <v>1346</v>
      </c>
      <c r="J1322" s="70">
        <v>0.9</v>
      </c>
      <c r="K1322" s="71">
        <v>0.875</v>
      </c>
      <c r="L1322" s="71">
        <v>0.83333333333333304</v>
      </c>
      <c r="M1322" s="72">
        <v>0.91304347826086996</v>
      </c>
      <c r="N1322" s="71">
        <v>0.92013888888888895</v>
      </c>
      <c r="O1322" s="73">
        <v>0.9</v>
      </c>
      <c r="P1322" s="71">
        <v>0.89929859719438898</v>
      </c>
      <c r="Q1322" s="71">
        <v>0.94966835739367905</v>
      </c>
      <c r="R1322" s="71">
        <v>0.91579406631762605</v>
      </c>
      <c r="S1322" s="71">
        <v>0.94266237455027502</v>
      </c>
      <c r="T1322" s="73">
        <v>0.9</v>
      </c>
      <c r="U1322" s="71">
        <v>0.86472945891783604</v>
      </c>
      <c r="V1322" s="71">
        <v>0.91650409676160705</v>
      </c>
      <c r="W1322" s="71">
        <v>0.86212914485165804</v>
      </c>
      <c r="X1322" s="71">
        <v>0.90380609733005102</v>
      </c>
      <c r="Y1322" s="73">
        <v>0.92</v>
      </c>
      <c r="Z1322" s="73" t="s">
        <v>1710</v>
      </c>
      <c r="AA1322" s="73" t="s">
        <v>1710</v>
      </c>
      <c r="AB1322" s="73">
        <v>1</v>
      </c>
      <c r="AC1322" s="73">
        <v>0.66666666666666696</v>
      </c>
      <c r="AD1322" s="73">
        <v>0.92</v>
      </c>
      <c r="AE1322" s="71">
        <v>0.99471210340775595</v>
      </c>
      <c r="AF1322" s="71">
        <v>0.85430463576158899</v>
      </c>
      <c r="AG1322" s="71">
        <v>0.99948105864037395</v>
      </c>
      <c r="AH1322" s="71">
        <v>0.99211592915440605</v>
      </c>
      <c r="AI1322" s="73">
        <v>0.92</v>
      </c>
      <c r="AJ1322" s="71">
        <v>0.91737606409614403</v>
      </c>
      <c r="AK1322" s="71">
        <v>0.94225516972298096</v>
      </c>
      <c r="AL1322" s="71">
        <v>0.93327518534670695</v>
      </c>
      <c r="AM1322" s="71">
        <v>0.95531995456266605</v>
      </c>
      <c r="AN1322" s="70">
        <v>0.99</v>
      </c>
      <c r="AO1322" s="75">
        <v>1</v>
      </c>
      <c r="AP1322" s="75">
        <v>1</v>
      </c>
      <c r="AQ1322" s="75">
        <v>1</v>
      </c>
      <c r="AR1322" s="75">
        <v>1</v>
      </c>
      <c r="AS1322" s="95">
        <v>7.2186152540827803E-2</v>
      </c>
      <c r="AT1322" s="79">
        <v>8.3333333333333301E-2</v>
      </c>
      <c r="AU1322" s="79">
        <v>0.1</v>
      </c>
      <c r="AV1322" s="79">
        <v>7.1428571428571397E-2</v>
      </c>
      <c r="AW1322" s="79">
        <v>4.08163265306122E-2</v>
      </c>
      <c r="AX1322" s="56"/>
      <c r="AY1322" s="54"/>
    </row>
    <row r="1323" spans="1:51">
      <c r="A1323" s="53"/>
      <c r="B1323" s="56"/>
      <c r="C1323" s="90" t="s">
        <v>1079</v>
      </c>
      <c r="D1323" s="230" t="s">
        <v>1757</v>
      </c>
      <c r="E1323" s="68" t="s">
        <v>1080</v>
      </c>
      <c r="F1323" s="128" t="s">
        <v>1347</v>
      </c>
      <c r="G1323" s="128" t="s">
        <v>1347</v>
      </c>
      <c r="H1323" s="128" t="s">
        <v>1347</v>
      </c>
      <c r="I1323" s="128" t="s">
        <v>1347</v>
      </c>
      <c r="J1323" s="70">
        <v>0.9</v>
      </c>
      <c r="K1323" s="71">
        <v>0.94117647058823495</v>
      </c>
      <c r="L1323" s="71">
        <v>0.929824561403509</v>
      </c>
      <c r="M1323" s="72">
        <v>0.96078431372549</v>
      </c>
      <c r="N1323" s="71">
        <v>0.94108019639934504</v>
      </c>
      <c r="O1323" s="73">
        <v>0.9</v>
      </c>
      <c r="P1323" s="71">
        <v>0.95845504706264195</v>
      </c>
      <c r="Q1323" s="71">
        <v>0.98012078510317102</v>
      </c>
      <c r="R1323" s="71">
        <v>0.97803881511746704</v>
      </c>
      <c r="S1323" s="71">
        <v>0.97405093704949497</v>
      </c>
      <c r="T1323" s="73">
        <v>0.9</v>
      </c>
      <c r="U1323" s="71">
        <v>0.87796170074651103</v>
      </c>
      <c r="V1323" s="71">
        <v>0.91545042778057395</v>
      </c>
      <c r="W1323" s="71">
        <v>0.90449438202247201</v>
      </c>
      <c r="X1323" s="71">
        <v>0.913457357955196</v>
      </c>
      <c r="Y1323" s="73">
        <v>0.92</v>
      </c>
      <c r="Z1323" s="73">
        <v>0.92625698324022299</v>
      </c>
      <c r="AA1323" s="73">
        <v>0.95405669599218001</v>
      </c>
      <c r="AB1323" s="73">
        <v>0.89323843416370097</v>
      </c>
      <c r="AC1323" s="73">
        <v>0.93973071169053202</v>
      </c>
      <c r="AD1323" s="73">
        <v>0.92</v>
      </c>
      <c r="AE1323" s="71">
        <v>1</v>
      </c>
      <c r="AF1323" s="71">
        <v>1</v>
      </c>
      <c r="AG1323" s="71">
        <v>1</v>
      </c>
      <c r="AH1323" s="71">
        <v>0.99770825029892396</v>
      </c>
      <c r="AI1323" s="73">
        <v>0.92</v>
      </c>
      <c r="AJ1323" s="71">
        <v>0.94518579347156595</v>
      </c>
      <c r="AK1323" s="71">
        <v>0.96810631229235899</v>
      </c>
      <c r="AL1323" s="71">
        <v>0.93498836307214905</v>
      </c>
      <c r="AM1323" s="71">
        <v>0.96411326378539497</v>
      </c>
      <c r="AN1323" s="70">
        <v>0.99</v>
      </c>
      <c r="AO1323" s="75">
        <v>1</v>
      </c>
      <c r="AP1323" s="75">
        <v>1</v>
      </c>
      <c r="AQ1323" s="75">
        <v>1</v>
      </c>
      <c r="AR1323" s="75">
        <v>1</v>
      </c>
      <c r="AS1323" s="95">
        <v>7.2186152540827803E-2</v>
      </c>
      <c r="AT1323" s="79">
        <v>5.5555555555555601E-2</v>
      </c>
      <c r="AU1323" s="79">
        <v>4.6511627906976702E-2</v>
      </c>
      <c r="AV1323" s="79">
        <v>5.2631578947368397E-2</v>
      </c>
      <c r="AW1323" s="79">
        <v>3.5175879396984903E-2</v>
      </c>
      <c r="AX1323" s="56"/>
      <c r="AY1323" s="54"/>
    </row>
    <row r="1324" spans="1:51">
      <c r="A1324" s="53"/>
      <c r="B1324" s="56"/>
      <c r="C1324" s="90" t="s">
        <v>1079</v>
      </c>
      <c r="D1324" s="230" t="s">
        <v>1757</v>
      </c>
      <c r="E1324" s="68" t="s">
        <v>1080</v>
      </c>
      <c r="F1324" s="128" t="s">
        <v>1348</v>
      </c>
      <c r="G1324" s="128" t="s">
        <v>1348</v>
      </c>
      <c r="H1324" s="128" t="s">
        <v>1348</v>
      </c>
      <c r="I1324" s="128" t="s">
        <v>1348</v>
      </c>
      <c r="J1324" s="70">
        <v>0.9</v>
      </c>
      <c r="K1324" s="71">
        <v>0.97560975609756095</v>
      </c>
      <c r="L1324" s="71">
        <v>0.95454545454545503</v>
      </c>
      <c r="M1324" s="72">
        <v>0.95121951219512202</v>
      </c>
      <c r="N1324" s="71">
        <v>0.97731958762886595</v>
      </c>
      <c r="O1324" s="73">
        <v>0.9</v>
      </c>
      <c r="P1324" s="71">
        <v>0.98669201520912597</v>
      </c>
      <c r="Q1324" s="71">
        <v>0.96491228070175405</v>
      </c>
      <c r="R1324" s="71">
        <v>0.98370672097759704</v>
      </c>
      <c r="S1324" s="71">
        <v>0.95659475152274198</v>
      </c>
      <c r="T1324" s="73">
        <v>0.9</v>
      </c>
      <c r="U1324" s="71">
        <v>0.92129277566539902</v>
      </c>
      <c r="V1324" s="71">
        <v>0.91774518262870297</v>
      </c>
      <c r="W1324" s="71">
        <v>0.93211133740665297</v>
      </c>
      <c r="X1324" s="71">
        <v>0.92520066032902604</v>
      </c>
      <c r="Y1324" s="73">
        <v>0.92</v>
      </c>
      <c r="Z1324" s="73" t="s">
        <v>1710</v>
      </c>
      <c r="AA1324" s="73" t="s">
        <v>1710</v>
      </c>
      <c r="AB1324" s="73" t="s">
        <v>1710</v>
      </c>
      <c r="AC1324" s="73" t="s">
        <v>1710</v>
      </c>
      <c r="AD1324" s="73">
        <v>0.92</v>
      </c>
      <c r="AE1324" s="71">
        <v>0.993392070484581</v>
      </c>
      <c r="AF1324" s="71">
        <v>1</v>
      </c>
      <c r="AG1324" s="71">
        <v>0.996466431095406</v>
      </c>
      <c r="AH1324" s="71">
        <v>0.99608408903544898</v>
      </c>
      <c r="AI1324" s="73">
        <v>0.92</v>
      </c>
      <c r="AJ1324" s="71">
        <v>0.95171102661596996</v>
      </c>
      <c r="AK1324" s="71">
        <v>0.96548748921483996</v>
      </c>
      <c r="AL1324" s="71">
        <v>0.95824847250509204</v>
      </c>
      <c r="AM1324" s="71">
        <v>0.96558888825639</v>
      </c>
      <c r="AN1324" s="70">
        <v>0.99</v>
      </c>
      <c r="AO1324" s="75">
        <v>1</v>
      </c>
      <c r="AP1324" s="75">
        <v>1</v>
      </c>
      <c r="AQ1324" s="75">
        <v>1</v>
      </c>
      <c r="AR1324" s="75">
        <v>1</v>
      </c>
      <c r="AS1324" s="95">
        <v>7.2186152540827803E-2</v>
      </c>
      <c r="AT1324" s="79">
        <v>0</v>
      </c>
      <c r="AU1324" s="79">
        <v>0</v>
      </c>
      <c r="AV1324" s="79">
        <v>0.14285714285714299</v>
      </c>
      <c r="AW1324" s="79">
        <v>3.7499999999999999E-2</v>
      </c>
      <c r="AX1324" s="56"/>
      <c r="AY1324" s="54"/>
    </row>
    <row r="1325" spans="1:51">
      <c r="A1325" s="53"/>
      <c r="B1325" s="56"/>
      <c r="C1325" s="90" t="s">
        <v>1079</v>
      </c>
      <c r="D1325" s="230" t="s">
        <v>1757</v>
      </c>
      <c r="E1325" s="68" t="s">
        <v>1080</v>
      </c>
      <c r="F1325" s="128" t="s">
        <v>1349</v>
      </c>
      <c r="G1325" s="128" t="s">
        <v>1349</v>
      </c>
      <c r="H1325" s="128" t="s">
        <v>1349</v>
      </c>
      <c r="I1325" s="128" t="s">
        <v>1349</v>
      </c>
      <c r="J1325" s="70">
        <v>0.9</v>
      </c>
      <c r="K1325" s="71">
        <v>0.97058823529411797</v>
      </c>
      <c r="L1325" s="71">
        <v>1</v>
      </c>
      <c r="M1325" s="72">
        <v>1</v>
      </c>
      <c r="N1325" s="71">
        <v>0.94444444444444398</v>
      </c>
      <c r="O1325" s="73">
        <v>0.9</v>
      </c>
      <c r="P1325" s="71">
        <v>0.986363636363636</v>
      </c>
      <c r="Q1325" s="71">
        <v>0.98865715331137904</v>
      </c>
      <c r="R1325" s="71">
        <v>0.99174989144593995</v>
      </c>
      <c r="S1325" s="71">
        <v>0.98852843681328895</v>
      </c>
      <c r="T1325" s="73">
        <v>0.9</v>
      </c>
      <c r="U1325" s="71">
        <v>0.93686868686868696</v>
      </c>
      <c r="V1325" s="71">
        <v>0.95828759604829905</v>
      </c>
      <c r="W1325" s="71">
        <v>0.964828484585323</v>
      </c>
      <c r="X1325" s="71">
        <v>0.95545457931394095</v>
      </c>
      <c r="Y1325" s="73">
        <v>0.92</v>
      </c>
      <c r="Z1325" s="73">
        <v>0</v>
      </c>
      <c r="AA1325" s="73" t="s">
        <v>1710</v>
      </c>
      <c r="AB1325" s="73" t="s">
        <v>1710</v>
      </c>
      <c r="AC1325" s="73">
        <v>0.5</v>
      </c>
      <c r="AD1325" s="73">
        <v>0.92</v>
      </c>
      <c r="AE1325" s="71">
        <v>1</v>
      </c>
      <c r="AF1325" s="71">
        <v>0.99275362318840599</v>
      </c>
      <c r="AG1325" s="71">
        <v>1</v>
      </c>
      <c r="AH1325" s="71">
        <v>0.99694469905285699</v>
      </c>
      <c r="AI1325" s="73">
        <v>0.92</v>
      </c>
      <c r="AJ1325" s="71">
        <v>0.97375063099444703</v>
      </c>
      <c r="AK1325" s="71">
        <v>0.97987559458470497</v>
      </c>
      <c r="AL1325" s="71">
        <v>0.98219713417281795</v>
      </c>
      <c r="AM1325" s="71">
        <v>0.98141596216155802</v>
      </c>
      <c r="AN1325" s="70">
        <v>0.99</v>
      </c>
      <c r="AO1325" s="75">
        <v>1</v>
      </c>
      <c r="AP1325" s="75">
        <v>1</v>
      </c>
      <c r="AQ1325" s="75">
        <v>1</v>
      </c>
      <c r="AR1325" s="75">
        <v>1</v>
      </c>
      <c r="AS1325" s="95">
        <v>7.2186152540827803E-2</v>
      </c>
      <c r="AT1325" s="79">
        <v>0</v>
      </c>
      <c r="AU1325" s="79">
        <v>0</v>
      </c>
      <c r="AV1325" s="79">
        <v>0.125</v>
      </c>
      <c r="AW1325" s="79">
        <v>2.5000000000000001E-2</v>
      </c>
      <c r="AX1325" s="56"/>
      <c r="AY1325" s="54"/>
    </row>
    <row r="1326" spans="1:51">
      <c r="A1326" s="53"/>
      <c r="B1326" s="56"/>
      <c r="C1326" s="90" t="s">
        <v>1079</v>
      </c>
      <c r="D1326" s="230" t="s">
        <v>1757</v>
      </c>
      <c r="E1326" s="68" t="s">
        <v>1080</v>
      </c>
      <c r="F1326" s="128" t="s">
        <v>1350</v>
      </c>
      <c r="G1326" s="128" t="s">
        <v>1350</v>
      </c>
      <c r="H1326" s="128" t="s">
        <v>1350</v>
      </c>
      <c r="I1326" s="128" t="s">
        <v>1350</v>
      </c>
      <c r="J1326" s="70">
        <v>0.9</v>
      </c>
      <c r="K1326" s="71">
        <v>0.97222222222222199</v>
      </c>
      <c r="L1326" s="71">
        <v>0.94594594594594605</v>
      </c>
      <c r="M1326" s="72">
        <v>0.94594594594594605</v>
      </c>
      <c r="N1326" s="71">
        <v>0.94403892944038903</v>
      </c>
      <c r="O1326" s="73">
        <v>0.9</v>
      </c>
      <c r="P1326" s="71">
        <v>0.98406988694758502</v>
      </c>
      <c r="Q1326" s="71">
        <v>0.99201277955271605</v>
      </c>
      <c r="R1326" s="71">
        <v>0.98770491803278704</v>
      </c>
      <c r="S1326" s="71">
        <v>0.97803730867346905</v>
      </c>
      <c r="T1326" s="73">
        <v>0.9</v>
      </c>
      <c r="U1326" s="71">
        <v>0.950154162384378</v>
      </c>
      <c r="V1326" s="71">
        <v>0.96485623003194898</v>
      </c>
      <c r="W1326" s="71">
        <v>0.95628415300546399</v>
      </c>
      <c r="X1326" s="71">
        <v>0.95587531887755095</v>
      </c>
      <c r="Y1326" s="73">
        <v>0.92</v>
      </c>
      <c r="Z1326" s="73" t="s">
        <v>1710</v>
      </c>
      <c r="AA1326" s="73" t="s">
        <v>1710</v>
      </c>
      <c r="AB1326" s="73">
        <v>1</v>
      </c>
      <c r="AC1326" s="73">
        <v>1</v>
      </c>
      <c r="AD1326" s="73">
        <v>0.92</v>
      </c>
      <c r="AE1326" s="71">
        <v>0.99785407725321895</v>
      </c>
      <c r="AF1326" s="71">
        <v>0.99661016949152503</v>
      </c>
      <c r="AG1326" s="71">
        <v>1</v>
      </c>
      <c r="AH1326" s="71">
        <v>0.99854312354312402</v>
      </c>
      <c r="AI1326" s="73">
        <v>0.92</v>
      </c>
      <c r="AJ1326" s="71">
        <v>0.976361767728674</v>
      </c>
      <c r="AK1326" s="71">
        <v>0.98083067092651799</v>
      </c>
      <c r="AL1326" s="71">
        <v>0.98588984979517502</v>
      </c>
      <c r="AM1326" s="71">
        <v>0.98198413647415195</v>
      </c>
      <c r="AN1326" s="70">
        <v>0.99</v>
      </c>
      <c r="AO1326" s="75">
        <v>1</v>
      </c>
      <c r="AP1326" s="75">
        <v>1</v>
      </c>
      <c r="AQ1326" s="75">
        <v>1</v>
      </c>
      <c r="AR1326" s="75">
        <v>1</v>
      </c>
      <c r="AS1326" s="95">
        <v>7.2186152540827803E-2</v>
      </c>
      <c r="AT1326" s="79">
        <v>0</v>
      </c>
      <c r="AU1326" s="79">
        <v>0</v>
      </c>
      <c r="AV1326" s="79">
        <v>0</v>
      </c>
      <c r="AW1326" s="79">
        <v>1.6129032258064498E-2</v>
      </c>
      <c r="AX1326" s="56"/>
      <c r="AY1326" s="54"/>
    </row>
    <row r="1327" spans="1:51">
      <c r="A1327" s="53"/>
      <c r="B1327" s="56"/>
      <c r="C1327" s="90" t="s">
        <v>1079</v>
      </c>
      <c r="D1327" s="230" t="s">
        <v>1757</v>
      </c>
      <c r="E1327" s="68" t="s">
        <v>1080</v>
      </c>
      <c r="F1327" s="128" t="s">
        <v>1351</v>
      </c>
      <c r="G1327" s="128" t="s">
        <v>1351</v>
      </c>
      <c r="H1327" s="128" t="s">
        <v>1351</v>
      </c>
      <c r="I1327" s="128" t="s">
        <v>1351</v>
      </c>
      <c r="J1327" s="70">
        <v>0.9</v>
      </c>
      <c r="K1327" s="71">
        <v>0.94444444444444398</v>
      </c>
      <c r="L1327" s="71">
        <v>0.96610169491525399</v>
      </c>
      <c r="M1327" s="72">
        <v>0.89473684210526305</v>
      </c>
      <c r="N1327" s="71">
        <v>0.89047619047618998</v>
      </c>
      <c r="O1327" s="73">
        <v>0.9</v>
      </c>
      <c r="P1327" s="71">
        <v>0.98579849946409404</v>
      </c>
      <c r="Q1327" s="71">
        <v>0.95904436860068298</v>
      </c>
      <c r="R1327" s="71">
        <v>0.93937144271219997</v>
      </c>
      <c r="S1327" s="71">
        <v>0.97490543026644905</v>
      </c>
      <c r="T1327" s="73">
        <v>0.9</v>
      </c>
      <c r="U1327" s="71">
        <v>0.91479099678456599</v>
      </c>
      <c r="V1327" s="71">
        <v>0.93003412969283294</v>
      </c>
      <c r="W1327" s="71">
        <v>0.916604800791883</v>
      </c>
      <c r="X1327" s="71">
        <v>0.92730016330074205</v>
      </c>
      <c r="Y1327" s="73">
        <v>0.92</v>
      </c>
      <c r="Z1327" s="73">
        <v>0</v>
      </c>
      <c r="AA1327" s="73" t="s">
        <v>1710</v>
      </c>
      <c r="AB1327" s="73" t="s">
        <v>1710</v>
      </c>
      <c r="AC1327" s="73">
        <v>0</v>
      </c>
      <c r="AD1327" s="73">
        <v>0.92</v>
      </c>
      <c r="AE1327" s="71">
        <v>0.98275862068965503</v>
      </c>
      <c r="AF1327" s="71">
        <v>1</v>
      </c>
      <c r="AG1327" s="71">
        <v>1</v>
      </c>
      <c r="AH1327" s="71">
        <v>0.99601328903654496</v>
      </c>
      <c r="AI1327" s="73">
        <v>0.92</v>
      </c>
      <c r="AJ1327" s="71">
        <v>0.94911622924477801</v>
      </c>
      <c r="AK1327" s="71">
        <v>0.96181740614334499</v>
      </c>
      <c r="AL1327" s="71">
        <v>0.959663449641178</v>
      </c>
      <c r="AM1327" s="71">
        <v>0.96568759172368202</v>
      </c>
      <c r="AN1327" s="70">
        <v>0.99</v>
      </c>
      <c r="AO1327" s="75">
        <v>1</v>
      </c>
      <c r="AP1327" s="75">
        <v>1</v>
      </c>
      <c r="AQ1327" s="75">
        <v>1</v>
      </c>
      <c r="AR1327" s="75">
        <v>1</v>
      </c>
      <c r="AS1327" s="95">
        <v>7.2186152540827803E-2</v>
      </c>
      <c r="AT1327" s="79">
        <v>0.11111111111111099</v>
      </c>
      <c r="AU1327" s="79">
        <v>0.14285714285714299</v>
      </c>
      <c r="AV1327" s="79">
        <v>6.25E-2</v>
      </c>
      <c r="AW1327" s="79">
        <v>5.2631578947368397E-2</v>
      </c>
      <c r="AX1327" s="56"/>
      <c r="AY1327" s="54"/>
    </row>
    <row r="1328" spans="1:51">
      <c r="A1328" s="53"/>
      <c r="B1328" s="56"/>
      <c r="C1328" s="90" t="s">
        <v>1079</v>
      </c>
      <c r="D1328" s="230" t="s">
        <v>1757</v>
      </c>
      <c r="E1328" s="68" t="s">
        <v>1080</v>
      </c>
      <c r="F1328" s="128" t="s">
        <v>1352</v>
      </c>
      <c r="G1328" s="128" t="s">
        <v>1352</v>
      </c>
      <c r="H1328" s="128" t="s">
        <v>1352</v>
      </c>
      <c r="I1328" s="128" t="s">
        <v>1352</v>
      </c>
      <c r="J1328" s="70">
        <v>0.9</v>
      </c>
      <c r="K1328" s="71">
        <v>0.962025316455696</v>
      </c>
      <c r="L1328" s="71">
        <v>0.91578947368421004</v>
      </c>
      <c r="M1328" s="72">
        <v>0.89024390243902396</v>
      </c>
      <c r="N1328" s="71">
        <v>0.95247724974721903</v>
      </c>
      <c r="O1328" s="73">
        <v>0.9</v>
      </c>
      <c r="P1328" s="71">
        <v>0.99076147816349402</v>
      </c>
      <c r="Q1328" s="71">
        <v>0.98416095890411004</v>
      </c>
      <c r="R1328" s="71">
        <v>0.95342706502636199</v>
      </c>
      <c r="S1328" s="71">
        <v>0.98166961569812505</v>
      </c>
      <c r="T1328" s="73">
        <v>0.9</v>
      </c>
      <c r="U1328" s="71">
        <v>0.93393057110862299</v>
      </c>
      <c r="V1328" s="71">
        <v>0.94370719178082196</v>
      </c>
      <c r="W1328" s="71">
        <v>0.94156414762741603</v>
      </c>
      <c r="X1328" s="71">
        <v>0.93962106602516904</v>
      </c>
      <c r="Y1328" s="73">
        <v>0.92</v>
      </c>
      <c r="Z1328" s="73">
        <v>0.93778452200303497</v>
      </c>
      <c r="AA1328" s="73">
        <v>0.95726495726495697</v>
      </c>
      <c r="AB1328" s="73">
        <v>0.95614035087719296</v>
      </c>
      <c r="AC1328" s="73">
        <v>0.95563469100081599</v>
      </c>
      <c r="AD1328" s="73">
        <v>0.92</v>
      </c>
      <c r="AE1328" s="71">
        <v>0.99695121951219501</v>
      </c>
      <c r="AF1328" s="71">
        <v>0.93465346534653504</v>
      </c>
      <c r="AG1328" s="71">
        <v>1</v>
      </c>
      <c r="AH1328" s="71">
        <v>0.98289836278164999</v>
      </c>
      <c r="AI1328" s="73">
        <v>0.92</v>
      </c>
      <c r="AJ1328" s="71">
        <v>0.96720129753108697</v>
      </c>
      <c r="AK1328" s="71">
        <v>0.97750483025117296</v>
      </c>
      <c r="AL1328" s="71">
        <v>0.97525279403938303</v>
      </c>
      <c r="AM1328" s="71">
        <v>0.97746511688110005</v>
      </c>
      <c r="AN1328" s="70">
        <v>0.99</v>
      </c>
      <c r="AO1328" s="75">
        <v>1</v>
      </c>
      <c r="AP1328" s="75">
        <v>1</v>
      </c>
      <c r="AQ1328" s="75">
        <v>1</v>
      </c>
      <c r="AR1328" s="75">
        <v>1</v>
      </c>
      <c r="AS1328" s="95">
        <v>7.2186152540827803E-2</v>
      </c>
      <c r="AT1328" s="79">
        <v>0</v>
      </c>
      <c r="AU1328" s="79">
        <v>3.5714285714285698E-2</v>
      </c>
      <c r="AV1328" s="79">
        <v>0</v>
      </c>
      <c r="AW1328" s="79">
        <v>5.5555555555555601E-2</v>
      </c>
      <c r="AX1328" s="56"/>
      <c r="AY1328" s="54"/>
    </row>
    <row r="1329" spans="1:51">
      <c r="A1329" s="53"/>
      <c r="B1329" s="56"/>
      <c r="C1329" s="90" t="s">
        <v>1079</v>
      </c>
      <c r="D1329" s="230" t="s">
        <v>1757</v>
      </c>
      <c r="E1329" s="68" t="s">
        <v>1080</v>
      </c>
      <c r="F1329" s="128" t="s">
        <v>1353</v>
      </c>
      <c r="G1329" s="128" t="s">
        <v>1353</v>
      </c>
      <c r="H1329" s="128" t="s">
        <v>1353</v>
      </c>
      <c r="I1329" s="128" t="s">
        <v>1353</v>
      </c>
      <c r="J1329" s="70">
        <v>0.9</v>
      </c>
      <c r="K1329" s="71">
        <v>1</v>
      </c>
      <c r="L1329" s="71">
        <v>1</v>
      </c>
      <c r="M1329" s="72">
        <v>1</v>
      </c>
      <c r="N1329" s="71">
        <v>1</v>
      </c>
      <c r="O1329" s="73">
        <v>0.9</v>
      </c>
      <c r="P1329" s="71">
        <v>0.994016454749439</v>
      </c>
      <c r="Q1329" s="71">
        <v>0.99496080627099703</v>
      </c>
      <c r="R1329" s="71">
        <v>0.996790757381258</v>
      </c>
      <c r="S1329" s="71">
        <v>0.99456432218744895</v>
      </c>
      <c r="T1329" s="73">
        <v>0.9</v>
      </c>
      <c r="U1329" s="71">
        <v>0.95362752430815301</v>
      </c>
      <c r="V1329" s="71">
        <v>0.97144456886898101</v>
      </c>
      <c r="W1329" s="71">
        <v>0.95186136071886995</v>
      </c>
      <c r="X1329" s="71">
        <v>0.96667215725031597</v>
      </c>
      <c r="Y1329" s="73">
        <v>0.92</v>
      </c>
      <c r="Z1329" s="73" t="s">
        <v>1710</v>
      </c>
      <c r="AA1329" s="73" t="s">
        <v>1710</v>
      </c>
      <c r="AB1329" s="73" t="s">
        <v>1710</v>
      </c>
      <c r="AC1329" s="73" t="s">
        <v>1710</v>
      </c>
      <c r="AD1329" s="73">
        <v>0.92</v>
      </c>
      <c r="AE1329" s="71">
        <v>1</v>
      </c>
      <c r="AF1329" s="71">
        <v>1</v>
      </c>
      <c r="AG1329" s="71">
        <v>1</v>
      </c>
      <c r="AH1329" s="71">
        <v>0.999382716049383</v>
      </c>
      <c r="AI1329" s="73">
        <v>0.92</v>
      </c>
      <c r="AJ1329" s="71">
        <v>0.99177262528047905</v>
      </c>
      <c r="AK1329" s="71">
        <v>0.99440402909904901</v>
      </c>
      <c r="AL1329" s="71">
        <v>0.99165596919127097</v>
      </c>
      <c r="AM1329" s="71">
        <v>0.99324769433465099</v>
      </c>
      <c r="AN1329" s="70">
        <v>0.99</v>
      </c>
      <c r="AO1329" s="75">
        <v>1</v>
      </c>
      <c r="AP1329" s="75">
        <v>1</v>
      </c>
      <c r="AQ1329" s="75">
        <v>1</v>
      </c>
      <c r="AR1329" s="75">
        <v>1</v>
      </c>
      <c r="AS1329" s="95">
        <v>7.2186152540827803E-2</v>
      </c>
      <c r="AT1329" s="79">
        <v>0</v>
      </c>
      <c r="AU1329" s="79">
        <v>0</v>
      </c>
      <c r="AV1329" s="79">
        <v>0</v>
      </c>
      <c r="AW1329" s="79">
        <v>2.1276595744680899E-2</v>
      </c>
      <c r="AX1329" s="56"/>
      <c r="AY1329" s="54"/>
    </row>
    <row r="1330" spans="1:51">
      <c r="A1330" s="53"/>
      <c r="B1330" s="56"/>
      <c r="C1330" s="90" t="s">
        <v>1079</v>
      </c>
      <c r="D1330" s="230" t="s">
        <v>1757</v>
      </c>
      <c r="E1330" s="68" t="s">
        <v>1080</v>
      </c>
      <c r="F1330" s="128" t="s">
        <v>1354</v>
      </c>
      <c r="G1330" s="128" t="s">
        <v>1354</v>
      </c>
      <c r="H1330" s="128" t="s">
        <v>1354</v>
      </c>
      <c r="I1330" s="128" t="s">
        <v>1354</v>
      </c>
      <c r="J1330" s="70">
        <v>0.9</v>
      </c>
      <c r="K1330" s="71">
        <v>1</v>
      </c>
      <c r="L1330" s="71">
        <v>1</v>
      </c>
      <c r="M1330" s="72">
        <v>0.92307692307692302</v>
      </c>
      <c r="N1330" s="71">
        <v>0.97484276729559705</v>
      </c>
      <c r="O1330" s="73">
        <v>0.9</v>
      </c>
      <c r="P1330" s="71">
        <v>0.99064500246184195</v>
      </c>
      <c r="Q1330" s="71">
        <v>0.99055891238670701</v>
      </c>
      <c r="R1330" s="71">
        <v>0.99105545617173496</v>
      </c>
      <c r="S1330" s="71">
        <v>0.983043234138125</v>
      </c>
      <c r="T1330" s="73">
        <v>0.9</v>
      </c>
      <c r="U1330" s="71">
        <v>0.97291974396848802</v>
      </c>
      <c r="V1330" s="71">
        <v>0.968277945619335</v>
      </c>
      <c r="W1330" s="71">
        <v>0.97629695885509804</v>
      </c>
      <c r="X1330" s="71">
        <v>0.97274939172749397</v>
      </c>
      <c r="Y1330" s="73">
        <v>0.92</v>
      </c>
      <c r="Z1330" s="73" t="s">
        <v>1710</v>
      </c>
      <c r="AA1330" s="73" t="s">
        <v>1710</v>
      </c>
      <c r="AB1330" s="73" t="s">
        <v>1710</v>
      </c>
      <c r="AC1330" s="73">
        <v>1</v>
      </c>
      <c r="AD1330" s="73">
        <v>0.92</v>
      </c>
      <c r="AE1330" s="71">
        <v>0.999233128834356</v>
      </c>
      <c r="AF1330" s="71">
        <v>0.992260061919505</v>
      </c>
      <c r="AG1330" s="71">
        <v>0.99804113614103795</v>
      </c>
      <c r="AH1330" s="71">
        <v>0.99583898688376304</v>
      </c>
      <c r="AI1330" s="73">
        <v>0.92</v>
      </c>
      <c r="AJ1330" s="71">
        <v>0.98966026587887701</v>
      </c>
      <c r="AK1330" s="71">
        <v>0.986027190332326</v>
      </c>
      <c r="AL1330" s="71">
        <v>0.99150268336314895</v>
      </c>
      <c r="AM1330" s="71">
        <v>0.98978140440185702</v>
      </c>
      <c r="AN1330" s="70">
        <v>0.99</v>
      </c>
      <c r="AO1330" s="75">
        <v>1</v>
      </c>
      <c r="AP1330" s="75">
        <v>1</v>
      </c>
      <c r="AQ1330" s="75">
        <v>1</v>
      </c>
      <c r="AR1330" s="75">
        <v>1</v>
      </c>
      <c r="AS1330" s="95">
        <v>7.2186152540827803E-2</v>
      </c>
      <c r="AT1330" s="79">
        <v>0.16666666666666699</v>
      </c>
      <c r="AU1330" s="79">
        <v>0</v>
      </c>
      <c r="AV1330" s="79">
        <v>0</v>
      </c>
      <c r="AW1330" s="79">
        <v>2.3529411764705899E-2</v>
      </c>
      <c r="AX1330" s="56"/>
      <c r="AY1330" s="54"/>
    </row>
    <row r="1331" spans="1:51">
      <c r="A1331" s="53"/>
      <c r="B1331" s="56"/>
      <c r="C1331" s="90" t="s">
        <v>1079</v>
      </c>
      <c r="D1331" s="230" t="s">
        <v>1757</v>
      </c>
      <c r="E1331" s="68" t="s">
        <v>1080</v>
      </c>
      <c r="F1331" s="128" t="s">
        <v>1355</v>
      </c>
      <c r="G1331" s="128" t="s">
        <v>1355</v>
      </c>
      <c r="H1331" s="128" t="s">
        <v>1355</v>
      </c>
      <c r="I1331" s="128" t="s">
        <v>1355</v>
      </c>
      <c r="J1331" s="70">
        <v>0.9</v>
      </c>
      <c r="K1331" s="71">
        <v>1</v>
      </c>
      <c r="L1331" s="71">
        <v>0.97916666666666696</v>
      </c>
      <c r="M1331" s="72">
        <v>1</v>
      </c>
      <c r="N1331" s="71">
        <v>0.98843930635838195</v>
      </c>
      <c r="O1331" s="73">
        <v>0.9</v>
      </c>
      <c r="P1331" s="71">
        <v>0.99538843561546697</v>
      </c>
      <c r="Q1331" s="71">
        <v>0.98741962538439998</v>
      </c>
      <c r="R1331" s="71">
        <v>0.98858677408526396</v>
      </c>
      <c r="S1331" s="71">
        <v>0.98148097266108003</v>
      </c>
      <c r="T1331" s="73">
        <v>0.9</v>
      </c>
      <c r="U1331" s="71">
        <v>0.96204327775806997</v>
      </c>
      <c r="V1331" s="71">
        <v>0.96197931227285405</v>
      </c>
      <c r="W1331" s="71">
        <v>0.95871097683786499</v>
      </c>
      <c r="X1331" s="71">
        <v>0.96243989559005405</v>
      </c>
      <c r="Y1331" s="73">
        <v>0.92</v>
      </c>
      <c r="Z1331" s="73" t="s">
        <v>1710</v>
      </c>
      <c r="AA1331" s="73" t="s">
        <v>1710</v>
      </c>
      <c r="AB1331" s="73" t="s">
        <v>1710</v>
      </c>
      <c r="AC1331" s="73" t="s">
        <v>1710</v>
      </c>
      <c r="AD1331" s="73">
        <v>0.92</v>
      </c>
      <c r="AE1331" s="71">
        <v>0.99966655551850603</v>
      </c>
      <c r="AF1331" s="71">
        <v>0.99707744763760398</v>
      </c>
      <c r="AG1331" s="71">
        <v>1</v>
      </c>
      <c r="AH1331" s="71">
        <v>0.99838913317950295</v>
      </c>
      <c r="AI1331" s="73">
        <v>0.92</v>
      </c>
      <c r="AJ1331" s="71">
        <v>0.98048953529620397</v>
      </c>
      <c r="AK1331" s="71">
        <v>0.98238747553815997</v>
      </c>
      <c r="AL1331" s="71">
        <v>0.98355152735817397</v>
      </c>
      <c r="AM1331" s="71">
        <v>0.98381690295636903</v>
      </c>
      <c r="AN1331" s="70">
        <v>0.99</v>
      </c>
      <c r="AO1331" s="75">
        <v>1</v>
      </c>
      <c r="AP1331" s="75">
        <v>1</v>
      </c>
      <c r="AQ1331" s="75">
        <v>1</v>
      </c>
      <c r="AR1331" s="75">
        <v>1</v>
      </c>
      <c r="AS1331" s="95">
        <v>7.2186152540827803E-2</v>
      </c>
      <c r="AT1331" s="79">
        <v>9.0909090909090898E-2</v>
      </c>
      <c r="AU1331" s="79">
        <v>7.1428571428571397E-2</v>
      </c>
      <c r="AV1331" s="79">
        <v>0.11111111111111099</v>
      </c>
      <c r="AW1331" s="79">
        <v>5.2631578947368397E-2</v>
      </c>
      <c r="AX1331" s="56"/>
      <c r="AY1331" s="54"/>
    </row>
    <row r="1332" spans="1:51">
      <c r="A1332" s="53"/>
      <c r="B1332" s="56"/>
      <c r="C1332" s="90" t="s">
        <v>1079</v>
      </c>
      <c r="D1332" s="230" t="s">
        <v>1757</v>
      </c>
      <c r="E1332" s="68" t="s">
        <v>1080</v>
      </c>
      <c r="F1332" s="128" t="s">
        <v>1356</v>
      </c>
      <c r="G1332" s="128" t="s">
        <v>1356</v>
      </c>
      <c r="H1332" s="128" t="s">
        <v>1356</v>
      </c>
      <c r="I1332" s="128" t="s">
        <v>1356</v>
      </c>
      <c r="J1332" s="70">
        <v>0.9</v>
      </c>
      <c r="K1332" s="71">
        <v>0.97674418604651203</v>
      </c>
      <c r="L1332" s="71">
        <v>0.97872340425531901</v>
      </c>
      <c r="M1332" s="72">
        <v>1</v>
      </c>
      <c r="N1332" s="71">
        <v>0.96626984126984095</v>
      </c>
      <c r="O1332" s="73">
        <v>0.9</v>
      </c>
      <c r="P1332" s="71">
        <v>0.99563318777292598</v>
      </c>
      <c r="Q1332" s="71">
        <v>0.99126425624848302</v>
      </c>
      <c r="R1332" s="71">
        <v>0.98966065747613996</v>
      </c>
      <c r="S1332" s="71">
        <v>0.99296430901127597</v>
      </c>
      <c r="T1332" s="73">
        <v>0.9</v>
      </c>
      <c r="U1332" s="71">
        <v>0.97754210854647505</v>
      </c>
      <c r="V1332" s="71">
        <v>0.96869691822373205</v>
      </c>
      <c r="W1332" s="71">
        <v>0.95148462354188801</v>
      </c>
      <c r="X1332" s="71">
        <v>0.97337154039698104</v>
      </c>
      <c r="Y1332" s="73">
        <v>0.92</v>
      </c>
      <c r="Z1332" s="73">
        <v>0</v>
      </c>
      <c r="AA1332" s="73" t="s">
        <v>1710</v>
      </c>
      <c r="AB1332" s="73" t="s">
        <v>1710</v>
      </c>
      <c r="AC1332" s="73">
        <v>0</v>
      </c>
      <c r="AD1332" s="73">
        <v>0.92</v>
      </c>
      <c r="AE1332" s="71">
        <v>1</v>
      </c>
      <c r="AF1332" s="71">
        <v>1</v>
      </c>
      <c r="AG1332" s="71">
        <v>1</v>
      </c>
      <c r="AH1332" s="71">
        <v>0.99870298313878103</v>
      </c>
      <c r="AI1332" s="73">
        <v>0.92</v>
      </c>
      <c r="AJ1332" s="71">
        <v>0.99251637043966301</v>
      </c>
      <c r="AK1332" s="71">
        <v>0.98883766076195101</v>
      </c>
      <c r="AL1332" s="71">
        <v>0.983032873806999</v>
      </c>
      <c r="AM1332" s="71">
        <v>0.99259172976121102</v>
      </c>
      <c r="AN1332" s="70">
        <v>0.99</v>
      </c>
      <c r="AO1332" s="75">
        <v>1</v>
      </c>
      <c r="AP1332" s="75">
        <v>1</v>
      </c>
      <c r="AQ1332" s="75">
        <v>1</v>
      </c>
      <c r="AR1332" s="75">
        <v>1</v>
      </c>
      <c r="AS1332" s="95">
        <v>7.2186152540827803E-2</v>
      </c>
      <c r="AT1332" s="79">
        <v>0</v>
      </c>
      <c r="AU1332" s="79">
        <v>5.5555555555555601E-2</v>
      </c>
      <c r="AV1332" s="79">
        <v>0</v>
      </c>
      <c r="AW1332" s="79">
        <v>2.3668639053254399E-2</v>
      </c>
      <c r="AX1332" s="56"/>
      <c r="AY1332" s="54"/>
    </row>
    <row r="1333" spans="1:51">
      <c r="A1333" s="53"/>
      <c r="B1333" s="56"/>
      <c r="C1333" s="90" t="s">
        <v>1079</v>
      </c>
      <c r="D1333" s="230" t="s">
        <v>1757</v>
      </c>
      <c r="E1333" s="68" t="s">
        <v>1080</v>
      </c>
      <c r="F1333" s="128" t="s">
        <v>1357</v>
      </c>
      <c r="G1333" s="128" t="s">
        <v>1357</v>
      </c>
      <c r="H1333" s="128" t="s">
        <v>1357</v>
      </c>
      <c r="I1333" s="128" t="s">
        <v>1357</v>
      </c>
      <c r="J1333" s="70">
        <v>0.9</v>
      </c>
      <c r="K1333" s="71">
        <v>0.88461538461538503</v>
      </c>
      <c r="L1333" s="71">
        <v>0.96470588235294097</v>
      </c>
      <c r="M1333" s="72">
        <v>0.89610389610389596</v>
      </c>
      <c r="N1333" s="71">
        <v>0.92096219931271495</v>
      </c>
      <c r="O1333" s="73">
        <v>0.9</v>
      </c>
      <c r="P1333" s="71">
        <v>0.92937399678972699</v>
      </c>
      <c r="Q1333" s="71">
        <v>0.92906815020862299</v>
      </c>
      <c r="R1333" s="71">
        <v>0.93790928935241302</v>
      </c>
      <c r="S1333" s="71">
        <v>0.94681381583226698</v>
      </c>
      <c r="T1333" s="73">
        <v>0.9</v>
      </c>
      <c r="U1333" s="71">
        <v>0.90722311396468702</v>
      </c>
      <c r="V1333" s="71">
        <v>0.90472878998609196</v>
      </c>
      <c r="W1333" s="71">
        <v>0.903710890128547</v>
      </c>
      <c r="X1333" s="71">
        <v>0.914203941805251</v>
      </c>
      <c r="Y1333" s="73">
        <v>0.92</v>
      </c>
      <c r="Z1333" s="73">
        <v>0.90928381962864702</v>
      </c>
      <c r="AA1333" s="73">
        <v>0.91578462954440898</v>
      </c>
      <c r="AB1333" s="73">
        <v>0.88791848617176095</v>
      </c>
      <c r="AC1333" s="73">
        <v>0.91954353269570199</v>
      </c>
      <c r="AD1333" s="73">
        <v>0.92</v>
      </c>
      <c r="AE1333" s="71">
        <v>0.99893105291288098</v>
      </c>
      <c r="AF1333" s="71">
        <v>0.99074074074074103</v>
      </c>
      <c r="AG1333" s="71">
        <v>0.99856218547807296</v>
      </c>
      <c r="AH1333" s="71">
        <v>0.99857944936751697</v>
      </c>
      <c r="AI1333" s="73">
        <v>0.92</v>
      </c>
      <c r="AJ1333" s="71">
        <v>0.94720000000000004</v>
      </c>
      <c r="AK1333" s="71">
        <v>0.94203792199784198</v>
      </c>
      <c r="AL1333" s="71">
        <v>0.92854024159510995</v>
      </c>
      <c r="AM1333" s="71">
        <v>0.95559338866425503</v>
      </c>
      <c r="AN1333" s="70">
        <v>0.99</v>
      </c>
      <c r="AO1333" s="75">
        <v>1</v>
      </c>
      <c r="AP1333" s="75">
        <v>1</v>
      </c>
      <c r="AQ1333" s="75">
        <v>1</v>
      </c>
      <c r="AR1333" s="75">
        <v>1</v>
      </c>
      <c r="AS1333" s="95">
        <v>7.2186152540827803E-2</v>
      </c>
      <c r="AT1333" s="79">
        <v>7.69230769230769E-2</v>
      </c>
      <c r="AU1333" s="79">
        <v>-0.2</v>
      </c>
      <c r="AV1333" s="79">
        <v>5.5555555555555601E-2</v>
      </c>
      <c r="AW1333" s="79">
        <v>1.7543859649122799E-2</v>
      </c>
      <c r="AX1333" s="56"/>
      <c r="AY1333" s="54"/>
    </row>
    <row r="1334" spans="1:51">
      <c r="A1334" s="53"/>
      <c r="B1334" s="56"/>
      <c r="C1334" s="90" t="s">
        <v>1079</v>
      </c>
      <c r="D1334" s="230" t="s">
        <v>1757</v>
      </c>
      <c r="E1334" s="68" t="s">
        <v>1080</v>
      </c>
      <c r="F1334" s="128" t="s">
        <v>1358</v>
      </c>
      <c r="G1334" s="128" t="s">
        <v>1358</v>
      </c>
      <c r="H1334" s="128" t="s">
        <v>1358</v>
      </c>
      <c r="I1334" s="128" t="s">
        <v>1358</v>
      </c>
      <c r="J1334" s="70">
        <v>0.9</v>
      </c>
      <c r="K1334" s="71">
        <v>0.9</v>
      </c>
      <c r="L1334" s="71">
        <v>0.93023255813953498</v>
      </c>
      <c r="M1334" s="72">
        <v>0.952380952380952</v>
      </c>
      <c r="N1334" s="71">
        <v>0.94432548179871501</v>
      </c>
      <c r="O1334" s="73">
        <v>0.9</v>
      </c>
      <c r="P1334" s="71">
        <v>0.98178939034045898</v>
      </c>
      <c r="Q1334" s="71">
        <v>0.886808041861746</v>
      </c>
      <c r="R1334" s="71">
        <v>0.90465343312723701</v>
      </c>
      <c r="S1334" s="71">
        <v>0.94340494968724498</v>
      </c>
      <c r="T1334" s="73">
        <v>0.9</v>
      </c>
      <c r="U1334" s="71">
        <v>0.90617577197149601</v>
      </c>
      <c r="V1334" s="71">
        <v>0.91958138253924504</v>
      </c>
      <c r="W1334" s="71">
        <v>0.89651806052717198</v>
      </c>
      <c r="X1334" s="71">
        <v>0.91044329616535202</v>
      </c>
      <c r="Y1334" s="73">
        <v>0.92</v>
      </c>
      <c r="Z1334" s="73" t="s">
        <v>1710</v>
      </c>
      <c r="AA1334" s="73" t="s">
        <v>1710</v>
      </c>
      <c r="AB1334" s="73" t="s">
        <v>1710</v>
      </c>
      <c r="AC1334" s="73" t="s">
        <v>1710</v>
      </c>
      <c r="AD1334" s="73">
        <v>0.92</v>
      </c>
      <c r="AE1334" s="71">
        <v>0.99300699300699302</v>
      </c>
      <c r="AF1334" s="71">
        <v>1</v>
      </c>
      <c r="AG1334" s="71">
        <v>0.99224806201550397</v>
      </c>
      <c r="AH1334" s="71">
        <v>0.99327165685450003</v>
      </c>
      <c r="AI1334" s="73">
        <v>0.92</v>
      </c>
      <c r="AJ1334" s="71">
        <v>0.96516231195566105</v>
      </c>
      <c r="AK1334" s="71">
        <v>0.97603965849628205</v>
      </c>
      <c r="AL1334" s="71">
        <v>0.96225187113569799</v>
      </c>
      <c r="AM1334" s="71">
        <v>0.97182485722056</v>
      </c>
      <c r="AN1334" s="70">
        <v>0.99</v>
      </c>
      <c r="AO1334" s="75">
        <v>1</v>
      </c>
      <c r="AP1334" s="75">
        <v>1</v>
      </c>
      <c r="AQ1334" s="75">
        <v>1</v>
      </c>
      <c r="AR1334" s="75">
        <v>1</v>
      </c>
      <c r="AS1334" s="95">
        <v>7.2186152540827803E-2</v>
      </c>
      <c r="AT1334" s="79">
        <v>0</v>
      </c>
      <c r="AU1334" s="79">
        <v>-6.6666666666666693E-2</v>
      </c>
      <c r="AV1334" s="79">
        <v>0.14285714285714299</v>
      </c>
      <c r="AW1334" s="79">
        <v>7.6086956521739094E-2</v>
      </c>
      <c r="AX1334" s="56"/>
      <c r="AY1334" s="54"/>
    </row>
    <row r="1335" spans="1:51">
      <c r="A1335" s="53"/>
      <c r="B1335" s="56"/>
      <c r="C1335" s="90" t="s">
        <v>1079</v>
      </c>
      <c r="D1335" s="230" t="s">
        <v>1757</v>
      </c>
      <c r="E1335" s="68" t="s">
        <v>1080</v>
      </c>
      <c r="F1335" s="128" t="s">
        <v>1359</v>
      </c>
      <c r="G1335" s="128" t="s">
        <v>1359</v>
      </c>
      <c r="H1335" s="128" t="s">
        <v>1359</v>
      </c>
      <c r="I1335" s="128" t="s">
        <v>1359</v>
      </c>
      <c r="J1335" s="70">
        <v>0.9</v>
      </c>
      <c r="K1335" s="71">
        <v>0.9375</v>
      </c>
      <c r="L1335" s="71">
        <v>1</v>
      </c>
      <c r="M1335" s="72">
        <v>0.96551724137931005</v>
      </c>
      <c r="N1335" s="71">
        <v>0.97796143250688705</v>
      </c>
      <c r="O1335" s="73">
        <v>0.9</v>
      </c>
      <c r="P1335" s="71">
        <v>0.99536178107606699</v>
      </c>
      <c r="Q1335" s="71">
        <v>0.99099099099099097</v>
      </c>
      <c r="R1335" s="71">
        <v>0.98910411622275995</v>
      </c>
      <c r="S1335" s="71">
        <v>0.98066479886548397</v>
      </c>
      <c r="T1335" s="73">
        <v>0.9</v>
      </c>
      <c r="U1335" s="71">
        <v>0.96196660482374796</v>
      </c>
      <c r="V1335" s="71">
        <v>0.98054054054054096</v>
      </c>
      <c r="W1335" s="71">
        <v>0.94632768361581898</v>
      </c>
      <c r="X1335" s="71">
        <v>0.96409671059458302</v>
      </c>
      <c r="Y1335" s="73">
        <v>0.92</v>
      </c>
      <c r="Z1335" s="73" t="s">
        <v>1710</v>
      </c>
      <c r="AA1335" s="73" t="s">
        <v>1710</v>
      </c>
      <c r="AB1335" s="73" t="s">
        <v>1710</v>
      </c>
      <c r="AC1335" s="73" t="s">
        <v>1710</v>
      </c>
      <c r="AD1335" s="73">
        <v>0.92</v>
      </c>
      <c r="AE1335" s="71">
        <v>1</v>
      </c>
      <c r="AF1335" s="71">
        <v>0.99848828420256996</v>
      </c>
      <c r="AG1335" s="71">
        <v>1</v>
      </c>
      <c r="AH1335" s="71">
        <v>0.99922360248447195</v>
      </c>
      <c r="AI1335" s="73">
        <v>0.92</v>
      </c>
      <c r="AJ1335" s="71">
        <v>0.97727272727272696</v>
      </c>
      <c r="AK1335" s="71">
        <v>0.984504504504505</v>
      </c>
      <c r="AL1335" s="71">
        <v>0.98103309120258297</v>
      </c>
      <c r="AM1335" s="71">
        <v>0.98004288876590995</v>
      </c>
      <c r="AN1335" s="70">
        <v>0.99</v>
      </c>
      <c r="AO1335" s="75">
        <v>1</v>
      </c>
      <c r="AP1335" s="75">
        <v>1</v>
      </c>
      <c r="AQ1335" s="75">
        <v>1</v>
      </c>
      <c r="AR1335" s="75">
        <v>1</v>
      </c>
      <c r="AS1335" s="95">
        <v>7.2186152540827803E-2</v>
      </c>
      <c r="AT1335" s="79">
        <v>0</v>
      </c>
      <c r="AU1335" s="79">
        <v>0.2</v>
      </c>
      <c r="AV1335" s="79">
        <v>0</v>
      </c>
      <c r="AW1335" s="79">
        <v>1.3157894736842099E-2</v>
      </c>
      <c r="AX1335" s="56"/>
      <c r="AY1335" s="54"/>
    </row>
    <row r="1336" spans="1:51">
      <c r="A1336" s="53"/>
      <c r="B1336" s="56"/>
      <c r="C1336" s="90" t="s">
        <v>1079</v>
      </c>
      <c r="D1336" s="230" t="s">
        <v>1757</v>
      </c>
      <c r="E1336" s="68" t="s">
        <v>1080</v>
      </c>
      <c r="F1336" s="128" t="s">
        <v>1360</v>
      </c>
      <c r="G1336" s="128" t="s">
        <v>1360</v>
      </c>
      <c r="H1336" s="128" t="s">
        <v>1360</v>
      </c>
      <c r="I1336" s="128" t="s">
        <v>1360</v>
      </c>
      <c r="J1336" s="70">
        <v>0.9</v>
      </c>
      <c r="K1336" s="71">
        <v>1</v>
      </c>
      <c r="L1336" s="71">
        <v>0.91304347826086996</v>
      </c>
      <c r="M1336" s="72">
        <v>0.95454545454545503</v>
      </c>
      <c r="N1336" s="71">
        <v>0.962025316455696</v>
      </c>
      <c r="O1336" s="73">
        <v>0.9</v>
      </c>
      <c r="P1336" s="71">
        <v>0.95681818181818201</v>
      </c>
      <c r="Q1336" s="71">
        <v>0.96710807347287497</v>
      </c>
      <c r="R1336" s="71">
        <v>0.96570308672219496</v>
      </c>
      <c r="S1336" s="71">
        <v>0.95371712115224205</v>
      </c>
      <c r="T1336" s="73">
        <v>0.9</v>
      </c>
      <c r="U1336" s="71">
        <v>0.94545454545454499</v>
      </c>
      <c r="V1336" s="71">
        <v>0.94489534387014096</v>
      </c>
      <c r="W1336" s="71">
        <v>0.94022537971582598</v>
      </c>
      <c r="X1336" s="71">
        <v>0.92996091863171304</v>
      </c>
      <c r="Y1336" s="73">
        <v>0.92</v>
      </c>
      <c r="Z1336" s="73" t="s">
        <v>1710</v>
      </c>
      <c r="AA1336" s="73" t="s">
        <v>1710</v>
      </c>
      <c r="AB1336" s="73" t="s">
        <v>1710</v>
      </c>
      <c r="AC1336" s="73">
        <v>1</v>
      </c>
      <c r="AD1336" s="73">
        <v>0.92</v>
      </c>
      <c r="AE1336" s="71">
        <v>0.99853264856933199</v>
      </c>
      <c r="AF1336" s="71">
        <v>0.99494949494949503</v>
      </c>
      <c r="AG1336" s="71">
        <v>0.99330655957161995</v>
      </c>
      <c r="AH1336" s="71">
        <v>0.99573482817450598</v>
      </c>
      <c r="AI1336" s="73">
        <v>0.92</v>
      </c>
      <c r="AJ1336" s="71">
        <v>0.95170454545454497</v>
      </c>
      <c r="AK1336" s="71">
        <v>0.96796240922682597</v>
      </c>
      <c r="AL1336" s="71">
        <v>0.96521313081822602</v>
      </c>
      <c r="AM1336" s="71">
        <v>0.96109598665144502</v>
      </c>
      <c r="AN1336" s="70">
        <v>0.99</v>
      </c>
      <c r="AO1336" s="75">
        <v>1</v>
      </c>
      <c r="AP1336" s="75">
        <v>1</v>
      </c>
      <c r="AQ1336" s="75" t="s">
        <v>1710</v>
      </c>
      <c r="AR1336" s="75">
        <v>1</v>
      </c>
      <c r="AS1336" s="95">
        <v>7.2186152540827803E-2</v>
      </c>
      <c r="AT1336" s="79">
        <v>0</v>
      </c>
      <c r="AU1336" s="79">
        <v>0</v>
      </c>
      <c r="AV1336" s="79">
        <v>0</v>
      </c>
      <c r="AW1336" s="79">
        <v>5.2631578947368397E-2</v>
      </c>
      <c r="AX1336" s="56"/>
      <c r="AY1336" s="54"/>
    </row>
    <row r="1337" spans="1:51">
      <c r="A1337" s="53"/>
      <c r="B1337" s="56"/>
      <c r="C1337" s="90" t="s">
        <v>1079</v>
      </c>
      <c r="D1337" s="230" t="s">
        <v>1757</v>
      </c>
      <c r="E1337" s="68" t="s">
        <v>1080</v>
      </c>
      <c r="F1337" s="128" t="s">
        <v>1361</v>
      </c>
      <c r="G1337" s="128" t="s">
        <v>1361</v>
      </c>
      <c r="H1337" s="128" t="s">
        <v>1361</v>
      </c>
      <c r="I1337" s="128" t="s">
        <v>1361</v>
      </c>
      <c r="J1337" s="70">
        <v>0.9</v>
      </c>
      <c r="K1337" s="71">
        <v>0.97058823529411797</v>
      </c>
      <c r="L1337" s="71">
        <v>0.97297297297297303</v>
      </c>
      <c r="M1337" s="72">
        <v>0.94444444444444398</v>
      </c>
      <c r="N1337" s="71">
        <v>0.90072639225181605</v>
      </c>
      <c r="O1337" s="73">
        <v>0.9</v>
      </c>
      <c r="P1337" s="71">
        <v>0.973402417962003</v>
      </c>
      <c r="Q1337" s="71">
        <v>0.94135297326786704</v>
      </c>
      <c r="R1337" s="71">
        <v>0.85212514757969304</v>
      </c>
      <c r="S1337" s="71">
        <v>0.921451314708299</v>
      </c>
      <c r="T1337" s="73">
        <v>0.9</v>
      </c>
      <c r="U1337" s="71">
        <v>0.90086355785837602</v>
      </c>
      <c r="V1337" s="71">
        <v>0.86688488816148401</v>
      </c>
      <c r="W1337" s="71">
        <v>0.82733175914994095</v>
      </c>
      <c r="X1337" s="71">
        <v>0.87325390304026296</v>
      </c>
      <c r="Y1337" s="73">
        <v>0.92</v>
      </c>
      <c r="Z1337" s="73">
        <v>0</v>
      </c>
      <c r="AA1337" s="73" t="s">
        <v>1710</v>
      </c>
      <c r="AB1337" s="73" t="s">
        <v>1710</v>
      </c>
      <c r="AC1337" s="73">
        <v>0</v>
      </c>
      <c r="AD1337" s="73">
        <v>0.92</v>
      </c>
      <c r="AE1337" s="71">
        <v>0.995</v>
      </c>
      <c r="AF1337" s="71">
        <v>0.99504950495049505</v>
      </c>
      <c r="AG1337" s="71">
        <v>0.99411764705882399</v>
      </c>
      <c r="AH1337" s="71">
        <v>0.98815789473684201</v>
      </c>
      <c r="AI1337" s="73">
        <v>0.92</v>
      </c>
      <c r="AJ1337" s="71">
        <v>0.95721187025534804</v>
      </c>
      <c r="AK1337" s="71">
        <v>0.974086197490453</v>
      </c>
      <c r="AL1337" s="71">
        <v>0.96280991735537202</v>
      </c>
      <c r="AM1337" s="71">
        <v>0.96741725935245304</v>
      </c>
      <c r="AN1337" s="70">
        <v>0.99</v>
      </c>
      <c r="AO1337" s="75">
        <v>1</v>
      </c>
      <c r="AP1337" s="75">
        <v>1</v>
      </c>
      <c r="AQ1337" s="75">
        <v>1</v>
      </c>
      <c r="AR1337" s="75">
        <v>1</v>
      </c>
      <c r="AS1337" s="95">
        <v>7.2186152540827803E-2</v>
      </c>
      <c r="AT1337" s="79">
        <v>0.1</v>
      </c>
      <c r="AU1337" s="79">
        <v>0.2</v>
      </c>
      <c r="AV1337" s="79">
        <v>7.69230769230769E-2</v>
      </c>
      <c r="AW1337" s="79">
        <v>0.109243697478992</v>
      </c>
      <c r="AX1337" s="56"/>
      <c r="AY1337" s="54"/>
    </row>
    <row r="1338" spans="1:51">
      <c r="A1338" s="53"/>
      <c r="B1338" s="56"/>
      <c r="C1338" s="90" t="s">
        <v>1079</v>
      </c>
      <c r="D1338" s="230" t="s">
        <v>1757</v>
      </c>
      <c r="E1338" s="68" t="s">
        <v>1080</v>
      </c>
      <c r="F1338" s="128" t="s">
        <v>1362</v>
      </c>
      <c r="G1338" s="128" t="s">
        <v>1362</v>
      </c>
      <c r="H1338" s="128" t="s">
        <v>1362</v>
      </c>
      <c r="I1338" s="128" t="s">
        <v>1362</v>
      </c>
      <c r="J1338" s="70">
        <v>0.9</v>
      </c>
      <c r="K1338" s="71" t="s">
        <v>1710</v>
      </c>
      <c r="L1338" s="71" t="s">
        <v>1710</v>
      </c>
      <c r="M1338" s="72" t="s">
        <v>1710</v>
      </c>
      <c r="N1338" s="71" t="s">
        <v>1710</v>
      </c>
      <c r="O1338" s="73">
        <v>0.9</v>
      </c>
      <c r="P1338" s="71">
        <v>0</v>
      </c>
      <c r="Q1338" s="71">
        <v>0</v>
      </c>
      <c r="R1338" s="71">
        <v>0</v>
      </c>
      <c r="S1338" s="71">
        <v>0</v>
      </c>
      <c r="T1338" s="73">
        <v>0.9</v>
      </c>
      <c r="U1338" s="71">
        <v>1</v>
      </c>
      <c r="V1338" s="71">
        <v>1</v>
      </c>
      <c r="W1338" s="71">
        <v>1</v>
      </c>
      <c r="X1338" s="71">
        <v>1</v>
      </c>
      <c r="Y1338" s="73">
        <v>0.92</v>
      </c>
      <c r="Z1338" s="73">
        <v>1</v>
      </c>
      <c r="AA1338" s="73">
        <v>1</v>
      </c>
      <c r="AB1338" s="73">
        <v>1</v>
      </c>
      <c r="AC1338" s="73">
        <v>1</v>
      </c>
      <c r="AD1338" s="73">
        <v>0.92</v>
      </c>
      <c r="AE1338" s="71">
        <v>0.99694189602446504</v>
      </c>
      <c r="AF1338" s="71">
        <v>1</v>
      </c>
      <c r="AG1338" s="71">
        <v>1</v>
      </c>
      <c r="AH1338" s="71">
        <v>0.99790004199916005</v>
      </c>
      <c r="AI1338" s="73">
        <v>0.92</v>
      </c>
      <c r="AJ1338" s="71">
        <v>1</v>
      </c>
      <c r="AK1338" s="71">
        <v>1</v>
      </c>
      <c r="AL1338" s="71">
        <v>1</v>
      </c>
      <c r="AM1338" s="71">
        <v>1</v>
      </c>
      <c r="AN1338" s="70">
        <v>0.99</v>
      </c>
      <c r="AO1338" s="75" t="s">
        <v>1710</v>
      </c>
      <c r="AP1338" s="75" t="s">
        <v>1710</v>
      </c>
      <c r="AQ1338" s="75" t="s">
        <v>1710</v>
      </c>
      <c r="AR1338" s="75">
        <v>1</v>
      </c>
      <c r="AS1338" s="95">
        <v>7.2186152540827803E-2</v>
      </c>
      <c r="AT1338" s="79" t="s">
        <v>1710</v>
      </c>
      <c r="AU1338" s="79" t="s">
        <v>1710</v>
      </c>
      <c r="AV1338" s="79" t="s">
        <v>1710</v>
      </c>
      <c r="AW1338" s="79" t="s">
        <v>1710</v>
      </c>
      <c r="AX1338" s="56"/>
      <c r="AY1338" s="54"/>
    </row>
    <row r="1339" spans="1:51">
      <c r="A1339" s="53"/>
      <c r="B1339" s="56"/>
      <c r="C1339" s="90" t="s">
        <v>1079</v>
      </c>
      <c r="D1339" s="230" t="s">
        <v>1757</v>
      </c>
      <c r="E1339" s="68" t="s">
        <v>1080</v>
      </c>
      <c r="F1339" s="128" t="s">
        <v>1363</v>
      </c>
      <c r="G1339" s="128" t="s">
        <v>1363</v>
      </c>
      <c r="H1339" s="128" t="s">
        <v>1363</v>
      </c>
      <c r="I1339" s="128" t="s">
        <v>1363</v>
      </c>
      <c r="J1339" s="70">
        <v>0.9</v>
      </c>
      <c r="K1339" s="71">
        <v>0.94871794871794901</v>
      </c>
      <c r="L1339" s="71">
        <v>0.90909090909090895</v>
      </c>
      <c r="M1339" s="72">
        <v>0.94285714285714295</v>
      </c>
      <c r="N1339" s="71">
        <v>0.92241379310344795</v>
      </c>
      <c r="O1339" s="73">
        <v>0.9</v>
      </c>
      <c r="P1339" s="71">
        <v>0.97257142857142898</v>
      </c>
      <c r="Q1339" s="71">
        <v>0.978553406223717</v>
      </c>
      <c r="R1339" s="71">
        <v>0.92931034482758601</v>
      </c>
      <c r="S1339" s="71">
        <v>0.97134986225895303</v>
      </c>
      <c r="T1339" s="73">
        <v>0.9</v>
      </c>
      <c r="U1339" s="71">
        <v>0.93257142857142905</v>
      </c>
      <c r="V1339" s="71">
        <v>0.941547518923465</v>
      </c>
      <c r="W1339" s="71">
        <v>0.92413793103448305</v>
      </c>
      <c r="X1339" s="71">
        <v>0.94474616292798097</v>
      </c>
      <c r="Y1339" s="73">
        <v>0.92</v>
      </c>
      <c r="Z1339" s="73">
        <v>0.94862036156041896</v>
      </c>
      <c r="AA1339" s="73">
        <v>0.96262458471760803</v>
      </c>
      <c r="AB1339" s="73">
        <v>0.92842105263157904</v>
      </c>
      <c r="AC1339" s="73">
        <v>0.95614358369573205</v>
      </c>
      <c r="AD1339" s="73">
        <v>0.92</v>
      </c>
      <c r="AE1339" s="71">
        <v>0.99590096737169997</v>
      </c>
      <c r="AF1339" s="71">
        <v>0.98525073746312697</v>
      </c>
      <c r="AG1339" s="71">
        <v>0.99015606242497001</v>
      </c>
      <c r="AH1339" s="71">
        <v>0.99112183673921195</v>
      </c>
      <c r="AI1339" s="73">
        <v>0.92</v>
      </c>
      <c r="AJ1339" s="71">
        <v>0.96967534784159803</v>
      </c>
      <c r="AK1339" s="71">
        <v>0.97878280290340602</v>
      </c>
      <c r="AL1339" s="71">
        <v>0.95647530040053397</v>
      </c>
      <c r="AM1339" s="71">
        <v>0.97429912534947505</v>
      </c>
      <c r="AN1339" s="70">
        <v>0.99</v>
      </c>
      <c r="AO1339" s="75">
        <v>1</v>
      </c>
      <c r="AP1339" s="75">
        <v>1</v>
      </c>
      <c r="AQ1339" s="75">
        <v>1</v>
      </c>
      <c r="AR1339" s="75">
        <v>1</v>
      </c>
      <c r="AS1339" s="95">
        <v>7.2186152540827803E-2</v>
      </c>
      <c r="AT1339" s="79">
        <v>0</v>
      </c>
      <c r="AU1339" s="79">
        <v>0</v>
      </c>
      <c r="AV1339" s="79">
        <v>0.25</v>
      </c>
      <c r="AW1339" s="79">
        <v>5.8823529411764698E-2</v>
      </c>
      <c r="AX1339" s="56"/>
      <c r="AY1339" s="54"/>
    </row>
    <row r="1340" spans="1:51">
      <c r="A1340" s="53"/>
      <c r="B1340" s="56"/>
      <c r="C1340" s="90" t="s">
        <v>1079</v>
      </c>
      <c r="D1340" s="230" t="s">
        <v>1757</v>
      </c>
      <c r="E1340" s="68" t="s">
        <v>1080</v>
      </c>
      <c r="F1340" s="128" t="s">
        <v>1364</v>
      </c>
      <c r="G1340" s="128" t="s">
        <v>1364</v>
      </c>
      <c r="H1340" s="128" t="s">
        <v>1364</v>
      </c>
      <c r="I1340" s="128" t="s">
        <v>1364</v>
      </c>
      <c r="J1340" s="70">
        <v>0.9</v>
      </c>
      <c r="K1340" s="71">
        <v>0.97297297297297303</v>
      </c>
      <c r="L1340" s="71">
        <v>0.95</v>
      </c>
      <c r="M1340" s="72">
        <v>0.87878787878787901</v>
      </c>
      <c r="N1340" s="71">
        <v>0.91970802919707995</v>
      </c>
      <c r="O1340" s="73">
        <v>0.9</v>
      </c>
      <c r="P1340" s="71">
        <v>0.94162679425837303</v>
      </c>
      <c r="Q1340" s="71">
        <v>0.979525360632852</v>
      </c>
      <c r="R1340" s="71">
        <v>0.91804440245630603</v>
      </c>
      <c r="S1340" s="71">
        <v>0.93359762140733404</v>
      </c>
      <c r="T1340" s="73">
        <v>0.9</v>
      </c>
      <c r="U1340" s="71">
        <v>0.93444976076554997</v>
      </c>
      <c r="V1340" s="71">
        <v>0.94927873429502097</v>
      </c>
      <c r="W1340" s="71">
        <v>0.92253188474255998</v>
      </c>
      <c r="X1340" s="71">
        <v>0.93087215064420203</v>
      </c>
      <c r="Y1340" s="73">
        <v>0.92</v>
      </c>
      <c r="Z1340" s="73">
        <v>0.95114006514658</v>
      </c>
      <c r="AA1340" s="73">
        <v>0.96370967741935498</v>
      </c>
      <c r="AB1340" s="73">
        <v>0.93581081081081097</v>
      </c>
      <c r="AC1340" s="73">
        <v>0.95422890861729803</v>
      </c>
      <c r="AD1340" s="73">
        <v>0.92</v>
      </c>
      <c r="AE1340" s="71">
        <v>0.99319727891156495</v>
      </c>
      <c r="AF1340" s="71">
        <v>0.99196572040706998</v>
      </c>
      <c r="AG1340" s="71">
        <v>0.97667638483965002</v>
      </c>
      <c r="AH1340" s="71">
        <v>0.992368480469632</v>
      </c>
      <c r="AI1340" s="73">
        <v>0.92</v>
      </c>
      <c r="AJ1340" s="71">
        <v>0.96689655172413802</v>
      </c>
      <c r="AK1340" s="71">
        <v>0.97507863537382</v>
      </c>
      <c r="AL1340" s="71">
        <v>0.96572379367720496</v>
      </c>
      <c r="AM1340" s="71">
        <v>0.96938341902859804</v>
      </c>
      <c r="AN1340" s="70">
        <v>0.99</v>
      </c>
      <c r="AO1340" s="75">
        <v>1</v>
      </c>
      <c r="AP1340" s="75">
        <v>1</v>
      </c>
      <c r="AQ1340" s="75">
        <v>1</v>
      </c>
      <c r="AR1340" s="75">
        <v>1</v>
      </c>
      <c r="AS1340" s="95">
        <v>7.2186152540827803E-2</v>
      </c>
      <c r="AT1340" s="79">
        <v>0.125</v>
      </c>
      <c r="AU1340" s="79">
        <v>9.6774193548387094E-2</v>
      </c>
      <c r="AV1340" s="79">
        <v>0.18518518518518501</v>
      </c>
      <c r="AW1340" s="79">
        <v>6.8965517241379296E-2</v>
      </c>
      <c r="AX1340" s="56"/>
      <c r="AY1340" s="54"/>
    </row>
    <row r="1341" spans="1:51">
      <c r="A1341" s="53"/>
      <c r="B1341" s="56"/>
      <c r="C1341" s="90" t="s">
        <v>1079</v>
      </c>
      <c r="D1341" s="230" t="s">
        <v>1757</v>
      </c>
      <c r="E1341" s="68" t="s">
        <v>1080</v>
      </c>
      <c r="F1341" s="128" t="s">
        <v>1365</v>
      </c>
      <c r="G1341" s="128" t="s">
        <v>1365</v>
      </c>
      <c r="H1341" s="128" t="s">
        <v>1365</v>
      </c>
      <c r="I1341" s="128" t="s">
        <v>1365</v>
      </c>
      <c r="J1341" s="70">
        <v>0.9</v>
      </c>
      <c r="K1341" s="71">
        <v>0.81481481481481499</v>
      </c>
      <c r="L1341" s="71">
        <v>0.89655172413793105</v>
      </c>
      <c r="M1341" s="72">
        <v>0.75</v>
      </c>
      <c r="N1341" s="71">
        <v>0.85220125786163503</v>
      </c>
      <c r="O1341" s="73">
        <v>0.9</v>
      </c>
      <c r="P1341" s="71">
        <v>0.952247191011236</v>
      </c>
      <c r="Q1341" s="71">
        <v>0.95921696574225102</v>
      </c>
      <c r="R1341" s="71">
        <v>0.88933156263833602</v>
      </c>
      <c r="S1341" s="71">
        <v>0.93589151517696001</v>
      </c>
      <c r="T1341" s="73">
        <v>0.9</v>
      </c>
      <c r="U1341" s="71">
        <v>0.932022471910112</v>
      </c>
      <c r="V1341" s="71">
        <v>0.94888526373028803</v>
      </c>
      <c r="W1341" s="71">
        <v>0.89065958388667599</v>
      </c>
      <c r="X1341" s="71">
        <v>0.93270078508753496</v>
      </c>
      <c r="Y1341" s="73">
        <v>0.92</v>
      </c>
      <c r="Z1341" s="73">
        <v>0.95327102803738295</v>
      </c>
      <c r="AA1341" s="73">
        <v>0.96826384567517099</v>
      </c>
      <c r="AB1341" s="73">
        <v>0.91518467852257201</v>
      </c>
      <c r="AC1341" s="73">
        <v>0.95764462809917394</v>
      </c>
      <c r="AD1341" s="73">
        <v>0.92</v>
      </c>
      <c r="AE1341" s="71">
        <v>0.99859845830413496</v>
      </c>
      <c r="AF1341" s="71">
        <v>0.99445983379501401</v>
      </c>
      <c r="AG1341" s="71">
        <v>1</v>
      </c>
      <c r="AH1341" s="71">
        <v>0.99818710939363597</v>
      </c>
      <c r="AI1341" s="73">
        <v>0.92</v>
      </c>
      <c r="AJ1341" s="71">
        <v>0.96467991169977896</v>
      </c>
      <c r="AK1341" s="71">
        <v>0.97707486941381305</v>
      </c>
      <c r="AL1341" s="71">
        <v>0.92743886052136504</v>
      </c>
      <c r="AM1341" s="71">
        <v>0.96823178243153596</v>
      </c>
      <c r="AN1341" s="70">
        <v>0.99</v>
      </c>
      <c r="AO1341" s="75">
        <v>1</v>
      </c>
      <c r="AP1341" s="75">
        <v>1</v>
      </c>
      <c r="AQ1341" s="75">
        <v>1</v>
      </c>
      <c r="AR1341" s="75">
        <v>1</v>
      </c>
      <c r="AS1341" s="95">
        <v>7.2186152540827803E-2</v>
      </c>
      <c r="AT1341" s="79">
        <v>0</v>
      </c>
      <c r="AU1341" s="79">
        <v>0.04</v>
      </c>
      <c r="AV1341" s="79">
        <v>0.22222222222222199</v>
      </c>
      <c r="AW1341" s="79">
        <v>5.6910569105691103E-2</v>
      </c>
      <c r="AX1341" s="56"/>
      <c r="AY1341" s="54"/>
    </row>
    <row r="1342" spans="1:51">
      <c r="A1342" s="53"/>
      <c r="B1342" s="56"/>
      <c r="C1342" s="90" t="s">
        <v>1079</v>
      </c>
      <c r="D1342" s="230" t="s">
        <v>1759</v>
      </c>
      <c r="E1342" s="68" t="s">
        <v>1080</v>
      </c>
      <c r="F1342" s="128" t="s">
        <v>1366</v>
      </c>
      <c r="G1342" s="128" t="s">
        <v>1366</v>
      </c>
      <c r="H1342" s="128" t="s">
        <v>1366</v>
      </c>
      <c r="I1342" s="128" t="s">
        <v>1366</v>
      </c>
      <c r="J1342" s="70">
        <v>0.9</v>
      </c>
      <c r="K1342" s="71" t="s">
        <v>1710</v>
      </c>
      <c r="L1342" s="71" t="s">
        <v>1710</v>
      </c>
      <c r="M1342" s="72" t="s">
        <v>1710</v>
      </c>
      <c r="N1342" s="71" t="s">
        <v>1710</v>
      </c>
      <c r="O1342" s="73">
        <v>0.9</v>
      </c>
      <c r="P1342" s="71" t="s">
        <v>1710</v>
      </c>
      <c r="Q1342" s="71">
        <v>1</v>
      </c>
      <c r="R1342" s="71">
        <v>0.75</v>
      </c>
      <c r="S1342" s="71">
        <v>0.75</v>
      </c>
      <c r="T1342" s="73">
        <v>0.9</v>
      </c>
      <c r="U1342" s="71" t="s">
        <v>1710</v>
      </c>
      <c r="V1342" s="71">
        <v>1</v>
      </c>
      <c r="W1342" s="71">
        <v>0.75</v>
      </c>
      <c r="X1342" s="71">
        <v>0.83333333333333304</v>
      </c>
      <c r="Y1342" s="73">
        <v>0.92</v>
      </c>
      <c r="Z1342" s="73" t="s">
        <v>1710</v>
      </c>
      <c r="AA1342" s="73">
        <v>1</v>
      </c>
      <c r="AB1342" s="73" t="s">
        <v>1710</v>
      </c>
      <c r="AC1342" s="73">
        <v>1</v>
      </c>
      <c r="AD1342" s="73">
        <v>0.92</v>
      </c>
      <c r="AE1342" s="71">
        <v>0.99736779133764097</v>
      </c>
      <c r="AF1342" s="71">
        <v>0.998206814106396</v>
      </c>
      <c r="AG1342" s="71">
        <v>0.996696035242291</v>
      </c>
      <c r="AH1342" s="71">
        <v>0.99396556496706001</v>
      </c>
      <c r="AI1342" s="73">
        <v>0.92</v>
      </c>
      <c r="AJ1342" s="71">
        <v>1</v>
      </c>
      <c r="AK1342" s="71">
        <v>1</v>
      </c>
      <c r="AL1342" s="71">
        <v>0.75</v>
      </c>
      <c r="AM1342" s="71">
        <v>0.94444444444444398</v>
      </c>
      <c r="AN1342" s="70">
        <v>0.99</v>
      </c>
      <c r="AO1342" s="75">
        <v>1</v>
      </c>
      <c r="AP1342" s="75">
        <v>1</v>
      </c>
      <c r="AQ1342" s="75">
        <v>1</v>
      </c>
      <c r="AR1342" s="75">
        <v>1</v>
      </c>
      <c r="AS1342" s="95">
        <v>7.2186152540827803E-2</v>
      </c>
      <c r="AT1342" s="79" t="s">
        <v>1710</v>
      </c>
      <c r="AU1342" s="79" t="s">
        <v>1710</v>
      </c>
      <c r="AV1342" s="79" t="s">
        <v>1710</v>
      </c>
      <c r="AW1342" s="79" t="s">
        <v>1710</v>
      </c>
      <c r="AX1342" s="56"/>
      <c r="AY1342" s="54"/>
    </row>
    <row r="1343" spans="1:51">
      <c r="A1343" s="53"/>
      <c r="B1343" s="56"/>
      <c r="C1343" s="90" t="s">
        <v>1079</v>
      </c>
      <c r="D1343" s="230" t="s">
        <v>1757</v>
      </c>
      <c r="E1343" s="68" t="s">
        <v>1080</v>
      </c>
      <c r="F1343" s="128" t="s">
        <v>1367</v>
      </c>
      <c r="G1343" s="128" t="s">
        <v>1367</v>
      </c>
      <c r="H1343" s="128" t="s">
        <v>1367</v>
      </c>
      <c r="I1343" s="128" t="s">
        <v>1367</v>
      </c>
      <c r="J1343" s="70">
        <v>0.9</v>
      </c>
      <c r="K1343" s="71">
        <v>0.91666666666666696</v>
      </c>
      <c r="L1343" s="71">
        <v>0.85714285714285698</v>
      </c>
      <c r="M1343" s="72">
        <v>0.81818181818181801</v>
      </c>
      <c r="N1343" s="71">
        <v>0.85106382978723405</v>
      </c>
      <c r="O1343" s="73">
        <v>0.9</v>
      </c>
      <c r="P1343" s="71">
        <v>0.97199170124481304</v>
      </c>
      <c r="Q1343" s="71">
        <v>0.98322851153039803</v>
      </c>
      <c r="R1343" s="71">
        <v>0.95119863013698602</v>
      </c>
      <c r="S1343" s="71">
        <v>0.94783534421575599</v>
      </c>
      <c r="T1343" s="73">
        <v>0.9</v>
      </c>
      <c r="U1343" s="71">
        <v>0.91804979253111996</v>
      </c>
      <c r="V1343" s="71">
        <v>0.94234800838574395</v>
      </c>
      <c r="W1343" s="71">
        <v>0.91609589041095896</v>
      </c>
      <c r="X1343" s="71">
        <v>0.930269694819021</v>
      </c>
      <c r="Y1343" s="73">
        <v>0.92</v>
      </c>
      <c r="Z1343" s="73">
        <v>0.93686006825938595</v>
      </c>
      <c r="AA1343" s="73">
        <v>0.94706559263521295</v>
      </c>
      <c r="AB1343" s="73">
        <v>0.91830559757942498</v>
      </c>
      <c r="AC1343" s="73">
        <v>0.946888277930517</v>
      </c>
      <c r="AD1343" s="73">
        <v>0.92</v>
      </c>
      <c r="AE1343" s="71">
        <v>0.99495047582054796</v>
      </c>
      <c r="AF1343" s="71">
        <v>0.99135932560590101</v>
      </c>
      <c r="AG1343" s="71">
        <v>0.99850299401197595</v>
      </c>
      <c r="AH1343" s="71">
        <v>0.98912097476066096</v>
      </c>
      <c r="AI1343" s="73">
        <v>0.92</v>
      </c>
      <c r="AJ1343" s="71">
        <v>0.96129032258064495</v>
      </c>
      <c r="AK1343" s="71">
        <v>0.96599012616566104</v>
      </c>
      <c r="AL1343" s="71">
        <v>0.94751230180426504</v>
      </c>
      <c r="AM1343" s="71">
        <v>0.96658711217183801</v>
      </c>
      <c r="AN1343" s="70">
        <v>0.99</v>
      </c>
      <c r="AO1343" s="75">
        <v>1</v>
      </c>
      <c r="AP1343" s="75">
        <v>1</v>
      </c>
      <c r="AQ1343" s="75">
        <v>1</v>
      </c>
      <c r="AR1343" s="75">
        <v>1</v>
      </c>
      <c r="AS1343" s="95">
        <v>7.2186152540827803E-2</v>
      </c>
      <c r="AT1343" s="79">
        <v>0</v>
      </c>
      <c r="AU1343" s="79">
        <v>0.125</v>
      </c>
      <c r="AV1343" s="79">
        <v>0</v>
      </c>
      <c r="AW1343" s="79">
        <v>8.1081081081081099E-2</v>
      </c>
      <c r="AX1343" s="56"/>
      <c r="AY1343" s="54"/>
    </row>
    <row r="1344" spans="1:51">
      <c r="A1344" s="53"/>
      <c r="B1344" s="56"/>
      <c r="C1344" s="90" t="s">
        <v>1079</v>
      </c>
      <c r="D1344" s="230" t="s">
        <v>1757</v>
      </c>
      <c r="E1344" s="68" t="s">
        <v>1080</v>
      </c>
      <c r="F1344" s="128" t="s">
        <v>1368</v>
      </c>
      <c r="G1344" s="128" t="s">
        <v>1368</v>
      </c>
      <c r="H1344" s="128" t="s">
        <v>1368</v>
      </c>
      <c r="I1344" s="128" t="s">
        <v>1368</v>
      </c>
      <c r="J1344" s="70">
        <v>0.9</v>
      </c>
      <c r="K1344" s="71">
        <v>0.931034482758621</v>
      </c>
      <c r="L1344" s="71">
        <v>0.89285714285714302</v>
      </c>
      <c r="M1344" s="72">
        <v>0.91304347826086996</v>
      </c>
      <c r="N1344" s="71">
        <v>0.949367088607595</v>
      </c>
      <c r="O1344" s="73">
        <v>0.9</v>
      </c>
      <c r="P1344" s="71">
        <v>0.95009721322099805</v>
      </c>
      <c r="Q1344" s="71">
        <v>0.96291793313069896</v>
      </c>
      <c r="R1344" s="71">
        <v>0.96630378434422004</v>
      </c>
      <c r="S1344" s="71">
        <v>0.95529683123730003</v>
      </c>
      <c r="T1344" s="73">
        <v>0.9</v>
      </c>
      <c r="U1344" s="71">
        <v>0.93259883344134797</v>
      </c>
      <c r="V1344" s="71">
        <v>0.90516717325228002</v>
      </c>
      <c r="W1344" s="71">
        <v>0.88232244686366001</v>
      </c>
      <c r="X1344" s="71">
        <v>0.93300016475369296</v>
      </c>
      <c r="Y1344" s="73">
        <v>0.92</v>
      </c>
      <c r="Z1344" s="73">
        <v>0.95675105485232104</v>
      </c>
      <c r="AA1344" s="73">
        <v>0.94968553459119498</v>
      </c>
      <c r="AB1344" s="73">
        <v>0.93562610229276899</v>
      </c>
      <c r="AC1344" s="73">
        <v>0.95764597560039899</v>
      </c>
      <c r="AD1344" s="73">
        <v>0.92</v>
      </c>
      <c r="AE1344" s="71">
        <v>0.99337016574585602</v>
      </c>
      <c r="AF1344" s="71">
        <v>0.99624413145539903</v>
      </c>
      <c r="AG1344" s="71">
        <v>0.991734786557675</v>
      </c>
      <c r="AH1344" s="71">
        <v>0.98043392058007095</v>
      </c>
      <c r="AI1344" s="73">
        <v>0.92</v>
      </c>
      <c r="AJ1344" s="71">
        <v>0.96629213483146104</v>
      </c>
      <c r="AK1344" s="71">
        <v>0.96230094247643805</v>
      </c>
      <c r="AL1344" s="71">
        <v>0.95396669931439804</v>
      </c>
      <c r="AM1344" s="71">
        <v>0.97008874417416802</v>
      </c>
      <c r="AN1344" s="70">
        <v>0.99</v>
      </c>
      <c r="AO1344" s="75">
        <v>1</v>
      </c>
      <c r="AP1344" s="75">
        <v>1</v>
      </c>
      <c r="AQ1344" s="75">
        <v>1</v>
      </c>
      <c r="AR1344" s="75">
        <v>1</v>
      </c>
      <c r="AS1344" s="95">
        <v>7.2186152540827803E-2</v>
      </c>
      <c r="AT1344" s="79">
        <v>0</v>
      </c>
      <c r="AU1344" s="79">
        <v>9.0909090909090898E-2</v>
      </c>
      <c r="AV1344" s="79">
        <v>0</v>
      </c>
      <c r="AW1344" s="79">
        <v>2.4489795918367301E-2</v>
      </c>
      <c r="AX1344" s="56"/>
      <c r="AY1344" s="54"/>
    </row>
    <row r="1345" spans="1:51">
      <c r="A1345" s="53"/>
      <c r="B1345" s="56"/>
      <c r="C1345" s="90" t="s">
        <v>1079</v>
      </c>
      <c r="D1345" s="230" t="s">
        <v>1759</v>
      </c>
      <c r="E1345" s="68" t="s">
        <v>1080</v>
      </c>
      <c r="F1345" s="128" t="s">
        <v>1369</v>
      </c>
      <c r="G1345" s="128" t="s">
        <v>1369</v>
      </c>
      <c r="H1345" s="128" t="s">
        <v>1369</v>
      </c>
      <c r="I1345" s="128" t="s">
        <v>1369</v>
      </c>
      <c r="J1345" s="70">
        <v>0.9</v>
      </c>
      <c r="K1345" s="71" t="s">
        <v>1710</v>
      </c>
      <c r="L1345" s="71" t="s">
        <v>1710</v>
      </c>
      <c r="M1345" s="72" t="s">
        <v>1710</v>
      </c>
      <c r="N1345" s="71" t="s">
        <v>1710</v>
      </c>
      <c r="O1345" s="73">
        <v>0.9</v>
      </c>
      <c r="P1345" s="71">
        <v>0.996932515337423</v>
      </c>
      <c r="Q1345" s="71">
        <v>1</v>
      </c>
      <c r="R1345" s="71">
        <v>0.99612403100775204</v>
      </c>
      <c r="S1345" s="71">
        <v>0.99843811011323702</v>
      </c>
      <c r="T1345" s="73">
        <v>0.9</v>
      </c>
      <c r="U1345" s="71">
        <v>1</v>
      </c>
      <c r="V1345" s="71">
        <v>1</v>
      </c>
      <c r="W1345" s="71">
        <v>1</v>
      </c>
      <c r="X1345" s="71">
        <v>1</v>
      </c>
      <c r="Y1345" s="73">
        <v>0.92</v>
      </c>
      <c r="Z1345" s="73">
        <v>1</v>
      </c>
      <c r="AA1345" s="73">
        <v>0.99354838709677396</v>
      </c>
      <c r="AB1345" s="73">
        <v>1</v>
      </c>
      <c r="AC1345" s="73">
        <v>0.99920191540303305</v>
      </c>
      <c r="AD1345" s="73">
        <v>0.92</v>
      </c>
      <c r="AE1345" s="71">
        <v>0.99865583185678497</v>
      </c>
      <c r="AF1345" s="71">
        <v>0.99708988110085595</v>
      </c>
      <c r="AG1345" s="71">
        <v>0.99070699708454801</v>
      </c>
      <c r="AH1345" s="71">
        <v>0.98445834019930101</v>
      </c>
      <c r="AI1345" s="73">
        <v>0.92</v>
      </c>
      <c r="AJ1345" s="71">
        <v>1</v>
      </c>
      <c r="AK1345" s="71">
        <v>0.99718309859154897</v>
      </c>
      <c r="AL1345" s="71">
        <v>1</v>
      </c>
      <c r="AM1345" s="71">
        <v>0.99973917579551397</v>
      </c>
      <c r="AN1345" s="70">
        <v>0.99</v>
      </c>
      <c r="AO1345" s="75">
        <v>1</v>
      </c>
      <c r="AP1345" s="75">
        <v>1</v>
      </c>
      <c r="AQ1345" s="75">
        <v>1</v>
      </c>
      <c r="AR1345" s="75">
        <v>1</v>
      </c>
      <c r="AS1345" s="95">
        <v>7.2186152540827803E-2</v>
      </c>
      <c r="AT1345" s="79" t="s">
        <v>1710</v>
      </c>
      <c r="AU1345" s="79" t="s">
        <v>1710</v>
      </c>
      <c r="AV1345" s="79" t="s">
        <v>1710</v>
      </c>
      <c r="AW1345" s="79">
        <v>0</v>
      </c>
      <c r="AX1345" s="56"/>
      <c r="AY1345" s="54"/>
    </row>
    <row r="1346" spans="1:51">
      <c r="A1346" s="53"/>
      <c r="B1346" s="56"/>
      <c r="C1346" s="90" t="s">
        <v>1079</v>
      </c>
      <c r="D1346" s="230" t="s">
        <v>1757</v>
      </c>
      <c r="E1346" s="68" t="s">
        <v>1080</v>
      </c>
      <c r="F1346" s="128" t="s">
        <v>1370</v>
      </c>
      <c r="G1346" s="128" t="s">
        <v>1370</v>
      </c>
      <c r="H1346" s="128" t="s">
        <v>1370</v>
      </c>
      <c r="I1346" s="128" t="s">
        <v>1370</v>
      </c>
      <c r="J1346" s="70">
        <v>0.9</v>
      </c>
      <c r="K1346" s="71">
        <v>0.90476190476190499</v>
      </c>
      <c r="L1346" s="71">
        <v>0.90476190476190499</v>
      </c>
      <c r="M1346" s="72">
        <v>0.90476190476190499</v>
      </c>
      <c r="N1346" s="71">
        <v>0.95180722891566305</v>
      </c>
      <c r="O1346" s="73">
        <v>0.9</v>
      </c>
      <c r="P1346" s="71">
        <v>0.97991071428571397</v>
      </c>
      <c r="Q1346" s="71">
        <v>0.97708894878706198</v>
      </c>
      <c r="R1346" s="71">
        <v>0.96706416808631501</v>
      </c>
      <c r="S1346" s="71">
        <v>0.90525290714326601</v>
      </c>
      <c r="T1346" s="73">
        <v>0.9</v>
      </c>
      <c r="U1346" s="71">
        <v>0.91666666666666696</v>
      </c>
      <c r="V1346" s="71">
        <v>0.910377358490566</v>
      </c>
      <c r="W1346" s="71">
        <v>0.85008517887563895</v>
      </c>
      <c r="X1346" s="71">
        <v>0.84613622042733605</v>
      </c>
      <c r="Y1346" s="73">
        <v>0.92</v>
      </c>
      <c r="Z1346" s="73">
        <v>0.95324123273113703</v>
      </c>
      <c r="AA1346" s="73">
        <v>0.95121951219512202</v>
      </c>
      <c r="AB1346" s="73">
        <v>0.94956353055286102</v>
      </c>
      <c r="AC1346" s="73">
        <v>0.957461754605058</v>
      </c>
      <c r="AD1346" s="73">
        <v>0.92</v>
      </c>
      <c r="AE1346" s="71">
        <v>0.99659632402995202</v>
      </c>
      <c r="AF1346" s="71">
        <v>0.99634146341463403</v>
      </c>
      <c r="AG1346" s="71">
        <v>0.99463545476713</v>
      </c>
      <c r="AH1346" s="71">
        <v>0.99636048041658498</v>
      </c>
      <c r="AI1346" s="73">
        <v>0.92</v>
      </c>
      <c r="AJ1346" s="71">
        <v>0.965426695842451</v>
      </c>
      <c r="AK1346" s="71">
        <v>0.96244635193132999</v>
      </c>
      <c r="AL1346" s="71">
        <v>0.95988538681948399</v>
      </c>
      <c r="AM1346" s="71">
        <v>0.96788899900892</v>
      </c>
      <c r="AN1346" s="70">
        <v>0.99</v>
      </c>
      <c r="AO1346" s="75">
        <v>1</v>
      </c>
      <c r="AP1346" s="75">
        <v>1</v>
      </c>
      <c r="AQ1346" s="75">
        <v>1</v>
      </c>
      <c r="AR1346" s="75">
        <v>1</v>
      </c>
      <c r="AS1346" s="95">
        <v>7.2186152540827803E-2</v>
      </c>
      <c r="AT1346" s="79">
        <v>4.7619047619047603E-2</v>
      </c>
      <c r="AU1346" s="79">
        <v>0.16666666666666699</v>
      </c>
      <c r="AV1346" s="79">
        <v>0.14285714285714299</v>
      </c>
      <c r="AW1346" s="79">
        <v>6.0975609756097601E-2</v>
      </c>
      <c r="AX1346" s="56"/>
      <c r="AY1346" s="54"/>
    </row>
    <row r="1347" spans="1:51">
      <c r="A1347" s="53"/>
      <c r="B1347" s="56"/>
      <c r="C1347" s="90" t="s">
        <v>1079</v>
      </c>
      <c r="D1347" s="230" t="s">
        <v>1757</v>
      </c>
      <c r="E1347" s="68" t="s">
        <v>1080</v>
      </c>
      <c r="F1347" s="128" t="s">
        <v>1371</v>
      </c>
      <c r="G1347" s="128" t="s">
        <v>1371</v>
      </c>
      <c r="H1347" s="128" t="s">
        <v>1371</v>
      </c>
      <c r="I1347" s="128" t="s">
        <v>1371</v>
      </c>
      <c r="J1347" s="70">
        <v>0.9</v>
      </c>
      <c r="K1347" s="71">
        <v>0.88571428571428601</v>
      </c>
      <c r="L1347" s="71">
        <v>0.88888888888888895</v>
      </c>
      <c r="M1347" s="72">
        <v>0.97058823529411797</v>
      </c>
      <c r="N1347" s="71">
        <v>0.92401960784313697</v>
      </c>
      <c r="O1347" s="73">
        <v>0.9</v>
      </c>
      <c r="P1347" s="71">
        <v>0.91768192295027995</v>
      </c>
      <c r="Q1347" s="71">
        <v>0.89884297520661205</v>
      </c>
      <c r="R1347" s="71">
        <v>0.94869728713403201</v>
      </c>
      <c r="S1347" s="71">
        <v>0.94229163861586096</v>
      </c>
      <c r="T1347" s="73">
        <v>0.9</v>
      </c>
      <c r="U1347" s="71">
        <v>0.93645044451761605</v>
      </c>
      <c r="V1347" s="71">
        <v>0.93884297520661197</v>
      </c>
      <c r="W1347" s="71">
        <v>0.89551437013161395</v>
      </c>
      <c r="X1347" s="71">
        <v>0.93421300659754902</v>
      </c>
      <c r="Y1347" s="73">
        <v>0.92</v>
      </c>
      <c r="Z1347" s="73">
        <v>0.92585365853658497</v>
      </c>
      <c r="AA1347" s="73">
        <v>0.96336870934611396</v>
      </c>
      <c r="AB1347" s="73">
        <v>0.94143167028199604</v>
      </c>
      <c r="AC1347" s="73">
        <v>0.95368196371398095</v>
      </c>
      <c r="AD1347" s="73">
        <v>0.92</v>
      </c>
      <c r="AE1347" s="71">
        <v>0.998244587478057</v>
      </c>
      <c r="AF1347" s="71">
        <v>0.99751948972360005</v>
      </c>
      <c r="AG1347" s="71">
        <v>0.99965193177862899</v>
      </c>
      <c r="AH1347" s="71">
        <v>0.99901248725790004</v>
      </c>
      <c r="AI1347" s="73">
        <v>0.92</v>
      </c>
      <c r="AJ1347" s="71">
        <v>0.95400039315903296</v>
      </c>
      <c r="AK1347" s="71">
        <v>0.97191389169189402</v>
      </c>
      <c r="AL1347" s="71">
        <v>0.95836098208360998</v>
      </c>
      <c r="AM1347" s="71">
        <v>0.96910250122609098</v>
      </c>
      <c r="AN1347" s="70">
        <v>0.99</v>
      </c>
      <c r="AO1347" s="75">
        <v>1</v>
      </c>
      <c r="AP1347" s="75">
        <v>1</v>
      </c>
      <c r="AQ1347" s="75">
        <v>1</v>
      </c>
      <c r="AR1347" s="75">
        <v>1</v>
      </c>
      <c r="AS1347" s="95">
        <v>7.2186152540827803E-2</v>
      </c>
      <c r="AT1347" s="79">
        <v>0.11111111111111099</v>
      </c>
      <c r="AU1347" s="79">
        <v>8.1632653061224497E-2</v>
      </c>
      <c r="AV1347" s="79">
        <v>0</v>
      </c>
      <c r="AW1347" s="79">
        <v>2.27272727272727E-2</v>
      </c>
      <c r="AX1347" s="56"/>
      <c r="AY1347" s="54"/>
    </row>
    <row r="1348" spans="1:51">
      <c r="A1348" s="53"/>
      <c r="B1348" s="56"/>
      <c r="C1348" s="90" t="s">
        <v>1079</v>
      </c>
      <c r="D1348" s="230" t="s">
        <v>1757</v>
      </c>
      <c r="E1348" s="68" t="s">
        <v>1080</v>
      </c>
      <c r="F1348" s="128" t="s">
        <v>1372</v>
      </c>
      <c r="G1348" s="128" t="s">
        <v>1372</v>
      </c>
      <c r="H1348" s="128" t="s">
        <v>1372</v>
      </c>
      <c r="I1348" s="128" t="s">
        <v>1372</v>
      </c>
      <c r="J1348" s="70">
        <v>0.9</v>
      </c>
      <c r="K1348" s="71">
        <v>1</v>
      </c>
      <c r="L1348" s="71">
        <v>1</v>
      </c>
      <c r="M1348" s="72">
        <v>1</v>
      </c>
      <c r="N1348" s="71">
        <v>0.98347107438016501</v>
      </c>
      <c r="O1348" s="73">
        <v>0.9</v>
      </c>
      <c r="P1348" s="71">
        <v>0.98630136986301398</v>
      </c>
      <c r="Q1348" s="71">
        <v>0.98975109809663298</v>
      </c>
      <c r="R1348" s="71">
        <v>0.95024570024569999</v>
      </c>
      <c r="S1348" s="71">
        <v>0.98334439683784902</v>
      </c>
      <c r="T1348" s="73">
        <v>0.9</v>
      </c>
      <c r="U1348" s="71">
        <v>0.92747784045124904</v>
      </c>
      <c r="V1348" s="71">
        <v>0.91800878477306003</v>
      </c>
      <c r="W1348" s="71">
        <v>0.82985257985257999</v>
      </c>
      <c r="X1348" s="71">
        <v>0.91774787278981396</v>
      </c>
      <c r="Y1348" s="73">
        <v>0.92</v>
      </c>
      <c r="Z1348" s="73">
        <v>0.95459345300950404</v>
      </c>
      <c r="AA1348" s="73">
        <v>0.95590682196339405</v>
      </c>
      <c r="AB1348" s="73">
        <v>0.88284518828451897</v>
      </c>
      <c r="AC1348" s="73">
        <v>0.94696490673411304</v>
      </c>
      <c r="AD1348" s="73">
        <v>0.92</v>
      </c>
      <c r="AE1348" s="71">
        <v>0.99930337861372298</v>
      </c>
      <c r="AF1348" s="71">
        <v>1</v>
      </c>
      <c r="AG1348" s="71">
        <v>0.99953853253345604</v>
      </c>
      <c r="AH1348" s="71">
        <v>0.99987927079560501</v>
      </c>
      <c r="AI1348" s="73">
        <v>0.92</v>
      </c>
      <c r="AJ1348" s="71">
        <v>0.96709323583180995</v>
      </c>
      <c r="AK1348" s="71">
        <v>0.96690031152648004</v>
      </c>
      <c r="AL1348" s="71">
        <v>0.89705882352941202</v>
      </c>
      <c r="AM1348" s="71">
        <v>0.96013686911890495</v>
      </c>
      <c r="AN1348" s="70">
        <v>0.99</v>
      </c>
      <c r="AO1348" s="75">
        <v>1</v>
      </c>
      <c r="AP1348" s="75">
        <v>1</v>
      </c>
      <c r="AQ1348" s="75">
        <v>1</v>
      </c>
      <c r="AR1348" s="75">
        <v>1</v>
      </c>
      <c r="AS1348" s="95">
        <v>7.2186152540827803E-2</v>
      </c>
      <c r="AT1348" s="79">
        <v>0.2</v>
      </c>
      <c r="AU1348" s="79">
        <v>6.6666666666666693E-2</v>
      </c>
      <c r="AV1348" s="79">
        <v>0</v>
      </c>
      <c r="AW1348" s="79">
        <v>4.5454545454545497E-2</v>
      </c>
      <c r="AX1348" s="56"/>
      <c r="AY1348" s="54"/>
    </row>
    <row r="1349" spans="1:51">
      <c r="A1349" s="53"/>
      <c r="B1349" s="56"/>
      <c r="C1349" s="90" t="s">
        <v>1079</v>
      </c>
      <c r="D1349" s="230" t="s">
        <v>1757</v>
      </c>
      <c r="E1349" s="68" t="s">
        <v>1080</v>
      </c>
      <c r="F1349" s="128" t="s">
        <v>1373</v>
      </c>
      <c r="G1349" s="128" t="s">
        <v>1373</v>
      </c>
      <c r="H1349" s="128" t="s">
        <v>1373</v>
      </c>
      <c r="I1349" s="128" t="s">
        <v>1373</v>
      </c>
      <c r="J1349" s="70">
        <v>0.9</v>
      </c>
      <c r="K1349" s="71">
        <v>0.91304347826086996</v>
      </c>
      <c r="L1349" s="71">
        <v>0.91666666666666696</v>
      </c>
      <c r="M1349" s="72">
        <v>0.94736842105263197</v>
      </c>
      <c r="N1349" s="71">
        <v>0.936758893280632</v>
      </c>
      <c r="O1349" s="73">
        <v>0.9</v>
      </c>
      <c r="P1349" s="71">
        <v>0.94274353876739603</v>
      </c>
      <c r="Q1349" s="71">
        <v>0.97138314785373603</v>
      </c>
      <c r="R1349" s="71">
        <v>0.97509782995375305</v>
      </c>
      <c r="S1349" s="71">
        <v>0.96846375294425502</v>
      </c>
      <c r="T1349" s="73">
        <v>0.9</v>
      </c>
      <c r="U1349" s="71">
        <v>0.95705765407554699</v>
      </c>
      <c r="V1349" s="71">
        <v>0.95627980922098599</v>
      </c>
      <c r="W1349" s="71">
        <v>0.95695482034863</v>
      </c>
      <c r="X1349" s="71">
        <v>0.95521460350693499</v>
      </c>
      <c r="Y1349" s="73">
        <v>0.92</v>
      </c>
      <c r="Z1349" s="73">
        <v>0</v>
      </c>
      <c r="AA1349" s="73">
        <v>0</v>
      </c>
      <c r="AB1349" s="73" t="s">
        <v>1710</v>
      </c>
      <c r="AC1349" s="73">
        <v>0</v>
      </c>
      <c r="AD1349" s="73">
        <v>0.92</v>
      </c>
      <c r="AE1349" s="71">
        <v>0.99780509218612801</v>
      </c>
      <c r="AF1349" s="71">
        <v>1</v>
      </c>
      <c r="AG1349" s="71">
        <v>1</v>
      </c>
      <c r="AH1349" s="71">
        <v>0.99932324350929003</v>
      </c>
      <c r="AI1349" s="73">
        <v>0.92</v>
      </c>
      <c r="AJ1349" s="71">
        <v>0.98253275109170302</v>
      </c>
      <c r="AK1349" s="71">
        <v>0.99006754072308301</v>
      </c>
      <c r="AL1349" s="71">
        <v>0.98399146211312705</v>
      </c>
      <c r="AM1349" s="71">
        <v>0.98897720210643403</v>
      </c>
      <c r="AN1349" s="70">
        <v>0.99</v>
      </c>
      <c r="AO1349" s="75">
        <v>1</v>
      </c>
      <c r="AP1349" s="75">
        <v>1</v>
      </c>
      <c r="AQ1349" s="75">
        <v>1</v>
      </c>
      <c r="AR1349" s="75">
        <v>1</v>
      </c>
      <c r="AS1349" s="95">
        <v>7.2186152540827803E-2</v>
      </c>
      <c r="AT1349" s="79">
        <v>0</v>
      </c>
      <c r="AU1349" s="79">
        <v>0.25</v>
      </c>
      <c r="AV1349" s="79">
        <v>0</v>
      </c>
      <c r="AW1349" s="79">
        <v>3.4482758620689703E-2</v>
      </c>
      <c r="AX1349" s="56"/>
      <c r="AY1349" s="54"/>
    </row>
    <row r="1350" spans="1:51">
      <c r="A1350" s="53"/>
      <c r="B1350" s="56"/>
      <c r="C1350" s="90" t="s">
        <v>1079</v>
      </c>
      <c r="D1350" s="230" t="s">
        <v>1757</v>
      </c>
      <c r="E1350" s="68" t="s">
        <v>1080</v>
      </c>
      <c r="F1350" s="128" t="s">
        <v>1374</v>
      </c>
      <c r="G1350" s="128" t="s">
        <v>1374</v>
      </c>
      <c r="H1350" s="128" t="s">
        <v>1374</v>
      </c>
      <c r="I1350" s="128" t="s">
        <v>1374</v>
      </c>
      <c r="J1350" s="70">
        <v>0.9</v>
      </c>
      <c r="K1350" s="71">
        <v>0.875</v>
      </c>
      <c r="L1350" s="71">
        <v>1</v>
      </c>
      <c r="M1350" s="72">
        <v>1</v>
      </c>
      <c r="N1350" s="71">
        <v>0.94545454545454499</v>
      </c>
      <c r="O1350" s="73">
        <v>0.9</v>
      </c>
      <c r="P1350" s="71">
        <v>0.96723044397462998</v>
      </c>
      <c r="Q1350" s="71">
        <v>0.95034642032332595</v>
      </c>
      <c r="R1350" s="71">
        <v>0.94412878787878796</v>
      </c>
      <c r="S1350" s="71">
        <v>0.95826218933788698</v>
      </c>
      <c r="T1350" s="73">
        <v>0.9</v>
      </c>
      <c r="U1350" s="71">
        <v>0.94714587737843503</v>
      </c>
      <c r="V1350" s="71">
        <v>0.957274826789838</v>
      </c>
      <c r="W1350" s="71">
        <v>0.89867424242424199</v>
      </c>
      <c r="X1350" s="71">
        <v>0.93416808954657604</v>
      </c>
      <c r="Y1350" s="73">
        <v>0.92</v>
      </c>
      <c r="Z1350" s="73">
        <v>0.95547945205479501</v>
      </c>
      <c r="AA1350" s="73">
        <v>0.96010638297872297</v>
      </c>
      <c r="AB1350" s="73">
        <v>0.94173228346456705</v>
      </c>
      <c r="AC1350" s="73">
        <v>0.95227118644067799</v>
      </c>
      <c r="AD1350" s="73">
        <v>0.92</v>
      </c>
      <c r="AE1350" s="71">
        <v>0.99868105515587502</v>
      </c>
      <c r="AF1350" s="71">
        <v>1</v>
      </c>
      <c r="AG1350" s="71">
        <v>0.99730419977298501</v>
      </c>
      <c r="AH1350" s="71">
        <v>0.99821487374131301</v>
      </c>
      <c r="AI1350" s="73">
        <v>0.92</v>
      </c>
      <c r="AJ1350" s="71">
        <v>0.96603527106466403</v>
      </c>
      <c r="AK1350" s="71">
        <v>0.97404202719406696</v>
      </c>
      <c r="AL1350" s="71">
        <v>0.94917257683215095</v>
      </c>
      <c r="AM1350" s="71">
        <v>0.96551724137931005</v>
      </c>
      <c r="AN1350" s="70">
        <v>0.99</v>
      </c>
      <c r="AO1350" s="75">
        <v>1</v>
      </c>
      <c r="AP1350" s="75">
        <v>1</v>
      </c>
      <c r="AQ1350" s="75">
        <v>1</v>
      </c>
      <c r="AR1350" s="75">
        <v>1</v>
      </c>
      <c r="AS1350" s="95">
        <v>7.2186152540827803E-2</v>
      </c>
      <c r="AT1350" s="79">
        <v>0</v>
      </c>
      <c r="AU1350" s="79">
        <v>0</v>
      </c>
      <c r="AV1350" s="79">
        <v>0.1</v>
      </c>
      <c r="AW1350" s="79">
        <v>5.8823529411764698E-2</v>
      </c>
      <c r="AX1350" s="56"/>
      <c r="AY1350" s="54"/>
    </row>
    <row r="1351" spans="1:51">
      <c r="A1351" s="53"/>
      <c r="B1351" s="56"/>
      <c r="C1351" s="90" t="s">
        <v>1079</v>
      </c>
      <c r="D1351" s="230" t="s">
        <v>1757</v>
      </c>
      <c r="E1351" s="68" t="s">
        <v>1080</v>
      </c>
      <c r="F1351" s="128" t="s">
        <v>1375</v>
      </c>
      <c r="G1351" s="128" t="s">
        <v>1375</v>
      </c>
      <c r="H1351" s="128" t="s">
        <v>1375</v>
      </c>
      <c r="I1351" s="128" t="s">
        <v>1375</v>
      </c>
      <c r="J1351" s="70">
        <v>0.9</v>
      </c>
      <c r="K1351" s="71">
        <v>0.86666666666666703</v>
      </c>
      <c r="L1351" s="71">
        <v>0.875</v>
      </c>
      <c r="M1351" s="72">
        <v>0.90625</v>
      </c>
      <c r="N1351" s="71">
        <v>0.92655367231638397</v>
      </c>
      <c r="O1351" s="73">
        <v>0.9</v>
      </c>
      <c r="P1351" s="71">
        <v>0.96204933586337804</v>
      </c>
      <c r="Q1351" s="71">
        <v>0.96236856668511395</v>
      </c>
      <c r="R1351" s="71">
        <v>0.96517412935323399</v>
      </c>
      <c r="S1351" s="71">
        <v>0.94810179390905303</v>
      </c>
      <c r="T1351" s="73">
        <v>0.9</v>
      </c>
      <c r="U1351" s="71">
        <v>0.91967109424414895</v>
      </c>
      <c r="V1351" s="71">
        <v>0.93801881571665702</v>
      </c>
      <c r="W1351" s="71">
        <v>0.95107794361525699</v>
      </c>
      <c r="X1351" s="71">
        <v>0.92519816437213198</v>
      </c>
      <c r="Y1351" s="73">
        <v>0.92</v>
      </c>
      <c r="Z1351" s="73">
        <v>0.94127243066884203</v>
      </c>
      <c r="AA1351" s="73">
        <v>0.95124593716143002</v>
      </c>
      <c r="AB1351" s="73">
        <v>0.95057034220532299</v>
      </c>
      <c r="AC1351" s="73">
        <v>0.96129196337741596</v>
      </c>
      <c r="AD1351" s="73">
        <v>0.92</v>
      </c>
      <c r="AE1351" s="71">
        <v>0.99889584100110396</v>
      </c>
      <c r="AF1351" s="71">
        <v>0.99947478991596606</v>
      </c>
      <c r="AG1351" s="71">
        <v>0.98790110468174597</v>
      </c>
      <c r="AH1351" s="71">
        <v>0.997949045166583</v>
      </c>
      <c r="AI1351" s="73">
        <v>0.92</v>
      </c>
      <c r="AJ1351" s="71">
        <v>0.95940170940170899</v>
      </c>
      <c r="AK1351" s="71">
        <v>0.96331782096906604</v>
      </c>
      <c r="AL1351" s="71">
        <v>0.96666666666666701</v>
      </c>
      <c r="AM1351" s="71">
        <v>0.97279644314067004</v>
      </c>
      <c r="AN1351" s="70">
        <v>0.99</v>
      </c>
      <c r="AO1351" s="75">
        <v>1</v>
      </c>
      <c r="AP1351" s="75">
        <v>1</v>
      </c>
      <c r="AQ1351" s="75">
        <v>1</v>
      </c>
      <c r="AR1351" s="75">
        <v>1</v>
      </c>
      <c r="AS1351" s="95">
        <v>7.2186152540827803E-2</v>
      </c>
      <c r="AT1351" s="79">
        <v>0</v>
      </c>
      <c r="AU1351" s="79">
        <v>0.125</v>
      </c>
      <c r="AV1351" s="79">
        <v>0.105263157894737</v>
      </c>
      <c r="AW1351" s="79">
        <v>4.86486486486487E-2</v>
      </c>
      <c r="AX1351" s="56"/>
      <c r="AY1351" s="54"/>
    </row>
    <row r="1352" spans="1:51">
      <c r="A1352" s="53"/>
      <c r="B1352" s="56"/>
      <c r="C1352" s="90" t="s">
        <v>1079</v>
      </c>
      <c r="D1352" s="230" t="s">
        <v>1757</v>
      </c>
      <c r="E1352" s="68" t="s">
        <v>1080</v>
      </c>
      <c r="F1352" s="128" t="s">
        <v>1376</v>
      </c>
      <c r="G1352" s="128" t="s">
        <v>1376</v>
      </c>
      <c r="H1352" s="128" t="s">
        <v>1376</v>
      </c>
      <c r="I1352" s="128" t="s">
        <v>1376</v>
      </c>
      <c r="J1352" s="70">
        <v>0.9</v>
      </c>
      <c r="K1352" s="71">
        <v>0.90909090909090895</v>
      </c>
      <c r="L1352" s="71">
        <v>0.85365853658536595</v>
      </c>
      <c r="M1352" s="72">
        <v>1</v>
      </c>
      <c r="N1352" s="71">
        <v>0.95338983050847503</v>
      </c>
      <c r="O1352" s="73">
        <v>0.9</v>
      </c>
      <c r="P1352" s="71">
        <v>0.97643234457537598</v>
      </c>
      <c r="Q1352" s="71">
        <v>0.97342064714946097</v>
      </c>
      <c r="R1352" s="71">
        <v>0.96994047619047596</v>
      </c>
      <c r="S1352" s="71">
        <v>0.97216624317299005</v>
      </c>
      <c r="T1352" s="73">
        <v>0.9</v>
      </c>
      <c r="U1352" s="71">
        <v>0.92970337261275904</v>
      </c>
      <c r="V1352" s="71">
        <v>0.94722650231124805</v>
      </c>
      <c r="W1352" s="71">
        <v>0.931845238095238</v>
      </c>
      <c r="X1352" s="71">
        <v>0.94033120126171899</v>
      </c>
      <c r="Y1352" s="73">
        <v>0.92</v>
      </c>
      <c r="Z1352" s="73">
        <v>0.95013550135501401</v>
      </c>
      <c r="AA1352" s="73">
        <v>0.94921552436003298</v>
      </c>
      <c r="AB1352" s="73">
        <v>0.93943298969072198</v>
      </c>
      <c r="AC1352" s="73">
        <v>0.95439472409553305</v>
      </c>
      <c r="AD1352" s="73">
        <v>0.92</v>
      </c>
      <c r="AE1352" s="71">
        <v>0.99795501022494904</v>
      </c>
      <c r="AF1352" s="71">
        <v>1</v>
      </c>
      <c r="AG1352" s="71">
        <v>1</v>
      </c>
      <c r="AH1352" s="71">
        <v>0.996758362973302</v>
      </c>
      <c r="AI1352" s="73">
        <v>0.92</v>
      </c>
      <c r="AJ1352" s="71">
        <v>0.96330701346957703</v>
      </c>
      <c r="AK1352" s="71">
        <v>0.96772265391512302</v>
      </c>
      <c r="AL1352" s="71">
        <v>0.96061884669479602</v>
      </c>
      <c r="AM1352" s="71">
        <v>0.97112267950103104</v>
      </c>
      <c r="AN1352" s="70">
        <v>0.99</v>
      </c>
      <c r="AO1352" s="75">
        <v>1</v>
      </c>
      <c r="AP1352" s="75">
        <v>1</v>
      </c>
      <c r="AQ1352" s="75">
        <v>1</v>
      </c>
      <c r="AR1352" s="75">
        <v>1</v>
      </c>
      <c r="AS1352" s="95">
        <v>7.2186152540827803E-2</v>
      </c>
      <c r="AT1352" s="79">
        <v>0.10344827586206901</v>
      </c>
      <c r="AU1352" s="79">
        <v>-3.8461538461538498E-2</v>
      </c>
      <c r="AV1352" s="79">
        <v>0.107142857142857</v>
      </c>
      <c r="AW1352" s="79">
        <v>3.1358885017421602E-2</v>
      </c>
      <c r="AX1352" s="56"/>
      <c r="AY1352" s="54"/>
    </row>
    <row r="1353" spans="1:51">
      <c r="A1353" s="53"/>
      <c r="B1353" s="56"/>
      <c r="C1353" s="90" t="s">
        <v>1079</v>
      </c>
      <c r="D1353" s="230" t="s">
        <v>1757</v>
      </c>
      <c r="E1353" s="68" t="s">
        <v>1080</v>
      </c>
      <c r="F1353" s="128" t="s">
        <v>1377</v>
      </c>
      <c r="G1353" s="128" t="s">
        <v>1377</v>
      </c>
      <c r="H1353" s="128" t="s">
        <v>1377</v>
      </c>
      <c r="I1353" s="128" t="s">
        <v>1377</v>
      </c>
      <c r="J1353" s="70">
        <v>0.9</v>
      </c>
      <c r="K1353" s="71">
        <v>1</v>
      </c>
      <c r="L1353" s="71">
        <v>1</v>
      </c>
      <c r="M1353" s="72">
        <v>1</v>
      </c>
      <c r="N1353" s="71">
        <v>1</v>
      </c>
      <c r="O1353" s="73">
        <v>0.9</v>
      </c>
      <c r="P1353" s="71">
        <v>0.98683055311676904</v>
      </c>
      <c r="Q1353" s="71">
        <v>0.98783454987834596</v>
      </c>
      <c r="R1353" s="71">
        <v>0.98563611491108105</v>
      </c>
      <c r="S1353" s="71">
        <v>0.98704132231404995</v>
      </c>
      <c r="T1353" s="73">
        <v>0.9</v>
      </c>
      <c r="U1353" s="71">
        <v>0.95522388059701502</v>
      </c>
      <c r="V1353" s="71">
        <v>0.95214922952149195</v>
      </c>
      <c r="W1353" s="71">
        <v>0.918604651162791</v>
      </c>
      <c r="X1353" s="71">
        <v>0.95504132231405003</v>
      </c>
      <c r="Y1353" s="73">
        <v>0.92</v>
      </c>
      <c r="Z1353" s="73">
        <v>0.97058823529411797</v>
      </c>
      <c r="AA1353" s="73">
        <v>0.97666378565254997</v>
      </c>
      <c r="AB1353" s="73">
        <v>0.9375</v>
      </c>
      <c r="AC1353" s="73">
        <v>0.97315436241610698</v>
      </c>
      <c r="AD1353" s="73">
        <v>0.92</v>
      </c>
      <c r="AE1353" s="71">
        <v>0.99936918467118796</v>
      </c>
      <c r="AF1353" s="71">
        <v>0.99585921325051796</v>
      </c>
      <c r="AG1353" s="71">
        <v>0.99948065437548705</v>
      </c>
      <c r="AH1353" s="71">
        <v>0.99934143567023903</v>
      </c>
      <c r="AI1353" s="73">
        <v>0.92</v>
      </c>
      <c r="AJ1353" s="71">
        <v>0.97130350194552495</v>
      </c>
      <c r="AK1353" s="71">
        <v>0.97949790794979097</v>
      </c>
      <c r="AL1353" s="71">
        <v>0.94402035623409697</v>
      </c>
      <c r="AM1353" s="71">
        <v>0.97809181994915495</v>
      </c>
      <c r="AN1353" s="70">
        <v>0.99</v>
      </c>
      <c r="AO1353" s="75">
        <v>1</v>
      </c>
      <c r="AP1353" s="75">
        <v>1</v>
      </c>
      <c r="AQ1353" s="75">
        <v>1</v>
      </c>
      <c r="AR1353" s="75">
        <v>1</v>
      </c>
      <c r="AS1353" s="95">
        <v>7.2186152540827803E-2</v>
      </c>
      <c r="AT1353" s="79">
        <v>0</v>
      </c>
      <c r="AU1353" s="79">
        <v>0</v>
      </c>
      <c r="AV1353" s="79">
        <v>6.25E-2</v>
      </c>
      <c r="AW1353" s="79">
        <v>3.1818181818181801E-2</v>
      </c>
      <c r="AX1353" s="56"/>
      <c r="AY1353" s="54"/>
    </row>
    <row r="1354" spans="1:51">
      <c r="A1354" s="53"/>
      <c r="B1354" s="56"/>
      <c r="C1354" s="90" t="s">
        <v>1079</v>
      </c>
      <c r="D1354" s="230" t="s">
        <v>1757</v>
      </c>
      <c r="E1354" s="68" t="s">
        <v>1080</v>
      </c>
      <c r="F1354" s="128" t="s">
        <v>1378</v>
      </c>
      <c r="G1354" s="128" t="s">
        <v>1378</v>
      </c>
      <c r="H1354" s="128" t="s">
        <v>1378</v>
      </c>
      <c r="I1354" s="128" t="s">
        <v>1378</v>
      </c>
      <c r="J1354" s="70">
        <v>0.9</v>
      </c>
      <c r="K1354" s="71">
        <v>0.95454545454545503</v>
      </c>
      <c r="L1354" s="71">
        <v>0.85714285714285698</v>
      </c>
      <c r="M1354" s="72">
        <v>1</v>
      </c>
      <c r="N1354" s="71">
        <v>0.96414342629482097</v>
      </c>
      <c r="O1354" s="73">
        <v>0.9</v>
      </c>
      <c r="P1354" s="71">
        <v>0.96359223300970898</v>
      </c>
      <c r="Q1354" s="71">
        <v>0.97348703170028805</v>
      </c>
      <c r="R1354" s="71">
        <v>0.97587511825922402</v>
      </c>
      <c r="S1354" s="71">
        <v>0.95760740564918101</v>
      </c>
      <c r="T1354" s="73">
        <v>0.9</v>
      </c>
      <c r="U1354" s="71">
        <v>0.908373786407767</v>
      </c>
      <c r="V1354" s="71">
        <v>0.94121037463976898</v>
      </c>
      <c r="W1354" s="71">
        <v>0.92999053926206199</v>
      </c>
      <c r="X1354" s="71">
        <v>0.92883930690719196</v>
      </c>
      <c r="Y1354" s="73">
        <v>0.92</v>
      </c>
      <c r="Z1354" s="73">
        <v>0.946852003270646</v>
      </c>
      <c r="AA1354" s="73">
        <v>0.93515575333757195</v>
      </c>
      <c r="AB1354" s="73">
        <v>0.953125</v>
      </c>
      <c r="AC1354" s="73">
        <v>0.954797335159704</v>
      </c>
      <c r="AD1354" s="73">
        <v>0.92</v>
      </c>
      <c r="AE1354" s="71">
        <v>0.997254632807138</v>
      </c>
      <c r="AF1354" s="71">
        <v>0.99819819819819799</v>
      </c>
      <c r="AG1354" s="71">
        <v>0.998654104979812</v>
      </c>
      <c r="AH1354" s="71">
        <v>0.99718943226531798</v>
      </c>
      <c r="AI1354" s="73">
        <v>0.92</v>
      </c>
      <c r="AJ1354" s="71">
        <v>0.95994427028909801</v>
      </c>
      <c r="AK1354" s="71">
        <v>0.95495767835550205</v>
      </c>
      <c r="AL1354" s="71">
        <v>0.96906305244549196</v>
      </c>
      <c r="AM1354" s="71">
        <v>0.97112535689274404</v>
      </c>
      <c r="AN1354" s="70">
        <v>0.99</v>
      </c>
      <c r="AO1354" s="75">
        <v>1</v>
      </c>
      <c r="AP1354" s="75">
        <v>1</v>
      </c>
      <c r="AQ1354" s="75">
        <v>1</v>
      </c>
      <c r="AR1354" s="75">
        <v>1</v>
      </c>
      <c r="AS1354" s="95">
        <v>7.2186152540827803E-2</v>
      </c>
      <c r="AT1354" s="79">
        <v>0</v>
      </c>
      <c r="AU1354" s="79">
        <v>5.2631578947368397E-2</v>
      </c>
      <c r="AV1354" s="79">
        <v>0</v>
      </c>
      <c r="AW1354" s="79">
        <v>5.1724137931034503E-2</v>
      </c>
      <c r="AX1354" s="56"/>
      <c r="AY1354" s="54"/>
    </row>
    <row r="1355" spans="1:51">
      <c r="A1355" s="53"/>
      <c r="B1355" s="56"/>
      <c r="C1355" s="90" t="s">
        <v>1079</v>
      </c>
      <c r="D1355" s="230" t="s">
        <v>1757</v>
      </c>
      <c r="E1355" s="68" t="s">
        <v>1080</v>
      </c>
      <c r="F1355" s="128" t="s">
        <v>1379</v>
      </c>
      <c r="G1355" s="128" t="s">
        <v>1379</v>
      </c>
      <c r="H1355" s="128" t="s">
        <v>1379</v>
      </c>
      <c r="I1355" s="128" t="s">
        <v>1379</v>
      </c>
      <c r="J1355" s="70">
        <v>0.9</v>
      </c>
      <c r="K1355" s="71">
        <v>0.88888888888888895</v>
      </c>
      <c r="L1355" s="71">
        <v>0.83333333333333304</v>
      </c>
      <c r="M1355" s="72">
        <v>0.84</v>
      </c>
      <c r="N1355" s="71">
        <v>0.83280757097791802</v>
      </c>
      <c r="O1355" s="73">
        <v>0.9</v>
      </c>
      <c r="P1355" s="71">
        <v>0.98350824587706098</v>
      </c>
      <c r="Q1355" s="71">
        <v>0.98298429319371705</v>
      </c>
      <c r="R1355" s="71">
        <v>0.99032648125755696</v>
      </c>
      <c r="S1355" s="71">
        <v>0.98096572663046699</v>
      </c>
      <c r="T1355" s="73">
        <v>0.9</v>
      </c>
      <c r="U1355" s="71">
        <v>0.93253373313343302</v>
      </c>
      <c r="V1355" s="71">
        <v>0.92866492146596902</v>
      </c>
      <c r="W1355" s="71">
        <v>0.93712212817412299</v>
      </c>
      <c r="X1355" s="71">
        <v>0.93904361534419301</v>
      </c>
      <c r="Y1355" s="73">
        <v>0.92</v>
      </c>
      <c r="Z1355" s="73">
        <v>0.95297805642633204</v>
      </c>
      <c r="AA1355" s="73">
        <v>0.95873786407767003</v>
      </c>
      <c r="AB1355" s="73">
        <v>0.93215613382899598</v>
      </c>
      <c r="AC1355" s="73">
        <v>0.93254437869822504</v>
      </c>
      <c r="AD1355" s="73">
        <v>0.92</v>
      </c>
      <c r="AE1355" s="71">
        <v>0.98181818181818203</v>
      </c>
      <c r="AF1355" s="71">
        <v>0.99803729146221798</v>
      </c>
      <c r="AG1355" s="71">
        <v>1</v>
      </c>
      <c r="AH1355" s="71">
        <v>0.997678617487748</v>
      </c>
      <c r="AI1355" s="73">
        <v>0.92</v>
      </c>
      <c r="AJ1355" s="71">
        <v>0.96595373199476198</v>
      </c>
      <c r="AK1355" s="71">
        <v>0.96852387843704801</v>
      </c>
      <c r="AL1355" s="71">
        <v>0.95750915750915799</v>
      </c>
      <c r="AM1355" s="71">
        <v>0.96022319389153599</v>
      </c>
      <c r="AN1355" s="70">
        <v>0.99</v>
      </c>
      <c r="AO1355" s="75">
        <v>1</v>
      </c>
      <c r="AP1355" s="75">
        <v>1</v>
      </c>
      <c r="AQ1355" s="75">
        <v>1</v>
      </c>
      <c r="AR1355" s="75">
        <v>1</v>
      </c>
      <c r="AS1355" s="95">
        <v>7.2186152540827803E-2</v>
      </c>
      <c r="AT1355" s="79">
        <v>0.22222222222222199</v>
      </c>
      <c r="AU1355" s="79">
        <v>-9.0909090909090898E-2</v>
      </c>
      <c r="AV1355" s="79">
        <v>0</v>
      </c>
      <c r="AW1355" s="79">
        <v>7.3529411764705899E-3</v>
      </c>
      <c r="AX1355" s="56"/>
      <c r="AY1355" s="54"/>
    </row>
    <row r="1356" spans="1:51">
      <c r="A1356" s="53"/>
      <c r="B1356" s="56"/>
      <c r="C1356" s="90" t="s">
        <v>1079</v>
      </c>
      <c r="D1356" s="230" t="s">
        <v>1757</v>
      </c>
      <c r="E1356" s="68" t="s">
        <v>1080</v>
      </c>
      <c r="F1356" s="128" t="s">
        <v>1380</v>
      </c>
      <c r="G1356" s="128" t="s">
        <v>1380</v>
      </c>
      <c r="H1356" s="128" t="s">
        <v>1380</v>
      </c>
      <c r="I1356" s="128" t="s">
        <v>1380</v>
      </c>
      <c r="J1356" s="70">
        <v>0.9</v>
      </c>
      <c r="K1356" s="71">
        <v>0.73684210526315796</v>
      </c>
      <c r="L1356" s="71">
        <v>0.78947368421052599</v>
      </c>
      <c r="M1356" s="72">
        <v>0.88235294117647101</v>
      </c>
      <c r="N1356" s="71">
        <v>0.86274509803921595</v>
      </c>
      <c r="O1356" s="73">
        <v>0.9</v>
      </c>
      <c r="P1356" s="71">
        <v>0.88004362050163598</v>
      </c>
      <c r="Q1356" s="71">
        <v>0.83586083853702098</v>
      </c>
      <c r="R1356" s="71">
        <v>0.92675635276532098</v>
      </c>
      <c r="S1356" s="71">
        <v>0.90621494278662795</v>
      </c>
      <c r="T1356" s="73">
        <v>0.9</v>
      </c>
      <c r="U1356" s="71">
        <v>0.93238822246455799</v>
      </c>
      <c r="V1356" s="71">
        <v>0.92952720785013399</v>
      </c>
      <c r="W1356" s="71">
        <v>0.88116591928251098</v>
      </c>
      <c r="X1356" s="71">
        <v>0.92005085633086503</v>
      </c>
      <c r="Y1356" s="73">
        <v>0.92</v>
      </c>
      <c r="Z1356" s="73">
        <v>0.95735900962861098</v>
      </c>
      <c r="AA1356" s="73">
        <v>0.94645080946450799</v>
      </c>
      <c r="AB1356" s="73">
        <v>0.91183879093199005</v>
      </c>
      <c r="AC1356" s="73">
        <v>0.94595208356988802</v>
      </c>
      <c r="AD1356" s="73">
        <v>0.92</v>
      </c>
      <c r="AE1356" s="71">
        <v>1</v>
      </c>
      <c r="AF1356" s="71">
        <v>1</v>
      </c>
      <c r="AG1356" s="71">
        <v>1</v>
      </c>
      <c r="AH1356" s="71">
        <v>0.99828818850065404</v>
      </c>
      <c r="AI1356" s="73">
        <v>0.92</v>
      </c>
      <c r="AJ1356" s="71">
        <v>0.97019464720194604</v>
      </c>
      <c r="AK1356" s="71">
        <v>0.96621621621621601</v>
      </c>
      <c r="AL1356" s="71">
        <v>0.94136960600375197</v>
      </c>
      <c r="AM1356" s="71">
        <v>0.96695220919747504</v>
      </c>
      <c r="AN1356" s="70">
        <v>0.99</v>
      </c>
      <c r="AO1356" s="75">
        <v>1</v>
      </c>
      <c r="AP1356" s="75">
        <v>1</v>
      </c>
      <c r="AQ1356" s="75">
        <v>1</v>
      </c>
      <c r="AR1356" s="75">
        <v>1</v>
      </c>
      <c r="AS1356" s="95">
        <v>7.2186152540827803E-2</v>
      </c>
      <c r="AT1356" s="79">
        <v>0.25</v>
      </c>
      <c r="AU1356" s="79">
        <v>0</v>
      </c>
      <c r="AV1356" s="79">
        <v>0</v>
      </c>
      <c r="AW1356" s="79">
        <v>4.1666666666666699E-2</v>
      </c>
      <c r="AX1356" s="56"/>
      <c r="AY1356" s="54"/>
    </row>
    <row r="1357" spans="1:51">
      <c r="A1357" s="53"/>
      <c r="B1357" s="56"/>
      <c r="C1357" s="90" t="s">
        <v>1079</v>
      </c>
      <c r="D1357" s="230" t="s">
        <v>1757</v>
      </c>
      <c r="E1357" s="68" t="s">
        <v>1080</v>
      </c>
      <c r="F1357" s="128" t="s">
        <v>1381</v>
      </c>
      <c r="G1357" s="128" t="s">
        <v>1381</v>
      </c>
      <c r="H1357" s="128" t="s">
        <v>1381</v>
      </c>
      <c r="I1357" s="128" t="s">
        <v>1381</v>
      </c>
      <c r="J1357" s="70">
        <v>0.9</v>
      </c>
      <c r="K1357" s="71">
        <v>0.92307692307692302</v>
      </c>
      <c r="L1357" s="71">
        <v>1</v>
      </c>
      <c r="M1357" s="72">
        <v>0.93333333333333302</v>
      </c>
      <c r="N1357" s="71">
        <v>0.955696202531646</v>
      </c>
      <c r="O1357" s="73">
        <v>0.9</v>
      </c>
      <c r="P1357" s="71">
        <v>0.99768652400231395</v>
      </c>
      <c r="Q1357" s="71">
        <v>0.99370409233997903</v>
      </c>
      <c r="R1357" s="71">
        <v>0.99812382739212002</v>
      </c>
      <c r="S1357" s="71">
        <v>0.99544555366425902</v>
      </c>
      <c r="T1357" s="73">
        <v>0.9</v>
      </c>
      <c r="U1357" s="71">
        <v>0.97397339502602698</v>
      </c>
      <c r="V1357" s="71">
        <v>0.97376705141657904</v>
      </c>
      <c r="W1357" s="71">
        <v>0.98358348968105103</v>
      </c>
      <c r="X1357" s="71">
        <v>0.97713575930441199</v>
      </c>
      <c r="Y1357" s="73">
        <v>0.92</v>
      </c>
      <c r="Z1357" s="73">
        <v>0</v>
      </c>
      <c r="AA1357" s="73" t="s">
        <v>1710</v>
      </c>
      <c r="AB1357" s="73" t="s">
        <v>1710</v>
      </c>
      <c r="AC1357" s="73">
        <v>0</v>
      </c>
      <c r="AD1357" s="73">
        <v>0.92</v>
      </c>
      <c r="AE1357" s="71">
        <v>1</v>
      </c>
      <c r="AF1357" s="71">
        <v>0.99386503067484699</v>
      </c>
      <c r="AG1357" s="71">
        <v>1</v>
      </c>
      <c r="AH1357" s="71">
        <v>0.99735915492957705</v>
      </c>
      <c r="AI1357" s="73">
        <v>0.92</v>
      </c>
      <c r="AJ1357" s="71">
        <v>0.99364161849710997</v>
      </c>
      <c r="AK1357" s="71">
        <v>0.99685204616998901</v>
      </c>
      <c r="AL1357" s="71">
        <v>0.99437148217635996</v>
      </c>
      <c r="AM1357" s="71">
        <v>0.99342165792621195</v>
      </c>
      <c r="AN1357" s="70">
        <v>0.99</v>
      </c>
      <c r="AO1357" s="75">
        <v>1</v>
      </c>
      <c r="AP1357" s="75">
        <v>1</v>
      </c>
      <c r="AQ1357" s="75">
        <v>1</v>
      </c>
      <c r="AR1357" s="75">
        <v>1</v>
      </c>
      <c r="AS1357" s="95">
        <v>7.2186152540827803E-2</v>
      </c>
      <c r="AT1357" s="79">
        <v>0</v>
      </c>
      <c r="AU1357" s="79">
        <v>0</v>
      </c>
      <c r="AV1357" s="79">
        <v>0</v>
      </c>
      <c r="AW1357" s="79">
        <v>3.3333333333333298E-2</v>
      </c>
      <c r="AX1357" s="56"/>
      <c r="AY1357" s="54"/>
    </row>
    <row r="1358" spans="1:51">
      <c r="A1358" s="53"/>
      <c r="B1358" s="56"/>
      <c r="C1358" s="90" t="s">
        <v>1079</v>
      </c>
      <c r="D1358" s="230" t="s">
        <v>1757</v>
      </c>
      <c r="E1358" s="68" t="s">
        <v>1080</v>
      </c>
      <c r="F1358" s="128" t="s">
        <v>1382</v>
      </c>
      <c r="G1358" s="128" t="s">
        <v>1382</v>
      </c>
      <c r="H1358" s="128" t="s">
        <v>1382</v>
      </c>
      <c r="I1358" s="128" t="s">
        <v>1382</v>
      </c>
      <c r="J1358" s="70">
        <v>0.9</v>
      </c>
      <c r="K1358" s="71">
        <v>0.95652173913043503</v>
      </c>
      <c r="L1358" s="71">
        <v>0.86956521739130399</v>
      </c>
      <c r="M1358" s="72">
        <v>0.85</v>
      </c>
      <c r="N1358" s="71">
        <v>0.90076335877862601</v>
      </c>
      <c r="O1358" s="73">
        <v>0.9</v>
      </c>
      <c r="P1358" s="71">
        <v>0.99573196756295301</v>
      </c>
      <c r="Q1358" s="71">
        <v>0.99757477768795499</v>
      </c>
      <c r="R1358" s="71">
        <v>0.99283724631914005</v>
      </c>
      <c r="S1358" s="71">
        <v>0.98558906030855498</v>
      </c>
      <c r="T1358" s="73">
        <v>0.9</v>
      </c>
      <c r="U1358" s="71">
        <v>0.94238156209987201</v>
      </c>
      <c r="V1358" s="71">
        <v>0.950687146321746</v>
      </c>
      <c r="W1358" s="71">
        <v>0.93911659371269396</v>
      </c>
      <c r="X1358" s="71">
        <v>0.95024544179523096</v>
      </c>
      <c r="Y1358" s="73">
        <v>0.92</v>
      </c>
      <c r="Z1358" s="73">
        <v>1.6129032258064498E-2</v>
      </c>
      <c r="AA1358" s="73">
        <v>0.57142857142857095</v>
      </c>
      <c r="AB1358" s="73" t="s">
        <v>1710</v>
      </c>
      <c r="AC1358" s="73">
        <v>8.5714285714285701E-2</v>
      </c>
      <c r="AD1358" s="73">
        <v>0.92</v>
      </c>
      <c r="AE1358" s="71">
        <v>0.99066128218071703</v>
      </c>
      <c r="AF1358" s="71">
        <v>0.97702297702297702</v>
      </c>
      <c r="AG1358" s="71">
        <v>0.99285146942017499</v>
      </c>
      <c r="AH1358" s="71">
        <v>0.99235637087599504</v>
      </c>
      <c r="AI1358" s="73">
        <v>0.92</v>
      </c>
      <c r="AJ1358" s="71">
        <v>0.95772896808951502</v>
      </c>
      <c r="AK1358" s="71">
        <v>0.981876761981474</v>
      </c>
      <c r="AL1358" s="71">
        <v>0.98448070035813795</v>
      </c>
      <c r="AM1358" s="71">
        <v>0.98594798657718097</v>
      </c>
      <c r="AN1358" s="70">
        <v>0.99</v>
      </c>
      <c r="AO1358" s="75">
        <v>1</v>
      </c>
      <c r="AP1358" s="75">
        <v>1</v>
      </c>
      <c r="AQ1358" s="75">
        <v>1</v>
      </c>
      <c r="AR1358" s="75">
        <v>1</v>
      </c>
      <c r="AS1358" s="95">
        <v>7.2186152540827803E-2</v>
      </c>
      <c r="AT1358" s="79">
        <v>0</v>
      </c>
      <c r="AU1358" s="79">
        <v>0.1</v>
      </c>
      <c r="AV1358" s="79">
        <v>0</v>
      </c>
      <c r="AW1358" s="79">
        <v>4.2372881355932202E-2</v>
      </c>
      <c r="AX1358" s="56"/>
      <c r="AY1358" s="54"/>
    </row>
    <row r="1359" spans="1:51">
      <c r="A1359" s="53"/>
      <c r="B1359" s="56"/>
      <c r="C1359" s="90" t="s">
        <v>1079</v>
      </c>
      <c r="D1359" s="230" t="s">
        <v>1757</v>
      </c>
      <c r="E1359" s="68" t="s">
        <v>1080</v>
      </c>
      <c r="F1359" s="128" t="s">
        <v>1383</v>
      </c>
      <c r="G1359" s="128" t="s">
        <v>1383</v>
      </c>
      <c r="H1359" s="128" t="s">
        <v>1383</v>
      </c>
      <c r="I1359" s="128" t="s">
        <v>1383</v>
      </c>
      <c r="J1359" s="70">
        <v>0.9</v>
      </c>
      <c r="K1359" s="71">
        <v>0.88888888888888895</v>
      </c>
      <c r="L1359" s="71">
        <v>0.89473684210526305</v>
      </c>
      <c r="M1359" s="72">
        <v>0.94117647058823495</v>
      </c>
      <c r="N1359" s="71">
        <v>0.90566037735849103</v>
      </c>
      <c r="O1359" s="73">
        <v>0.9</v>
      </c>
      <c r="P1359" s="71">
        <v>0.96837944664031606</v>
      </c>
      <c r="Q1359" s="71">
        <v>0.98335067637877205</v>
      </c>
      <c r="R1359" s="71">
        <v>0.919962335216573</v>
      </c>
      <c r="S1359" s="71">
        <v>0.95843752694662399</v>
      </c>
      <c r="T1359" s="73">
        <v>0.9</v>
      </c>
      <c r="U1359" s="71">
        <v>0.936758893280632</v>
      </c>
      <c r="V1359" s="71">
        <v>0.90426638917794</v>
      </c>
      <c r="W1359" s="71">
        <v>0.92278719397363496</v>
      </c>
      <c r="X1359" s="71">
        <v>0.92998189186858704</v>
      </c>
      <c r="Y1359" s="73">
        <v>0.92</v>
      </c>
      <c r="Z1359" s="73">
        <v>0.91166666666666696</v>
      </c>
      <c r="AA1359" s="73">
        <v>0.82100591715976301</v>
      </c>
      <c r="AB1359" s="73">
        <v>0.82733812949640295</v>
      </c>
      <c r="AC1359" s="73">
        <v>0.86587641312698904</v>
      </c>
      <c r="AD1359" s="73">
        <v>0.92</v>
      </c>
      <c r="AE1359" s="71">
        <v>0.99726829268292705</v>
      </c>
      <c r="AF1359" s="71">
        <v>0.99228791773778902</v>
      </c>
      <c r="AG1359" s="71">
        <v>0.99379074821484004</v>
      </c>
      <c r="AH1359" s="71">
        <v>0.99569609134826498</v>
      </c>
      <c r="AI1359" s="73">
        <v>0.92</v>
      </c>
      <c r="AJ1359" s="71">
        <v>0.94628403237674796</v>
      </c>
      <c r="AK1359" s="71">
        <v>0.909590714722053</v>
      </c>
      <c r="AL1359" s="71">
        <v>0.90495162208309599</v>
      </c>
      <c r="AM1359" s="71">
        <v>0.92249746487034601</v>
      </c>
      <c r="AN1359" s="70">
        <v>0.99</v>
      </c>
      <c r="AO1359" s="75">
        <v>1</v>
      </c>
      <c r="AP1359" s="75">
        <v>1</v>
      </c>
      <c r="AQ1359" s="75">
        <v>1</v>
      </c>
      <c r="AR1359" s="75">
        <v>1</v>
      </c>
      <c r="AS1359" s="95">
        <v>7.2186152540827803E-2</v>
      </c>
      <c r="AT1359" s="79">
        <v>0</v>
      </c>
      <c r="AU1359" s="79">
        <v>0</v>
      </c>
      <c r="AV1359" s="79">
        <v>0</v>
      </c>
      <c r="AW1359" s="79">
        <v>5.0847457627118599E-2</v>
      </c>
      <c r="AX1359" s="56"/>
      <c r="AY1359" s="54"/>
    </row>
    <row r="1360" spans="1:51">
      <c r="A1360" s="53"/>
      <c r="B1360" s="56"/>
      <c r="C1360" s="90" t="s">
        <v>1079</v>
      </c>
      <c r="D1360" s="230" t="s">
        <v>1757</v>
      </c>
      <c r="E1360" s="68" t="s">
        <v>1080</v>
      </c>
      <c r="F1360" s="128" t="s">
        <v>1384</v>
      </c>
      <c r="G1360" s="128" t="s">
        <v>1384</v>
      </c>
      <c r="H1360" s="128" t="s">
        <v>1384</v>
      </c>
      <c r="I1360" s="128" t="s">
        <v>1384</v>
      </c>
      <c r="J1360" s="70">
        <v>0.9</v>
      </c>
      <c r="K1360" s="71">
        <v>1</v>
      </c>
      <c r="L1360" s="71">
        <v>0.85714285714285698</v>
      </c>
      <c r="M1360" s="72">
        <v>1</v>
      </c>
      <c r="N1360" s="71">
        <v>0.93902439024390205</v>
      </c>
      <c r="O1360" s="73">
        <v>0.9</v>
      </c>
      <c r="P1360" s="71">
        <v>0.98586572438162501</v>
      </c>
      <c r="Q1360" s="71">
        <v>0.99407582938388594</v>
      </c>
      <c r="R1360" s="71">
        <v>0.99444444444444402</v>
      </c>
      <c r="S1360" s="71">
        <v>0.95553742606567404</v>
      </c>
      <c r="T1360" s="73">
        <v>0.9</v>
      </c>
      <c r="U1360" s="71">
        <v>0.96466431095406402</v>
      </c>
      <c r="V1360" s="71">
        <v>0.97156398104265396</v>
      </c>
      <c r="W1360" s="71">
        <v>0.95888888888888901</v>
      </c>
      <c r="X1360" s="71">
        <v>0.92372017132367901</v>
      </c>
      <c r="Y1360" s="73">
        <v>0.92</v>
      </c>
      <c r="Z1360" s="73">
        <v>0</v>
      </c>
      <c r="AA1360" s="73" t="s">
        <v>1710</v>
      </c>
      <c r="AB1360" s="73" t="s">
        <v>1710</v>
      </c>
      <c r="AC1360" s="73">
        <v>0</v>
      </c>
      <c r="AD1360" s="73">
        <v>0.92</v>
      </c>
      <c r="AE1360" s="71">
        <v>1</v>
      </c>
      <c r="AF1360" s="71">
        <v>0.90612244897959204</v>
      </c>
      <c r="AG1360" s="71">
        <v>0.97321428571428603</v>
      </c>
      <c r="AH1360" s="71">
        <v>0.94478172882335898</v>
      </c>
      <c r="AI1360" s="73">
        <v>0.92</v>
      </c>
      <c r="AJ1360" s="71">
        <v>0.98705882352941199</v>
      </c>
      <c r="AK1360" s="71">
        <v>0.98933649289099501</v>
      </c>
      <c r="AL1360" s="71">
        <v>0.98668146503884602</v>
      </c>
      <c r="AM1360" s="71">
        <v>0.988175331294597</v>
      </c>
      <c r="AN1360" s="70">
        <v>0.99</v>
      </c>
      <c r="AO1360" s="75">
        <v>1</v>
      </c>
      <c r="AP1360" s="75">
        <v>1</v>
      </c>
      <c r="AQ1360" s="75">
        <v>1</v>
      </c>
      <c r="AR1360" s="75">
        <v>1</v>
      </c>
      <c r="AS1360" s="95">
        <v>7.2186152540827803E-2</v>
      </c>
      <c r="AT1360" s="79">
        <v>0</v>
      </c>
      <c r="AU1360" s="79">
        <v>1</v>
      </c>
      <c r="AV1360" s="79">
        <v>0</v>
      </c>
      <c r="AW1360" s="79">
        <v>0.114285714285714</v>
      </c>
      <c r="AX1360" s="56"/>
      <c r="AY1360" s="54"/>
    </row>
    <row r="1361" spans="1:51">
      <c r="A1361" s="53"/>
      <c r="B1361" s="56"/>
      <c r="C1361" s="90" t="s">
        <v>1079</v>
      </c>
      <c r="D1361" s="230" t="s">
        <v>1757</v>
      </c>
      <c r="E1361" s="68" t="s">
        <v>1080</v>
      </c>
      <c r="F1361" s="128" t="s">
        <v>1385</v>
      </c>
      <c r="G1361" s="128" t="s">
        <v>1385</v>
      </c>
      <c r="H1361" s="128" t="s">
        <v>1385</v>
      </c>
      <c r="I1361" s="128" t="s">
        <v>1385</v>
      </c>
      <c r="J1361" s="70">
        <v>0.9</v>
      </c>
      <c r="K1361" s="71">
        <v>0.9</v>
      </c>
      <c r="L1361" s="71">
        <v>0.95</v>
      </c>
      <c r="M1361" s="72">
        <v>0.80952380952380998</v>
      </c>
      <c r="N1361" s="71">
        <v>0.88888888888888895</v>
      </c>
      <c r="O1361" s="73">
        <v>0.9</v>
      </c>
      <c r="P1361" s="71">
        <v>0.94701542588866505</v>
      </c>
      <c r="Q1361" s="71">
        <v>0.98323085522638298</v>
      </c>
      <c r="R1361" s="71">
        <v>0.98631578947368403</v>
      </c>
      <c r="S1361" s="71">
        <v>0.97750088281289405</v>
      </c>
      <c r="T1361" s="73">
        <v>0.9</v>
      </c>
      <c r="U1361" s="71">
        <v>0.94567404426559398</v>
      </c>
      <c r="V1361" s="71">
        <v>0.94410285075461198</v>
      </c>
      <c r="W1361" s="71">
        <v>0.93842105263157904</v>
      </c>
      <c r="X1361" s="71">
        <v>0.94516470766281602</v>
      </c>
      <c r="Y1361" s="73">
        <v>0.92</v>
      </c>
      <c r="Z1361" s="73">
        <v>0.94420600858369097</v>
      </c>
      <c r="AA1361" s="73">
        <v>0.95271210013908203</v>
      </c>
      <c r="AB1361" s="73">
        <v>0.95522388059701502</v>
      </c>
      <c r="AC1361" s="73">
        <v>0.95898641588296796</v>
      </c>
      <c r="AD1361" s="73">
        <v>0.92</v>
      </c>
      <c r="AE1361" s="71">
        <v>0.99718282494657096</v>
      </c>
      <c r="AF1361" s="71">
        <v>0.99825072886297395</v>
      </c>
      <c r="AG1361" s="71">
        <v>1</v>
      </c>
      <c r="AH1361" s="71">
        <v>0.99852523290529105</v>
      </c>
      <c r="AI1361" s="73">
        <v>0.92</v>
      </c>
      <c r="AJ1361" s="71">
        <v>0.96272590361445798</v>
      </c>
      <c r="AK1361" s="71">
        <v>0.96684226836070697</v>
      </c>
      <c r="AL1361" s="71">
        <v>0.97167685870614695</v>
      </c>
      <c r="AM1361" s="71">
        <v>0.97253529143897999</v>
      </c>
      <c r="AN1361" s="70">
        <v>0.99</v>
      </c>
      <c r="AO1361" s="75">
        <v>1</v>
      </c>
      <c r="AP1361" s="75">
        <v>1</v>
      </c>
      <c r="AQ1361" s="75">
        <v>1</v>
      </c>
      <c r="AR1361" s="75">
        <v>1</v>
      </c>
      <c r="AS1361" s="95">
        <v>7.2186152540827803E-2</v>
      </c>
      <c r="AT1361" s="79">
        <v>5.8823529411764698E-2</v>
      </c>
      <c r="AU1361" s="79">
        <v>6.25E-2</v>
      </c>
      <c r="AV1361" s="79">
        <v>5.2631578947368397E-2</v>
      </c>
      <c r="AW1361" s="79">
        <v>3.7037037037037E-2</v>
      </c>
      <c r="AX1361" s="56"/>
      <c r="AY1361" s="54"/>
    </row>
    <row r="1362" spans="1:51">
      <c r="A1362" s="53"/>
      <c r="B1362" s="56"/>
      <c r="C1362" s="90" t="s">
        <v>1079</v>
      </c>
      <c r="D1362" s="230" t="s">
        <v>1757</v>
      </c>
      <c r="E1362" s="68" t="s">
        <v>1080</v>
      </c>
      <c r="F1362" s="128" t="s">
        <v>1386</v>
      </c>
      <c r="G1362" s="128" t="s">
        <v>1386</v>
      </c>
      <c r="H1362" s="128" t="s">
        <v>1386</v>
      </c>
      <c r="I1362" s="128" t="s">
        <v>1386</v>
      </c>
      <c r="J1362" s="70">
        <v>0.9</v>
      </c>
      <c r="K1362" s="71">
        <v>0.95454545454545503</v>
      </c>
      <c r="L1362" s="71">
        <v>1</v>
      </c>
      <c r="M1362" s="72">
        <v>0.97777777777777797</v>
      </c>
      <c r="N1362" s="71">
        <v>0.96793587174348705</v>
      </c>
      <c r="O1362" s="73">
        <v>0.9</v>
      </c>
      <c r="P1362" s="71">
        <v>0.98465346534653497</v>
      </c>
      <c r="Q1362" s="71">
        <v>0.98699808795411104</v>
      </c>
      <c r="R1362" s="71">
        <v>0.99339279814998305</v>
      </c>
      <c r="S1362" s="71">
        <v>0.97498347965637699</v>
      </c>
      <c r="T1362" s="73">
        <v>0.9</v>
      </c>
      <c r="U1362" s="71">
        <v>0.91930693069306901</v>
      </c>
      <c r="V1362" s="71">
        <v>0.93652007648183599</v>
      </c>
      <c r="W1362" s="71">
        <v>0.91080277502477702</v>
      </c>
      <c r="X1362" s="71">
        <v>0.92356587683690505</v>
      </c>
      <c r="Y1362" s="73">
        <v>0.92</v>
      </c>
      <c r="Z1362" s="73">
        <v>0.94273544723142499</v>
      </c>
      <c r="AA1362" s="73">
        <v>0.95783988630980599</v>
      </c>
      <c r="AB1362" s="73">
        <v>0.95575221238938102</v>
      </c>
      <c r="AC1362" s="73">
        <v>0.96132094943240498</v>
      </c>
      <c r="AD1362" s="73">
        <v>0.92</v>
      </c>
      <c r="AE1362" s="71">
        <v>0.99744496855345899</v>
      </c>
      <c r="AF1362" s="71">
        <v>0.97484909456740398</v>
      </c>
      <c r="AG1362" s="71">
        <v>0.99398073836276102</v>
      </c>
      <c r="AH1362" s="71">
        <v>0.99054539771839301</v>
      </c>
      <c r="AI1362" s="73">
        <v>0.92</v>
      </c>
      <c r="AJ1362" s="71">
        <v>0.95693201064601996</v>
      </c>
      <c r="AK1362" s="71">
        <v>0.97101142615319502</v>
      </c>
      <c r="AL1362" s="71">
        <v>0.97213989330171902</v>
      </c>
      <c r="AM1362" s="71">
        <v>0.97476929642076104</v>
      </c>
      <c r="AN1362" s="70">
        <v>0.99</v>
      </c>
      <c r="AO1362" s="75">
        <v>1</v>
      </c>
      <c r="AP1362" s="75">
        <v>1</v>
      </c>
      <c r="AQ1362" s="75">
        <v>1</v>
      </c>
      <c r="AR1362" s="75">
        <v>1</v>
      </c>
      <c r="AS1362" s="95">
        <v>7.2186152540827803E-2</v>
      </c>
      <c r="AT1362" s="79">
        <v>0</v>
      </c>
      <c r="AU1362" s="79">
        <v>5.2631578947368397E-2</v>
      </c>
      <c r="AV1362" s="79">
        <v>0</v>
      </c>
      <c r="AW1362" s="79">
        <v>3.2407407407407399E-2</v>
      </c>
      <c r="AX1362" s="56"/>
      <c r="AY1362" s="54"/>
    </row>
    <row r="1363" spans="1:51">
      <c r="A1363" s="53"/>
      <c r="B1363" s="56"/>
      <c r="C1363" s="90" t="s">
        <v>1079</v>
      </c>
      <c r="D1363" s="230" t="s">
        <v>1757</v>
      </c>
      <c r="E1363" s="68" t="s">
        <v>1080</v>
      </c>
      <c r="F1363" s="128" t="s">
        <v>1387</v>
      </c>
      <c r="G1363" s="128" t="s">
        <v>1387</v>
      </c>
      <c r="H1363" s="128" t="s">
        <v>1387</v>
      </c>
      <c r="I1363" s="128" t="s">
        <v>1387</v>
      </c>
      <c r="J1363" s="70">
        <v>0.9</v>
      </c>
      <c r="K1363" s="71">
        <v>0.98507462686567204</v>
      </c>
      <c r="L1363" s="71">
        <v>0.97142857142857097</v>
      </c>
      <c r="M1363" s="72">
        <v>0.96825396825396803</v>
      </c>
      <c r="N1363" s="71">
        <v>0.96954314720812196</v>
      </c>
      <c r="O1363" s="73">
        <v>0.9</v>
      </c>
      <c r="P1363" s="71">
        <v>0.99131642931573505</v>
      </c>
      <c r="Q1363" s="71">
        <v>0.99332406119610595</v>
      </c>
      <c r="R1363" s="71">
        <v>0.98944954128440399</v>
      </c>
      <c r="S1363" s="71">
        <v>0.99200692732964801</v>
      </c>
      <c r="T1363" s="73">
        <v>0.9</v>
      </c>
      <c r="U1363" s="71">
        <v>0.95206668982285503</v>
      </c>
      <c r="V1363" s="71">
        <v>0.95382475660639798</v>
      </c>
      <c r="W1363" s="71">
        <v>0.94288990825688102</v>
      </c>
      <c r="X1363" s="71">
        <v>0.94615777437332105</v>
      </c>
      <c r="Y1363" s="73">
        <v>0.92</v>
      </c>
      <c r="Z1363" s="73">
        <v>0.96620689655172398</v>
      </c>
      <c r="AA1363" s="73">
        <v>0.96993810786914203</v>
      </c>
      <c r="AB1363" s="73">
        <v>0.96850649350649398</v>
      </c>
      <c r="AC1363" s="73">
        <v>0.968535722185357</v>
      </c>
      <c r="AD1363" s="73">
        <v>0.92</v>
      </c>
      <c r="AE1363" s="71">
        <v>0.99672346002621204</v>
      </c>
      <c r="AF1363" s="71">
        <v>0.94705882352941195</v>
      </c>
      <c r="AG1363" s="71">
        <v>0.99506578947368396</v>
      </c>
      <c r="AH1363" s="71">
        <v>0.99011332249154604</v>
      </c>
      <c r="AI1363" s="73">
        <v>0.92</v>
      </c>
      <c r="AJ1363" s="71">
        <v>0.97611216894581998</v>
      </c>
      <c r="AK1363" s="71">
        <v>0.97967945048654803</v>
      </c>
      <c r="AL1363" s="71">
        <v>0.97836021505376303</v>
      </c>
      <c r="AM1363" s="71">
        <v>0.97877134870891902</v>
      </c>
      <c r="AN1363" s="70">
        <v>0.99</v>
      </c>
      <c r="AO1363" s="75">
        <v>1</v>
      </c>
      <c r="AP1363" s="75">
        <v>1</v>
      </c>
      <c r="AQ1363" s="75">
        <v>1</v>
      </c>
      <c r="AR1363" s="75">
        <v>1</v>
      </c>
      <c r="AS1363" s="95">
        <v>7.2186152540827803E-2</v>
      </c>
      <c r="AT1363" s="79">
        <v>6.25E-2</v>
      </c>
      <c r="AU1363" s="79">
        <v>0</v>
      </c>
      <c r="AV1363" s="79">
        <v>0</v>
      </c>
      <c r="AW1363" s="79">
        <v>2.66666666666667E-2</v>
      </c>
      <c r="AX1363" s="56"/>
      <c r="AY1363" s="54"/>
    </row>
    <row r="1364" spans="1:51">
      <c r="A1364" s="53"/>
      <c r="B1364" s="56"/>
      <c r="C1364" s="90" t="s">
        <v>1079</v>
      </c>
      <c r="D1364" s="230" t="s">
        <v>1757</v>
      </c>
      <c r="E1364" s="68" t="s">
        <v>1080</v>
      </c>
      <c r="F1364" s="128" t="s">
        <v>1388</v>
      </c>
      <c r="G1364" s="128" t="s">
        <v>1388</v>
      </c>
      <c r="H1364" s="128" t="s">
        <v>1388</v>
      </c>
      <c r="I1364" s="128" t="s">
        <v>1388</v>
      </c>
      <c r="J1364" s="70">
        <v>0.9</v>
      </c>
      <c r="K1364" s="71">
        <v>0.94736842105263197</v>
      </c>
      <c r="L1364" s="71">
        <v>0.8</v>
      </c>
      <c r="M1364" s="72">
        <v>1</v>
      </c>
      <c r="N1364" s="71">
        <v>0.95794392523364502</v>
      </c>
      <c r="O1364" s="73">
        <v>0.9</v>
      </c>
      <c r="P1364" s="71">
        <v>0.99014778325123198</v>
      </c>
      <c r="Q1364" s="71">
        <v>0.99314481576692404</v>
      </c>
      <c r="R1364" s="71">
        <v>0.97885669537979603</v>
      </c>
      <c r="S1364" s="71">
        <v>0.98324623424531199</v>
      </c>
      <c r="T1364" s="73">
        <v>0.9</v>
      </c>
      <c r="U1364" s="71">
        <v>0.92733990147783296</v>
      </c>
      <c r="V1364" s="71">
        <v>0.93316195372750599</v>
      </c>
      <c r="W1364" s="71">
        <v>0.95223179326546603</v>
      </c>
      <c r="X1364" s="71">
        <v>0.92383953273900998</v>
      </c>
      <c r="Y1364" s="73">
        <v>0.92</v>
      </c>
      <c r="Z1364" s="73">
        <v>0.96555555555555495</v>
      </c>
      <c r="AA1364" s="73">
        <v>0.967901234567901</v>
      </c>
      <c r="AB1364" s="73">
        <v>0.95884003741814805</v>
      </c>
      <c r="AC1364" s="73">
        <v>0.96026324558480503</v>
      </c>
      <c r="AD1364" s="73">
        <v>0.92</v>
      </c>
      <c r="AE1364" s="71">
        <v>0.99556119213696903</v>
      </c>
      <c r="AF1364" s="71">
        <v>0.99435825105782805</v>
      </c>
      <c r="AG1364" s="71">
        <v>0.99838056680161902</v>
      </c>
      <c r="AH1364" s="71">
        <v>0.99077868852458995</v>
      </c>
      <c r="AI1364" s="73">
        <v>0.92</v>
      </c>
      <c r="AJ1364" s="71">
        <v>0.97371495327102797</v>
      </c>
      <c r="AK1364" s="71">
        <v>0.97774979009235896</v>
      </c>
      <c r="AL1364" s="71">
        <v>0.97485080988917305</v>
      </c>
      <c r="AM1364" s="71">
        <v>0.97405764080425306</v>
      </c>
      <c r="AN1364" s="70">
        <v>0.99</v>
      </c>
      <c r="AO1364" s="75">
        <v>1</v>
      </c>
      <c r="AP1364" s="75">
        <v>1</v>
      </c>
      <c r="AQ1364" s="75">
        <v>1</v>
      </c>
      <c r="AR1364" s="75">
        <v>1</v>
      </c>
      <c r="AS1364" s="95">
        <v>7.2186152540827803E-2</v>
      </c>
      <c r="AT1364" s="79">
        <v>0</v>
      </c>
      <c r="AU1364" s="79">
        <v>0</v>
      </c>
      <c r="AV1364" s="79">
        <v>0</v>
      </c>
      <c r="AW1364" s="79">
        <v>6.4220183486238494E-2</v>
      </c>
      <c r="AX1364" s="56"/>
      <c r="AY1364" s="54"/>
    </row>
    <row r="1365" spans="1:51">
      <c r="A1365" s="53"/>
      <c r="B1365" s="56"/>
      <c r="C1365" s="90" t="s">
        <v>1079</v>
      </c>
      <c r="D1365" s="230" t="s">
        <v>1757</v>
      </c>
      <c r="E1365" s="68" t="s">
        <v>1080</v>
      </c>
      <c r="F1365" s="128" t="s">
        <v>1389</v>
      </c>
      <c r="G1365" s="128" t="s">
        <v>1389</v>
      </c>
      <c r="H1365" s="128" t="s">
        <v>1389</v>
      </c>
      <c r="I1365" s="128" t="s">
        <v>1389</v>
      </c>
      <c r="J1365" s="70">
        <v>0.9</v>
      </c>
      <c r="K1365" s="71">
        <v>0.91489361702127703</v>
      </c>
      <c r="L1365" s="71">
        <v>0.92156862745098</v>
      </c>
      <c r="M1365" s="72">
        <v>0.934782608695652</v>
      </c>
      <c r="N1365" s="71">
        <v>0.92994746059544697</v>
      </c>
      <c r="O1365" s="73">
        <v>0.9</v>
      </c>
      <c r="P1365" s="71">
        <v>0.96369636963696403</v>
      </c>
      <c r="Q1365" s="71">
        <v>0.97435054258467602</v>
      </c>
      <c r="R1365" s="71">
        <v>0.93484568715378502</v>
      </c>
      <c r="S1365" s="71">
        <v>0.96624340283221</v>
      </c>
      <c r="T1365" s="73">
        <v>0.9</v>
      </c>
      <c r="U1365" s="71">
        <v>0.90759075907590803</v>
      </c>
      <c r="V1365" s="71">
        <v>0.91548832620848397</v>
      </c>
      <c r="W1365" s="71">
        <v>0.90477446584014798</v>
      </c>
      <c r="X1365" s="71">
        <v>0.908449600250823</v>
      </c>
      <c r="Y1365" s="73">
        <v>0.92</v>
      </c>
      <c r="Z1365" s="73">
        <v>0.94034090909090895</v>
      </c>
      <c r="AA1365" s="73">
        <v>0.93844984802431597</v>
      </c>
      <c r="AB1365" s="73">
        <v>0.92502106149957897</v>
      </c>
      <c r="AC1365" s="73">
        <v>0.94460416520580603</v>
      </c>
      <c r="AD1365" s="73">
        <v>0.92</v>
      </c>
      <c r="AE1365" s="71">
        <v>0.98390718562874202</v>
      </c>
      <c r="AF1365" s="71">
        <v>0.99165402124431001</v>
      </c>
      <c r="AG1365" s="71">
        <v>0.97280334728033502</v>
      </c>
      <c r="AH1365" s="71">
        <v>0.98437570967888499</v>
      </c>
      <c r="AI1365" s="73">
        <v>0.92</v>
      </c>
      <c r="AJ1365" s="71">
        <v>0.95296523517382403</v>
      </c>
      <c r="AK1365" s="71">
        <v>0.96210118103296305</v>
      </c>
      <c r="AL1365" s="71">
        <v>0.94695863746958597</v>
      </c>
      <c r="AM1365" s="71">
        <v>0.96267908202218599</v>
      </c>
      <c r="AN1365" s="70">
        <v>0.99</v>
      </c>
      <c r="AO1365" s="75">
        <v>1</v>
      </c>
      <c r="AP1365" s="75">
        <v>1</v>
      </c>
      <c r="AQ1365" s="75">
        <v>1</v>
      </c>
      <c r="AR1365" s="75">
        <v>1</v>
      </c>
      <c r="AS1365" s="95">
        <v>7.2186152540827803E-2</v>
      </c>
      <c r="AT1365" s="79">
        <v>4.6511627906976702E-2</v>
      </c>
      <c r="AU1365" s="79">
        <v>5.7142857142857099E-2</v>
      </c>
      <c r="AV1365" s="79">
        <v>6.6666666666666693E-2</v>
      </c>
      <c r="AW1365" s="79">
        <v>4.9019607843137303E-2</v>
      </c>
      <c r="AX1365" s="56"/>
      <c r="AY1365" s="54"/>
    </row>
    <row r="1366" spans="1:51">
      <c r="A1366" s="53"/>
      <c r="B1366" s="56"/>
      <c r="C1366" s="90" t="s">
        <v>1079</v>
      </c>
      <c r="D1366" s="230" t="s">
        <v>1757</v>
      </c>
      <c r="E1366" s="68" t="s">
        <v>1080</v>
      </c>
      <c r="F1366" s="128" t="s">
        <v>1390</v>
      </c>
      <c r="G1366" s="128" t="s">
        <v>1390</v>
      </c>
      <c r="H1366" s="128" t="s">
        <v>1390</v>
      </c>
      <c r="I1366" s="128" t="s">
        <v>1390</v>
      </c>
      <c r="J1366" s="70">
        <v>0.9</v>
      </c>
      <c r="K1366" s="71">
        <v>0.98701298701298701</v>
      </c>
      <c r="L1366" s="71">
        <v>0.94666666666666699</v>
      </c>
      <c r="M1366" s="72">
        <v>0.971830985915493</v>
      </c>
      <c r="N1366" s="71">
        <v>0.954264524103832</v>
      </c>
      <c r="O1366" s="73">
        <v>0.9</v>
      </c>
      <c r="P1366" s="71">
        <v>0.979615384615385</v>
      </c>
      <c r="Q1366" s="71">
        <v>0.984852984852985</v>
      </c>
      <c r="R1366" s="71">
        <v>0.89669638175144195</v>
      </c>
      <c r="S1366" s="71">
        <v>0.93965087281795501</v>
      </c>
      <c r="T1366" s="73">
        <v>0.9</v>
      </c>
      <c r="U1366" s="71">
        <v>0.78230769230769204</v>
      </c>
      <c r="V1366" s="71">
        <v>0.79833679833679805</v>
      </c>
      <c r="W1366" s="71">
        <v>0.73833245936025205</v>
      </c>
      <c r="X1366" s="71">
        <v>0.75336658354114705</v>
      </c>
      <c r="Y1366" s="73">
        <v>0.92</v>
      </c>
      <c r="Z1366" s="73">
        <v>0.88377896613190698</v>
      </c>
      <c r="AA1366" s="73">
        <v>0.89023989484061805</v>
      </c>
      <c r="AB1366" s="73">
        <v>0.86793115560238798</v>
      </c>
      <c r="AC1366" s="73">
        <v>0.89260071499384097</v>
      </c>
      <c r="AD1366" s="73">
        <v>0.92</v>
      </c>
      <c r="AE1366" s="71">
        <v>1</v>
      </c>
      <c r="AF1366" s="71">
        <v>0.99709864603481602</v>
      </c>
      <c r="AG1366" s="71">
        <v>0.99922299922299895</v>
      </c>
      <c r="AH1366" s="71">
        <v>0.992645955275401</v>
      </c>
      <c r="AI1366" s="73">
        <v>0.92</v>
      </c>
      <c r="AJ1366" s="71">
        <v>0.91100832562442202</v>
      </c>
      <c r="AK1366" s="71">
        <v>0.926844486039619</v>
      </c>
      <c r="AL1366" s="71">
        <v>0.91714199939957997</v>
      </c>
      <c r="AM1366" s="71">
        <v>0.92924104101376204</v>
      </c>
      <c r="AN1366" s="70">
        <v>0.99</v>
      </c>
      <c r="AO1366" s="75">
        <v>1</v>
      </c>
      <c r="AP1366" s="75">
        <v>1</v>
      </c>
      <c r="AQ1366" s="75">
        <v>1</v>
      </c>
      <c r="AR1366" s="75">
        <v>1</v>
      </c>
      <c r="AS1366" s="95">
        <v>7.2186152540827803E-2</v>
      </c>
      <c r="AT1366" s="79">
        <v>0</v>
      </c>
      <c r="AU1366" s="79">
        <v>0</v>
      </c>
      <c r="AV1366" s="79">
        <v>5.8823529411764698E-2</v>
      </c>
      <c r="AW1366" s="79">
        <v>5.2434456928839003E-2</v>
      </c>
      <c r="AX1366" s="56"/>
      <c r="AY1366" s="54"/>
    </row>
    <row r="1367" spans="1:51">
      <c r="A1367" s="53"/>
      <c r="B1367" s="56"/>
      <c r="C1367" s="90" t="s">
        <v>1079</v>
      </c>
      <c r="D1367" s="230" t="s">
        <v>1757</v>
      </c>
      <c r="E1367" s="68" t="s">
        <v>1080</v>
      </c>
      <c r="F1367" s="128" t="s">
        <v>1391</v>
      </c>
      <c r="G1367" s="128" t="s">
        <v>1391</v>
      </c>
      <c r="H1367" s="128" t="s">
        <v>1391</v>
      </c>
      <c r="I1367" s="128" t="s">
        <v>1391</v>
      </c>
      <c r="J1367" s="70">
        <v>0.9</v>
      </c>
      <c r="K1367" s="71">
        <v>0.97222222222222199</v>
      </c>
      <c r="L1367" s="71">
        <v>0.97368421052631604</v>
      </c>
      <c r="M1367" s="72">
        <v>0.94117647058823495</v>
      </c>
      <c r="N1367" s="71">
        <v>0.96478873239436602</v>
      </c>
      <c r="O1367" s="73">
        <v>0.9</v>
      </c>
      <c r="P1367" s="71">
        <v>0.98296529968454305</v>
      </c>
      <c r="Q1367" s="71">
        <v>0.98954372623574105</v>
      </c>
      <c r="R1367" s="71">
        <v>0.96412371134020602</v>
      </c>
      <c r="S1367" s="71">
        <v>0.979460379193</v>
      </c>
      <c r="T1367" s="73">
        <v>0.9</v>
      </c>
      <c r="U1367" s="71">
        <v>0.91735015772870698</v>
      </c>
      <c r="V1367" s="71">
        <v>0.92015209125475295</v>
      </c>
      <c r="W1367" s="71">
        <v>0.92494845360824696</v>
      </c>
      <c r="X1367" s="71">
        <v>0.93206125425376796</v>
      </c>
      <c r="Y1367" s="73">
        <v>0.92</v>
      </c>
      <c r="Z1367" s="73">
        <v>0.95391414141414099</v>
      </c>
      <c r="AA1367" s="73">
        <v>0.96426512968299705</v>
      </c>
      <c r="AB1367" s="73">
        <v>0.95891276864728203</v>
      </c>
      <c r="AC1367" s="73">
        <v>0.96160540055904198</v>
      </c>
      <c r="AD1367" s="73">
        <v>0.92</v>
      </c>
      <c r="AE1367" s="71">
        <v>0.99958932238192999</v>
      </c>
      <c r="AF1367" s="71">
        <v>0.99635922330097104</v>
      </c>
      <c r="AG1367" s="71">
        <v>0.99434114793856099</v>
      </c>
      <c r="AH1367" s="71">
        <v>0.99264140582097704</v>
      </c>
      <c r="AI1367" s="73">
        <v>0.92</v>
      </c>
      <c r="AJ1367" s="71">
        <v>0.96434206374250597</v>
      </c>
      <c r="AK1367" s="71">
        <v>0.97447251888512598</v>
      </c>
      <c r="AL1367" s="71">
        <v>0.97354629398552495</v>
      </c>
      <c r="AM1367" s="71">
        <v>0.97605846774193505</v>
      </c>
      <c r="AN1367" s="70">
        <v>0.99</v>
      </c>
      <c r="AO1367" s="75">
        <v>1</v>
      </c>
      <c r="AP1367" s="75">
        <v>1</v>
      </c>
      <c r="AQ1367" s="75">
        <v>1</v>
      </c>
      <c r="AR1367" s="75">
        <v>1</v>
      </c>
      <c r="AS1367" s="95">
        <v>7.2186152540827803E-2</v>
      </c>
      <c r="AT1367" s="79">
        <v>0.05</v>
      </c>
      <c r="AU1367" s="79">
        <v>4.1666666666666699E-2</v>
      </c>
      <c r="AV1367" s="79">
        <v>0</v>
      </c>
      <c r="AW1367" s="79">
        <v>2.5423728813559299E-2</v>
      </c>
      <c r="AX1367" s="56"/>
      <c r="AY1367" s="54"/>
    </row>
    <row r="1368" spans="1:51">
      <c r="A1368" s="53"/>
      <c r="B1368" s="56"/>
      <c r="C1368" s="90" t="s">
        <v>1079</v>
      </c>
      <c r="D1368" s="230" t="s">
        <v>1757</v>
      </c>
      <c r="E1368" s="68" t="s">
        <v>1080</v>
      </c>
      <c r="F1368" s="128" t="s">
        <v>1392</v>
      </c>
      <c r="G1368" s="128" t="s">
        <v>1392</v>
      </c>
      <c r="H1368" s="128" t="s">
        <v>1392</v>
      </c>
      <c r="I1368" s="128" t="s">
        <v>1392</v>
      </c>
      <c r="J1368" s="70">
        <v>0.9</v>
      </c>
      <c r="K1368" s="71">
        <v>1</v>
      </c>
      <c r="L1368" s="71">
        <v>1</v>
      </c>
      <c r="M1368" s="72">
        <v>1</v>
      </c>
      <c r="N1368" s="71">
        <v>0.99607072691552101</v>
      </c>
      <c r="O1368" s="73">
        <v>0.9</v>
      </c>
      <c r="P1368" s="71">
        <v>0.99234554401312203</v>
      </c>
      <c r="Q1368" s="71">
        <v>0.99628770301624103</v>
      </c>
      <c r="R1368" s="71">
        <v>0.99740836727138105</v>
      </c>
      <c r="S1368" s="71">
        <v>0.99579529936031097</v>
      </c>
      <c r="T1368" s="73">
        <v>0.9</v>
      </c>
      <c r="U1368" s="71">
        <v>0.93384363039912499</v>
      </c>
      <c r="V1368" s="71">
        <v>0.93642691415313195</v>
      </c>
      <c r="W1368" s="71">
        <v>0.921880784894484</v>
      </c>
      <c r="X1368" s="71">
        <v>0.92568101775318001</v>
      </c>
      <c r="Y1368" s="73">
        <v>0.92</v>
      </c>
      <c r="Z1368" s="73">
        <v>0.97584818861414602</v>
      </c>
      <c r="AA1368" s="73">
        <v>0.97821047751506696</v>
      </c>
      <c r="AB1368" s="73">
        <v>0.98242894056847496</v>
      </c>
      <c r="AC1368" s="73">
        <v>0.97797317701394404</v>
      </c>
      <c r="AD1368" s="73">
        <v>0.92</v>
      </c>
      <c r="AE1368" s="71">
        <v>0.99939867708959695</v>
      </c>
      <c r="AF1368" s="71">
        <v>0.98226950354609899</v>
      </c>
      <c r="AG1368" s="71">
        <v>0.998300764655905</v>
      </c>
      <c r="AH1368" s="71">
        <v>0.99626268019220499</v>
      </c>
      <c r="AI1368" s="73">
        <v>0.92</v>
      </c>
      <c r="AJ1368" s="71">
        <v>0.98234304932735395</v>
      </c>
      <c r="AK1368" s="71">
        <v>0.98446196660482399</v>
      </c>
      <c r="AL1368" s="71">
        <v>0.98576358930112196</v>
      </c>
      <c r="AM1368" s="71">
        <v>0.98581842016406096</v>
      </c>
      <c r="AN1368" s="70">
        <v>0.99</v>
      </c>
      <c r="AO1368" s="75">
        <v>1</v>
      </c>
      <c r="AP1368" s="75">
        <v>1</v>
      </c>
      <c r="AQ1368" s="75">
        <v>1</v>
      </c>
      <c r="AR1368" s="75">
        <v>1</v>
      </c>
      <c r="AS1368" s="95">
        <v>7.2186152540827803E-2</v>
      </c>
      <c r="AT1368" s="79">
        <v>0</v>
      </c>
      <c r="AU1368" s="79">
        <v>0</v>
      </c>
      <c r="AV1368" s="79">
        <v>0</v>
      </c>
      <c r="AW1368" s="79">
        <v>5.0724637681159403E-2</v>
      </c>
      <c r="AX1368" s="56"/>
      <c r="AY1368" s="54"/>
    </row>
    <row r="1369" spans="1:51">
      <c r="A1369" s="53"/>
      <c r="B1369" s="56"/>
      <c r="C1369" s="90" t="s">
        <v>1079</v>
      </c>
      <c r="D1369" s="230" t="s">
        <v>1757</v>
      </c>
      <c r="E1369" s="68" t="s">
        <v>1080</v>
      </c>
      <c r="F1369" s="128" t="s">
        <v>1393</v>
      </c>
      <c r="G1369" s="128" t="s">
        <v>1393</v>
      </c>
      <c r="H1369" s="128" t="s">
        <v>1393</v>
      </c>
      <c r="I1369" s="128" t="s">
        <v>1393</v>
      </c>
      <c r="J1369" s="70">
        <v>0.9</v>
      </c>
      <c r="K1369" s="71">
        <v>0.96296296296296302</v>
      </c>
      <c r="L1369" s="71">
        <v>0.92592592592592604</v>
      </c>
      <c r="M1369" s="72">
        <v>0.85714285714285698</v>
      </c>
      <c r="N1369" s="71">
        <v>0.93693693693693703</v>
      </c>
      <c r="O1369" s="73">
        <v>0.9</v>
      </c>
      <c r="P1369" s="71">
        <v>0.99786666666666701</v>
      </c>
      <c r="Q1369" s="71">
        <v>0.99951667472208805</v>
      </c>
      <c r="R1369" s="71">
        <v>0.98641304347826098</v>
      </c>
      <c r="S1369" s="71">
        <v>0.985039720840448</v>
      </c>
      <c r="T1369" s="73">
        <v>0.9</v>
      </c>
      <c r="U1369" s="71">
        <v>0.95093333333333296</v>
      </c>
      <c r="V1369" s="71">
        <v>0.96713388110198195</v>
      </c>
      <c r="W1369" s="71">
        <v>0.92158385093167705</v>
      </c>
      <c r="X1369" s="71">
        <v>0.95266909198901195</v>
      </c>
      <c r="Y1369" s="73">
        <v>0.92</v>
      </c>
      <c r="Z1369" s="73">
        <v>0.957307060755337</v>
      </c>
      <c r="AA1369" s="73">
        <v>0.98099640472521799</v>
      </c>
      <c r="AB1369" s="73">
        <v>0.96599045346062096</v>
      </c>
      <c r="AC1369" s="73">
        <v>0.97218424650331303</v>
      </c>
      <c r="AD1369" s="73">
        <v>0.92</v>
      </c>
      <c r="AE1369" s="71">
        <v>0.99873136695210896</v>
      </c>
      <c r="AF1369" s="71">
        <v>0.99725274725274704</v>
      </c>
      <c r="AG1369" s="71">
        <v>1</v>
      </c>
      <c r="AH1369" s="71">
        <v>0.99943096580621804</v>
      </c>
      <c r="AI1369" s="73">
        <v>0.92</v>
      </c>
      <c r="AJ1369" s="71">
        <v>0.97381183317167797</v>
      </c>
      <c r="AK1369" s="71">
        <v>0.98829681274900405</v>
      </c>
      <c r="AL1369" s="71">
        <v>0.97108603667136795</v>
      </c>
      <c r="AM1369" s="71">
        <v>0.98170147954743303</v>
      </c>
      <c r="AN1369" s="70">
        <v>0.99</v>
      </c>
      <c r="AO1369" s="75">
        <v>1</v>
      </c>
      <c r="AP1369" s="75">
        <v>1</v>
      </c>
      <c r="AQ1369" s="75">
        <v>1</v>
      </c>
      <c r="AR1369" s="75">
        <v>1</v>
      </c>
      <c r="AS1369" s="95">
        <v>7.2186152540827803E-2</v>
      </c>
      <c r="AT1369" s="79">
        <v>0</v>
      </c>
      <c r="AU1369" s="79">
        <v>0.18181818181818199</v>
      </c>
      <c r="AV1369" s="79">
        <v>0</v>
      </c>
      <c r="AW1369" s="79">
        <v>4.5454545454545497E-2</v>
      </c>
      <c r="AX1369" s="56"/>
      <c r="AY1369" s="54"/>
    </row>
    <row r="1370" spans="1:51">
      <c r="A1370" s="53"/>
      <c r="B1370" s="56"/>
      <c r="C1370" s="90" t="s">
        <v>1079</v>
      </c>
      <c r="D1370" s="230" t="s">
        <v>1757</v>
      </c>
      <c r="E1370" s="68" t="s">
        <v>1080</v>
      </c>
      <c r="F1370" s="128" t="s">
        <v>1394</v>
      </c>
      <c r="G1370" s="128" t="s">
        <v>1394</v>
      </c>
      <c r="H1370" s="128" t="s">
        <v>1394</v>
      </c>
      <c r="I1370" s="128" t="s">
        <v>1394</v>
      </c>
      <c r="J1370" s="70">
        <v>0.9</v>
      </c>
      <c r="K1370" s="71">
        <v>1</v>
      </c>
      <c r="L1370" s="71">
        <v>0.91176470588235303</v>
      </c>
      <c r="M1370" s="72">
        <v>0.96875</v>
      </c>
      <c r="N1370" s="71">
        <v>0.97193877551020402</v>
      </c>
      <c r="O1370" s="73">
        <v>0.9</v>
      </c>
      <c r="P1370" s="71">
        <v>0.97900923593618805</v>
      </c>
      <c r="Q1370" s="71">
        <v>0.97855917667238401</v>
      </c>
      <c r="R1370" s="71">
        <v>0.98503499879314504</v>
      </c>
      <c r="S1370" s="71">
        <v>0.97612827457277795</v>
      </c>
      <c r="T1370" s="73">
        <v>0.9</v>
      </c>
      <c r="U1370" s="71">
        <v>0.95242093478869305</v>
      </c>
      <c r="V1370" s="71">
        <v>0.96312178387650105</v>
      </c>
      <c r="W1370" s="71">
        <v>0.95969104513637504</v>
      </c>
      <c r="X1370" s="71">
        <v>0.96040553172111298</v>
      </c>
      <c r="Y1370" s="73">
        <v>0.92</v>
      </c>
      <c r="Z1370" s="73">
        <v>0</v>
      </c>
      <c r="AA1370" s="73" t="s">
        <v>1710</v>
      </c>
      <c r="AB1370" s="73" t="s">
        <v>1710</v>
      </c>
      <c r="AC1370" s="73">
        <v>0</v>
      </c>
      <c r="AD1370" s="73">
        <v>0.92</v>
      </c>
      <c r="AE1370" s="71">
        <v>0.99865807836822296</v>
      </c>
      <c r="AF1370" s="71">
        <v>0.99547511312217196</v>
      </c>
      <c r="AG1370" s="71">
        <v>0.99801823226317898</v>
      </c>
      <c r="AH1370" s="71">
        <v>0.99868566098532996</v>
      </c>
      <c r="AI1370" s="73">
        <v>0.92</v>
      </c>
      <c r="AJ1370" s="71">
        <v>0.97818791946308703</v>
      </c>
      <c r="AK1370" s="71">
        <v>0.98742138364779897</v>
      </c>
      <c r="AL1370" s="71">
        <v>0.98503499879314504</v>
      </c>
      <c r="AM1370" s="71">
        <v>0.98614805761257696</v>
      </c>
      <c r="AN1370" s="70">
        <v>0.99</v>
      </c>
      <c r="AO1370" s="75">
        <v>1</v>
      </c>
      <c r="AP1370" s="75">
        <v>1</v>
      </c>
      <c r="AQ1370" s="75">
        <v>1</v>
      </c>
      <c r="AR1370" s="75">
        <v>1</v>
      </c>
      <c r="AS1370" s="95">
        <v>7.2186152540827803E-2</v>
      </c>
      <c r="AT1370" s="79">
        <v>0.125</v>
      </c>
      <c r="AU1370" s="79">
        <v>0</v>
      </c>
      <c r="AV1370" s="79">
        <v>0</v>
      </c>
      <c r="AW1370" s="79">
        <v>5.8441558441558399E-2</v>
      </c>
      <c r="AX1370" s="56"/>
      <c r="AY1370" s="54"/>
    </row>
    <row r="1371" spans="1:51">
      <c r="A1371" s="53"/>
      <c r="B1371" s="56"/>
      <c r="C1371" s="90" t="s">
        <v>1079</v>
      </c>
      <c r="D1371" s="230" t="s">
        <v>1757</v>
      </c>
      <c r="E1371" s="68" t="s">
        <v>1080</v>
      </c>
      <c r="F1371" s="128" t="s">
        <v>1395</v>
      </c>
      <c r="G1371" s="128" t="s">
        <v>1395</v>
      </c>
      <c r="H1371" s="128" t="s">
        <v>1395</v>
      </c>
      <c r="I1371" s="128" t="s">
        <v>1395</v>
      </c>
      <c r="J1371" s="70">
        <v>0.9</v>
      </c>
      <c r="K1371" s="71">
        <v>1</v>
      </c>
      <c r="L1371" s="71">
        <v>0.96875</v>
      </c>
      <c r="M1371" s="72">
        <v>1</v>
      </c>
      <c r="N1371" s="71">
        <v>0.94133333333333302</v>
      </c>
      <c r="O1371" s="73">
        <v>0.9</v>
      </c>
      <c r="P1371" s="71">
        <v>0.98851374869474395</v>
      </c>
      <c r="Q1371" s="71">
        <v>0.99518403852769199</v>
      </c>
      <c r="R1371" s="71">
        <v>0.98973481608212099</v>
      </c>
      <c r="S1371" s="71">
        <v>0.98774288296430202</v>
      </c>
      <c r="T1371" s="73">
        <v>0.9</v>
      </c>
      <c r="U1371" s="71">
        <v>0.91054646710755305</v>
      </c>
      <c r="V1371" s="71">
        <v>0.97041623667010701</v>
      </c>
      <c r="W1371" s="71">
        <v>0.94981465640148299</v>
      </c>
      <c r="X1371" s="71">
        <v>0.92623136014459995</v>
      </c>
      <c r="Y1371" s="73">
        <v>0.92</v>
      </c>
      <c r="Z1371" s="73">
        <v>0</v>
      </c>
      <c r="AA1371" s="73" t="s">
        <v>1710</v>
      </c>
      <c r="AB1371" s="73" t="s">
        <v>1710</v>
      </c>
      <c r="AC1371" s="73">
        <v>0</v>
      </c>
      <c r="AD1371" s="73">
        <v>0.92</v>
      </c>
      <c r="AE1371" s="71">
        <v>0.998319327731092</v>
      </c>
      <c r="AF1371" s="71">
        <v>0.99899648770697402</v>
      </c>
      <c r="AG1371" s="71">
        <v>1</v>
      </c>
      <c r="AH1371" s="71">
        <v>0.99859763280417302</v>
      </c>
      <c r="AI1371" s="73">
        <v>0.92</v>
      </c>
      <c r="AJ1371" s="71">
        <v>0.97668754349338904</v>
      </c>
      <c r="AK1371" s="71">
        <v>0.98796009631922899</v>
      </c>
      <c r="AL1371" s="71">
        <v>0.98830909609352702</v>
      </c>
      <c r="AM1371" s="71">
        <v>0.98763061282123699</v>
      </c>
      <c r="AN1371" s="70">
        <v>0.99</v>
      </c>
      <c r="AO1371" s="75">
        <v>1</v>
      </c>
      <c r="AP1371" s="75">
        <v>1</v>
      </c>
      <c r="AQ1371" s="75">
        <v>1</v>
      </c>
      <c r="AR1371" s="75">
        <v>1</v>
      </c>
      <c r="AS1371" s="95">
        <v>7.2186152540827803E-2</v>
      </c>
      <c r="AT1371" s="79">
        <v>0</v>
      </c>
      <c r="AU1371" s="79">
        <v>0</v>
      </c>
      <c r="AV1371" s="79">
        <v>0</v>
      </c>
      <c r="AW1371" s="79">
        <v>3.2967032967033003E-2</v>
      </c>
      <c r="AX1371" s="56"/>
      <c r="AY1371" s="54"/>
    </row>
    <row r="1372" spans="1:51">
      <c r="A1372" s="53"/>
      <c r="B1372" s="56"/>
      <c r="C1372" s="90" t="s">
        <v>1079</v>
      </c>
      <c r="D1372" s="230" t="s">
        <v>1757</v>
      </c>
      <c r="E1372" s="68" t="s">
        <v>1080</v>
      </c>
      <c r="F1372" s="128" t="s">
        <v>1396</v>
      </c>
      <c r="G1372" s="128" t="s">
        <v>1396</v>
      </c>
      <c r="H1372" s="128" t="s">
        <v>1396</v>
      </c>
      <c r="I1372" s="128" t="s">
        <v>1396</v>
      </c>
      <c r="J1372" s="70">
        <v>0.9</v>
      </c>
      <c r="K1372" s="71">
        <v>0.97142857142857097</v>
      </c>
      <c r="L1372" s="71">
        <v>0.91666666666666696</v>
      </c>
      <c r="M1372" s="72">
        <v>0.939393939393939</v>
      </c>
      <c r="N1372" s="71">
        <v>0.95511221945137204</v>
      </c>
      <c r="O1372" s="73">
        <v>0.9</v>
      </c>
      <c r="P1372" s="71">
        <v>0.97198615045640502</v>
      </c>
      <c r="Q1372" s="71">
        <v>0.97224942866470798</v>
      </c>
      <c r="R1372" s="71">
        <v>0.94017784963621698</v>
      </c>
      <c r="S1372" s="71">
        <v>0.95240515811439896</v>
      </c>
      <c r="T1372" s="73">
        <v>0.9</v>
      </c>
      <c r="U1372" s="71">
        <v>0.92886370790053496</v>
      </c>
      <c r="V1372" s="71">
        <v>0.92654260528893195</v>
      </c>
      <c r="W1372" s="71">
        <v>0.91026677445432502</v>
      </c>
      <c r="X1372" s="71">
        <v>0.92656107870940096</v>
      </c>
      <c r="Y1372" s="73">
        <v>0.92</v>
      </c>
      <c r="Z1372" s="73" t="s">
        <v>1710</v>
      </c>
      <c r="AA1372" s="73" t="s">
        <v>1710</v>
      </c>
      <c r="AB1372" s="73" t="s">
        <v>1710</v>
      </c>
      <c r="AC1372" s="73" t="s">
        <v>1710</v>
      </c>
      <c r="AD1372" s="73">
        <v>0.92</v>
      </c>
      <c r="AE1372" s="71">
        <v>0.98449612403100795</v>
      </c>
      <c r="AF1372" s="71">
        <v>1</v>
      </c>
      <c r="AG1372" s="71">
        <v>0.98927613941018799</v>
      </c>
      <c r="AH1372" s="71">
        <v>0.99270605397520095</v>
      </c>
      <c r="AI1372" s="73">
        <v>0.92</v>
      </c>
      <c r="AJ1372" s="71">
        <v>0.96222851746931104</v>
      </c>
      <c r="AK1372" s="71">
        <v>0.97094351942540003</v>
      </c>
      <c r="AL1372" s="71">
        <v>0.94718404742657003</v>
      </c>
      <c r="AM1372" s="71">
        <v>0.96837712023115197</v>
      </c>
      <c r="AN1372" s="70">
        <v>0.99</v>
      </c>
      <c r="AO1372" s="75">
        <v>1</v>
      </c>
      <c r="AP1372" s="75">
        <v>1</v>
      </c>
      <c r="AQ1372" s="75">
        <v>1</v>
      </c>
      <c r="AR1372" s="75">
        <v>1</v>
      </c>
      <c r="AS1372" s="95">
        <v>7.2186152540827803E-2</v>
      </c>
      <c r="AT1372" s="79">
        <v>0</v>
      </c>
      <c r="AU1372" s="79">
        <v>0</v>
      </c>
      <c r="AV1372" s="79">
        <v>0</v>
      </c>
      <c r="AW1372" s="79">
        <v>9.7087378640776708E-3</v>
      </c>
      <c r="AX1372" s="56"/>
      <c r="AY1372" s="54"/>
    </row>
    <row r="1373" spans="1:51">
      <c r="A1373" s="53"/>
      <c r="B1373" s="56"/>
      <c r="C1373" s="90" t="s">
        <v>1079</v>
      </c>
      <c r="D1373" s="230" t="s">
        <v>1757</v>
      </c>
      <c r="E1373" s="68" t="s">
        <v>1080</v>
      </c>
      <c r="F1373" s="128" t="s">
        <v>1397</v>
      </c>
      <c r="G1373" s="128" t="s">
        <v>1397</v>
      </c>
      <c r="H1373" s="128" t="s">
        <v>1397</v>
      </c>
      <c r="I1373" s="128" t="s">
        <v>1397</v>
      </c>
      <c r="J1373" s="70">
        <v>0.9</v>
      </c>
      <c r="K1373" s="71">
        <v>1</v>
      </c>
      <c r="L1373" s="71">
        <v>1</v>
      </c>
      <c r="M1373" s="72">
        <v>1</v>
      </c>
      <c r="N1373" s="71">
        <v>0.99248120300751896</v>
      </c>
      <c r="O1373" s="73">
        <v>0.9</v>
      </c>
      <c r="P1373" s="71">
        <v>0.99510603588906998</v>
      </c>
      <c r="Q1373" s="71">
        <v>0.99290780141844004</v>
      </c>
      <c r="R1373" s="71">
        <v>0.98983253588516795</v>
      </c>
      <c r="S1373" s="71">
        <v>0.98963140203953703</v>
      </c>
      <c r="T1373" s="73">
        <v>0.9</v>
      </c>
      <c r="U1373" s="71">
        <v>0.96084828711256098</v>
      </c>
      <c r="V1373" s="71">
        <v>0.97163120567375905</v>
      </c>
      <c r="W1373" s="71">
        <v>0.95334928229665095</v>
      </c>
      <c r="X1373" s="71">
        <v>0.95573406255340998</v>
      </c>
      <c r="Y1373" s="73">
        <v>0.92</v>
      </c>
      <c r="Z1373" s="73">
        <v>0.97945845004668497</v>
      </c>
      <c r="AA1373" s="73">
        <v>0.98460144927536197</v>
      </c>
      <c r="AB1373" s="73">
        <v>0.98816568047337305</v>
      </c>
      <c r="AC1373" s="73">
        <v>0.98323840520748595</v>
      </c>
      <c r="AD1373" s="73">
        <v>0.92</v>
      </c>
      <c r="AE1373" s="71">
        <v>0.99913269731136201</v>
      </c>
      <c r="AF1373" s="71">
        <v>0.99535962877030204</v>
      </c>
      <c r="AG1373" s="71">
        <v>0.99617346938775497</v>
      </c>
      <c r="AH1373" s="71">
        <v>0.99728645587541298</v>
      </c>
      <c r="AI1373" s="73">
        <v>0.92</v>
      </c>
      <c r="AJ1373" s="71">
        <v>0.98606878537222498</v>
      </c>
      <c r="AK1373" s="71">
        <v>0.98806682577565597</v>
      </c>
      <c r="AL1373" s="71">
        <v>0.99032017870439304</v>
      </c>
      <c r="AM1373" s="71">
        <v>0.98897711662813703</v>
      </c>
      <c r="AN1373" s="70">
        <v>0.99</v>
      </c>
      <c r="AO1373" s="75">
        <v>1</v>
      </c>
      <c r="AP1373" s="75">
        <v>1</v>
      </c>
      <c r="AQ1373" s="75">
        <v>1</v>
      </c>
      <c r="AR1373" s="75">
        <v>1</v>
      </c>
      <c r="AS1373" s="95">
        <v>7.2186152540827803E-2</v>
      </c>
      <c r="AT1373" s="79">
        <v>0</v>
      </c>
      <c r="AU1373" s="79">
        <v>0</v>
      </c>
      <c r="AV1373" s="79">
        <v>0</v>
      </c>
      <c r="AW1373" s="79">
        <v>5.8252427184466E-2</v>
      </c>
      <c r="AX1373" s="56"/>
      <c r="AY1373" s="54"/>
    </row>
    <row r="1374" spans="1:51">
      <c r="A1374" s="53"/>
      <c r="B1374" s="56"/>
      <c r="C1374" s="90" t="s">
        <v>1079</v>
      </c>
      <c r="D1374" s="230" t="s">
        <v>1757</v>
      </c>
      <c r="E1374" s="68" t="s">
        <v>1080</v>
      </c>
      <c r="F1374" s="128" t="s">
        <v>1398</v>
      </c>
      <c r="G1374" s="128" t="s">
        <v>1398</v>
      </c>
      <c r="H1374" s="128" t="s">
        <v>1398</v>
      </c>
      <c r="I1374" s="128" t="s">
        <v>1398</v>
      </c>
      <c r="J1374" s="70">
        <v>0.9</v>
      </c>
      <c r="K1374" s="71">
        <v>1</v>
      </c>
      <c r="L1374" s="71">
        <v>0.97297297297297303</v>
      </c>
      <c r="M1374" s="72">
        <v>0.92105263157894701</v>
      </c>
      <c r="N1374" s="71">
        <v>0.98387096774193505</v>
      </c>
      <c r="O1374" s="73">
        <v>0.9</v>
      </c>
      <c r="P1374" s="71">
        <v>0.99111549851924996</v>
      </c>
      <c r="Q1374" s="71">
        <v>0.96426956128448704</v>
      </c>
      <c r="R1374" s="71">
        <v>0.84297218155197695</v>
      </c>
      <c r="S1374" s="71">
        <v>0.95390561287806297</v>
      </c>
      <c r="T1374" s="73">
        <v>0.9</v>
      </c>
      <c r="U1374" s="71">
        <v>0.95557749259624902</v>
      </c>
      <c r="V1374" s="71">
        <v>0.94210764360018096</v>
      </c>
      <c r="W1374" s="71">
        <v>0.91800878477306003</v>
      </c>
      <c r="X1374" s="71">
        <v>0.94128284225082404</v>
      </c>
      <c r="Y1374" s="73">
        <v>0.92</v>
      </c>
      <c r="Z1374" s="73">
        <v>0.95384615384615401</v>
      </c>
      <c r="AA1374" s="73">
        <v>0.96333333333333304</v>
      </c>
      <c r="AB1374" s="73">
        <v>0.94836488812392405</v>
      </c>
      <c r="AC1374" s="73">
        <v>0.96227147083070697</v>
      </c>
      <c r="AD1374" s="73">
        <v>0.92</v>
      </c>
      <c r="AE1374" s="71">
        <v>1</v>
      </c>
      <c r="AF1374" s="71">
        <v>1</v>
      </c>
      <c r="AG1374" s="71">
        <v>0.99895287958115198</v>
      </c>
      <c r="AH1374" s="71">
        <v>0.99821913956322095</v>
      </c>
      <c r="AI1374" s="73">
        <v>0.92</v>
      </c>
      <c r="AJ1374" s="71">
        <v>0.96932870370370405</v>
      </c>
      <c r="AK1374" s="71">
        <v>0.97379406307977701</v>
      </c>
      <c r="AL1374" s="71">
        <v>0.966480446927374</v>
      </c>
      <c r="AM1374" s="71">
        <v>0.97562724014336899</v>
      </c>
      <c r="AN1374" s="70">
        <v>0.99</v>
      </c>
      <c r="AO1374" s="75">
        <v>1</v>
      </c>
      <c r="AP1374" s="75">
        <v>1</v>
      </c>
      <c r="AQ1374" s="75">
        <v>1</v>
      </c>
      <c r="AR1374" s="75">
        <v>1</v>
      </c>
      <c r="AS1374" s="95">
        <v>7.2186152540827803E-2</v>
      </c>
      <c r="AT1374" s="79">
        <v>0.11764705882352899</v>
      </c>
      <c r="AU1374" s="79">
        <v>0</v>
      </c>
      <c r="AV1374" s="79">
        <v>0</v>
      </c>
      <c r="AW1374" s="79">
        <v>4.6391752577319603E-2</v>
      </c>
      <c r="AX1374" s="56"/>
      <c r="AY1374" s="54"/>
    </row>
    <row r="1375" spans="1:51">
      <c r="A1375" s="53"/>
      <c r="B1375" s="56"/>
      <c r="C1375" s="90" t="s">
        <v>1079</v>
      </c>
      <c r="D1375" s="230" t="s">
        <v>1757</v>
      </c>
      <c r="E1375" s="68" t="s">
        <v>1080</v>
      </c>
      <c r="F1375" s="128" t="s">
        <v>1399</v>
      </c>
      <c r="G1375" s="128" t="s">
        <v>1399</v>
      </c>
      <c r="H1375" s="128" t="s">
        <v>1399</v>
      </c>
      <c r="I1375" s="128" t="s">
        <v>1399</v>
      </c>
      <c r="J1375" s="70">
        <v>0.9</v>
      </c>
      <c r="K1375" s="71">
        <v>1</v>
      </c>
      <c r="L1375" s="71">
        <v>1</v>
      </c>
      <c r="M1375" s="72">
        <v>0.94117647058823495</v>
      </c>
      <c r="N1375" s="71">
        <v>0.97938144329896903</v>
      </c>
      <c r="O1375" s="73">
        <v>0.9</v>
      </c>
      <c r="P1375" s="71">
        <v>0.98644067796610202</v>
      </c>
      <c r="Q1375" s="71">
        <v>0.99124726477024105</v>
      </c>
      <c r="R1375" s="71">
        <v>0.98421052631578898</v>
      </c>
      <c r="S1375" s="71">
        <v>0.98836542400655503</v>
      </c>
      <c r="T1375" s="73">
        <v>0.9</v>
      </c>
      <c r="U1375" s="71">
        <v>0.92429378531073403</v>
      </c>
      <c r="V1375" s="71">
        <v>0.91903719912472603</v>
      </c>
      <c r="W1375" s="71">
        <v>0.93157894736842095</v>
      </c>
      <c r="X1375" s="71">
        <v>0.92101597705858296</v>
      </c>
      <c r="Y1375" s="73">
        <v>0.92</v>
      </c>
      <c r="Z1375" s="73">
        <v>0.94944707740916301</v>
      </c>
      <c r="AA1375" s="73">
        <v>0.94618272841051299</v>
      </c>
      <c r="AB1375" s="73">
        <v>0.91525423728813604</v>
      </c>
      <c r="AC1375" s="73">
        <v>0.94837666376414997</v>
      </c>
      <c r="AD1375" s="73">
        <v>0.92</v>
      </c>
      <c r="AE1375" s="71">
        <v>0.99798590130916398</v>
      </c>
      <c r="AF1375" s="71">
        <v>0.98885350318471299</v>
      </c>
      <c r="AG1375" s="71">
        <v>0.99867021276595702</v>
      </c>
      <c r="AH1375" s="71">
        <v>0.99669457910974002</v>
      </c>
      <c r="AI1375" s="73">
        <v>0.92</v>
      </c>
      <c r="AJ1375" s="71">
        <v>0.96179183135704904</v>
      </c>
      <c r="AK1375" s="71">
        <v>0.95855224751897306</v>
      </c>
      <c r="AL1375" s="71">
        <v>0.94805194805194803</v>
      </c>
      <c r="AM1375" s="71">
        <v>0.96659111067310499</v>
      </c>
      <c r="AN1375" s="70">
        <v>0.99</v>
      </c>
      <c r="AO1375" s="75">
        <v>1</v>
      </c>
      <c r="AP1375" s="75">
        <v>1</v>
      </c>
      <c r="AQ1375" s="75">
        <v>1</v>
      </c>
      <c r="AR1375" s="75">
        <v>1</v>
      </c>
      <c r="AS1375" s="95">
        <v>7.2186152540827803E-2</v>
      </c>
      <c r="AT1375" s="79">
        <v>0</v>
      </c>
      <c r="AU1375" s="79">
        <v>0.18181818181818199</v>
      </c>
      <c r="AV1375" s="79">
        <v>0</v>
      </c>
      <c r="AW1375" s="79">
        <v>6.14035087719298E-2</v>
      </c>
      <c r="AX1375" s="56"/>
      <c r="AY1375" s="54"/>
    </row>
    <row r="1376" spans="1:51">
      <c r="A1376" s="53"/>
      <c r="B1376" s="56"/>
      <c r="C1376" s="90" t="s">
        <v>1079</v>
      </c>
      <c r="D1376" s="230" t="s">
        <v>1757</v>
      </c>
      <c r="E1376" s="68" t="s">
        <v>1080</v>
      </c>
      <c r="F1376" s="128" t="s">
        <v>1400</v>
      </c>
      <c r="G1376" s="128" t="s">
        <v>1400</v>
      </c>
      <c r="H1376" s="128" t="s">
        <v>1400</v>
      </c>
      <c r="I1376" s="128" t="s">
        <v>1400</v>
      </c>
      <c r="J1376" s="70">
        <v>0.9</v>
      </c>
      <c r="K1376" s="71">
        <v>0.92307692307692302</v>
      </c>
      <c r="L1376" s="71">
        <v>0.97560975609756095</v>
      </c>
      <c r="M1376" s="72">
        <v>0.87179487179487203</v>
      </c>
      <c r="N1376" s="71">
        <v>0.95454545454545503</v>
      </c>
      <c r="O1376" s="73">
        <v>0.9</v>
      </c>
      <c r="P1376" s="71">
        <v>0.95161290322580605</v>
      </c>
      <c r="Q1376" s="71">
        <v>0.98215992354252901</v>
      </c>
      <c r="R1376" s="71">
        <v>0.91487009397457197</v>
      </c>
      <c r="S1376" s="71">
        <v>0.95416688769826496</v>
      </c>
      <c r="T1376" s="73">
        <v>0.9</v>
      </c>
      <c r="U1376" s="71">
        <v>0.82554312047399603</v>
      </c>
      <c r="V1376" s="71">
        <v>0.87639375597323999</v>
      </c>
      <c r="W1376" s="71">
        <v>0.79159756771697098</v>
      </c>
      <c r="X1376" s="71">
        <v>0.85950347461673104</v>
      </c>
      <c r="Y1376" s="73">
        <v>0.92</v>
      </c>
      <c r="Z1376" s="73" t="s">
        <v>1710</v>
      </c>
      <c r="AA1376" s="73" t="s">
        <v>1710</v>
      </c>
      <c r="AB1376" s="73" t="s">
        <v>1710</v>
      </c>
      <c r="AC1376" s="73" t="s">
        <v>1710</v>
      </c>
      <c r="AD1376" s="73">
        <v>0.92</v>
      </c>
      <c r="AE1376" s="71">
        <v>1</v>
      </c>
      <c r="AF1376" s="71">
        <v>1</v>
      </c>
      <c r="AG1376" s="71">
        <v>1</v>
      </c>
      <c r="AH1376" s="71">
        <v>1</v>
      </c>
      <c r="AI1376" s="73">
        <v>0.92</v>
      </c>
      <c r="AJ1376" s="71">
        <v>0.96148782093482599</v>
      </c>
      <c r="AK1376" s="71">
        <v>0.97164702134437697</v>
      </c>
      <c r="AL1376" s="71">
        <v>0.96406854615809801</v>
      </c>
      <c r="AM1376" s="71">
        <v>0.96859583045992304</v>
      </c>
      <c r="AN1376" s="70">
        <v>0.99</v>
      </c>
      <c r="AO1376" s="75">
        <v>1</v>
      </c>
      <c r="AP1376" s="75">
        <v>1</v>
      </c>
      <c r="AQ1376" s="75">
        <v>1</v>
      </c>
      <c r="AR1376" s="75">
        <v>1</v>
      </c>
      <c r="AS1376" s="95">
        <v>7.2186152540827803E-2</v>
      </c>
      <c r="AT1376" s="79">
        <v>0</v>
      </c>
      <c r="AU1376" s="79">
        <v>0</v>
      </c>
      <c r="AV1376" s="79">
        <v>0</v>
      </c>
      <c r="AW1376" s="79">
        <v>2.83018867924528E-2</v>
      </c>
      <c r="AX1376" s="56"/>
      <c r="AY1376" s="54"/>
    </row>
    <row r="1377" spans="1:51">
      <c r="A1377" s="53"/>
      <c r="B1377" s="56"/>
      <c r="C1377" s="90" t="s">
        <v>1079</v>
      </c>
      <c r="D1377" s="230" t="s">
        <v>1757</v>
      </c>
      <c r="E1377" s="68" t="s">
        <v>1080</v>
      </c>
      <c r="F1377" s="128" t="s">
        <v>1401</v>
      </c>
      <c r="G1377" s="128" t="s">
        <v>1401</v>
      </c>
      <c r="H1377" s="128" t="s">
        <v>1401</v>
      </c>
      <c r="I1377" s="128" t="s">
        <v>1401</v>
      </c>
      <c r="J1377" s="70">
        <v>0.9</v>
      </c>
      <c r="K1377" s="71">
        <v>0.87878787878787901</v>
      </c>
      <c r="L1377" s="71">
        <v>0.97222222222222199</v>
      </c>
      <c r="M1377" s="72">
        <v>0.88888888888888895</v>
      </c>
      <c r="N1377" s="71">
        <v>0.94292803970223305</v>
      </c>
      <c r="O1377" s="73">
        <v>0.9</v>
      </c>
      <c r="P1377" s="71">
        <v>0.99047619047619095</v>
      </c>
      <c r="Q1377" s="71">
        <v>0.98921832884097005</v>
      </c>
      <c r="R1377" s="71">
        <v>0.95671867136386501</v>
      </c>
      <c r="S1377" s="71">
        <v>0.980959976075363</v>
      </c>
      <c r="T1377" s="73">
        <v>0.9</v>
      </c>
      <c r="U1377" s="71">
        <v>0.85714285714285698</v>
      </c>
      <c r="V1377" s="71">
        <v>0.93194070080862501</v>
      </c>
      <c r="W1377" s="71">
        <v>0.87971816809260195</v>
      </c>
      <c r="X1377" s="71">
        <v>0.89079399890345401</v>
      </c>
      <c r="Y1377" s="73">
        <v>0.92</v>
      </c>
      <c r="Z1377" s="73">
        <v>0.96261682242990698</v>
      </c>
      <c r="AA1377" s="73">
        <v>0.95919828203292801</v>
      </c>
      <c r="AB1377" s="73">
        <v>0.96055875102711596</v>
      </c>
      <c r="AC1377" s="73">
        <v>0.95935539075869902</v>
      </c>
      <c r="AD1377" s="73">
        <v>0.92</v>
      </c>
      <c r="AE1377" s="71">
        <v>1</v>
      </c>
      <c r="AF1377" s="71">
        <v>1</v>
      </c>
      <c r="AG1377" s="71">
        <v>0.99487836107554395</v>
      </c>
      <c r="AH1377" s="71">
        <v>0.99948607256655397</v>
      </c>
      <c r="AI1377" s="73">
        <v>0.92</v>
      </c>
      <c r="AJ1377" s="71">
        <v>0.96999588984792395</v>
      </c>
      <c r="AK1377" s="71">
        <v>0.96390142311697302</v>
      </c>
      <c r="AL1377" s="71">
        <v>0.97347066167290897</v>
      </c>
      <c r="AM1377" s="71">
        <v>0.97031126235808396</v>
      </c>
      <c r="AN1377" s="70">
        <v>0.99</v>
      </c>
      <c r="AO1377" s="75">
        <v>1</v>
      </c>
      <c r="AP1377" s="75">
        <v>1</v>
      </c>
      <c r="AQ1377" s="75">
        <v>1</v>
      </c>
      <c r="AR1377" s="75">
        <v>1</v>
      </c>
      <c r="AS1377" s="95">
        <v>7.2186152540827803E-2</v>
      </c>
      <c r="AT1377" s="79">
        <v>0</v>
      </c>
      <c r="AU1377" s="79">
        <v>0</v>
      </c>
      <c r="AV1377" s="79">
        <v>9.0909090909090898E-2</v>
      </c>
      <c r="AW1377" s="79">
        <v>7.0707070707070704E-2</v>
      </c>
      <c r="AX1377" s="56"/>
      <c r="AY1377" s="54"/>
    </row>
    <row r="1378" spans="1:51">
      <c r="A1378" s="53"/>
      <c r="B1378" s="56"/>
      <c r="C1378" s="90" t="s">
        <v>1079</v>
      </c>
      <c r="D1378" s="230" t="s">
        <v>1757</v>
      </c>
      <c r="E1378" s="68" t="s">
        <v>1080</v>
      </c>
      <c r="F1378" s="128" t="s">
        <v>1402</v>
      </c>
      <c r="G1378" s="128" t="s">
        <v>1402</v>
      </c>
      <c r="H1378" s="128" t="s">
        <v>1402</v>
      </c>
      <c r="I1378" s="128" t="s">
        <v>1402</v>
      </c>
      <c r="J1378" s="70">
        <v>0.9</v>
      </c>
      <c r="K1378" s="71">
        <v>0.934782608695652</v>
      </c>
      <c r="L1378" s="71">
        <v>0.90566037735849103</v>
      </c>
      <c r="M1378" s="72">
        <v>0.92592592592592604</v>
      </c>
      <c r="N1378" s="71">
        <v>0.93571428571428605</v>
      </c>
      <c r="O1378" s="73">
        <v>0.9</v>
      </c>
      <c r="P1378" s="71">
        <v>0.96399999999999997</v>
      </c>
      <c r="Q1378" s="71">
        <v>0.90995106035889095</v>
      </c>
      <c r="R1378" s="71">
        <v>0.94945636203350003</v>
      </c>
      <c r="S1378" s="71">
        <v>0.92387209811651305</v>
      </c>
      <c r="T1378" s="73">
        <v>0.9</v>
      </c>
      <c r="U1378" s="71">
        <v>0.89566666666666706</v>
      </c>
      <c r="V1378" s="71">
        <v>0.88156606851549801</v>
      </c>
      <c r="W1378" s="71">
        <v>0.89186012342051102</v>
      </c>
      <c r="X1378" s="71">
        <v>0.89002774127609896</v>
      </c>
      <c r="Y1378" s="73">
        <v>0.92</v>
      </c>
      <c r="Z1378" s="73">
        <v>0</v>
      </c>
      <c r="AA1378" s="73" t="s">
        <v>1710</v>
      </c>
      <c r="AB1378" s="73" t="s">
        <v>1710</v>
      </c>
      <c r="AC1378" s="73">
        <v>0</v>
      </c>
      <c r="AD1378" s="73">
        <v>0.92</v>
      </c>
      <c r="AE1378" s="71">
        <v>0.998046875</v>
      </c>
      <c r="AF1378" s="71">
        <v>0.99065420560747697</v>
      </c>
      <c r="AG1378" s="71">
        <v>0.99232736572890001</v>
      </c>
      <c r="AH1378" s="71">
        <v>0.99466975666280399</v>
      </c>
      <c r="AI1378" s="73">
        <v>0.92</v>
      </c>
      <c r="AJ1378" s="71">
        <v>0.95309381237524904</v>
      </c>
      <c r="AK1378" s="71">
        <v>0.95216548157724601</v>
      </c>
      <c r="AL1378" s="71">
        <v>0.94829612220916604</v>
      </c>
      <c r="AM1378" s="71">
        <v>0.951751699191972</v>
      </c>
      <c r="AN1378" s="70">
        <v>0.99</v>
      </c>
      <c r="AO1378" s="75">
        <v>1</v>
      </c>
      <c r="AP1378" s="75">
        <v>1</v>
      </c>
      <c r="AQ1378" s="75">
        <v>1</v>
      </c>
      <c r="AR1378" s="75">
        <v>1</v>
      </c>
      <c r="AS1378" s="95">
        <v>7.2186152540827803E-2</v>
      </c>
      <c r="AT1378" s="79">
        <v>0</v>
      </c>
      <c r="AU1378" s="79">
        <v>0</v>
      </c>
      <c r="AV1378" s="79">
        <v>9.0909090909090898E-2</v>
      </c>
      <c r="AW1378" s="79">
        <v>4.5871559633027498E-2</v>
      </c>
      <c r="AX1378" s="56"/>
      <c r="AY1378" s="54"/>
    </row>
    <row r="1379" spans="1:51">
      <c r="A1379" s="53"/>
      <c r="B1379" s="56"/>
      <c r="C1379" s="90" t="s">
        <v>1079</v>
      </c>
      <c r="D1379" s="230" t="s">
        <v>1757</v>
      </c>
      <c r="E1379" s="68" t="s">
        <v>1080</v>
      </c>
      <c r="F1379" s="128" t="s">
        <v>1403</v>
      </c>
      <c r="G1379" s="128" t="s">
        <v>1403</v>
      </c>
      <c r="H1379" s="128" t="s">
        <v>1403</v>
      </c>
      <c r="I1379" s="128" t="s">
        <v>1403</v>
      </c>
      <c r="J1379" s="70">
        <v>0.9</v>
      </c>
      <c r="K1379" s="71">
        <v>0.91428571428571404</v>
      </c>
      <c r="L1379" s="71">
        <v>1</v>
      </c>
      <c r="M1379" s="72">
        <v>1</v>
      </c>
      <c r="N1379" s="71">
        <v>0.96674584323040402</v>
      </c>
      <c r="O1379" s="73">
        <v>0.9</v>
      </c>
      <c r="P1379" s="71">
        <v>0.94223412394797201</v>
      </c>
      <c r="Q1379" s="71">
        <v>0.94230769230769196</v>
      </c>
      <c r="R1379" s="71">
        <v>0.97176079734219301</v>
      </c>
      <c r="S1379" s="71">
        <v>0.94459807073955004</v>
      </c>
      <c r="T1379" s="73">
        <v>0.9</v>
      </c>
      <c r="U1379" s="71">
        <v>0.89250191277735302</v>
      </c>
      <c r="V1379" s="71">
        <v>0.90902366863905304</v>
      </c>
      <c r="W1379" s="71">
        <v>0.91893687707641203</v>
      </c>
      <c r="X1379" s="71">
        <v>0.90784565916398696</v>
      </c>
      <c r="Y1379" s="73">
        <v>0.92</v>
      </c>
      <c r="Z1379" s="73" t="s">
        <v>1710</v>
      </c>
      <c r="AA1379" s="73">
        <v>0</v>
      </c>
      <c r="AB1379" s="73" t="s">
        <v>1710</v>
      </c>
      <c r="AC1379" s="73">
        <v>0</v>
      </c>
      <c r="AD1379" s="73">
        <v>0.92</v>
      </c>
      <c r="AE1379" s="71">
        <v>0.99649122807017498</v>
      </c>
      <c r="AF1379" s="71">
        <v>1</v>
      </c>
      <c r="AG1379" s="71">
        <v>0.99209486166007899</v>
      </c>
      <c r="AH1379" s="71">
        <v>0.99629801018047204</v>
      </c>
      <c r="AI1379" s="73">
        <v>0.92</v>
      </c>
      <c r="AJ1379" s="71">
        <v>0.95026778882938001</v>
      </c>
      <c r="AK1379" s="71">
        <v>0.96303142329020297</v>
      </c>
      <c r="AL1379" s="71">
        <v>0.96910299003322298</v>
      </c>
      <c r="AM1379" s="71">
        <v>0.96263785730362394</v>
      </c>
      <c r="AN1379" s="70">
        <v>0.99</v>
      </c>
      <c r="AO1379" s="75">
        <v>1</v>
      </c>
      <c r="AP1379" s="75">
        <v>1</v>
      </c>
      <c r="AQ1379" s="75">
        <v>1</v>
      </c>
      <c r="AR1379" s="75">
        <v>1</v>
      </c>
      <c r="AS1379" s="95">
        <v>7.2186152540827803E-2</v>
      </c>
      <c r="AT1379" s="79">
        <v>0</v>
      </c>
      <c r="AU1379" s="79">
        <v>0.16666666666666699</v>
      </c>
      <c r="AV1379" s="79">
        <v>0</v>
      </c>
      <c r="AW1379" s="79">
        <v>4.95049504950495E-2</v>
      </c>
      <c r="AX1379" s="56"/>
      <c r="AY1379" s="54"/>
    </row>
    <row r="1380" spans="1:51">
      <c r="A1380" s="53"/>
      <c r="B1380" s="56"/>
      <c r="C1380" s="90" t="s">
        <v>1079</v>
      </c>
      <c r="D1380" s="230" t="s">
        <v>1757</v>
      </c>
      <c r="E1380" s="68" t="s">
        <v>1080</v>
      </c>
      <c r="F1380" s="128" t="s">
        <v>1404</v>
      </c>
      <c r="G1380" s="128" t="s">
        <v>1404</v>
      </c>
      <c r="H1380" s="128" t="s">
        <v>1404</v>
      </c>
      <c r="I1380" s="128" t="s">
        <v>1404</v>
      </c>
      <c r="J1380" s="70">
        <v>0.9</v>
      </c>
      <c r="K1380" s="71">
        <v>1</v>
      </c>
      <c r="L1380" s="71">
        <v>1</v>
      </c>
      <c r="M1380" s="72">
        <v>1</v>
      </c>
      <c r="N1380" s="71">
        <v>0.99142857142857099</v>
      </c>
      <c r="O1380" s="73">
        <v>0.9</v>
      </c>
      <c r="P1380" s="71">
        <v>0.98471440064360405</v>
      </c>
      <c r="Q1380" s="71">
        <v>0.985979381443299</v>
      </c>
      <c r="R1380" s="71">
        <v>0.98936924167257301</v>
      </c>
      <c r="S1380" s="71">
        <v>0.97499398893964895</v>
      </c>
      <c r="T1380" s="73">
        <v>0.9</v>
      </c>
      <c r="U1380" s="71">
        <v>0.81375703942075595</v>
      </c>
      <c r="V1380" s="71">
        <v>0.93731958762886602</v>
      </c>
      <c r="W1380" s="71">
        <v>0.89794472005669701</v>
      </c>
      <c r="X1380" s="71">
        <v>0.88723250781437801</v>
      </c>
      <c r="Y1380" s="73">
        <v>0.92</v>
      </c>
      <c r="Z1380" s="73" t="s">
        <v>1710</v>
      </c>
      <c r="AA1380" s="73" t="s">
        <v>1710</v>
      </c>
      <c r="AB1380" s="73" t="s">
        <v>1710</v>
      </c>
      <c r="AC1380" s="73" t="s">
        <v>1710</v>
      </c>
      <c r="AD1380" s="73">
        <v>0.92</v>
      </c>
      <c r="AE1380" s="71">
        <v>1</v>
      </c>
      <c r="AF1380" s="71">
        <v>0.97983870967741904</v>
      </c>
      <c r="AG1380" s="71">
        <v>0.99393939393939401</v>
      </c>
      <c r="AH1380" s="71">
        <v>0.994813767090995</v>
      </c>
      <c r="AI1380" s="73">
        <v>0.92</v>
      </c>
      <c r="AJ1380" s="71">
        <v>0.94489139179404702</v>
      </c>
      <c r="AK1380" s="71">
        <v>0.966185567010309</v>
      </c>
      <c r="AL1380" s="71">
        <v>0.97661233167966</v>
      </c>
      <c r="AM1380" s="71">
        <v>0.97200563322227196</v>
      </c>
      <c r="AN1380" s="70">
        <v>0.99</v>
      </c>
      <c r="AO1380" s="75">
        <v>1</v>
      </c>
      <c r="AP1380" s="75">
        <v>1</v>
      </c>
      <c r="AQ1380" s="75">
        <v>1</v>
      </c>
      <c r="AR1380" s="75">
        <v>1</v>
      </c>
      <c r="AS1380" s="95">
        <v>7.2186152540827803E-2</v>
      </c>
      <c r="AT1380" s="79">
        <v>0.14285714285714299</v>
      </c>
      <c r="AU1380" s="79">
        <v>0.11111111111111099</v>
      </c>
      <c r="AV1380" s="79">
        <v>0.18181818181818199</v>
      </c>
      <c r="AW1380" s="79">
        <v>0.1</v>
      </c>
      <c r="AX1380" s="56"/>
      <c r="AY1380" s="54"/>
    </row>
    <row r="1381" spans="1:51">
      <c r="A1381" s="53"/>
      <c r="B1381" s="56"/>
      <c r="C1381" s="90" t="s">
        <v>1079</v>
      </c>
      <c r="D1381" s="230" t="s">
        <v>1757</v>
      </c>
      <c r="E1381" s="68" t="s">
        <v>1080</v>
      </c>
      <c r="F1381" s="128" t="s">
        <v>1405</v>
      </c>
      <c r="G1381" s="128" t="s">
        <v>1405</v>
      </c>
      <c r="H1381" s="128" t="s">
        <v>1405</v>
      </c>
      <c r="I1381" s="128" t="s">
        <v>1405</v>
      </c>
      <c r="J1381" s="70">
        <v>0.9</v>
      </c>
      <c r="K1381" s="71">
        <v>1</v>
      </c>
      <c r="L1381" s="71">
        <v>1</v>
      </c>
      <c r="M1381" s="72">
        <v>1</v>
      </c>
      <c r="N1381" s="71">
        <v>1</v>
      </c>
      <c r="O1381" s="73">
        <v>0.9</v>
      </c>
      <c r="P1381" s="71">
        <v>0.95888888888888901</v>
      </c>
      <c r="Q1381" s="71">
        <v>0.97373188405797095</v>
      </c>
      <c r="R1381" s="71">
        <v>0.966567607726597</v>
      </c>
      <c r="S1381" s="71">
        <v>0.97562252299409302</v>
      </c>
      <c r="T1381" s="73">
        <v>0.9</v>
      </c>
      <c r="U1381" s="71">
        <v>0.92777777777777803</v>
      </c>
      <c r="V1381" s="71">
        <v>0.96286231884058004</v>
      </c>
      <c r="W1381" s="71">
        <v>0.95468053491827598</v>
      </c>
      <c r="X1381" s="71">
        <v>0.95558214312420597</v>
      </c>
      <c r="Y1381" s="73">
        <v>0.92</v>
      </c>
      <c r="Z1381" s="73">
        <v>0.93820224719101097</v>
      </c>
      <c r="AA1381" s="73">
        <v>0.96010879419764295</v>
      </c>
      <c r="AB1381" s="73">
        <v>0.96850393700787396</v>
      </c>
      <c r="AC1381" s="73">
        <v>0.96576096934092204</v>
      </c>
      <c r="AD1381" s="73">
        <v>0.92</v>
      </c>
      <c r="AE1381" s="71">
        <v>1</v>
      </c>
      <c r="AF1381" s="71">
        <v>1</v>
      </c>
      <c r="AG1381" s="71">
        <v>1</v>
      </c>
      <c r="AH1381" s="71">
        <v>0.99876665022200295</v>
      </c>
      <c r="AI1381" s="73">
        <v>0.92</v>
      </c>
      <c r="AJ1381" s="71">
        <v>0.96153846153846201</v>
      </c>
      <c r="AK1381" s="71">
        <v>0.97598550067965595</v>
      </c>
      <c r="AL1381" s="71">
        <v>0.98255033557047</v>
      </c>
      <c r="AM1381" s="71">
        <v>0.98022005192236406</v>
      </c>
      <c r="AN1381" s="70">
        <v>0.99</v>
      </c>
      <c r="AO1381" s="75">
        <v>1</v>
      </c>
      <c r="AP1381" s="75">
        <v>1</v>
      </c>
      <c r="AQ1381" s="75">
        <v>1</v>
      </c>
      <c r="AR1381" s="75">
        <v>1</v>
      </c>
      <c r="AS1381" s="95">
        <v>7.2186152540827803E-2</v>
      </c>
      <c r="AT1381" s="79">
        <v>0</v>
      </c>
      <c r="AU1381" s="79">
        <v>0</v>
      </c>
      <c r="AV1381" s="79">
        <v>0</v>
      </c>
      <c r="AW1381" s="79">
        <v>0</v>
      </c>
      <c r="AX1381" s="56"/>
      <c r="AY1381" s="54"/>
    </row>
    <row r="1382" spans="1:51">
      <c r="A1382" s="53"/>
      <c r="B1382" s="56"/>
      <c r="C1382" s="90" t="s">
        <v>1079</v>
      </c>
      <c r="D1382" s="230" t="s">
        <v>1757</v>
      </c>
      <c r="E1382" s="68" t="s">
        <v>1080</v>
      </c>
      <c r="F1382" s="128" t="s">
        <v>1406</v>
      </c>
      <c r="G1382" s="128" t="s">
        <v>1406</v>
      </c>
      <c r="H1382" s="128" t="s">
        <v>1406</v>
      </c>
      <c r="I1382" s="128" t="s">
        <v>1406</v>
      </c>
      <c r="J1382" s="70">
        <v>0.9</v>
      </c>
      <c r="K1382" s="71">
        <v>0.92857142857142905</v>
      </c>
      <c r="L1382" s="71">
        <v>1</v>
      </c>
      <c r="M1382" s="72">
        <v>1</v>
      </c>
      <c r="N1382" s="71">
        <v>0.97740112994350303</v>
      </c>
      <c r="O1382" s="73">
        <v>0.9</v>
      </c>
      <c r="P1382" s="71">
        <v>0.925039872408293</v>
      </c>
      <c r="Q1382" s="71">
        <v>0.98107714701601201</v>
      </c>
      <c r="R1382" s="71">
        <v>0.98212290502793298</v>
      </c>
      <c r="S1382" s="71">
        <v>0.95567217507816005</v>
      </c>
      <c r="T1382" s="73">
        <v>0.9</v>
      </c>
      <c r="U1382" s="71">
        <v>0.89154704944178598</v>
      </c>
      <c r="V1382" s="71">
        <v>0.93740902474526899</v>
      </c>
      <c r="W1382" s="71">
        <v>0.94972067039106101</v>
      </c>
      <c r="X1382" s="71">
        <v>0.92295667708798601</v>
      </c>
      <c r="Y1382" s="73">
        <v>0.92</v>
      </c>
      <c r="Z1382" s="73">
        <v>0.95573440643863194</v>
      </c>
      <c r="AA1382" s="73">
        <v>0.96797153024910998</v>
      </c>
      <c r="AB1382" s="73">
        <v>0.94269870609981499</v>
      </c>
      <c r="AC1382" s="73">
        <v>0.96401599289204798</v>
      </c>
      <c r="AD1382" s="73">
        <v>0.92</v>
      </c>
      <c r="AE1382" s="71">
        <v>1</v>
      </c>
      <c r="AF1382" s="71">
        <v>1</v>
      </c>
      <c r="AG1382" s="71">
        <v>1</v>
      </c>
      <c r="AH1382" s="71">
        <v>0.99977777777777799</v>
      </c>
      <c r="AI1382" s="73">
        <v>0.92</v>
      </c>
      <c r="AJ1382" s="71">
        <v>0.96797153024910998</v>
      </c>
      <c r="AK1382" s="71">
        <v>0.97598078462770199</v>
      </c>
      <c r="AL1382" s="71">
        <v>0.96520528879610301</v>
      </c>
      <c r="AM1382" s="71">
        <v>0.97638446849140703</v>
      </c>
      <c r="AN1382" s="70">
        <v>0.99</v>
      </c>
      <c r="AO1382" s="75">
        <v>1</v>
      </c>
      <c r="AP1382" s="75">
        <v>1</v>
      </c>
      <c r="AQ1382" s="75">
        <v>1</v>
      </c>
      <c r="AR1382" s="75">
        <v>1</v>
      </c>
      <c r="AS1382" s="95">
        <v>7.2186152540827803E-2</v>
      </c>
      <c r="AT1382" s="79">
        <v>0</v>
      </c>
      <c r="AU1382" s="79">
        <v>0</v>
      </c>
      <c r="AV1382" s="79">
        <v>0.14285714285714299</v>
      </c>
      <c r="AW1382" s="79">
        <v>2.2222222222222199E-2</v>
      </c>
      <c r="AX1382" s="56"/>
      <c r="AY1382" s="54"/>
    </row>
    <row r="1383" spans="1:51">
      <c r="A1383" s="53"/>
      <c r="B1383" s="56"/>
      <c r="C1383" s="90" t="s">
        <v>1079</v>
      </c>
      <c r="D1383" s="230" t="s">
        <v>1757</v>
      </c>
      <c r="E1383" s="68" t="s">
        <v>1080</v>
      </c>
      <c r="F1383" s="128" t="s">
        <v>1407</v>
      </c>
      <c r="G1383" s="128" t="s">
        <v>1407</v>
      </c>
      <c r="H1383" s="128" t="s">
        <v>1407</v>
      </c>
      <c r="I1383" s="128" t="s">
        <v>1407</v>
      </c>
      <c r="J1383" s="70">
        <v>0.9</v>
      </c>
      <c r="K1383" s="71">
        <v>0.72222222222222199</v>
      </c>
      <c r="L1383" s="71">
        <v>0.90243902439024404</v>
      </c>
      <c r="M1383" s="72">
        <v>1</v>
      </c>
      <c r="N1383" s="71">
        <v>0.931034482758621</v>
      </c>
      <c r="O1383" s="73">
        <v>0.9</v>
      </c>
      <c r="P1383" s="71">
        <v>0.95007663674184395</v>
      </c>
      <c r="Q1383" s="71">
        <v>0.953230908269318</v>
      </c>
      <c r="R1383" s="71">
        <v>0.91162880246438205</v>
      </c>
      <c r="S1383" s="71">
        <v>0.93972962139707805</v>
      </c>
      <c r="T1383" s="73">
        <v>0.9</v>
      </c>
      <c r="U1383" s="71">
        <v>0.88811035690825502</v>
      </c>
      <c r="V1383" s="71">
        <v>0.87980117487573395</v>
      </c>
      <c r="W1383" s="71">
        <v>0.85232961108971905</v>
      </c>
      <c r="X1383" s="71">
        <v>0.88672885617461605</v>
      </c>
      <c r="Y1383" s="73">
        <v>0.92</v>
      </c>
      <c r="Z1383" s="73">
        <v>0</v>
      </c>
      <c r="AA1383" s="73">
        <v>0</v>
      </c>
      <c r="AB1383" s="73" t="s">
        <v>1710</v>
      </c>
      <c r="AC1383" s="73">
        <v>0</v>
      </c>
      <c r="AD1383" s="73">
        <v>0.92</v>
      </c>
      <c r="AE1383" s="71">
        <v>0.99627143922445904</v>
      </c>
      <c r="AF1383" s="71">
        <v>0.99052880820836597</v>
      </c>
      <c r="AG1383" s="71">
        <v>0.96063960639606405</v>
      </c>
      <c r="AH1383" s="71">
        <v>0.98485184364146905</v>
      </c>
      <c r="AI1383" s="73">
        <v>0.92</v>
      </c>
      <c r="AJ1383" s="71">
        <v>0.95863427445830596</v>
      </c>
      <c r="AK1383" s="71">
        <v>0.96431797651309803</v>
      </c>
      <c r="AL1383" s="71">
        <v>0.95591066615325404</v>
      </c>
      <c r="AM1383" s="71">
        <v>0.96904718527964995</v>
      </c>
      <c r="AN1383" s="70">
        <v>0.99</v>
      </c>
      <c r="AO1383" s="75">
        <v>1</v>
      </c>
      <c r="AP1383" s="75">
        <v>1</v>
      </c>
      <c r="AQ1383" s="75">
        <v>1</v>
      </c>
      <c r="AR1383" s="75">
        <v>1</v>
      </c>
      <c r="AS1383" s="95">
        <v>7.2186152540827803E-2</v>
      </c>
      <c r="AT1383" s="79">
        <v>0.15384615384615399</v>
      </c>
      <c r="AU1383" s="79">
        <v>0</v>
      </c>
      <c r="AV1383" s="79">
        <v>5.5555555555555601E-2</v>
      </c>
      <c r="AW1383" s="79">
        <v>3.5714285714285698E-2</v>
      </c>
      <c r="AX1383" s="56"/>
      <c r="AY1383" s="54"/>
    </row>
    <row r="1384" spans="1:51">
      <c r="A1384" s="53"/>
      <c r="B1384" s="56"/>
      <c r="C1384" s="90" t="s">
        <v>1079</v>
      </c>
      <c r="D1384" s="230" t="s">
        <v>1757</v>
      </c>
      <c r="E1384" s="68" t="s">
        <v>1080</v>
      </c>
      <c r="F1384" s="128" t="s">
        <v>1408</v>
      </c>
      <c r="G1384" s="128" t="s">
        <v>1408</v>
      </c>
      <c r="H1384" s="128" t="s">
        <v>1408</v>
      </c>
      <c r="I1384" s="128" t="s">
        <v>1408</v>
      </c>
      <c r="J1384" s="70">
        <v>0.9</v>
      </c>
      <c r="K1384" s="71">
        <v>0.95</v>
      </c>
      <c r="L1384" s="71">
        <v>0.98484848484848497</v>
      </c>
      <c r="M1384" s="72">
        <v>0.98387096774193505</v>
      </c>
      <c r="N1384" s="71">
        <v>0.96799999999999997</v>
      </c>
      <c r="O1384" s="73">
        <v>0.9</v>
      </c>
      <c r="P1384" s="71">
        <v>0.97460129946839902</v>
      </c>
      <c r="Q1384" s="71">
        <v>0.97821034282394004</v>
      </c>
      <c r="R1384" s="71">
        <v>0.97138933394369398</v>
      </c>
      <c r="S1384" s="71">
        <v>0.97707406669764796</v>
      </c>
      <c r="T1384" s="73">
        <v>0.9</v>
      </c>
      <c r="U1384" s="71">
        <v>0.92468989958653303</v>
      </c>
      <c r="V1384" s="71">
        <v>0.94276583381754797</v>
      </c>
      <c r="W1384" s="71">
        <v>0.92034790569924496</v>
      </c>
      <c r="X1384" s="71">
        <v>0.93347938657637897</v>
      </c>
      <c r="Y1384" s="73">
        <v>0.92</v>
      </c>
      <c r="Z1384" s="73">
        <v>0.94268774703557301</v>
      </c>
      <c r="AA1384" s="73">
        <v>0.93821712268314195</v>
      </c>
      <c r="AB1384" s="73">
        <v>0.93331110370123405</v>
      </c>
      <c r="AC1384" s="73">
        <v>0.945569728132724</v>
      </c>
      <c r="AD1384" s="73">
        <v>0.92</v>
      </c>
      <c r="AE1384" s="71">
        <v>0.99800319488817901</v>
      </c>
      <c r="AF1384" s="71">
        <v>0.995288574793875</v>
      </c>
      <c r="AG1384" s="71">
        <v>0.99650872817955105</v>
      </c>
      <c r="AH1384" s="71">
        <v>0.99539072169348297</v>
      </c>
      <c r="AI1384" s="73">
        <v>0.92</v>
      </c>
      <c r="AJ1384" s="71">
        <v>0.95571331981068297</v>
      </c>
      <c r="AK1384" s="71">
        <v>0.95615957913196004</v>
      </c>
      <c r="AL1384" s="71">
        <v>0.95263300760043401</v>
      </c>
      <c r="AM1384" s="71">
        <v>0.96374333014092195</v>
      </c>
      <c r="AN1384" s="70">
        <v>0.99</v>
      </c>
      <c r="AO1384" s="75">
        <v>1</v>
      </c>
      <c r="AP1384" s="75">
        <v>1</v>
      </c>
      <c r="AQ1384" s="75">
        <v>1</v>
      </c>
      <c r="AR1384" s="75">
        <v>1</v>
      </c>
      <c r="AS1384" s="95">
        <v>7.2186152540827803E-2</v>
      </c>
      <c r="AT1384" s="79">
        <v>4.3478260869565202E-2</v>
      </c>
      <c r="AU1384" s="79">
        <v>2.04081632653061E-2</v>
      </c>
      <c r="AV1384" s="79">
        <v>5.1724137931034503E-2</v>
      </c>
      <c r="AW1384" s="79">
        <v>2.55536626916525E-2</v>
      </c>
      <c r="AX1384" s="56"/>
      <c r="AY1384" s="54"/>
    </row>
    <row r="1385" spans="1:51">
      <c r="A1385" s="53"/>
      <c r="B1385" s="56"/>
      <c r="C1385" s="90" t="s">
        <v>1079</v>
      </c>
      <c r="D1385" s="230" t="s">
        <v>1757</v>
      </c>
      <c r="E1385" s="68" t="s">
        <v>1080</v>
      </c>
      <c r="F1385" s="128" t="s">
        <v>1409</v>
      </c>
      <c r="G1385" s="128" t="s">
        <v>1409</v>
      </c>
      <c r="H1385" s="128" t="s">
        <v>1409</v>
      </c>
      <c r="I1385" s="128" t="s">
        <v>1409</v>
      </c>
      <c r="J1385" s="70">
        <v>0.9</v>
      </c>
      <c r="K1385" s="71">
        <v>0.931034482758621</v>
      </c>
      <c r="L1385" s="71">
        <v>0.93333333333333302</v>
      </c>
      <c r="M1385" s="72">
        <v>0.95081967213114704</v>
      </c>
      <c r="N1385" s="71">
        <v>0.93274853801169599</v>
      </c>
      <c r="O1385" s="73">
        <v>0.9</v>
      </c>
      <c r="P1385" s="71">
        <v>0.91578309603150598</v>
      </c>
      <c r="Q1385" s="71">
        <v>0.87274806977409203</v>
      </c>
      <c r="R1385" s="71">
        <v>0.86149026627880998</v>
      </c>
      <c r="S1385" s="71">
        <v>0.88150114906624399</v>
      </c>
      <c r="T1385" s="73">
        <v>0.9</v>
      </c>
      <c r="U1385" s="71">
        <v>0.79188124810663396</v>
      </c>
      <c r="V1385" s="71">
        <v>0.82527881040892204</v>
      </c>
      <c r="W1385" s="71">
        <v>0.77422242112329398</v>
      </c>
      <c r="X1385" s="71">
        <v>0.81226711885584202</v>
      </c>
      <c r="Y1385" s="73">
        <v>0.92</v>
      </c>
      <c r="Z1385" s="73">
        <v>0.88189619942787101</v>
      </c>
      <c r="AA1385" s="73">
        <v>0.87460454414725297</v>
      </c>
      <c r="AB1385" s="73">
        <v>0.84297520661156999</v>
      </c>
      <c r="AC1385" s="73">
        <v>0.90240868483546299</v>
      </c>
      <c r="AD1385" s="73">
        <v>0.92</v>
      </c>
      <c r="AE1385" s="71">
        <v>0.99228443332290694</v>
      </c>
      <c r="AF1385" s="71">
        <v>0.99393727410516497</v>
      </c>
      <c r="AG1385" s="71">
        <v>0.99500624219725298</v>
      </c>
      <c r="AH1385" s="71">
        <v>0.99474821260190305</v>
      </c>
      <c r="AI1385" s="73">
        <v>0.92</v>
      </c>
      <c r="AJ1385" s="71">
        <v>0.910577592205985</v>
      </c>
      <c r="AK1385" s="71">
        <v>0.91714449541284404</v>
      </c>
      <c r="AL1385" s="71">
        <v>0.90592473979183397</v>
      </c>
      <c r="AM1385" s="71">
        <v>0.93572559629939001</v>
      </c>
      <c r="AN1385" s="70">
        <v>0.99</v>
      </c>
      <c r="AO1385" s="75">
        <v>1</v>
      </c>
      <c r="AP1385" s="75">
        <v>1</v>
      </c>
      <c r="AQ1385" s="75">
        <v>1</v>
      </c>
      <c r="AR1385" s="75">
        <v>1</v>
      </c>
      <c r="AS1385" s="95">
        <v>7.2186152540827803E-2</v>
      </c>
      <c r="AT1385" s="79">
        <v>6.25E-2</v>
      </c>
      <c r="AU1385" s="79">
        <v>0.125</v>
      </c>
      <c r="AV1385" s="79">
        <v>5.5555555555555601E-2</v>
      </c>
      <c r="AW1385" s="79">
        <v>5.8441558441558399E-2</v>
      </c>
      <c r="AX1385" s="56"/>
      <c r="AY1385" s="54"/>
    </row>
    <row r="1386" spans="1:51">
      <c r="A1386" s="53"/>
      <c r="B1386" s="56"/>
      <c r="C1386" s="90" t="s">
        <v>1079</v>
      </c>
      <c r="D1386" s="230" t="s">
        <v>1757</v>
      </c>
      <c r="E1386" s="68" t="s">
        <v>1080</v>
      </c>
      <c r="F1386" s="128" t="s">
        <v>1410</v>
      </c>
      <c r="G1386" s="128" t="s">
        <v>1410</v>
      </c>
      <c r="H1386" s="128" t="s">
        <v>1410</v>
      </c>
      <c r="I1386" s="128" t="s">
        <v>1410</v>
      </c>
      <c r="J1386" s="70">
        <v>0.9</v>
      </c>
      <c r="K1386" s="71">
        <v>0.95348837209302295</v>
      </c>
      <c r="L1386" s="71">
        <v>0.95348837209302295</v>
      </c>
      <c r="M1386" s="72">
        <v>0.837209302325581</v>
      </c>
      <c r="N1386" s="71">
        <v>0.90392156862745099</v>
      </c>
      <c r="O1386" s="73">
        <v>0.9</v>
      </c>
      <c r="P1386" s="71">
        <v>0.95726495726495697</v>
      </c>
      <c r="Q1386" s="71">
        <v>0.95456224602881401</v>
      </c>
      <c r="R1386" s="71">
        <v>0.94290271132376402</v>
      </c>
      <c r="S1386" s="71">
        <v>0.94016904530968504</v>
      </c>
      <c r="T1386" s="73">
        <v>0.9</v>
      </c>
      <c r="U1386" s="71">
        <v>0.94916779127305395</v>
      </c>
      <c r="V1386" s="71">
        <v>0.95640930919837497</v>
      </c>
      <c r="W1386" s="71">
        <v>0.96618819776714504</v>
      </c>
      <c r="X1386" s="71">
        <v>0.96380767631980002</v>
      </c>
      <c r="Y1386" s="73">
        <v>0.92</v>
      </c>
      <c r="Z1386" s="73">
        <v>0.96364541832669304</v>
      </c>
      <c r="AA1386" s="73">
        <v>0.95756097560975595</v>
      </c>
      <c r="AB1386" s="73">
        <v>0.94203389830508499</v>
      </c>
      <c r="AC1386" s="73">
        <v>0.96299956516582996</v>
      </c>
      <c r="AD1386" s="73">
        <v>0.92</v>
      </c>
      <c r="AE1386" s="71">
        <v>0.99276934201012301</v>
      </c>
      <c r="AF1386" s="71">
        <v>0.99333333333333296</v>
      </c>
      <c r="AG1386" s="71">
        <v>0.99592944369063796</v>
      </c>
      <c r="AH1386" s="71">
        <v>0.99139240506329096</v>
      </c>
      <c r="AI1386" s="73">
        <v>0.92</v>
      </c>
      <c r="AJ1386" s="71">
        <v>0.96951075395887498</v>
      </c>
      <c r="AK1386" s="71">
        <v>0.96951860416228697</v>
      </c>
      <c r="AL1386" s="71">
        <v>0.96385740101856399</v>
      </c>
      <c r="AM1386" s="71">
        <v>0.97681919624676194</v>
      </c>
      <c r="AN1386" s="70">
        <v>0.99</v>
      </c>
      <c r="AO1386" s="75">
        <v>1</v>
      </c>
      <c r="AP1386" s="75">
        <v>1</v>
      </c>
      <c r="AQ1386" s="75">
        <v>1</v>
      </c>
      <c r="AR1386" s="75">
        <v>1</v>
      </c>
      <c r="AS1386" s="95">
        <v>7.2186152540827803E-2</v>
      </c>
      <c r="AT1386" s="79">
        <v>0</v>
      </c>
      <c r="AU1386" s="79">
        <v>-5.8823529411764698E-2</v>
      </c>
      <c r="AV1386" s="79">
        <v>6.8965517241379296E-2</v>
      </c>
      <c r="AW1386" s="79">
        <v>1.3157894736842099E-2</v>
      </c>
      <c r="AX1386" s="56"/>
      <c r="AY1386" s="54"/>
    </row>
    <row r="1387" spans="1:51">
      <c r="A1387" s="53"/>
      <c r="B1387" s="56"/>
      <c r="C1387" s="90" t="s">
        <v>1079</v>
      </c>
      <c r="D1387" s="230" t="s">
        <v>1757</v>
      </c>
      <c r="E1387" s="68" t="s">
        <v>1080</v>
      </c>
      <c r="F1387" s="128" t="s">
        <v>1411</v>
      </c>
      <c r="G1387" s="128" t="s">
        <v>1411</v>
      </c>
      <c r="H1387" s="128" t="s">
        <v>1411</v>
      </c>
      <c r="I1387" s="128" t="s">
        <v>1411</v>
      </c>
      <c r="J1387" s="70">
        <v>0.9</v>
      </c>
      <c r="K1387" s="71">
        <v>1</v>
      </c>
      <c r="L1387" s="71">
        <v>0.96875</v>
      </c>
      <c r="M1387" s="72">
        <v>1</v>
      </c>
      <c r="N1387" s="71">
        <v>0.98618784530386705</v>
      </c>
      <c r="O1387" s="73">
        <v>0.9</v>
      </c>
      <c r="P1387" s="71">
        <v>0.97824609109449401</v>
      </c>
      <c r="Q1387" s="71">
        <v>0.98711755233494403</v>
      </c>
      <c r="R1387" s="71">
        <v>0.98614429049211705</v>
      </c>
      <c r="S1387" s="71">
        <v>0.98511144773858506</v>
      </c>
      <c r="T1387" s="73">
        <v>0.9</v>
      </c>
      <c r="U1387" s="71">
        <v>0.965329707681849</v>
      </c>
      <c r="V1387" s="71">
        <v>0.96618357487922701</v>
      </c>
      <c r="W1387" s="71">
        <v>0.96846631629240298</v>
      </c>
      <c r="X1387" s="71">
        <v>0.97476736637091499</v>
      </c>
      <c r="Y1387" s="73">
        <v>0.92</v>
      </c>
      <c r="Z1387" s="73">
        <v>0.97880116959064301</v>
      </c>
      <c r="AA1387" s="73">
        <v>0.98628048780487798</v>
      </c>
      <c r="AB1387" s="73">
        <v>0.97884416924664597</v>
      </c>
      <c r="AC1387" s="73">
        <v>0.98176031337985104</v>
      </c>
      <c r="AD1387" s="73">
        <v>0.92</v>
      </c>
      <c r="AE1387" s="71">
        <v>1</v>
      </c>
      <c r="AF1387" s="71">
        <v>0.98431372549019602</v>
      </c>
      <c r="AG1387" s="71">
        <v>0.99712643678160895</v>
      </c>
      <c r="AH1387" s="71">
        <v>0.98800872093023295</v>
      </c>
      <c r="AI1387" s="73">
        <v>0.92</v>
      </c>
      <c r="AJ1387" s="71">
        <v>0.97957746478873198</v>
      </c>
      <c r="AK1387" s="71">
        <v>0.98551181102362195</v>
      </c>
      <c r="AL1387" s="71">
        <v>0.98064996278839001</v>
      </c>
      <c r="AM1387" s="71">
        <v>0.98719768797850205</v>
      </c>
      <c r="AN1387" s="70">
        <v>0.99</v>
      </c>
      <c r="AO1387" s="75">
        <v>1</v>
      </c>
      <c r="AP1387" s="75">
        <v>1</v>
      </c>
      <c r="AQ1387" s="75">
        <v>1</v>
      </c>
      <c r="AR1387" s="75">
        <v>1</v>
      </c>
      <c r="AS1387" s="95">
        <v>7.2186152540827803E-2</v>
      </c>
      <c r="AT1387" s="79">
        <v>0</v>
      </c>
      <c r="AU1387" s="79">
        <v>0</v>
      </c>
      <c r="AV1387" s="79">
        <v>0</v>
      </c>
      <c r="AW1387" s="79">
        <v>4.5454545454545497E-2</v>
      </c>
      <c r="AX1387" s="56"/>
      <c r="AY1387" s="54"/>
    </row>
    <row r="1388" spans="1:51">
      <c r="A1388" s="53"/>
      <c r="B1388" s="56"/>
      <c r="C1388" s="90" t="s">
        <v>1079</v>
      </c>
      <c r="D1388" s="230" t="s">
        <v>1757</v>
      </c>
      <c r="E1388" s="68" t="s">
        <v>1080</v>
      </c>
      <c r="F1388" s="128" t="s">
        <v>1412</v>
      </c>
      <c r="G1388" s="128" t="s">
        <v>1412</v>
      </c>
      <c r="H1388" s="128" t="s">
        <v>1412</v>
      </c>
      <c r="I1388" s="128" t="s">
        <v>1412</v>
      </c>
      <c r="J1388" s="70">
        <v>0.9</v>
      </c>
      <c r="K1388" s="71">
        <v>1</v>
      </c>
      <c r="L1388" s="71">
        <v>0.92105263157894701</v>
      </c>
      <c r="M1388" s="72">
        <v>0.97058823529411797</v>
      </c>
      <c r="N1388" s="71">
        <v>0.92610837438423599</v>
      </c>
      <c r="O1388" s="73">
        <v>0.9</v>
      </c>
      <c r="P1388" s="71">
        <v>0.98739164696611503</v>
      </c>
      <c r="Q1388" s="71">
        <v>0.97951273532668903</v>
      </c>
      <c r="R1388" s="71">
        <v>0.97902764537654896</v>
      </c>
      <c r="S1388" s="71">
        <v>0.98135037126575697</v>
      </c>
      <c r="T1388" s="73">
        <v>0.9</v>
      </c>
      <c r="U1388" s="71">
        <v>0.95429472025216699</v>
      </c>
      <c r="V1388" s="71">
        <v>0.95847176079734198</v>
      </c>
      <c r="W1388" s="71">
        <v>0.95376549094375596</v>
      </c>
      <c r="X1388" s="71">
        <v>0.962441719910205</v>
      </c>
      <c r="Y1388" s="73">
        <v>0.92</v>
      </c>
      <c r="Z1388" s="73">
        <v>0.96362286562732002</v>
      </c>
      <c r="AA1388" s="73">
        <v>0.96590909090909105</v>
      </c>
      <c r="AB1388" s="73">
        <v>0.97066262013151206</v>
      </c>
      <c r="AC1388" s="73">
        <v>0.97412100660360501</v>
      </c>
      <c r="AD1388" s="73">
        <v>0.92</v>
      </c>
      <c r="AE1388" s="71">
        <v>1</v>
      </c>
      <c r="AF1388" s="71">
        <v>1</v>
      </c>
      <c r="AG1388" s="71">
        <v>1</v>
      </c>
      <c r="AH1388" s="71">
        <v>0.97863573935602</v>
      </c>
      <c r="AI1388" s="73">
        <v>0.92</v>
      </c>
      <c r="AJ1388" s="71">
        <v>0.97477064220183496</v>
      </c>
      <c r="AK1388" s="71">
        <v>0.97888675623800403</v>
      </c>
      <c r="AL1388" s="71">
        <v>0.97938650306748498</v>
      </c>
      <c r="AM1388" s="71">
        <v>0.98371482176360203</v>
      </c>
      <c r="AN1388" s="70">
        <v>0.99</v>
      </c>
      <c r="AO1388" s="75">
        <v>1</v>
      </c>
      <c r="AP1388" s="75">
        <v>1</v>
      </c>
      <c r="AQ1388" s="75">
        <v>1</v>
      </c>
      <c r="AR1388" s="75">
        <v>1</v>
      </c>
      <c r="AS1388" s="95">
        <v>7.2186152540827803E-2</v>
      </c>
      <c r="AT1388" s="79">
        <v>0</v>
      </c>
      <c r="AU1388" s="79">
        <v>-0.11111111111111099</v>
      </c>
      <c r="AV1388" s="79">
        <v>0</v>
      </c>
      <c r="AW1388" s="79">
        <v>-2.1505376344085999E-2</v>
      </c>
      <c r="AX1388" s="56"/>
      <c r="AY1388" s="54"/>
    </row>
    <row r="1389" spans="1:51">
      <c r="A1389" s="53"/>
      <c r="B1389" s="56"/>
      <c r="C1389" s="90" t="s">
        <v>1079</v>
      </c>
      <c r="D1389" s="230" t="s">
        <v>1757</v>
      </c>
      <c r="E1389" s="68" t="s">
        <v>1080</v>
      </c>
      <c r="F1389" s="128" t="s">
        <v>1413</v>
      </c>
      <c r="G1389" s="128" t="s">
        <v>1413</v>
      </c>
      <c r="H1389" s="128" t="s">
        <v>1413</v>
      </c>
      <c r="I1389" s="128" t="s">
        <v>1413</v>
      </c>
      <c r="J1389" s="70">
        <v>0.9</v>
      </c>
      <c r="K1389" s="71">
        <v>0.93333333333333302</v>
      </c>
      <c r="L1389" s="71">
        <v>0.90322580645161299</v>
      </c>
      <c r="M1389" s="72">
        <v>0.90625</v>
      </c>
      <c r="N1389" s="71">
        <v>0.91740412979351005</v>
      </c>
      <c r="O1389" s="73">
        <v>0.9</v>
      </c>
      <c r="P1389" s="71">
        <v>0.97257769652650805</v>
      </c>
      <c r="Q1389" s="71">
        <v>0.96285289747399705</v>
      </c>
      <c r="R1389" s="71">
        <v>0.97977941176470595</v>
      </c>
      <c r="S1389" s="71">
        <v>0.96682733201020699</v>
      </c>
      <c r="T1389" s="73">
        <v>0.9</v>
      </c>
      <c r="U1389" s="71">
        <v>0.95338208409506398</v>
      </c>
      <c r="V1389" s="71">
        <v>0.94725111441307597</v>
      </c>
      <c r="W1389" s="71">
        <v>0.96017156862745101</v>
      </c>
      <c r="X1389" s="71">
        <v>0.9509498157074</v>
      </c>
      <c r="Y1389" s="73">
        <v>0.92</v>
      </c>
      <c r="Z1389" s="73">
        <v>0.94819611470860299</v>
      </c>
      <c r="AA1389" s="73">
        <v>0.95450049455984198</v>
      </c>
      <c r="AB1389" s="73">
        <v>0.94996525364836704</v>
      </c>
      <c r="AC1389" s="73">
        <v>0.95177149992195997</v>
      </c>
      <c r="AD1389" s="73">
        <v>0.92</v>
      </c>
      <c r="AE1389" s="71">
        <v>1</v>
      </c>
      <c r="AF1389" s="71">
        <v>1</v>
      </c>
      <c r="AG1389" s="71">
        <v>0.98773006134969299</v>
      </c>
      <c r="AH1389" s="71">
        <v>0.91607943625880806</v>
      </c>
      <c r="AI1389" s="73">
        <v>0.92</v>
      </c>
      <c r="AJ1389" s="71">
        <v>0.96413793103448298</v>
      </c>
      <c r="AK1389" s="71">
        <v>0.96987696224013598</v>
      </c>
      <c r="AL1389" s="71">
        <v>0.97004233148811503</v>
      </c>
      <c r="AM1389" s="71">
        <v>0.96994975204440204</v>
      </c>
      <c r="AN1389" s="70">
        <v>0.99</v>
      </c>
      <c r="AO1389" s="75">
        <v>1</v>
      </c>
      <c r="AP1389" s="75">
        <v>1</v>
      </c>
      <c r="AQ1389" s="75">
        <v>1</v>
      </c>
      <c r="AR1389" s="75">
        <v>1</v>
      </c>
      <c r="AS1389" s="95">
        <v>7.2186152540827803E-2</v>
      </c>
      <c r="AT1389" s="79">
        <v>0</v>
      </c>
      <c r="AU1389" s="79">
        <v>0.16666666666666699</v>
      </c>
      <c r="AV1389" s="79">
        <v>0</v>
      </c>
      <c r="AW1389" s="79">
        <v>6.9767441860465101E-2</v>
      </c>
      <c r="AX1389" s="56"/>
      <c r="AY1389" s="54"/>
    </row>
    <row r="1390" spans="1:51">
      <c r="A1390" s="53"/>
      <c r="B1390" s="56"/>
      <c r="C1390" s="90" t="s">
        <v>1079</v>
      </c>
      <c r="D1390" s="230" t="s">
        <v>1757</v>
      </c>
      <c r="E1390" s="68" t="s">
        <v>1080</v>
      </c>
      <c r="F1390" s="128" t="s">
        <v>1414</v>
      </c>
      <c r="G1390" s="128" t="s">
        <v>1414</v>
      </c>
      <c r="H1390" s="128" t="s">
        <v>1414</v>
      </c>
      <c r="I1390" s="128" t="s">
        <v>1414</v>
      </c>
      <c r="J1390" s="70">
        <v>0.9</v>
      </c>
      <c r="K1390" s="71">
        <v>1</v>
      </c>
      <c r="L1390" s="71">
        <v>1</v>
      </c>
      <c r="M1390" s="72">
        <v>0.90476190476190499</v>
      </c>
      <c r="N1390" s="71">
        <v>0.96638655462184897</v>
      </c>
      <c r="O1390" s="73">
        <v>0.9</v>
      </c>
      <c r="P1390" s="71">
        <v>0.99001536098310305</v>
      </c>
      <c r="Q1390" s="71">
        <v>0.98593134496342105</v>
      </c>
      <c r="R1390" s="71">
        <v>0.99397590361445798</v>
      </c>
      <c r="S1390" s="71">
        <v>0.98968851845915495</v>
      </c>
      <c r="T1390" s="73">
        <v>0.9</v>
      </c>
      <c r="U1390" s="71">
        <v>0.92549923195084505</v>
      </c>
      <c r="V1390" s="71">
        <v>0.93753517163759104</v>
      </c>
      <c r="W1390" s="71">
        <v>0.91325301204819298</v>
      </c>
      <c r="X1390" s="71">
        <v>0.94320671047710603</v>
      </c>
      <c r="Y1390" s="73">
        <v>0.92</v>
      </c>
      <c r="Z1390" s="73" t="s">
        <v>1710</v>
      </c>
      <c r="AA1390" s="73" t="s">
        <v>1710</v>
      </c>
      <c r="AB1390" s="73" t="s">
        <v>1710</v>
      </c>
      <c r="AC1390" s="73" t="s">
        <v>1710</v>
      </c>
      <c r="AD1390" s="73">
        <v>0.92</v>
      </c>
      <c r="AE1390" s="71">
        <v>1</v>
      </c>
      <c r="AF1390" s="71">
        <v>1</v>
      </c>
      <c r="AG1390" s="71">
        <v>1</v>
      </c>
      <c r="AH1390" s="71">
        <v>0.99284619315278499</v>
      </c>
      <c r="AI1390" s="73">
        <v>0.92</v>
      </c>
      <c r="AJ1390" s="71">
        <v>0.93855606758832599</v>
      </c>
      <c r="AK1390" s="71">
        <v>0.95329206527855903</v>
      </c>
      <c r="AL1390" s="71">
        <v>0.96807228915662602</v>
      </c>
      <c r="AM1390" s="71">
        <v>0.96452422931025295</v>
      </c>
      <c r="AN1390" s="70">
        <v>0.99</v>
      </c>
      <c r="AO1390" s="75">
        <v>1</v>
      </c>
      <c r="AP1390" s="75">
        <v>1</v>
      </c>
      <c r="AQ1390" s="75">
        <v>1</v>
      </c>
      <c r="AR1390" s="75">
        <v>1</v>
      </c>
      <c r="AS1390" s="95">
        <v>7.2186152540827803E-2</v>
      </c>
      <c r="AT1390" s="79">
        <v>0</v>
      </c>
      <c r="AU1390" s="79">
        <v>0.2</v>
      </c>
      <c r="AV1390" s="79">
        <v>0</v>
      </c>
      <c r="AW1390" s="79">
        <v>3.3333333333333298E-2</v>
      </c>
      <c r="AX1390" s="56"/>
      <c r="AY1390" s="54"/>
    </row>
    <row r="1391" spans="1:51">
      <c r="A1391" s="53"/>
      <c r="B1391" s="56"/>
      <c r="C1391" s="90" t="s">
        <v>1079</v>
      </c>
      <c r="D1391" s="230" t="s">
        <v>1757</v>
      </c>
      <c r="E1391" s="68" t="s">
        <v>1080</v>
      </c>
      <c r="F1391" s="128" t="s">
        <v>1415</v>
      </c>
      <c r="G1391" s="128" t="s">
        <v>1415</v>
      </c>
      <c r="H1391" s="128" t="s">
        <v>1415</v>
      </c>
      <c r="I1391" s="128" t="s">
        <v>1415</v>
      </c>
      <c r="J1391" s="70">
        <v>0.9</v>
      </c>
      <c r="K1391" s="71">
        <v>0.9375</v>
      </c>
      <c r="L1391" s="71">
        <v>0.86486486486486502</v>
      </c>
      <c r="M1391" s="72">
        <v>0.891891891891892</v>
      </c>
      <c r="N1391" s="71">
        <v>0.89498806682577603</v>
      </c>
      <c r="O1391" s="73">
        <v>0.9</v>
      </c>
      <c r="P1391" s="71">
        <v>0.98425196850393704</v>
      </c>
      <c r="Q1391" s="71">
        <v>0.98531725222863098</v>
      </c>
      <c r="R1391" s="71">
        <v>0.98463564530289704</v>
      </c>
      <c r="S1391" s="71">
        <v>0.97744835199495395</v>
      </c>
      <c r="T1391" s="73">
        <v>0.9</v>
      </c>
      <c r="U1391" s="71">
        <v>0.88976377952755903</v>
      </c>
      <c r="V1391" s="71">
        <v>0.89512323020451001</v>
      </c>
      <c r="W1391" s="71">
        <v>0.91659350307287102</v>
      </c>
      <c r="X1391" s="71">
        <v>0.90758555432897003</v>
      </c>
      <c r="Y1391" s="73">
        <v>0.92</v>
      </c>
      <c r="Z1391" s="73">
        <v>0.93520374081496305</v>
      </c>
      <c r="AA1391" s="73">
        <v>0.93241379310344796</v>
      </c>
      <c r="AB1391" s="73">
        <v>0.95170731707317102</v>
      </c>
      <c r="AC1391" s="73">
        <v>0.93609295570079898</v>
      </c>
      <c r="AD1391" s="73">
        <v>0.92</v>
      </c>
      <c r="AE1391" s="71">
        <v>1</v>
      </c>
      <c r="AF1391" s="71">
        <v>0.99870129870129898</v>
      </c>
      <c r="AG1391" s="71">
        <v>0.99803149606299202</v>
      </c>
      <c r="AH1391" s="71">
        <v>0.99633425600359105</v>
      </c>
      <c r="AI1391" s="73">
        <v>0.92</v>
      </c>
      <c r="AJ1391" s="71">
        <v>0.95299569678914298</v>
      </c>
      <c r="AK1391" s="71">
        <v>0.94816800714923999</v>
      </c>
      <c r="AL1391" s="71">
        <v>0.96210720887245804</v>
      </c>
      <c r="AM1391" s="71">
        <v>0.95828229366491802</v>
      </c>
      <c r="AN1391" s="70">
        <v>0.99</v>
      </c>
      <c r="AO1391" s="75">
        <v>1</v>
      </c>
      <c r="AP1391" s="75">
        <v>1</v>
      </c>
      <c r="AQ1391" s="75">
        <v>1</v>
      </c>
      <c r="AR1391" s="75">
        <v>1</v>
      </c>
      <c r="AS1391" s="95">
        <v>7.2186152540827803E-2</v>
      </c>
      <c r="AT1391" s="79">
        <v>0</v>
      </c>
      <c r="AU1391" s="79">
        <v>0</v>
      </c>
      <c r="AV1391" s="79">
        <v>8.3333333333333301E-2</v>
      </c>
      <c r="AW1391" s="79">
        <v>5.0724637681159403E-2</v>
      </c>
      <c r="AX1391" s="56"/>
      <c r="AY1391" s="54"/>
    </row>
    <row r="1392" spans="1:51">
      <c r="A1392" s="53"/>
      <c r="B1392" s="56"/>
      <c r="C1392" s="90" t="s">
        <v>1079</v>
      </c>
      <c r="D1392" s="230" t="s">
        <v>1757</v>
      </c>
      <c r="E1392" s="68" t="s">
        <v>1080</v>
      </c>
      <c r="F1392" s="128" t="s">
        <v>1416</v>
      </c>
      <c r="G1392" s="128" t="s">
        <v>1416</v>
      </c>
      <c r="H1392" s="128" t="s">
        <v>1416</v>
      </c>
      <c r="I1392" s="128" t="s">
        <v>1416</v>
      </c>
      <c r="J1392" s="70">
        <v>0.9</v>
      </c>
      <c r="K1392" s="71">
        <v>1</v>
      </c>
      <c r="L1392" s="71">
        <v>1</v>
      </c>
      <c r="M1392" s="72">
        <v>1</v>
      </c>
      <c r="N1392" s="71">
        <v>0.97339246119733902</v>
      </c>
      <c r="O1392" s="73">
        <v>0.9</v>
      </c>
      <c r="P1392" s="71">
        <v>0.99074975657254105</v>
      </c>
      <c r="Q1392" s="71">
        <v>0.99097162510748105</v>
      </c>
      <c r="R1392" s="71">
        <v>0.98628571428571399</v>
      </c>
      <c r="S1392" s="71">
        <v>0.98906647167380501</v>
      </c>
      <c r="T1392" s="73">
        <v>0.9</v>
      </c>
      <c r="U1392" s="71">
        <v>0.95277507302823805</v>
      </c>
      <c r="V1392" s="71">
        <v>0.96216680997420501</v>
      </c>
      <c r="W1392" s="71">
        <v>0.95276190476190503</v>
      </c>
      <c r="X1392" s="71">
        <v>0.96507538563320405</v>
      </c>
      <c r="Y1392" s="73">
        <v>0.92</v>
      </c>
      <c r="Z1392" s="73">
        <v>0.95400238948626004</v>
      </c>
      <c r="AA1392" s="73">
        <v>0.95221027479092002</v>
      </c>
      <c r="AB1392" s="73">
        <v>0.96580140090646904</v>
      </c>
      <c r="AC1392" s="73">
        <v>0.96533383987083299</v>
      </c>
      <c r="AD1392" s="73">
        <v>0.92</v>
      </c>
      <c r="AE1392" s="71">
        <v>0.998995311453449</v>
      </c>
      <c r="AF1392" s="71">
        <v>0.93644859813084103</v>
      </c>
      <c r="AG1392" s="71">
        <v>0.99194630872483203</v>
      </c>
      <c r="AH1392" s="71">
        <v>0.99333850995136697</v>
      </c>
      <c r="AI1392" s="73">
        <v>0.92</v>
      </c>
      <c r="AJ1392" s="71">
        <v>0.96296296296296302</v>
      </c>
      <c r="AK1392" s="71">
        <v>0.96825000000000006</v>
      </c>
      <c r="AL1392" s="71">
        <v>0.97447061151791003</v>
      </c>
      <c r="AM1392" s="71">
        <v>0.97770144036642004</v>
      </c>
      <c r="AN1392" s="70">
        <v>0.99</v>
      </c>
      <c r="AO1392" s="75">
        <v>1</v>
      </c>
      <c r="AP1392" s="75">
        <v>1</v>
      </c>
      <c r="AQ1392" s="75">
        <v>1</v>
      </c>
      <c r="AR1392" s="75">
        <v>1</v>
      </c>
      <c r="AS1392" s="95">
        <v>7.2186152540827803E-2</v>
      </c>
      <c r="AT1392" s="79">
        <v>0</v>
      </c>
      <c r="AU1392" s="79">
        <v>0</v>
      </c>
      <c r="AV1392" s="79">
        <v>0</v>
      </c>
      <c r="AW1392" s="79">
        <v>0</v>
      </c>
      <c r="AX1392" s="56"/>
      <c r="AY1392" s="54"/>
    </row>
    <row r="1393" spans="1:51">
      <c r="A1393" s="53"/>
      <c r="B1393" s="56"/>
      <c r="C1393" s="90" t="s">
        <v>1079</v>
      </c>
      <c r="D1393" s="230" t="s">
        <v>1757</v>
      </c>
      <c r="E1393" s="68" t="s">
        <v>1080</v>
      </c>
      <c r="F1393" s="128" t="s">
        <v>1417</v>
      </c>
      <c r="G1393" s="128" t="s">
        <v>1417</v>
      </c>
      <c r="H1393" s="128" t="s">
        <v>1417</v>
      </c>
      <c r="I1393" s="128" t="s">
        <v>1417</v>
      </c>
      <c r="J1393" s="70">
        <v>0.9</v>
      </c>
      <c r="K1393" s="71">
        <v>0.84615384615384603</v>
      </c>
      <c r="L1393" s="71">
        <v>0.74074074074074103</v>
      </c>
      <c r="M1393" s="72">
        <v>0.76923076923076905</v>
      </c>
      <c r="N1393" s="71">
        <v>0.84488448844884501</v>
      </c>
      <c r="O1393" s="73">
        <v>0.9</v>
      </c>
      <c r="P1393" s="71">
        <v>0.97855750487329396</v>
      </c>
      <c r="Q1393" s="71">
        <v>0.98821681068342504</v>
      </c>
      <c r="R1393" s="71">
        <v>0.98997326203208602</v>
      </c>
      <c r="S1393" s="71">
        <v>0.98561194754735304</v>
      </c>
      <c r="T1393" s="73">
        <v>0.9</v>
      </c>
      <c r="U1393" s="71">
        <v>0.94834307992202704</v>
      </c>
      <c r="V1393" s="71">
        <v>0.96700706991358998</v>
      </c>
      <c r="W1393" s="71">
        <v>0.98796791443850296</v>
      </c>
      <c r="X1393" s="71">
        <v>0.96630645944633298</v>
      </c>
      <c r="Y1393" s="73">
        <v>0.92</v>
      </c>
      <c r="Z1393" s="73">
        <v>0.96903096903096897</v>
      </c>
      <c r="AA1393" s="73">
        <v>0.97061909758656895</v>
      </c>
      <c r="AB1393" s="73">
        <v>0.97148676171079396</v>
      </c>
      <c r="AC1393" s="73">
        <v>0.97741024606696203</v>
      </c>
      <c r="AD1393" s="73">
        <v>0.92</v>
      </c>
      <c r="AE1393" s="71">
        <v>0.99810366624525904</v>
      </c>
      <c r="AF1393" s="71">
        <v>0.94538606403013203</v>
      </c>
      <c r="AG1393" s="71">
        <v>0.99686520376175503</v>
      </c>
      <c r="AH1393" s="71">
        <v>0.99348534201954397</v>
      </c>
      <c r="AI1393" s="73">
        <v>0.92</v>
      </c>
      <c r="AJ1393" s="71">
        <v>0.97483966452885995</v>
      </c>
      <c r="AK1393" s="71">
        <v>0.98203054806828405</v>
      </c>
      <c r="AL1393" s="71">
        <v>0.98484338160996998</v>
      </c>
      <c r="AM1393" s="71">
        <v>0.98590232074818196</v>
      </c>
      <c r="AN1393" s="70">
        <v>0.99</v>
      </c>
      <c r="AO1393" s="75">
        <v>1</v>
      </c>
      <c r="AP1393" s="75">
        <v>1</v>
      </c>
      <c r="AQ1393" s="75">
        <v>1</v>
      </c>
      <c r="AR1393" s="75">
        <v>1</v>
      </c>
      <c r="AS1393" s="95">
        <v>7.2186152540827803E-2</v>
      </c>
      <c r="AT1393" s="79">
        <v>9.0909090909090898E-2</v>
      </c>
      <c r="AU1393" s="79">
        <v>0.28571428571428598</v>
      </c>
      <c r="AV1393" s="79">
        <v>0.11111111111111099</v>
      </c>
      <c r="AW1393" s="79">
        <v>0.12280701754386</v>
      </c>
      <c r="AX1393" s="56"/>
      <c r="AY1393" s="54"/>
    </row>
    <row r="1394" spans="1:51">
      <c r="A1394" s="53"/>
      <c r="B1394" s="56"/>
      <c r="C1394" s="90" t="s">
        <v>1079</v>
      </c>
      <c r="D1394" s="230" t="s">
        <v>1757</v>
      </c>
      <c r="E1394" s="68" t="s">
        <v>1080</v>
      </c>
      <c r="F1394" s="128" t="s">
        <v>1418</v>
      </c>
      <c r="G1394" s="128" t="s">
        <v>1418</v>
      </c>
      <c r="H1394" s="128" t="s">
        <v>1418</v>
      </c>
      <c r="I1394" s="128" t="s">
        <v>1418</v>
      </c>
      <c r="J1394" s="70">
        <v>0.9</v>
      </c>
      <c r="K1394" s="71">
        <v>0.79310344827586199</v>
      </c>
      <c r="L1394" s="71">
        <v>0.78333333333333299</v>
      </c>
      <c r="M1394" s="72">
        <v>0.83636363636363598</v>
      </c>
      <c r="N1394" s="71">
        <v>0.81298299845440503</v>
      </c>
      <c r="O1394" s="73">
        <v>0.9</v>
      </c>
      <c r="P1394" s="71">
        <v>0.97485632183908</v>
      </c>
      <c r="Q1394" s="71">
        <v>0.97818740399385595</v>
      </c>
      <c r="R1394" s="71">
        <v>0.97681607418856298</v>
      </c>
      <c r="S1394" s="71">
        <v>0.97479092569451098</v>
      </c>
      <c r="T1394" s="73">
        <v>0.9</v>
      </c>
      <c r="U1394" s="71">
        <v>0.96372126436781602</v>
      </c>
      <c r="V1394" s="71">
        <v>0.96251920122887902</v>
      </c>
      <c r="W1394" s="71">
        <v>0.96032972694487395</v>
      </c>
      <c r="X1394" s="71">
        <v>0.96094876477939095</v>
      </c>
      <c r="Y1394" s="73">
        <v>0.92</v>
      </c>
      <c r="Z1394" s="73">
        <v>0.96741753821399801</v>
      </c>
      <c r="AA1394" s="73">
        <v>0.97301525224872898</v>
      </c>
      <c r="AB1394" s="73">
        <v>0.95563718564566302</v>
      </c>
      <c r="AC1394" s="73">
        <v>0.96874697941166998</v>
      </c>
      <c r="AD1394" s="73">
        <v>0.92</v>
      </c>
      <c r="AE1394" s="71">
        <v>0.98365908362704302</v>
      </c>
      <c r="AF1394" s="71">
        <v>0.98798076923076905</v>
      </c>
      <c r="AG1394" s="71">
        <v>0.98829431438127102</v>
      </c>
      <c r="AH1394" s="71">
        <v>0.98363487589780896</v>
      </c>
      <c r="AI1394" s="73">
        <v>0.92</v>
      </c>
      <c r="AJ1394" s="71">
        <v>0.98007968127489997</v>
      </c>
      <c r="AK1394" s="71">
        <v>0.98227804542326203</v>
      </c>
      <c r="AL1394" s="71">
        <v>0.97063182001885995</v>
      </c>
      <c r="AM1394" s="71">
        <v>0.98144732858047301</v>
      </c>
      <c r="AN1394" s="70">
        <v>0.99</v>
      </c>
      <c r="AO1394" s="75">
        <v>1</v>
      </c>
      <c r="AP1394" s="75">
        <v>1</v>
      </c>
      <c r="AQ1394" s="75">
        <v>1</v>
      </c>
      <c r="AR1394" s="75">
        <v>1</v>
      </c>
      <c r="AS1394" s="95">
        <v>7.2186152540827803E-2</v>
      </c>
      <c r="AT1394" s="79">
        <v>0</v>
      </c>
      <c r="AU1394" s="79">
        <v>6.25E-2</v>
      </c>
      <c r="AV1394" s="79">
        <v>0.1</v>
      </c>
      <c r="AW1394" s="79">
        <v>4.5977011494252901E-2</v>
      </c>
      <c r="AX1394" s="56"/>
      <c r="AY1394" s="54"/>
    </row>
    <row r="1395" spans="1:51">
      <c r="A1395" s="53"/>
      <c r="B1395" s="56"/>
      <c r="C1395" s="90" t="s">
        <v>1079</v>
      </c>
      <c r="D1395" s="230" t="s">
        <v>1757</v>
      </c>
      <c r="E1395" s="68" t="s">
        <v>1080</v>
      </c>
      <c r="F1395" s="128" t="s">
        <v>1419</v>
      </c>
      <c r="G1395" s="128" t="s">
        <v>1419</v>
      </c>
      <c r="H1395" s="128" t="s">
        <v>1419</v>
      </c>
      <c r="I1395" s="128" t="s">
        <v>1419</v>
      </c>
      <c r="J1395" s="70">
        <v>0.9</v>
      </c>
      <c r="K1395" s="71">
        <v>0.76190476190476197</v>
      </c>
      <c r="L1395" s="71">
        <v>0.85</v>
      </c>
      <c r="M1395" s="72">
        <v>0.88888888888888895</v>
      </c>
      <c r="N1395" s="71">
        <v>0.85874439461883401</v>
      </c>
      <c r="O1395" s="73">
        <v>0.9</v>
      </c>
      <c r="P1395" s="71">
        <v>0.94114184814596802</v>
      </c>
      <c r="Q1395" s="71">
        <v>0.99010390895596201</v>
      </c>
      <c r="R1395" s="71">
        <v>0.98734749209218298</v>
      </c>
      <c r="S1395" s="71">
        <v>0.98545937890200197</v>
      </c>
      <c r="T1395" s="73">
        <v>0.9</v>
      </c>
      <c r="U1395" s="71">
        <v>0.94408475573867001</v>
      </c>
      <c r="V1395" s="71">
        <v>0.972290945076695</v>
      </c>
      <c r="W1395" s="71">
        <v>0.97830998644374201</v>
      </c>
      <c r="X1395" s="71">
        <v>0.97982035686953695</v>
      </c>
      <c r="Y1395" s="73">
        <v>0.92</v>
      </c>
      <c r="Z1395" s="73">
        <v>0.98279421885753604</v>
      </c>
      <c r="AA1395" s="73">
        <v>0.96811397557666201</v>
      </c>
      <c r="AB1395" s="73">
        <v>0.960183767228178</v>
      </c>
      <c r="AC1395" s="73">
        <v>0.97705855956921694</v>
      </c>
      <c r="AD1395" s="73">
        <v>0.92</v>
      </c>
      <c r="AE1395" s="71">
        <v>0.99577133907595905</v>
      </c>
      <c r="AF1395" s="71">
        <v>0.62277413308341101</v>
      </c>
      <c r="AG1395" s="71">
        <v>0.99828962371721797</v>
      </c>
      <c r="AH1395" s="71">
        <v>0.97931706912289396</v>
      </c>
      <c r="AI1395" s="73">
        <v>0.92</v>
      </c>
      <c r="AJ1395" s="71">
        <v>0.98508883248731005</v>
      </c>
      <c r="AK1395" s="71">
        <v>0.97739628040057203</v>
      </c>
      <c r="AL1395" s="71">
        <v>0.97387970285166503</v>
      </c>
      <c r="AM1395" s="71">
        <v>0.98565367214421296</v>
      </c>
      <c r="AN1395" s="70">
        <v>0.99</v>
      </c>
      <c r="AO1395" s="75">
        <v>1</v>
      </c>
      <c r="AP1395" s="75">
        <v>1</v>
      </c>
      <c r="AQ1395" s="75">
        <v>1</v>
      </c>
      <c r="AR1395" s="75">
        <v>1</v>
      </c>
      <c r="AS1395" s="95">
        <v>7.2186152540827803E-2</v>
      </c>
      <c r="AT1395" s="79">
        <v>6.6666666666666693E-2</v>
      </c>
      <c r="AU1395" s="79">
        <v>0</v>
      </c>
      <c r="AV1395" s="79">
        <v>0</v>
      </c>
      <c r="AW1395" s="79">
        <v>1.7094017094017099E-2</v>
      </c>
      <c r="AX1395" s="56"/>
      <c r="AY1395" s="54"/>
    </row>
    <row r="1396" spans="1:51">
      <c r="A1396" s="53"/>
      <c r="B1396" s="56"/>
      <c r="C1396" s="90" t="s">
        <v>1079</v>
      </c>
      <c r="D1396" s="230" t="s">
        <v>1757</v>
      </c>
      <c r="E1396" s="68" t="s">
        <v>1080</v>
      </c>
      <c r="F1396" s="128" t="s">
        <v>1420</v>
      </c>
      <c r="G1396" s="128" t="s">
        <v>1420</v>
      </c>
      <c r="H1396" s="128" t="s">
        <v>1420</v>
      </c>
      <c r="I1396" s="128" t="s">
        <v>1420</v>
      </c>
      <c r="J1396" s="70">
        <v>0.9</v>
      </c>
      <c r="K1396" s="71">
        <v>0.94444444444444398</v>
      </c>
      <c r="L1396" s="71">
        <v>1</v>
      </c>
      <c r="M1396" s="72">
        <v>0.891891891891892</v>
      </c>
      <c r="N1396" s="71">
        <v>0.96261682242990698</v>
      </c>
      <c r="O1396" s="73">
        <v>0.9</v>
      </c>
      <c r="P1396" s="71">
        <v>0.99493853940708599</v>
      </c>
      <c r="Q1396" s="71">
        <v>0.98899889988998901</v>
      </c>
      <c r="R1396" s="71">
        <v>0.96490360850222401</v>
      </c>
      <c r="S1396" s="71">
        <v>0.96813320580819096</v>
      </c>
      <c r="T1396" s="73">
        <v>0.9</v>
      </c>
      <c r="U1396" s="71">
        <v>0.94938539407085998</v>
      </c>
      <c r="V1396" s="71">
        <v>0.94444444444444398</v>
      </c>
      <c r="W1396" s="71">
        <v>0.94611962432031604</v>
      </c>
      <c r="X1396" s="71">
        <v>0.94030953830101704</v>
      </c>
      <c r="Y1396" s="73">
        <v>0.92</v>
      </c>
      <c r="Z1396" s="73">
        <v>0.91761827079934699</v>
      </c>
      <c r="AA1396" s="73">
        <v>0.93896713615023497</v>
      </c>
      <c r="AB1396" s="73">
        <v>0.96312260536398497</v>
      </c>
      <c r="AC1396" s="73">
        <v>0.95377270610153697</v>
      </c>
      <c r="AD1396" s="73">
        <v>0.92</v>
      </c>
      <c r="AE1396" s="71">
        <v>1</v>
      </c>
      <c r="AF1396" s="71">
        <v>1</v>
      </c>
      <c r="AG1396" s="71">
        <v>1</v>
      </c>
      <c r="AH1396" s="71">
        <v>0.99935379644587996</v>
      </c>
      <c r="AI1396" s="73">
        <v>0.92</v>
      </c>
      <c r="AJ1396" s="71">
        <v>0.94900306748466301</v>
      </c>
      <c r="AK1396" s="71">
        <v>0.95704134366925098</v>
      </c>
      <c r="AL1396" s="71">
        <v>0.97178988326848204</v>
      </c>
      <c r="AM1396" s="71">
        <v>0.97127852858458397</v>
      </c>
      <c r="AN1396" s="70">
        <v>0.99</v>
      </c>
      <c r="AO1396" s="75">
        <v>1</v>
      </c>
      <c r="AP1396" s="75">
        <v>1</v>
      </c>
      <c r="AQ1396" s="75">
        <v>1</v>
      </c>
      <c r="AR1396" s="75">
        <v>1</v>
      </c>
      <c r="AS1396" s="95">
        <v>7.2186152540827803E-2</v>
      </c>
      <c r="AT1396" s="79">
        <v>0</v>
      </c>
      <c r="AU1396" s="79">
        <v>-7.1428571428571397E-2</v>
      </c>
      <c r="AV1396" s="79">
        <v>0</v>
      </c>
      <c r="AW1396" s="79">
        <v>4.8780487804878099E-2</v>
      </c>
      <c r="AX1396" s="56"/>
      <c r="AY1396" s="54"/>
    </row>
    <row r="1397" spans="1:51">
      <c r="A1397" s="53"/>
      <c r="B1397" s="56"/>
      <c r="C1397" s="90" t="s">
        <v>1079</v>
      </c>
      <c r="D1397" s="230" t="s">
        <v>1757</v>
      </c>
      <c r="E1397" s="68" t="s">
        <v>1080</v>
      </c>
      <c r="F1397" s="128" t="s">
        <v>1421</v>
      </c>
      <c r="G1397" s="128" t="s">
        <v>1421</v>
      </c>
      <c r="H1397" s="128" t="s">
        <v>1421</v>
      </c>
      <c r="I1397" s="128" t="s">
        <v>1421</v>
      </c>
      <c r="J1397" s="70">
        <v>0.9</v>
      </c>
      <c r="K1397" s="71">
        <v>0.94</v>
      </c>
      <c r="L1397" s="71">
        <v>0.98148148148148195</v>
      </c>
      <c r="M1397" s="72">
        <v>0.86</v>
      </c>
      <c r="N1397" s="71">
        <v>0.93252595155709295</v>
      </c>
      <c r="O1397" s="73">
        <v>0.9</v>
      </c>
      <c r="P1397" s="71">
        <v>0.97536566589684404</v>
      </c>
      <c r="Q1397" s="71">
        <v>0.98077677520596296</v>
      </c>
      <c r="R1397" s="71">
        <v>0.94677871148459403</v>
      </c>
      <c r="S1397" s="71">
        <v>0.97037889136530298</v>
      </c>
      <c r="T1397" s="73">
        <v>0.9</v>
      </c>
      <c r="U1397" s="71">
        <v>0.86117526302283798</v>
      </c>
      <c r="V1397" s="71">
        <v>0.81051392703020797</v>
      </c>
      <c r="W1397" s="71">
        <v>0.76490596238495401</v>
      </c>
      <c r="X1397" s="71">
        <v>0.80397584297936597</v>
      </c>
      <c r="Y1397" s="73">
        <v>0.92</v>
      </c>
      <c r="Z1397" s="73" t="s">
        <v>1710</v>
      </c>
      <c r="AA1397" s="73">
        <v>0</v>
      </c>
      <c r="AB1397" s="73" t="s">
        <v>1710</v>
      </c>
      <c r="AC1397" s="73">
        <v>0</v>
      </c>
      <c r="AD1397" s="73">
        <v>0.92</v>
      </c>
      <c r="AE1397" s="71">
        <v>0.99922809725974504</v>
      </c>
      <c r="AF1397" s="71">
        <v>0.99578651685393305</v>
      </c>
      <c r="AG1397" s="71">
        <v>0.99872773536895698</v>
      </c>
      <c r="AH1397" s="71">
        <v>0.99837829868789596</v>
      </c>
      <c r="AI1397" s="73">
        <v>0.92</v>
      </c>
      <c r="AJ1397" s="71">
        <v>0.95021811649987198</v>
      </c>
      <c r="AK1397" s="71">
        <v>0.95724651892527901</v>
      </c>
      <c r="AL1397" s="71">
        <v>0.92777110844337696</v>
      </c>
      <c r="AM1397" s="71">
        <v>0.96124880924564604</v>
      </c>
      <c r="AN1397" s="70">
        <v>0.99</v>
      </c>
      <c r="AO1397" s="75">
        <v>1</v>
      </c>
      <c r="AP1397" s="75">
        <v>1</v>
      </c>
      <c r="AQ1397" s="75">
        <v>1</v>
      </c>
      <c r="AR1397" s="75">
        <v>1</v>
      </c>
      <c r="AS1397" s="95">
        <v>7.2186152540827803E-2</v>
      </c>
      <c r="AT1397" s="79">
        <v>0</v>
      </c>
      <c r="AU1397" s="79">
        <v>0</v>
      </c>
      <c r="AV1397" s="79">
        <v>0</v>
      </c>
      <c r="AW1397" s="79">
        <v>3.8461538461538498E-2</v>
      </c>
      <c r="AX1397" s="56"/>
      <c r="AY1397" s="54"/>
    </row>
    <row r="1398" spans="1:51">
      <c r="A1398" s="53"/>
      <c r="B1398" s="56"/>
      <c r="C1398" s="90" t="s">
        <v>1079</v>
      </c>
      <c r="D1398" s="230" t="s">
        <v>1757</v>
      </c>
      <c r="E1398" s="68" t="s">
        <v>1080</v>
      </c>
      <c r="F1398" s="128" t="s">
        <v>1422</v>
      </c>
      <c r="G1398" s="128" t="s">
        <v>1422</v>
      </c>
      <c r="H1398" s="128" t="s">
        <v>1422</v>
      </c>
      <c r="I1398" s="128" t="s">
        <v>1422</v>
      </c>
      <c r="J1398" s="70">
        <v>0.9</v>
      </c>
      <c r="K1398" s="71">
        <v>0.93023255813953498</v>
      </c>
      <c r="L1398" s="71">
        <v>0.97560975609756095</v>
      </c>
      <c r="M1398" s="72">
        <v>0.91891891891891897</v>
      </c>
      <c r="N1398" s="71">
        <v>0.94495412844036697</v>
      </c>
      <c r="O1398" s="73">
        <v>0.9</v>
      </c>
      <c r="P1398" s="71">
        <v>0.98933333333333295</v>
      </c>
      <c r="Q1398" s="71">
        <v>0.98932714617169404</v>
      </c>
      <c r="R1398" s="71">
        <v>0.98770649250864395</v>
      </c>
      <c r="S1398" s="71">
        <v>0.98507784689511302</v>
      </c>
      <c r="T1398" s="73">
        <v>0.9</v>
      </c>
      <c r="U1398" s="71">
        <v>0.96</v>
      </c>
      <c r="V1398" s="71">
        <v>0.95870069605568398</v>
      </c>
      <c r="W1398" s="71">
        <v>0.97195543603534396</v>
      </c>
      <c r="X1398" s="71">
        <v>0.96371939160763698</v>
      </c>
      <c r="Y1398" s="73">
        <v>0.92</v>
      </c>
      <c r="Z1398" s="73">
        <v>0.97708082026538001</v>
      </c>
      <c r="AA1398" s="73">
        <v>0.97435897435897401</v>
      </c>
      <c r="AB1398" s="73">
        <v>0.95420792079207895</v>
      </c>
      <c r="AC1398" s="73">
        <v>0.96745607333842598</v>
      </c>
      <c r="AD1398" s="73">
        <v>0.92</v>
      </c>
      <c r="AE1398" s="71">
        <v>0.949488351839756</v>
      </c>
      <c r="AF1398" s="71">
        <v>0.99891186071817195</v>
      </c>
      <c r="AG1398" s="71">
        <v>1</v>
      </c>
      <c r="AH1398" s="71">
        <v>0.98302212771612696</v>
      </c>
      <c r="AI1398" s="73">
        <v>0.92</v>
      </c>
      <c r="AJ1398" s="71">
        <v>0.98018120045300094</v>
      </c>
      <c r="AK1398" s="71">
        <v>0.98034993270524895</v>
      </c>
      <c r="AL1398" s="71">
        <v>0.97254823950666403</v>
      </c>
      <c r="AM1398" s="71">
        <v>0.98050415208869002</v>
      </c>
      <c r="AN1398" s="70">
        <v>0.99</v>
      </c>
      <c r="AO1398" s="75">
        <v>1</v>
      </c>
      <c r="AP1398" s="75">
        <v>1</v>
      </c>
      <c r="AQ1398" s="75">
        <v>1</v>
      </c>
      <c r="AR1398" s="75">
        <v>1</v>
      </c>
      <c r="AS1398" s="95">
        <v>7.2186152540827803E-2</v>
      </c>
      <c r="AT1398" s="79">
        <v>0</v>
      </c>
      <c r="AU1398" s="79">
        <v>0</v>
      </c>
      <c r="AV1398" s="79">
        <v>0</v>
      </c>
      <c r="AW1398" s="79">
        <v>1.63934426229508E-2</v>
      </c>
      <c r="AX1398" s="56"/>
      <c r="AY1398" s="54"/>
    </row>
    <row r="1399" spans="1:51">
      <c r="A1399" s="53"/>
      <c r="B1399" s="56"/>
      <c r="C1399" s="90" t="s">
        <v>1079</v>
      </c>
      <c r="D1399" s="230" t="s">
        <v>1757</v>
      </c>
      <c r="E1399" s="68" t="s">
        <v>1080</v>
      </c>
      <c r="F1399" s="128" t="s">
        <v>1423</v>
      </c>
      <c r="G1399" s="128" t="s">
        <v>1423</v>
      </c>
      <c r="H1399" s="128" t="s">
        <v>1423</v>
      </c>
      <c r="I1399" s="128" t="s">
        <v>1423</v>
      </c>
      <c r="J1399" s="70">
        <v>0.9</v>
      </c>
      <c r="K1399" s="71">
        <v>0.96825396825396803</v>
      </c>
      <c r="L1399" s="71">
        <v>0.984375</v>
      </c>
      <c r="M1399" s="72">
        <v>0.93650793650793696</v>
      </c>
      <c r="N1399" s="71">
        <v>0.95904887714663101</v>
      </c>
      <c r="O1399" s="73">
        <v>0.9</v>
      </c>
      <c r="P1399" s="71">
        <v>0.97734424166142198</v>
      </c>
      <c r="Q1399" s="71">
        <v>0.97645079899074805</v>
      </c>
      <c r="R1399" s="71">
        <v>0.92263675898374897</v>
      </c>
      <c r="S1399" s="71">
        <v>0.96589965729368399</v>
      </c>
      <c r="T1399" s="73">
        <v>0.9</v>
      </c>
      <c r="U1399" s="71">
        <v>0.94965387035871596</v>
      </c>
      <c r="V1399" s="71">
        <v>0.94308943089430897</v>
      </c>
      <c r="W1399" s="71">
        <v>0.94232089723048795</v>
      </c>
      <c r="X1399" s="71">
        <v>0.94608229208795402</v>
      </c>
      <c r="Y1399" s="73">
        <v>0.92</v>
      </c>
      <c r="Z1399" s="73">
        <v>0.93611206012982595</v>
      </c>
      <c r="AA1399" s="73">
        <v>0.94207203861864097</v>
      </c>
      <c r="AB1399" s="73">
        <v>0.96690796277145796</v>
      </c>
      <c r="AC1399" s="73">
        <v>0.95576058670451902</v>
      </c>
      <c r="AD1399" s="73">
        <v>0.92</v>
      </c>
      <c r="AE1399" s="71">
        <v>0.99619530754597296</v>
      </c>
      <c r="AF1399" s="71">
        <v>0.98148148148148195</v>
      </c>
      <c r="AG1399" s="71">
        <v>0.99517839922854401</v>
      </c>
      <c r="AH1399" s="71">
        <v>0.96149300768170198</v>
      </c>
      <c r="AI1399" s="73">
        <v>0.92</v>
      </c>
      <c r="AJ1399" s="71">
        <v>0.95430723878152601</v>
      </c>
      <c r="AK1399" s="71">
        <v>0.96166134185303498</v>
      </c>
      <c r="AL1399" s="71">
        <v>0.97475728155339803</v>
      </c>
      <c r="AM1399" s="71">
        <v>0.971968515630801</v>
      </c>
      <c r="AN1399" s="70">
        <v>0.99</v>
      </c>
      <c r="AO1399" s="75">
        <v>1</v>
      </c>
      <c r="AP1399" s="75">
        <v>1</v>
      </c>
      <c r="AQ1399" s="75">
        <v>1</v>
      </c>
      <c r="AR1399" s="75">
        <v>1</v>
      </c>
      <c r="AS1399" s="95">
        <v>7.2186152540827803E-2</v>
      </c>
      <c r="AT1399" s="79">
        <v>0</v>
      </c>
      <c r="AU1399" s="79">
        <v>0</v>
      </c>
      <c r="AV1399" s="79">
        <v>0.11111111111111099</v>
      </c>
      <c r="AW1399" s="79">
        <v>5.1724137931034503E-2</v>
      </c>
      <c r="AX1399" s="56"/>
      <c r="AY1399" s="54"/>
    </row>
    <row r="1400" spans="1:51">
      <c r="A1400" s="53"/>
      <c r="B1400" s="56"/>
      <c r="C1400" s="90" t="s">
        <v>1079</v>
      </c>
      <c r="D1400" s="230" t="s">
        <v>1757</v>
      </c>
      <c r="E1400" s="68" t="s">
        <v>1080</v>
      </c>
      <c r="F1400" s="128" t="s">
        <v>1424</v>
      </c>
      <c r="G1400" s="128" t="s">
        <v>1424</v>
      </c>
      <c r="H1400" s="128" t="s">
        <v>1424</v>
      </c>
      <c r="I1400" s="128" t="s">
        <v>1424</v>
      </c>
      <c r="J1400" s="70">
        <v>0.9</v>
      </c>
      <c r="K1400" s="71">
        <v>0.83333333333333304</v>
      </c>
      <c r="L1400" s="71">
        <v>0.89473684210526305</v>
      </c>
      <c r="M1400" s="72">
        <v>0.875</v>
      </c>
      <c r="N1400" s="71">
        <v>0.83695652173913004</v>
      </c>
      <c r="O1400" s="73">
        <v>0.9</v>
      </c>
      <c r="P1400" s="71">
        <v>0.80303030303030298</v>
      </c>
      <c r="Q1400" s="71">
        <v>0.99084858569051604</v>
      </c>
      <c r="R1400" s="71">
        <v>0.94746215494211905</v>
      </c>
      <c r="S1400" s="71">
        <v>0.95667330677290796</v>
      </c>
      <c r="T1400" s="73">
        <v>0.9</v>
      </c>
      <c r="U1400" s="71">
        <v>0.54004329004328999</v>
      </c>
      <c r="V1400" s="71">
        <v>0.73377703826955099</v>
      </c>
      <c r="W1400" s="71">
        <v>0.71682991985752498</v>
      </c>
      <c r="X1400" s="71">
        <v>0.67903386454183301</v>
      </c>
      <c r="Y1400" s="73">
        <v>0.92</v>
      </c>
      <c r="Z1400" s="73" t="s">
        <v>1710</v>
      </c>
      <c r="AA1400" s="73" t="s">
        <v>1710</v>
      </c>
      <c r="AB1400" s="73" t="s">
        <v>1710</v>
      </c>
      <c r="AC1400" s="73">
        <v>0</v>
      </c>
      <c r="AD1400" s="73">
        <v>0.92</v>
      </c>
      <c r="AE1400" s="71">
        <v>0.75</v>
      </c>
      <c r="AF1400" s="71">
        <v>1</v>
      </c>
      <c r="AG1400" s="71">
        <v>1</v>
      </c>
      <c r="AH1400" s="71">
        <v>0.83870967741935498</v>
      </c>
      <c r="AI1400" s="73">
        <v>0.92</v>
      </c>
      <c r="AJ1400" s="71">
        <v>0.70021645021644996</v>
      </c>
      <c r="AK1400" s="71">
        <v>0.91846921797004999</v>
      </c>
      <c r="AL1400" s="71">
        <v>0.876224398931434</v>
      </c>
      <c r="AM1400" s="71">
        <v>0.87434641878994102</v>
      </c>
      <c r="AN1400" s="70">
        <v>0.99</v>
      </c>
      <c r="AO1400" s="75">
        <v>1</v>
      </c>
      <c r="AP1400" s="75">
        <v>1</v>
      </c>
      <c r="AQ1400" s="75">
        <v>1</v>
      </c>
      <c r="AR1400" s="75">
        <v>1</v>
      </c>
      <c r="AS1400" s="95">
        <v>7.2186152540827803E-2</v>
      </c>
      <c r="AT1400" s="79">
        <v>0</v>
      </c>
      <c r="AU1400" s="79">
        <v>0</v>
      </c>
      <c r="AV1400" s="79">
        <v>0</v>
      </c>
      <c r="AW1400" s="79">
        <v>5.2631578947368397E-2</v>
      </c>
      <c r="AX1400" s="56"/>
      <c r="AY1400" s="54"/>
    </row>
    <row r="1401" spans="1:51">
      <c r="A1401" s="53"/>
      <c r="B1401" s="56"/>
      <c r="C1401" s="90" t="s">
        <v>1079</v>
      </c>
      <c r="D1401" s="230" t="s">
        <v>1757</v>
      </c>
      <c r="E1401" s="68" t="s">
        <v>1080</v>
      </c>
      <c r="F1401" s="128" t="s">
        <v>1425</v>
      </c>
      <c r="G1401" s="128" t="s">
        <v>1425</v>
      </c>
      <c r="H1401" s="128" t="s">
        <v>1425</v>
      </c>
      <c r="I1401" s="128" t="s">
        <v>1425</v>
      </c>
      <c r="J1401" s="70">
        <v>0.9</v>
      </c>
      <c r="K1401" s="71">
        <v>0.94117647058823495</v>
      </c>
      <c r="L1401" s="71">
        <v>0.92307692307692302</v>
      </c>
      <c r="M1401" s="72">
        <v>0.97058823529411797</v>
      </c>
      <c r="N1401" s="71">
        <v>0.95049504950495001</v>
      </c>
      <c r="O1401" s="73">
        <v>0.9</v>
      </c>
      <c r="P1401" s="71">
        <v>0.98740157480315005</v>
      </c>
      <c r="Q1401" s="71">
        <v>0.995566502463054</v>
      </c>
      <c r="R1401" s="71">
        <v>0.92961165048543704</v>
      </c>
      <c r="S1401" s="71">
        <v>0.97336224252749004</v>
      </c>
      <c r="T1401" s="73">
        <v>0.9</v>
      </c>
      <c r="U1401" s="71">
        <v>0.96430446194225705</v>
      </c>
      <c r="V1401" s="71">
        <v>0.97044334975369495</v>
      </c>
      <c r="W1401" s="71">
        <v>0.94943365695792903</v>
      </c>
      <c r="X1401" s="71">
        <v>0.953809818801301</v>
      </c>
      <c r="Y1401" s="73">
        <v>0.92</v>
      </c>
      <c r="Z1401" s="73">
        <v>0.96890862944162404</v>
      </c>
      <c r="AA1401" s="73">
        <v>0.98088332234673703</v>
      </c>
      <c r="AB1401" s="73">
        <v>0.94476744186046502</v>
      </c>
      <c r="AC1401" s="73">
        <v>0.96734605611720803</v>
      </c>
      <c r="AD1401" s="73">
        <v>0.92</v>
      </c>
      <c r="AE1401" s="71">
        <v>0.99825783972125404</v>
      </c>
      <c r="AF1401" s="71">
        <v>1</v>
      </c>
      <c r="AG1401" s="71">
        <v>0.98966829798803702</v>
      </c>
      <c r="AH1401" s="71">
        <v>0.99370286869315105</v>
      </c>
      <c r="AI1401" s="73">
        <v>0.92</v>
      </c>
      <c r="AJ1401" s="71">
        <v>0.97902901465096204</v>
      </c>
      <c r="AK1401" s="71">
        <v>0.98533972371017797</v>
      </c>
      <c r="AL1401" s="71">
        <v>0.96450617283950602</v>
      </c>
      <c r="AM1401" s="71">
        <v>0.97940214326001096</v>
      </c>
      <c r="AN1401" s="70">
        <v>0.99</v>
      </c>
      <c r="AO1401" s="75">
        <v>1</v>
      </c>
      <c r="AP1401" s="75">
        <v>1</v>
      </c>
      <c r="AQ1401" s="75">
        <v>1</v>
      </c>
      <c r="AR1401" s="75">
        <v>1</v>
      </c>
      <c r="AS1401" s="95">
        <v>7.2186152540827803E-2</v>
      </c>
      <c r="AT1401" s="79">
        <v>0</v>
      </c>
      <c r="AU1401" s="79">
        <v>0</v>
      </c>
      <c r="AV1401" s="79">
        <v>0</v>
      </c>
      <c r="AW1401" s="79">
        <v>-2.2222222222222199E-2</v>
      </c>
      <c r="AX1401" s="56"/>
      <c r="AY1401" s="54"/>
    </row>
    <row r="1402" spans="1:51">
      <c r="A1402" s="53"/>
      <c r="B1402" s="56"/>
      <c r="C1402" s="90" t="s">
        <v>1079</v>
      </c>
      <c r="D1402" s="230" t="s">
        <v>1757</v>
      </c>
      <c r="E1402" s="68" t="s">
        <v>1080</v>
      </c>
      <c r="F1402" s="128" t="s">
        <v>1426</v>
      </c>
      <c r="G1402" s="128" t="s">
        <v>1426</v>
      </c>
      <c r="H1402" s="128" t="s">
        <v>1426</v>
      </c>
      <c r="I1402" s="128" t="s">
        <v>1426</v>
      </c>
      <c r="J1402" s="70">
        <v>0.9</v>
      </c>
      <c r="K1402" s="71">
        <v>0.94736842105263197</v>
      </c>
      <c r="L1402" s="71">
        <v>0.92105263157894701</v>
      </c>
      <c r="M1402" s="72">
        <v>0.92105263157894701</v>
      </c>
      <c r="N1402" s="71">
        <v>0.93394077448747104</v>
      </c>
      <c r="O1402" s="73">
        <v>0.9</v>
      </c>
      <c r="P1402" s="71">
        <v>0.98746268656716396</v>
      </c>
      <c r="Q1402" s="71">
        <v>0.99334916864608103</v>
      </c>
      <c r="R1402" s="71">
        <v>0.99312872194228097</v>
      </c>
      <c r="S1402" s="71">
        <v>0.98931303890215805</v>
      </c>
      <c r="T1402" s="73">
        <v>0.9</v>
      </c>
      <c r="U1402" s="71">
        <v>0.92358208955223897</v>
      </c>
      <c r="V1402" s="71">
        <v>0.93634204275534405</v>
      </c>
      <c r="W1402" s="71">
        <v>0.94823637196518595</v>
      </c>
      <c r="X1402" s="71">
        <v>0.94551269076630395</v>
      </c>
      <c r="Y1402" s="73">
        <v>0.92</v>
      </c>
      <c r="Z1402" s="73">
        <v>0.93386243386243395</v>
      </c>
      <c r="AA1402" s="73">
        <v>0.95958904109589005</v>
      </c>
      <c r="AB1402" s="73">
        <v>0.94644464446444598</v>
      </c>
      <c r="AC1402" s="73">
        <v>0.96455875928352997</v>
      </c>
      <c r="AD1402" s="73">
        <v>0.92</v>
      </c>
      <c r="AE1402" s="71">
        <v>0.99815157116451003</v>
      </c>
      <c r="AF1402" s="71">
        <v>1</v>
      </c>
      <c r="AG1402" s="71">
        <v>1</v>
      </c>
      <c r="AH1402" s="71">
        <v>0.99911727616645696</v>
      </c>
      <c r="AI1402" s="73">
        <v>0.92</v>
      </c>
      <c r="AJ1402" s="71">
        <v>0.949796046438657</v>
      </c>
      <c r="AK1402" s="71">
        <v>0.96690042075736304</v>
      </c>
      <c r="AL1402" s="71">
        <v>0.96390465380249701</v>
      </c>
      <c r="AM1402" s="71">
        <v>0.97531036406751304</v>
      </c>
      <c r="AN1402" s="70">
        <v>0.99</v>
      </c>
      <c r="AO1402" s="75">
        <v>1</v>
      </c>
      <c r="AP1402" s="75">
        <v>1</v>
      </c>
      <c r="AQ1402" s="75">
        <v>1</v>
      </c>
      <c r="AR1402" s="75">
        <v>1</v>
      </c>
      <c r="AS1402" s="95">
        <v>7.2186152540827803E-2</v>
      </c>
      <c r="AT1402" s="79">
        <v>0.25</v>
      </c>
      <c r="AU1402" s="79">
        <v>0</v>
      </c>
      <c r="AV1402" s="79">
        <v>0</v>
      </c>
      <c r="AW1402" s="79">
        <v>3.125E-2</v>
      </c>
      <c r="AX1402" s="56"/>
      <c r="AY1402" s="54"/>
    </row>
    <row r="1403" spans="1:51">
      <c r="A1403" s="53"/>
      <c r="B1403" s="56"/>
      <c r="C1403" s="90" t="s">
        <v>1079</v>
      </c>
      <c r="D1403" s="230" t="s">
        <v>1757</v>
      </c>
      <c r="E1403" s="68" t="s">
        <v>1080</v>
      </c>
      <c r="F1403" s="128" t="s">
        <v>1427</v>
      </c>
      <c r="G1403" s="128" t="s">
        <v>1427</v>
      </c>
      <c r="H1403" s="128" t="s">
        <v>1427</v>
      </c>
      <c r="I1403" s="128" t="s">
        <v>1427</v>
      </c>
      <c r="J1403" s="70">
        <v>0.9</v>
      </c>
      <c r="K1403" s="71">
        <v>0.97727272727272696</v>
      </c>
      <c r="L1403" s="71">
        <v>0.95454545454545503</v>
      </c>
      <c r="M1403" s="72">
        <v>0.97777777777777797</v>
      </c>
      <c r="N1403" s="71">
        <v>0.98828125</v>
      </c>
      <c r="O1403" s="73">
        <v>0.9</v>
      </c>
      <c r="P1403" s="71">
        <v>0.98504926945293902</v>
      </c>
      <c r="Q1403" s="71">
        <v>0.98410630536737898</v>
      </c>
      <c r="R1403" s="71">
        <v>0.97012138188608799</v>
      </c>
      <c r="S1403" s="71">
        <v>0.98245122093702497</v>
      </c>
      <c r="T1403" s="73">
        <v>0.9</v>
      </c>
      <c r="U1403" s="71">
        <v>0.96398233095480801</v>
      </c>
      <c r="V1403" s="71">
        <v>0.94684731631057795</v>
      </c>
      <c r="W1403" s="71">
        <v>0.93347338935574198</v>
      </c>
      <c r="X1403" s="71">
        <v>0.949853954901274</v>
      </c>
      <c r="Y1403" s="73">
        <v>0.92</v>
      </c>
      <c r="Z1403" s="73">
        <v>0.953725490196078</v>
      </c>
      <c r="AA1403" s="73">
        <v>0.96567164179104503</v>
      </c>
      <c r="AB1403" s="73">
        <v>0.96984924623115598</v>
      </c>
      <c r="AC1403" s="73">
        <v>0.965416118920012</v>
      </c>
      <c r="AD1403" s="73">
        <v>0.92</v>
      </c>
      <c r="AE1403" s="71">
        <v>0.99929991598991896</v>
      </c>
      <c r="AF1403" s="71">
        <v>0.99822728120918103</v>
      </c>
      <c r="AG1403" s="71">
        <v>0.87744382842136004</v>
      </c>
      <c r="AH1403" s="71">
        <v>0.99321374901605297</v>
      </c>
      <c r="AI1403" s="73">
        <v>0.92</v>
      </c>
      <c r="AJ1403" s="71">
        <v>0.97984826932195401</v>
      </c>
      <c r="AK1403" s="71">
        <v>0.98824573076070099</v>
      </c>
      <c r="AL1403" s="71">
        <v>0.98051181102362195</v>
      </c>
      <c r="AM1403" s="71">
        <v>0.98548084040312001</v>
      </c>
      <c r="AN1403" s="70">
        <v>0.99</v>
      </c>
      <c r="AO1403" s="75">
        <v>1</v>
      </c>
      <c r="AP1403" s="75">
        <v>1</v>
      </c>
      <c r="AQ1403" s="75">
        <v>1</v>
      </c>
      <c r="AR1403" s="75">
        <v>1</v>
      </c>
      <c r="AS1403" s="95">
        <v>7.2186152540827803E-2</v>
      </c>
      <c r="AT1403" s="79">
        <v>0.11111111111111099</v>
      </c>
      <c r="AU1403" s="79">
        <v>-7.69230769230769E-2</v>
      </c>
      <c r="AV1403" s="79">
        <v>0</v>
      </c>
      <c r="AW1403" s="79">
        <v>1.6129032258064498E-2</v>
      </c>
      <c r="AX1403" s="56"/>
      <c r="AY1403" s="54"/>
    </row>
    <row r="1404" spans="1:51">
      <c r="A1404" s="53"/>
      <c r="B1404" s="56"/>
      <c r="C1404" s="90" t="s">
        <v>1079</v>
      </c>
      <c r="D1404" s="230" t="s">
        <v>1757</v>
      </c>
      <c r="E1404" s="68" t="s">
        <v>1080</v>
      </c>
      <c r="F1404" s="128" t="s">
        <v>1428</v>
      </c>
      <c r="G1404" s="128" t="s">
        <v>1428</v>
      </c>
      <c r="H1404" s="128" t="s">
        <v>1428</v>
      </c>
      <c r="I1404" s="128" t="s">
        <v>1428</v>
      </c>
      <c r="J1404" s="70">
        <v>0.9</v>
      </c>
      <c r="K1404" s="71">
        <v>1</v>
      </c>
      <c r="L1404" s="71">
        <v>1</v>
      </c>
      <c r="M1404" s="72">
        <v>0.97142857142857097</v>
      </c>
      <c r="N1404" s="71">
        <v>0.99492385786801996</v>
      </c>
      <c r="O1404" s="73">
        <v>0.9</v>
      </c>
      <c r="P1404" s="71">
        <v>1</v>
      </c>
      <c r="Q1404" s="71">
        <v>0.99745454545454504</v>
      </c>
      <c r="R1404" s="71">
        <v>0.990636099451082</v>
      </c>
      <c r="S1404" s="71">
        <v>0.99279644137564704</v>
      </c>
      <c r="T1404" s="73">
        <v>0.9</v>
      </c>
      <c r="U1404" s="71">
        <v>0.95345622119815698</v>
      </c>
      <c r="V1404" s="71">
        <v>0.96</v>
      </c>
      <c r="W1404" s="71">
        <v>0.971585405230869</v>
      </c>
      <c r="X1404" s="71">
        <v>0.96199043951666396</v>
      </c>
      <c r="Y1404" s="73">
        <v>0.92</v>
      </c>
      <c r="Z1404" s="73">
        <v>0.98547215496368001</v>
      </c>
      <c r="AA1404" s="73">
        <v>0.97854077253218896</v>
      </c>
      <c r="AB1404" s="73">
        <v>0.97623762376237599</v>
      </c>
      <c r="AC1404" s="73">
        <v>0.98371040723981895</v>
      </c>
      <c r="AD1404" s="73">
        <v>0.92</v>
      </c>
      <c r="AE1404" s="71">
        <v>0.99956597222222199</v>
      </c>
      <c r="AF1404" s="71">
        <v>0.99283582089552203</v>
      </c>
      <c r="AG1404" s="71">
        <v>0.99982366425674496</v>
      </c>
      <c r="AH1404" s="71">
        <v>0.99916610539144901</v>
      </c>
      <c r="AI1404" s="73">
        <v>0.92</v>
      </c>
      <c r="AJ1404" s="71">
        <v>0.99065732399065698</v>
      </c>
      <c r="AK1404" s="71">
        <v>0.98818407960198995</v>
      </c>
      <c r="AL1404" s="71">
        <v>0.98667406996113305</v>
      </c>
      <c r="AM1404" s="71">
        <v>0.99074980955490299</v>
      </c>
      <c r="AN1404" s="70">
        <v>0.99</v>
      </c>
      <c r="AO1404" s="75">
        <v>1</v>
      </c>
      <c r="AP1404" s="75">
        <v>1</v>
      </c>
      <c r="AQ1404" s="75">
        <v>1</v>
      </c>
      <c r="AR1404" s="75">
        <v>1</v>
      </c>
      <c r="AS1404" s="95">
        <v>7.2186152540827803E-2</v>
      </c>
      <c r="AT1404" s="79">
        <v>0</v>
      </c>
      <c r="AU1404" s="79">
        <v>0</v>
      </c>
      <c r="AV1404" s="79">
        <v>0</v>
      </c>
      <c r="AW1404" s="79">
        <v>0</v>
      </c>
      <c r="AX1404" s="56"/>
      <c r="AY1404" s="54"/>
    </row>
    <row r="1405" spans="1:51">
      <c r="A1405" s="53"/>
      <c r="B1405" s="56"/>
      <c r="C1405" s="90" t="s">
        <v>1079</v>
      </c>
      <c r="D1405" s="230" t="s">
        <v>1757</v>
      </c>
      <c r="E1405" s="68" t="s">
        <v>1080</v>
      </c>
      <c r="F1405" s="128" t="s">
        <v>1429</v>
      </c>
      <c r="G1405" s="128" t="s">
        <v>1429</v>
      </c>
      <c r="H1405" s="128" t="s">
        <v>1429</v>
      </c>
      <c r="I1405" s="128" t="s">
        <v>1429</v>
      </c>
      <c r="J1405" s="70">
        <v>0.9</v>
      </c>
      <c r="K1405" s="71">
        <v>0.90322580645161299</v>
      </c>
      <c r="L1405" s="71">
        <v>0.97142857142857097</v>
      </c>
      <c r="M1405" s="72">
        <v>0.83870967741935498</v>
      </c>
      <c r="N1405" s="71">
        <v>0.91489361702127703</v>
      </c>
      <c r="O1405" s="73">
        <v>0.9</v>
      </c>
      <c r="P1405" s="71">
        <v>0.97124304267161399</v>
      </c>
      <c r="Q1405" s="71">
        <v>0.96893063583814998</v>
      </c>
      <c r="R1405" s="71">
        <v>0.743757802746567</v>
      </c>
      <c r="S1405" s="71">
        <v>0.89224595383390803</v>
      </c>
      <c r="T1405" s="73">
        <v>0.9</v>
      </c>
      <c r="U1405" s="71">
        <v>0.88450834879406304</v>
      </c>
      <c r="V1405" s="71">
        <v>0.92593930635838195</v>
      </c>
      <c r="W1405" s="71">
        <v>0.80368289637952595</v>
      </c>
      <c r="X1405" s="71">
        <v>0.89821570708410703</v>
      </c>
      <c r="Y1405" s="73">
        <v>0.92</v>
      </c>
      <c r="Z1405" s="73">
        <v>0.91676718938480095</v>
      </c>
      <c r="AA1405" s="73">
        <v>0.90909090909090895</v>
      </c>
      <c r="AB1405" s="73">
        <v>0.83378378378378404</v>
      </c>
      <c r="AC1405" s="73">
        <v>0.92529318083104095</v>
      </c>
      <c r="AD1405" s="73">
        <v>0.92</v>
      </c>
      <c r="AE1405" s="71">
        <v>0.99640763849499003</v>
      </c>
      <c r="AF1405" s="71">
        <v>0.99686192468619295</v>
      </c>
      <c r="AG1405" s="71">
        <v>0.99811231713072202</v>
      </c>
      <c r="AH1405" s="71">
        <v>0.99534973468403298</v>
      </c>
      <c r="AI1405" s="73">
        <v>0.92</v>
      </c>
      <c r="AJ1405" s="71">
        <v>0.95175879396984897</v>
      </c>
      <c r="AK1405" s="71">
        <v>0.95665539501998198</v>
      </c>
      <c r="AL1405" s="71">
        <v>0.93737322515212995</v>
      </c>
      <c r="AM1405" s="71">
        <v>0.96044466029895803</v>
      </c>
      <c r="AN1405" s="70">
        <v>0.99</v>
      </c>
      <c r="AO1405" s="75">
        <v>1</v>
      </c>
      <c r="AP1405" s="75">
        <v>1</v>
      </c>
      <c r="AQ1405" s="75">
        <v>1</v>
      </c>
      <c r="AR1405" s="75">
        <v>1</v>
      </c>
      <c r="AS1405" s="95">
        <v>7.2186152540827803E-2</v>
      </c>
      <c r="AT1405" s="79">
        <v>0</v>
      </c>
      <c r="AU1405" s="79">
        <v>5.8823529411764698E-2</v>
      </c>
      <c r="AV1405" s="79">
        <v>0</v>
      </c>
      <c r="AW1405" s="79">
        <v>4.5454545454545497E-2</v>
      </c>
      <c r="AX1405" s="56"/>
      <c r="AY1405" s="54"/>
    </row>
    <row r="1406" spans="1:51">
      <c r="A1406" s="53"/>
      <c r="B1406" s="56"/>
      <c r="C1406" s="90" t="s">
        <v>1079</v>
      </c>
      <c r="D1406" s="230" t="s">
        <v>1757</v>
      </c>
      <c r="E1406" s="68" t="s">
        <v>1080</v>
      </c>
      <c r="F1406" s="128" t="s">
        <v>1430</v>
      </c>
      <c r="G1406" s="128" t="s">
        <v>1430</v>
      </c>
      <c r="H1406" s="128" t="s">
        <v>1430</v>
      </c>
      <c r="I1406" s="128" t="s">
        <v>1430</v>
      </c>
      <c r="J1406" s="70">
        <v>0.9</v>
      </c>
      <c r="K1406" s="71">
        <v>0.97222222222222199</v>
      </c>
      <c r="L1406" s="71">
        <v>0.91891891891891897</v>
      </c>
      <c r="M1406" s="72">
        <v>0.967741935483871</v>
      </c>
      <c r="N1406" s="71">
        <v>0.95098039215686303</v>
      </c>
      <c r="O1406" s="73">
        <v>0.9</v>
      </c>
      <c r="P1406" s="71">
        <v>0.957906098219104</v>
      </c>
      <c r="Q1406" s="71">
        <v>0.99208095028596599</v>
      </c>
      <c r="R1406" s="71">
        <v>0.99648849005072204</v>
      </c>
      <c r="S1406" s="71">
        <v>0.97896113158207498</v>
      </c>
      <c r="T1406" s="73">
        <v>0.9</v>
      </c>
      <c r="U1406" s="71">
        <v>0.91149487317862898</v>
      </c>
      <c r="V1406" s="71">
        <v>0.94060712714474304</v>
      </c>
      <c r="W1406" s="71">
        <v>0.95708154506437804</v>
      </c>
      <c r="X1406" s="71">
        <v>0.945283093624946</v>
      </c>
      <c r="Y1406" s="73">
        <v>0.92</v>
      </c>
      <c r="Z1406" s="73">
        <v>0.96380697050938302</v>
      </c>
      <c r="AA1406" s="73">
        <v>0.96436525612472201</v>
      </c>
      <c r="AB1406" s="73">
        <v>0.91777777777777803</v>
      </c>
      <c r="AC1406" s="73">
        <v>0.96266345492085303</v>
      </c>
      <c r="AD1406" s="73">
        <v>0.92</v>
      </c>
      <c r="AE1406" s="71">
        <v>0.87599771949828997</v>
      </c>
      <c r="AF1406" s="71">
        <v>0.89701855795558305</v>
      </c>
      <c r="AG1406" s="71">
        <v>0.82882882882882902</v>
      </c>
      <c r="AH1406" s="71">
        <v>0.83077407098171596</v>
      </c>
      <c r="AI1406" s="73">
        <v>0.92</v>
      </c>
      <c r="AJ1406" s="71">
        <v>0.97884615384615403</v>
      </c>
      <c r="AK1406" s="71">
        <v>0.98383541513592898</v>
      </c>
      <c r="AL1406" s="71">
        <v>0.98108825481088302</v>
      </c>
      <c r="AM1406" s="71">
        <v>0.98608964451313796</v>
      </c>
      <c r="AN1406" s="70">
        <v>0.99</v>
      </c>
      <c r="AO1406" s="75">
        <v>1</v>
      </c>
      <c r="AP1406" s="75">
        <v>1</v>
      </c>
      <c r="AQ1406" s="75">
        <v>1</v>
      </c>
      <c r="AR1406" s="75">
        <v>1</v>
      </c>
      <c r="AS1406" s="95">
        <v>7.2186152540827803E-2</v>
      </c>
      <c r="AT1406" s="79">
        <v>0</v>
      </c>
      <c r="AU1406" s="79">
        <v>-0.14285714285714299</v>
      </c>
      <c r="AV1406" s="79">
        <v>0</v>
      </c>
      <c r="AW1406" s="79">
        <v>2.80373831775701E-2</v>
      </c>
      <c r="AX1406" s="56"/>
      <c r="AY1406" s="54"/>
    </row>
    <row r="1407" spans="1:51">
      <c r="A1407" s="53"/>
      <c r="B1407" s="56"/>
      <c r="C1407" s="90" t="s">
        <v>1079</v>
      </c>
      <c r="D1407" s="230" t="s">
        <v>1757</v>
      </c>
      <c r="E1407" s="68" t="s">
        <v>1080</v>
      </c>
      <c r="F1407" s="128" t="s">
        <v>1431</v>
      </c>
      <c r="G1407" s="128" t="s">
        <v>1431</v>
      </c>
      <c r="H1407" s="128" t="s">
        <v>1431</v>
      </c>
      <c r="I1407" s="128" t="s">
        <v>1431</v>
      </c>
      <c r="J1407" s="70">
        <v>0.9</v>
      </c>
      <c r="K1407" s="71">
        <v>0.88</v>
      </c>
      <c r="L1407" s="71">
        <v>0.875</v>
      </c>
      <c r="M1407" s="72">
        <v>0.91249999999999998</v>
      </c>
      <c r="N1407" s="71">
        <v>0.91591928251121102</v>
      </c>
      <c r="O1407" s="73">
        <v>0.9</v>
      </c>
      <c r="P1407" s="71">
        <v>0.95491433724075703</v>
      </c>
      <c r="Q1407" s="71">
        <v>0.93870512619532798</v>
      </c>
      <c r="R1407" s="71">
        <v>0.90474221119382403</v>
      </c>
      <c r="S1407" s="71">
        <v>0.94220674808308202</v>
      </c>
      <c r="T1407" s="73">
        <v>0.9</v>
      </c>
      <c r="U1407" s="71">
        <v>0.90640216411181196</v>
      </c>
      <c r="V1407" s="71">
        <v>0.91628781940743098</v>
      </c>
      <c r="W1407" s="71">
        <v>0.92114695340501795</v>
      </c>
      <c r="X1407" s="71">
        <v>0.91501774062803198</v>
      </c>
      <c r="Y1407" s="73">
        <v>0.92</v>
      </c>
      <c r="Z1407" s="73">
        <v>0.92160844841592204</v>
      </c>
      <c r="AA1407" s="73">
        <v>0.91808191808191797</v>
      </c>
      <c r="AB1407" s="73">
        <v>0.92</v>
      </c>
      <c r="AC1407" s="73">
        <v>0.92374857638700603</v>
      </c>
      <c r="AD1407" s="73">
        <v>0.92</v>
      </c>
      <c r="AE1407" s="71">
        <v>0.981379731379731</v>
      </c>
      <c r="AF1407" s="71">
        <v>0.76304945054945095</v>
      </c>
      <c r="AG1407" s="71">
        <v>0.84210526315789502</v>
      </c>
      <c r="AH1407" s="71">
        <v>0.89465696739141398</v>
      </c>
      <c r="AI1407" s="73">
        <v>0.92</v>
      </c>
      <c r="AJ1407" s="71">
        <v>0.95553890345947301</v>
      </c>
      <c r="AK1407" s="71">
        <v>0.95339384907194102</v>
      </c>
      <c r="AL1407" s="71">
        <v>0.96460481099656403</v>
      </c>
      <c r="AM1407" s="71">
        <v>0.964021175315388</v>
      </c>
      <c r="AN1407" s="70">
        <v>0.99</v>
      </c>
      <c r="AO1407" s="75">
        <v>1</v>
      </c>
      <c r="AP1407" s="75">
        <v>1</v>
      </c>
      <c r="AQ1407" s="75">
        <v>1</v>
      </c>
      <c r="AR1407" s="75">
        <v>1</v>
      </c>
      <c r="AS1407" s="95">
        <v>7.2186152540827803E-2</v>
      </c>
      <c r="AT1407" s="79">
        <v>5.5555555555555601E-2</v>
      </c>
      <c r="AU1407" s="79">
        <v>2.1276595744680899E-2</v>
      </c>
      <c r="AV1407" s="79">
        <v>5.5555555555555601E-2</v>
      </c>
      <c r="AW1407" s="79">
        <v>3.4412955465587002E-2</v>
      </c>
      <c r="AX1407" s="56"/>
      <c r="AY1407" s="54"/>
    </row>
    <row r="1408" spans="1:51">
      <c r="A1408" s="53"/>
      <c r="B1408" s="56"/>
      <c r="C1408" s="90" t="s">
        <v>1079</v>
      </c>
      <c r="D1408" s="230" t="s">
        <v>1757</v>
      </c>
      <c r="E1408" s="68" t="s">
        <v>1080</v>
      </c>
      <c r="F1408" s="128" t="s">
        <v>1432</v>
      </c>
      <c r="G1408" s="128" t="s">
        <v>1432</v>
      </c>
      <c r="H1408" s="128" t="s">
        <v>1432</v>
      </c>
      <c r="I1408" s="128" t="s">
        <v>1432</v>
      </c>
      <c r="J1408" s="70">
        <v>0.9</v>
      </c>
      <c r="K1408" s="71">
        <v>1</v>
      </c>
      <c r="L1408" s="71">
        <v>1</v>
      </c>
      <c r="M1408" s="72">
        <v>1</v>
      </c>
      <c r="N1408" s="71">
        <v>1</v>
      </c>
      <c r="O1408" s="73">
        <v>0.9</v>
      </c>
      <c r="P1408" s="71">
        <v>0.989082969432314</v>
      </c>
      <c r="Q1408" s="71">
        <v>0.98475967174677603</v>
      </c>
      <c r="R1408" s="71">
        <v>0.97838394235717996</v>
      </c>
      <c r="S1408" s="71">
        <v>0.98437092992966901</v>
      </c>
      <c r="T1408" s="73">
        <v>0.9</v>
      </c>
      <c r="U1408" s="71">
        <v>0.93304221251819497</v>
      </c>
      <c r="V1408" s="71">
        <v>0.93728018757327103</v>
      </c>
      <c r="W1408" s="71">
        <v>0.94956253216675202</v>
      </c>
      <c r="X1408" s="71">
        <v>0.94634019275853098</v>
      </c>
      <c r="Y1408" s="73">
        <v>0.92</v>
      </c>
      <c r="Z1408" s="73">
        <v>0.93728813559322</v>
      </c>
      <c r="AA1408" s="73">
        <v>0.93146417445482899</v>
      </c>
      <c r="AB1408" s="73">
        <v>0.949367088607595</v>
      </c>
      <c r="AC1408" s="73">
        <v>0.951527924130664</v>
      </c>
      <c r="AD1408" s="73">
        <v>0.92</v>
      </c>
      <c r="AE1408" s="71">
        <v>0.99774460315755598</v>
      </c>
      <c r="AF1408" s="71">
        <v>0.99670307026581495</v>
      </c>
      <c r="AG1408" s="71">
        <v>0.99778516057585798</v>
      </c>
      <c r="AH1408" s="71">
        <v>0.99375485060147495</v>
      </c>
      <c r="AI1408" s="73">
        <v>0.92</v>
      </c>
      <c r="AJ1408" s="71">
        <v>0.96843177189409402</v>
      </c>
      <c r="AK1408" s="71">
        <v>0.97138628515046899</v>
      </c>
      <c r="AL1408" s="71">
        <v>0.98118049615055603</v>
      </c>
      <c r="AM1408" s="71">
        <v>0.97857411351960899</v>
      </c>
      <c r="AN1408" s="70">
        <v>0.99</v>
      </c>
      <c r="AO1408" s="75">
        <v>1</v>
      </c>
      <c r="AP1408" s="75">
        <v>1</v>
      </c>
      <c r="AQ1408" s="75">
        <v>1</v>
      </c>
      <c r="AR1408" s="75">
        <v>1</v>
      </c>
      <c r="AS1408" s="95">
        <v>7.2186152540827803E-2</v>
      </c>
      <c r="AT1408" s="79">
        <v>0</v>
      </c>
      <c r="AU1408" s="79">
        <v>0</v>
      </c>
      <c r="AV1408" s="79">
        <v>0</v>
      </c>
      <c r="AW1408" s="79">
        <v>1.1904761904761901E-2</v>
      </c>
      <c r="AX1408" s="56"/>
      <c r="AY1408" s="54"/>
    </row>
    <row r="1409" spans="1:51">
      <c r="A1409" s="53"/>
      <c r="B1409" s="56"/>
      <c r="C1409" s="90" t="s">
        <v>1079</v>
      </c>
      <c r="D1409" s="230" t="s">
        <v>1757</v>
      </c>
      <c r="E1409" s="68" t="s">
        <v>1080</v>
      </c>
      <c r="F1409" s="128" t="s">
        <v>1433</v>
      </c>
      <c r="G1409" s="128" t="s">
        <v>1433</v>
      </c>
      <c r="H1409" s="128" t="s">
        <v>1433</v>
      </c>
      <c r="I1409" s="128" t="s">
        <v>1433</v>
      </c>
      <c r="J1409" s="70">
        <v>0.9</v>
      </c>
      <c r="K1409" s="71">
        <v>0.98214285714285698</v>
      </c>
      <c r="L1409" s="71">
        <v>1</v>
      </c>
      <c r="M1409" s="72">
        <v>0.98039215686274495</v>
      </c>
      <c r="N1409" s="71">
        <v>0.98187311178247705</v>
      </c>
      <c r="O1409" s="73">
        <v>0.9</v>
      </c>
      <c r="P1409" s="71">
        <v>0.98678737460239796</v>
      </c>
      <c r="Q1409" s="71">
        <v>0.985385385385385</v>
      </c>
      <c r="R1409" s="71">
        <v>0.97770527460576395</v>
      </c>
      <c r="S1409" s="71">
        <v>0.97686421390297695</v>
      </c>
      <c r="T1409" s="73">
        <v>0.9</v>
      </c>
      <c r="U1409" s="71">
        <v>0.882065084413996</v>
      </c>
      <c r="V1409" s="71">
        <v>0.92232232232232203</v>
      </c>
      <c r="W1409" s="71">
        <v>0.90918977705274595</v>
      </c>
      <c r="X1409" s="71">
        <v>0.92582570204835002</v>
      </c>
      <c r="Y1409" s="73">
        <v>0.92</v>
      </c>
      <c r="Z1409" s="73">
        <v>0.89822024471635198</v>
      </c>
      <c r="AA1409" s="73">
        <v>0.94194312796208501</v>
      </c>
      <c r="AB1409" s="73">
        <v>0.91793570219966203</v>
      </c>
      <c r="AC1409" s="73">
        <v>0.93686339125224705</v>
      </c>
      <c r="AD1409" s="73">
        <v>0.92</v>
      </c>
      <c r="AE1409" s="71">
        <v>0.98863338288012603</v>
      </c>
      <c r="AF1409" s="71">
        <v>0.99738965353583298</v>
      </c>
      <c r="AG1409" s="71">
        <v>0.99540253371475296</v>
      </c>
      <c r="AH1409" s="71">
        <v>0.99540749800953099</v>
      </c>
      <c r="AI1409" s="73">
        <v>0.92</v>
      </c>
      <c r="AJ1409" s="71">
        <v>0.93610875106202196</v>
      </c>
      <c r="AK1409" s="71">
        <v>0.96780270594279805</v>
      </c>
      <c r="AL1409" s="71">
        <v>0.96208389311837605</v>
      </c>
      <c r="AM1409" s="71">
        <v>0.971455838972757</v>
      </c>
      <c r="AN1409" s="70">
        <v>0.99</v>
      </c>
      <c r="AO1409" s="75">
        <v>1</v>
      </c>
      <c r="AP1409" s="75">
        <v>1</v>
      </c>
      <c r="AQ1409" s="75">
        <v>1</v>
      </c>
      <c r="AR1409" s="75">
        <v>1</v>
      </c>
      <c r="AS1409" s="95">
        <v>7.2186152540827803E-2</v>
      </c>
      <c r="AT1409" s="79">
        <v>0</v>
      </c>
      <c r="AU1409" s="79">
        <v>0</v>
      </c>
      <c r="AV1409" s="79">
        <v>0</v>
      </c>
      <c r="AW1409" s="79">
        <v>3.64145658263305E-2</v>
      </c>
      <c r="AX1409" s="56"/>
      <c r="AY1409" s="54"/>
    </row>
    <row r="1410" spans="1:51">
      <c r="A1410" s="53"/>
      <c r="B1410" s="56"/>
      <c r="C1410" s="90" t="s">
        <v>1079</v>
      </c>
      <c r="D1410" s="230" t="s">
        <v>1757</v>
      </c>
      <c r="E1410" s="68" t="s">
        <v>1080</v>
      </c>
      <c r="F1410" s="128" t="s">
        <v>1434</v>
      </c>
      <c r="G1410" s="128" t="s">
        <v>1434</v>
      </c>
      <c r="H1410" s="128" t="s">
        <v>1434</v>
      </c>
      <c r="I1410" s="128" t="s">
        <v>1434</v>
      </c>
      <c r="J1410" s="70">
        <v>0.9</v>
      </c>
      <c r="K1410" s="71">
        <v>0.94366197183098599</v>
      </c>
      <c r="L1410" s="71">
        <v>0.89333333333333298</v>
      </c>
      <c r="M1410" s="72">
        <v>0.85915492957746498</v>
      </c>
      <c r="N1410" s="71">
        <v>0.85517241379310305</v>
      </c>
      <c r="O1410" s="73">
        <v>0.9</v>
      </c>
      <c r="P1410" s="71">
        <v>0.96108067258643504</v>
      </c>
      <c r="Q1410" s="71">
        <v>0.95760065735415001</v>
      </c>
      <c r="R1410" s="71">
        <v>0.93542382588774298</v>
      </c>
      <c r="S1410" s="71">
        <v>0.93400747951234697</v>
      </c>
      <c r="T1410" s="73">
        <v>0.9</v>
      </c>
      <c r="U1410" s="71">
        <v>0.92858492348384702</v>
      </c>
      <c r="V1410" s="71">
        <v>0.92719802793755102</v>
      </c>
      <c r="W1410" s="71">
        <v>0.88788659793814395</v>
      </c>
      <c r="X1410" s="71">
        <v>0.92273420729319999</v>
      </c>
      <c r="Y1410" s="73">
        <v>0.92</v>
      </c>
      <c r="Z1410" s="73">
        <v>0.92994966442952998</v>
      </c>
      <c r="AA1410" s="73">
        <v>0.85667396061269196</v>
      </c>
      <c r="AB1410" s="73">
        <v>0.89161849710982699</v>
      </c>
      <c r="AC1410" s="73">
        <v>0.91572732152442304</v>
      </c>
      <c r="AD1410" s="73">
        <v>0.92</v>
      </c>
      <c r="AE1410" s="71">
        <v>0.99732208066217598</v>
      </c>
      <c r="AF1410" s="71">
        <v>0.98819320214669004</v>
      </c>
      <c r="AG1410" s="71">
        <v>0.99866731281802801</v>
      </c>
      <c r="AH1410" s="71">
        <v>0.98860141769867405</v>
      </c>
      <c r="AI1410" s="73">
        <v>0.92</v>
      </c>
      <c r="AJ1410" s="71">
        <v>0.95688419955711901</v>
      </c>
      <c r="AK1410" s="71">
        <v>0.94784969281325904</v>
      </c>
      <c r="AL1410" s="71">
        <v>0.94921128107074604</v>
      </c>
      <c r="AM1410" s="71">
        <v>0.96370421744443302</v>
      </c>
      <c r="AN1410" s="70">
        <v>0.99</v>
      </c>
      <c r="AO1410" s="75">
        <v>1</v>
      </c>
      <c r="AP1410" s="75">
        <v>1</v>
      </c>
      <c r="AQ1410" s="75">
        <v>1</v>
      </c>
      <c r="AR1410" s="75">
        <v>1</v>
      </c>
      <c r="AS1410" s="95">
        <v>7.2186152540827803E-2</v>
      </c>
      <c r="AT1410" s="79">
        <v>0.15151515151515199</v>
      </c>
      <c r="AU1410" s="79">
        <v>7.4999999999999997E-2</v>
      </c>
      <c r="AV1410" s="79">
        <v>3.77358490566038E-2</v>
      </c>
      <c r="AW1410" s="79">
        <v>3.7499999999999999E-2</v>
      </c>
      <c r="AX1410" s="56"/>
      <c r="AY1410" s="54"/>
    </row>
    <row r="1411" spans="1:51">
      <c r="A1411" s="53"/>
      <c r="B1411" s="56"/>
      <c r="C1411" s="90" t="s">
        <v>1079</v>
      </c>
      <c r="D1411" s="230" t="s">
        <v>1757</v>
      </c>
      <c r="E1411" s="68" t="s">
        <v>1080</v>
      </c>
      <c r="F1411" s="128" t="s">
        <v>1435</v>
      </c>
      <c r="G1411" s="128" t="s">
        <v>1435</v>
      </c>
      <c r="H1411" s="128" t="s">
        <v>1435</v>
      </c>
      <c r="I1411" s="128" t="s">
        <v>1435</v>
      </c>
      <c r="J1411" s="70">
        <v>0.9</v>
      </c>
      <c r="K1411" s="71">
        <v>0.95714285714285696</v>
      </c>
      <c r="L1411" s="71">
        <v>0.96969696969696995</v>
      </c>
      <c r="M1411" s="72">
        <v>0.92063492063492103</v>
      </c>
      <c r="N1411" s="71">
        <v>0.94458438287153701</v>
      </c>
      <c r="O1411" s="73">
        <v>0.9</v>
      </c>
      <c r="P1411" s="71">
        <v>0.96040372670807495</v>
      </c>
      <c r="Q1411" s="71">
        <v>0.90423317140874404</v>
      </c>
      <c r="R1411" s="71">
        <v>0.94885225697119102</v>
      </c>
      <c r="S1411" s="71">
        <v>0.94288856304985302</v>
      </c>
      <c r="T1411" s="73">
        <v>0.9</v>
      </c>
      <c r="U1411" s="71">
        <v>0.925659937888199</v>
      </c>
      <c r="V1411" s="71">
        <v>0.88931297709923696</v>
      </c>
      <c r="W1411" s="71">
        <v>0.87043598829147995</v>
      </c>
      <c r="X1411" s="71">
        <v>0.92712609970674498</v>
      </c>
      <c r="Y1411" s="73">
        <v>0.92</v>
      </c>
      <c r="Z1411" s="73">
        <v>0.923939541686982</v>
      </c>
      <c r="AA1411" s="73">
        <v>0.82086167800453502</v>
      </c>
      <c r="AB1411" s="73">
        <v>0.84846153846153805</v>
      </c>
      <c r="AC1411" s="73">
        <v>0.90788523406210997</v>
      </c>
      <c r="AD1411" s="73">
        <v>0.92</v>
      </c>
      <c r="AE1411" s="71">
        <v>0.98904989296887902</v>
      </c>
      <c r="AF1411" s="71">
        <v>0.985867446393762</v>
      </c>
      <c r="AG1411" s="71">
        <v>0.98392282958199395</v>
      </c>
      <c r="AH1411" s="71">
        <v>0.98175887789991001</v>
      </c>
      <c r="AI1411" s="73">
        <v>0.92</v>
      </c>
      <c r="AJ1411" s="71">
        <v>0.95168679716784699</v>
      </c>
      <c r="AK1411" s="71">
        <v>0.94060150375939899</v>
      </c>
      <c r="AL1411" s="71">
        <v>0.93287987679671502</v>
      </c>
      <c r="AM1411" s="71">
        <v>0.96183114626400601</v>
      </c>
      <c r="AN1411" s="70">
        <v>0.99</v>
      </c>
      <c r="AO1411" s="75">
        <v>1</v>
      </c>
      <c r="AP1411" s="75">
        <v>1</v>
      </c>
      <c r="AQ1411" s="75">
        <v>1</v>
      </c>
      <c r="AR1411" s="75">
        <v>1</v>
      </c>
      <c r="AS1411" s="95">
        <v>7.2186152540827803E-2</v>
      </c>
      <c r="AT1411" s="79">
        <v>7.1428571428571397E-2</v>
      </c>
      <c r="AU1411" s="79">
        <v>7.9365079365079402E-2</v>
      </c>
      <c r="AV1411" s="79">
        <v>0.126984126984127</v>
      </c>
      <c r="AW1411" s="79">
        <v>3.4530386740331501E-2</v>
      </c>
      <c r="AX1411" s="56"/>
      <c r="AY1411" s="54"/>
    </row>
    <row r="1412" spans="1:51">
      <c r="A1412" s="53"/>
      <c r="B1412" s="56"/>
      <c r="C1412" s="90" t="s">
        <v>1079</v>
      </c>
      <c r="D1412" s="230" t="s">
        <v>1757</v>
      </c>
      <c r="E1412" s="68" t="s">
        <v>1080</v>
      </c>
      <c r="F1412" s="128" t="s">
        <v>1436</v>
      </c>
      <c r="G1412" s="128" t="s">
        <v>1436</v>
      </c>
      <c r="H1412" s="128" t="s">
        <v>1436</v>
      </c>
      <c r="I1412" s="128" t="s">
        <v>1436</v>
      </c>
      <c r="J1412" s="70">
        <v>0.9</v>
      </c>
      <c r="K1412" s="71">
        <v>0.890625</v>
      </c>
      <c r="L1412" s="71">
        <v>0.90322580645161299</v>
      </c>
      <c r="M1412" s="72">
        <v>0.9</v>
      </c>
      <c r="N1412" s="71">
        <v>0.91884456671251702</v>
      </c>
      <c r="O1412" s="73">
        <v>0.9</v>
      </c>
      <c r="P1412" s="71">
        <v>0.95410134060440799</v>
      </c>
      <c r="Q1412" s="71">
        <v>0.93568056648308395</v>
      </c>
      <c r="R1412" s="71">
        <v>0.89948496427978097</v>
      </c>
      <c r="S1412" s="71">
        <v>0.93044647050250195</v>
      </c>
      <c r="T1412" s="73">
        <v>0.9</v>
      </c>
      <c r="U1412" s="71">
        <v>0.91842763008407202</v>
      </c>
      <c r="V1412" s="71">
        <v>0.91896144767899302</v>
      </c>
      <c r="W1412" s="71">
        <v>0.85529157667386602</v>
      </c>
      <c r="X1412" s="71">
        <v>0.90252789428511304</v>
      </c>
      <c r="Y1412" s="73">
        <v>0.92</v>
      </c>
      <c r="Z1412" s="73">
        <v>0.92111959287531797</v>
      </c>
      <c r="AA1412" s="73">
        <v>0.89834515366430301</v>
      </c>
      <c r="AB1412" s="73">
        <v>0.89359933499584399</v>
      </c>
      <c r="AC1412" s="73">
        <v>0.92457337883959001</v>
      </c>
      <c r="AD1412" s="73">
        <v>0.92</v>
      </c>
      <c r="AE1412" s="71">
        <v>0.99939713639788996</v>
      </c>
      <c r="AF1412" s="71">
        <v>0.94726166328600403</v>
      </c>
      <c r="AG1412" s="71">
        <v>1</v>
      </c>
      <c r="AH1412" s="71">
        <v>0.99423432726646899</v>
      </c>
      <c r="AI1412" s="73">
        <v>0.92</v>
      </c>
      <c r="AJ1412" s="71">
        <v>0.95475255302435202</v>
      </c>
      <c r="AK1412" s="71">
        <v>0.96071488787725501</v>
      </c>
      <c r="AL1412" s="71">
        <v>0.95347549155358602</v>
      </c>
      <c r="AM1412" s="71">
        <v>0.96688525019306004</v>
      </c>
      <c r="AN1412" s="70">
        <v>0.99</v>
      </c>
      <c r="AO1412" s="75">
        <v>1</v>
      </c>
      <c r="AP1412" s="75">
        <v>1</v>
      </c>
      <c r="AQ1412" s="75">
        <v>1</v>
      </c>
      <c r="AR1412" s="75">
        <v>1</v>
      </c>
      <c r="AS1412" s="95">
        <v>7.2186152540827803E-2</v>
      </c>
      <c r="AT1412" s="79">
        <v>6.9767441860465101E-2</v>
      </c>
      <c r="AU1412" s="79">
        <v>-2.1276595744680899E-2</v>
      </c>
      <c r="AV1412" s="79">
        <v>2.27272727272727E-2</v>
      </c>
      <c r="AW1412" s="79">
        <v>2.7253668763102701E-2</v>
      </c>
      <c r="AX1412" s="56"/>
      <c r="AY1412" s="54"/>
    </row>
    <row r="1413" spans="1:51">
      <c r="A1413" s="53"/>
      <c r="B1413" s="56"/>
      <c r="C1413" s="90" t="s">
        <v>1079</v>
      </c>
      <c r="D1413" s="230" t="s">
        <v>1757</v>
      </c>
      <c r="E1413" s="68" t="s">
        <v>1080</v>
      </c>
      <c r="F1413" s="128" t="s">
        <v>1437</v>
      </c>
      <c r="G1413" s="128" t="s">
        <v>1437</v>
      </c>
      <c r="H1413" s="128" t="s">
        <v>1437</v>
      </c>
      <c r="I1413" s="128" t="s">
        <v>1437</v>
      </c>
      <c r="J1413" s="70">
        <v>0.9</v>
      </c>
      <c r="K1413" s="71">
        <v>0.95833333333333304</v>
      </c>
      <c r="L1413" s="71">
        <v>0.95</v>
      </c>
      <c r="M1413" s="72">
        <v>1</v>
      </c>
      <c r="N1413" s="71">
        <v>0.95934959349593496</v>
      </c>
      <c r="O1413" s="73">
        <v>0.9</v>
      </c>
      <c r="P1413" s="71">
        <v>0.98230088495575196</v>
      </c>
      <c r="Q1413" s="71">
        <v>0.97557003257329</v>
      </c>
      <c r="R1413" s="71">
        <v>0.97732181425485998</v>
      </c>
      <c r="S1413" s="71">
        <v>0.98047016274864396</v>
      </c>
      <c r="T1413" s="73">
        <v>0.9</v>
      </c>
      <c r="U1413" s="71">
        <v>0.95058997050147498</v>
      </c>
      <c r="V1413" s="71">
        <v>0.92019543973941398</v>
      </c>
      <c r="W1413" s="71">
        <v>0.87958963282937397</v>
      </c>
      <c r="X1413" s="71">
        <v>0.93841384655127902</v>
      </c>
      <c r="Y1413" s="73">
        <v>0.92</v>
      </c>
      <c r="Z1413" s="73">
        <v>0.90679611650485403</v>
      </c>
      <c r="AA1413" s="73">
        <v>0.96043165467625902</v>
      </c>
      <c r="AB1413" s="73">
        <v>0.95398773006134996</v>
      </c>
      <c r="AC1413" s="73">
        <v>0.95045149340125001</v>
      </c>
      <c r="AD1413" s="73">
        <v>0.92</v>
      </c>
      <c r="AE1413" s="71">
        <v>0.99840127897681896</v>
      </c>
      <c r="AF1413" s="71">
        <v>0.99842519685039399</v>
      </c>
      <c r="AG1413" s="71">
        <v>0.99894151892034899</v>
      </c>
      <c r="AH1413" s="71">
        <v>0.99925006652635695</v>
      </c>
      <c r="AI1413" s="73">
        <v>0.92</v>
      </c>
      <c r="AJ1413" s="71">
        <v>0.96098343132014996</v>
      </c>
      <c r="AK1413" s="71">
        <v>0.97642621404997598</v>
      </c>
      <c r="AL1413" s="71">
        <v>0.96466268930702204</v>
      </c>
      <c r="AM1413" s="71">
        <v>0.97537694809308595</v>
      </c>
      <c r="AN1413" s="70">
        <v>0.99</v>
      </c>
      <c r="AO1413" s="75">
        <v>1</v>
      </c>
      <c r="AP1413" s="75">
        <v>1</v>
      </c>
      <c r="AQ1413" s="75">
        <v>1</v>
      </c>
      <c r="AR1413" s="75">
        <v>1</v>
      </c>
      <c r="AS1413" s="95">
        <v>7.2186152540827803E-2</v>
      </c>
      <c r="AT1413" s="79">
        <v>7.69230769230769E-2</v>
      </c>
      <c r="AU1413" s="79">
        <v>0</v>
      </c>
      <c r="AV1413" s="79">
        <v>0</v>
      </c>
      <c r="AW1413" s="79">
        <v>3.9370078740157501E-2</v>
      </c>
      <c r="AX1413" s="56"/>
      <c r="AY1413" s="54"/>
    </row>
    <row r="1414" spans="1:51">
      <c r="A1414" s="53"/>
      <c r="B1414" s="56"/>
      <c r="C1414" s="90" t="s">
        <v>1079</v>
      </c>
      <c r="D1414" s="230" t="s">
        <v>1757</v>
      </c>
      <c r="E1414" s="68" t="s">
        <v>1080</v>
      </c>
      <c r="F1414" s="128" t="s">
        <v>1438</v>
      </c>
      <c r="G1414" s="128" t="s">
        <v>1438</v>
      </c>
      <c r="H1414" s="128" t="s">
        <v>1438</v>
      </c>
      <c r="I1414" s="128" t="s">
        <v>1438</v>
      </c>
      <c r="J1414" s="70">
        <v>0.9</v>
      </c>
      <c r="K1414" s="71">
        <v>0.96666666666666701</v>
      </c>
      <c r="L1414" s="71">
        <v>0.96666666666666701</v>
      </c>
      <c r="M1414" s="72">
        <v>1</v>
      </c>
      <c r="N1414" s="71">
        <v>0.99053627760252405</v>
      </c>
      <c r="O1414" s="73">
        <v>0.9</v>
      </c>
      <c r="P1414" s="71">
        <v>0.99517490952955401</v>
      </c>
      <c r="Q1414" s="71">
        <v>0.99199999999999999</v>
      </c>
      <c r="R1414" s="71">
        <v>0.996</v>
      </c>
      <c r="S1414" s="71">
        <v>0.99079984152837097</v>
      </c>
      <c r="T1414" s="73">
        <v>0.9</v>
      </c>
      <c r="U1414" s="71">
        <v>0.95958986731001195</v>
      </c>
      <c r="V1414" s="71">
        <v>0.95650000000000002</v>
      </c>
      <c r="W1414" s="71">
        <v>0.89777777777777801</v>
      </c>
      <c r="X1414" s="71">
        <v>0.94202579565963795</v>
      </c>
      <c r="Y1414" s="73">
        <v>0.92</v>
      </c>
      <c r="Z1414" s="73">
        <v>0.9728</v>
      </c>
      <c r="AA1414" s="73">
        <v>0.97687861271676302</v>
      </c>
      <c r="AB1414" s="73">
        <v>0.94586894586894599</v>
      </c>
      <c r="AC1414" s="73">
        <v>0.97324667472793203</v>
      </c>
      <c r="AD1414" s="73">
        <v>0.92</v>
      </c>
      <c r="AE1414" s="71">
        <v>1</v>
      </c>
      <c r="AF1414" s="71">
        <v>1</v>
      </c>
      <c r="AG1414" s="71">
        <v>1</v>
      </c>
      <c r="AH1414" s="71">
        <v>1</v>
      </c>
      <c r="AI1414" s="73">
        <v>0.92</v>
      </c>
      <c r="AJ1414" s="71">
        <v>0.98204117389399903</v>
      </c>
      <c r="AK1414" s="71">
        <v>0.98635976129582303</v>
      </c>
      <c r="AL1414" s="71">
        <v>0.97425057647963098</v>
      </c>
      <c r="AM1414" s="71">
        <v>0.98247826828021101</v>
      </c>
      <c r="AN1414" s="70">
        <v>0.99</v>
      </c>
      <c r="AO1414" s="75">
        <v>1</v>
      </c>
      <c r="AP1414" s="75">
        <v>1</v>
      </c>
      <c r="AQ1414" s="75">
        <v>1</v>
      </c>
      <c r="AR1414" s="75">
        <v>1</v>
      </c>
      <c r="AS1414" s="95">
        <v>7.2186152540827803E-2</v>
      </c>
      <c r="AT1414" s="79">
        <v>6.25E-2</v>
      </c>
      <c r="AU1414" s="79">
        <v>5.5555555555555601E-2</v>
      </c>
      <c r="AV1414" s="79">
        <v>0</v>
      </c>
      <c r="AW1414" s="79">
        <v>3.7878787878787901E-2</v>
      </c>
      <c r="AX1414" s="56"/>
      <c r="AY1414" s="54"/>
    </row>
    <row r="1415" spans="1:51">
      <c r="A1415" s="53"/>
      <c r="B1415" s="56"/>
      <c r="C1415" s="90" t="s">
        <v>1079</v>
      </c>
      <c r="D1415" s="230" t="s">
        <v>1757</v>
      </c>
      <c r="E1415" s="68" t="s">
        <v>1080</v>
      </c>
      <c r="F1415" s="128" t="s">
        <v>1439</v>
      </c>
      <c r="G1415" s="128" t="s">
        <v>1439</v>
      </c>
      <c r="H1415" s="128" t="s">
        <v>1439</v>
      </c>
      <c r="I1415" s="128" t="s">
        <v>1439</v>
      </c>
      <c r="J1415" s="70">
        <v>0.9</v>
      </c>
      <c r="K1415" s="71">
        <v>0.88636363636363602</v>
      </c>
      <c r="L1415" s="71">
        <v>0.952380952380952</v>
      </c>
      <c r="M1415" s="72">
        <v>0.88372093023255804</v>
      </c>
      <c r="N1415" s="71">
        <v>0.91549295774647899</v>
      </c>
      <c r="O1415" s="73">
        <v>0.9</v>
      </c>
      <c r="P1415" s="71">
        <v>0.96982027806035898</v>
      </c>
      <c r="Q1415" s="71">
        <v>0.97383483237939505</v>
      </c>
      <c r="R1415" s="71">
        <v>0.97369727047146404</v>
      </c>
      <c r="S1415" s="71">
        <v>0.96759316963729303</v>
      </c>
      <c r="T1415" s="73">
        <v>0.9</v>
      </c>
      <c r="U1415" s="71">
        <v>0.96236012207527999</v>
      </c>
      <c r="V1415" s="71">
        <v>0.94848732624693399</v>
      </c>
      <c r="W1415" s="71">
        <v>0.93374689826302704</v>
      </c>
      <c r="X1415" s="71">
        <v>0.94917113299264599</v>
      </c>
      <c r="Y1415" s="73">
        <v>0.92</v>
      </c>
      <c r="Z1415" s="73">
        <v>0.93611793611793603</v>
      </c>
      <c r="AA1415" s="73">
        <v>0.83361629881154498</v>
      </c>
      <c r="AB1415" s="73">
        <v>0.93905817174515205</v>
      </c>
      <c r="AC1415" s="73">
        <v>0.92886071491459798</v>
      </c>
      <c r="AD1415" s="73">
        <v>0.92</v>
      </c>
      <c r="AE1415" s="71">
        <v>0.99181669394435401</v>
      </c>
      <c r="AF1415" s="71">
        <v>0.65342493707910998</v>
      </c>
      <c r="AG1415" s="71">
        <v>0.99672897196261701</v>
      </c>
      <c r="AH1415" s="71">
        <v>0.92363815587479603</v>
      </c>
      <c r="AI1415" s="73">
        <v>0.92</v>
      </c>
      <c r="AJ1415" s="71">
        <v>0.96839837203734702</v>
      </c>
      <c r="AK1415" s="71">
        <v>0.94773845793297395</v>
      </c>
      <c r="AL1415" s="71">
        <v>0.96366309598823796</v>
      </c>
      <c r="AM1415" s="71">
        <v>0.96730504297883102</v>
      </c>
      <c r="AN1415" s="70">
        <v>0.99</v>
      </c>
      <c r="AO1415" s="75">
        <v>1</v>
      </c>
      <c r="AP1415" s="75">
        <v>1</v>
      </c>
      <c r="AQ1415" s="75">
        <v>1</v>
      </c>
      <c r="AR1415" s="75">
        <v>1</v>
      </c>
      <c r="AS1415" s="95">
        <v>7.2186152540827803E-2</v>
      </c>
      <c r="AT1415" s="79">
        <v>4.5454545454545497E-2</v>
      </c>
      <c r="AU1415" s="79">
        <v>4.7619047619047603E-2</v>
      </c>
      <c r="AV1415" s="79">
        <v>3.8461538461538498E-2</v>
      </c>
      <c r="AW1415" s="79">
        <v>2.5423728813559299E-2</v>
      </c>
      <c r="AX1415" s="56"/>
      <c r="AY1415" s="54"/>
    </row>
    <row r="1416" spans="1:51">
      <c r="A1416" s="53"/>
      <c r="B1416" s="56"/>
      <c r="C1416" s="90" t="s">
        <v>1079</v>
      </c>
      <c r="D1416" s="230" t="s">
        <v>1759</v>
      </c>
      <c r="E1416" s="68" t="s">
        <v>1080</v>
      </c>
      <c r="F1416" s="128" t="s">
        <v>1440</v>
      </c>
      <c r="G1416" s="128" t="s">
        <v>1440</v>
      </c>
      <c r="H1416" s="128" t="s">
        <v>1440</v>
      </c>
      <c r="I1416" s="128" t="s">
        <v>1440</v>
      </c>
      <c r="J1416" s="70">
        <v>0.9</v>
      </c>
      <c r="K1416" s="71" t="s">
        <v>1710</v>
      </c>
      <c r="L1416" s="71" t="s">
        <v>1710</v>
      </c>
      <c r="M1416" s="72" t="s">
        <v>1710</v>
      </c>
      <c r="N1416" s="71" t="s">
        <v>1710</v>
      </c>
      <c r="O1416" s="73">
        <v>0.9</v>
      </c>
      <c r="P1416" s="71" t="s">
        <v>1710</v>
      </c>
      <c r="Q1416" s="71" t="s">
        <v>1710</v>
      </c>
      <c r="R1416" s="71" t="s">
        <v>1710</v>
      </c>
      <c r="S1416" s="71" t="s">
        <v>1710</v>
      </c>
      <c r="T1416" s="73">
        <v>0.9</v>
      </c>
      <c r="U1416" s="71" t="s">
        <v>1710</v>
      </c>
      <c r="V1416" s="71" t="s">
        <v>1710</v>
      </c>
      <c r="W1416" s="71" t="s">
        <v>1710</v>
      </c>
      <c r="X1416" s="71" t="s">
        <v>1710</v>
      </c>
      <c r="Y1416" s="73">
        <v>0.92</v>
      </c>
      <c r="Z1416" s="73" t="s">
        <v>1710</v>
      </c>
      <c r="AA1416" s="73" t="s">
        <v>1710</v>
      </c>
      <c r="AB1416" s="73" t="s">
        <v>1710</v>
      </c>
      <c r="AC1416" s="73" t="s">
        <v>1710</v>
      </c>
      <c r="AD1416" s="73">
        <v>0.92</v>
      </c>
      <c r="AE1416" s="71">
        <v>1</v>
      </c>
      <c r="AF1416" s="71">
        <v>0.99805825242718404</v>
      </c>
      <c r="AG1416" s="71">
        <v>0.998571428571429</v>
      </c>
      <c r="AH1416" s="71">
        <v>0.99876413237515405</v>
      </c>
      <c r="AI1416" s="73">
        <v>0.92</v>
      </c>
      <c r="AJ1416" s="71" t="s">
        <v>1710</v>
      </c>
      <c r="AK1416" s="71" t="s">
        <v>1710</v>
      </c>
      <c r="AL1416" s="71" t="s">
        <v>1710</v>
      </c>
      <c r="AM1416" s="71" t="s">
        <v>1710</v>
      </c>
      <c r="AN1416" s="70">
        <v>0.99</v>
      </c>
      <c r="AO1416" s="75">
        <v>1</v>
      </c>
      <c r="AP1416" s="75">
        <v>1</v>
      </c>
      <c r="AQ1416" s="75">
        <v>1</v>
      </c>
      <c r="AR1416" s="75">
        <v>1</v>
      </c>
      <c r="AS1416" s="95">
        <v>7.2186152540827803E-2</v>
      </c>
      <c r="AT1416" s="79" t="s">
        <v>1710</v>
      </c>
      <c r="AU1416" s="79" t="s">
        <v>1710</v>
      </c>
      <c r="AV1416" s="79" t="s">
        <v>1710</v>
      </c>
      <c r="AW1416" s="79" t="s">
        <v>1710</v>
      </c>
      <c r="AX1416" s="56"/>
      <c r="AY1416" s="54"/>
    </row>
    <row r="1417" spans="1:51">
      <c r="A1417" s="53"/>
      <c r="B1417" s="56"/>
      <c r="C1417" s="90" t="s">
        <v>1079</v>
      </c>
      <c r="D1417" s="230" t="s">
        <v>1757</v>
      </c>
      <c r="E1417" s="68" t="s">
        <v>1080</v>
      </c>
      <c r="F1417" s="128" t="s">
        <v>1441</v>
      </c>
      <c r="G1417" s="128" t="s">
        <v>1441</v>
      </c>
      <c r="H1417" s="128" t="s">
        <v>1441</v>
      </c>
      <c r="I1417" s="128" t="s">
        <v>1441</v>
      </c>
      <c r="J1417" s="70">
        <v>0.9</v>
      </c>
      <c r="K1417" s="71">
        <v>0.90566037735849103</v>
      </c>
      <c r="L1417" s="71">
        <v>0.77966101694915302</v>
      </c>
      <c r="M1417" s="72">
        <v>0.84905660377358505</v>
      </c>
      <c r="N1417" s="71">
        <v>0.86956521739130399</v>
      </c>
      <c r="O1417" s="73">
        <v>0.9</v>
      </c>
      <c r="P1417" s="71">
        <v>0.94592914853946597</v>
      </c>
      <c r="Q1417" s="71">
        <v>0.96893351013449502</v>
      </c>
      <c r="R1417" s="71">
        <v>0.91049284578696299</v>
      </c>
      <c r="S1417" s="71">
        <v>0.93921387944456802</v>
      </c>
      <c r="T1417" s="73">
        <v>0.9</v>
      </c>
      <c r="U1417" s="71">
        <v>0.88440024860161603</v>
      </c>
      <c r="V1417" s="71">
        <v>0.88880469785944305</v>
      </c>
      <c r="W1417" s="71">
        <v>0.82400635930047705</v>
      </c>
      <c r="X1417" s="71">
        <v>0.88306695052588102</v>
      </c>
      <c r="Y1417" s="73">
        <v>0.92</v>
      </c>
      <c r="Z1417" s="73">
        <v>0.92870456663560097</v>
      </c>
      <c r="AA1417" s="73">
        <v>0.92143549951503401</v>
      </c>
      <c r="AB1417" s="73">
        <v>0.88818398096748596</v>
      </c>
      <c r="AC1417" s="73">
        <v>0.93010649831005698</v>
      </c>
      <c r="AD1417" s="73">
        <v>0.92</v>
      </c>
      <c r="AE1417" s="71">
        <v>0.91631998475658205</v>
      </c>
      <c r="AF1417" s="71">
        <v>0.81170650555993396</v>
      </c>
      <c r="AG1417" s="71">
        <v>0.99880178021225596</v>
      </c>
      <c r="AH1417" s="71">
        <v>0.94106011911874798</v>
      </c>
      <c r="AI1417" s="73">
        <v>0.92</v>
      </c>
      <c r="AJ1417" s="71">
        <v>0.95197821100917401</v>
      </c>
      <c r="AK1417" s="71">
        <v>0.95848518459831999</v>
      </c>
      <c r="AL1417" s="71">
        <v>0.92375909993381899</v>
      </c>
      <c r="AM1417" s="71">
        <v>0.96099899540940203</v>
      </c>
      <c r="AN1417" s="70">
        <v>0.99</v>
      </c>
      <c r="AO1417" s="75">
        <v>1</v>
      </c>
      <c r="AP1417" s="75">
        <v>1</v>
      </c>
      <c r="AQ1417" s="75">
        <v>1</v>
      </c>
      <c r="AR1417" s="75">
        <v>1</v>
      </c>
      <c r="AS1417" s="95">
        <v>7.2186152540827803E-2</v>
      </c>
      <c r="AT1417" s="79">
        <v>8.1081081081081099E-2</v>
      </c>
      <c r="AU1417" s="79">
        <v>4.5454545454545497E-2</v>
      </c>
      <c r="AV1417" s="79">
        <v>2.3809523809523801E-2</v>
      </c>
      <c r="AW1417" s="79">
        <v>2.9914529914529898E-2</v>
      </c>
      <c r="AX1417" s="56"/>
      <c r="AY1417" s="54"/>
    </row>
    <row r="1418" spans="1:51">
      <c r="A1418" s="53"/>
      <c r="B1418" s="56"/>
      <c r="C1418" s="90" t="s">
        <v>1079</v>
      </c>
      <c r="D1418" s="230" t="s">
        <v>1757</v>
      </c>
      <c r="E1418" s="68" t="s">
        <v>1080</v>
      </c>
      <c r="F1418" s="128" t="s">
        <v>1442</v>
      </c>
      <c r="G1418" s="128" t="s">
        <v>1442</v>
      </c>
      <c r="H1418" s="128" t="s">
        <v>1442</v>
      </c>
      <c r="I1418" s="128" t="s">
        <v>1442</v>
      </c>
      <c r="J1418" s="70">
        <v>0.9</v>
      </c>
      <c r="K1418" s="71">
        <v>0.934782608695652</v>
      </c>
      <c r="L1418" s="71">
        <v>0.95652173913043503</v>
      </c>
      <c r="M1418" s="72">
        <v>0.90909090909090895</v>
      </c>
      <c r="N1418" s="71">
        <v>0.96610169491525399</v>
      </c>
      <c r="O1418" s="73">
        <v>0.9</v>
      </c>
      <c r="P1418" s="71">
        <v>0.95853527194399601</v>
      </c>
      <c r="Q1418" s="71">
        <v>0.98910776361529595</v>
      </c>
      <c r="R1418" s="71">
        <v>0.98245614035087703</v>
      </c>
      <c r="S1418" s="71">
        <v>0.96826495304004001</v>
      </c>
      <c r="T1418" s="73">
        <v>0.9</v>
      </c>
      <c r="U1418" s="71">
        <v>0.94991922455573496</v>
      </c>
      <c r="V1418" s="71">
        <v>0.95457705677867899</v>
      </c>
      <c r="W1418" s="71">
        <v>0.87285629804849196</v>
      </c>
      <c r="X1418" s="71">
        <v>0.93478991596638705</v>
      </c>
      <c r="Y1418" s="73">
        <v>0.92</v>
      </c>
      <c r="Z1418" s="73">
        <v>0.93674293405114395</v>
      </c>
      <c r="AA1418" s="73">
        <v>0.90795631825273004</v>
      </c>
      <c r="AB1418" s="73">
        <v>0.89366053169734105</v>
      </c>
      <c r="AC1418" s="73">
        <v>0.93279785809906302</v>
      </c>
      <c r="AD1418" s="73">
        <v>0.92</v>
      </c>
      <c r="AE1418" s="71">
        <v>0.986329613195285</v>
      </c>
      <c r="AF1418" s="71">
        <v>0.97840575846440903</v>
      </c>
      <c r="AG1418" s="71">
        <v>0.99870923913043497</v>
      </c>
      <c r="AH1418" s="71">
        <v>0.96171200850642302</v>
      </c>
      <c r="AI1418" s="73">
        <v>0.92</v>
      </c>
      <c r="AJ1418" s="71">
        <v>0.96039223226302595</v>
      </c>
      <c r="AK1418" s="71">
        <v>0.96631026830744404</v>
      </c>
      <c r="AL1418" s="71">
        <v>0.94448116325181797</v>
      </c>
      <c r="AM1418" s="71">
        <v>0.96522147238270894</v>
      </c>
      <c r="AN1418" s="70">
        <v>0.99</v>
      </c>
      <c r="AO1418" s="75">
        <v>1</v>
      </c>
      <c r="AP1418" s="75">
        <v>1</v>
      </c>
      <c r="AQ1418" s="75">
        <v>1</v>
      </c>
      <c r="AR1418" s="75">
        <v>1</v>
      </c>
      <c r="AS1418" s="95">
        <v>7.2186152540827803E-2</v>
      </c>
      <c r="AT1418" s="79">
        <v>4.1666666666666699E-2</v>
      </c>
      <c r="AU1418" s="79">
        <v>3.3898305084745797E-2</v>
      </c>
      <c r="AV1418" s="79">
        <v>3.77358490566038E-2</v>
      </c>
      <c r="AW1418" s="79">
        <v>4.9792531120331898E-2</v>
      </c>
      <c r="AX1418" s="56"/>
      <c r="AY1418" s="54"/>
    </row>
    <row r="1419" spans="1:51">
      <c r="A1419" s="53"/>
      <c r="B1419" s="56"/>
      <c r="C1419" s="90" t="s">
        <v>1079</v>
      </c>
      <c r="D1419" s="230" t="s">
        <v>1757</v>
      </c>
      <c r="E1419" s="68" t="s">
        <v>1080</v>
      </c>
      <c r="F1419" s="128" t="s">
        <v>1443</v>
      </c>
      <c r="G1419" s="128" t="s">
        <v>1443</v>
      </c>
      <c r="H1419" s="128" t="s">
        <v>1443</v>
      </c>
      <c r="I1419" s="128" t="s">
        <v>1443</v>
      </c>
      <c r="J1419" s="70">
        <v>0.9</v>
      </c>
      <c r="K1419" s="71">
        <v>0.907407407407407</v>
      </c>
      <c r="L1419" s="71">
        <v>0.91071428571428603</v>
      </c>
      <c r="M1419" s="72">
        <v>0.90909090909090895</v>
      </c>
      <c r="N1419" s="71">
        <v>0.92541856925418597</v>
      </c>
      <c r="O1419" s="73">
        <v>0.9</v>
      </c>
      <c r="P1419" s="71">
        <v>0.96766043456291095</v>
      </c>
      <c r="Q1419" s="71">
        <v>0.93729152768512303</v>
      </c>
      <c r="R1419" s="71">
        <v>0.91057062675397604</v>
      </c>
      <c r="S1419" s="71">
        <v>0.90305594392896704</v>
      </c>
      <c r="T1419" s="73">
        <v>0.9</v>
      </c>
      <c r="U1419" s="71">
        <v>0.92294087923193502</v>
      </c>
      <c r="V1419" s="71">
        <v>0.89659773182121405</v>
      </c>
      <c r="W1419" s="71">
        <v>0.87371375116931704</v>
      </c>
      <c r="X1419" s="71">
        <v>0.88462586022188705</v>
      </c>
      <c r="Y1419" s="73">
        <v>0.92</v>
      </c>
      <c r="Z1419" s="73">
        <v>0.89793510324483805</v>
      </c>
      <c r="AA1419" s="73">
        <v>0.94683544303797496</v>
      </c>
      <c r="AB1419" s="73">
        <v>0.82347235693501497</v>
      </c>
      <c r="AC1419" s="73">
        <v>0.90858468677494197</v>
      </c>
      <c r="AD1419" s="73">
        <v>0.92</v>
      </c>
      <c r="AE1419" s="71">
        <v>0.99816941254784497</v>
      </c>
      <c r="AF1419" s="71">
        <v>0.80990552533638704</v>
      </c>
      <c r="AG1419" s="71">
        <v>0.99475723729199905</v>
      </c>
      <c r="AH1419" s="71">
        <v>0.95035601416441395</v>
      </c>
      <c r="AI1419" s="73">
        <v>0.92</v>
      </c>
      <c r="AJ1419" s="71">
        <v>0.95117636653104498</v>
      </c>
      <c r="AK1419" s="71">
        <v>0.97351995460563601</v>
      </c>
      <c r="AL1419" s="71">
        <v>0.93836260978670005</v>
      </c>
      <c r="AM1419" s="71">
        <v>0.96141460186751004</v>
      </c>
      <c r="AN1419" s="70">
        <v>0.99</v>
      </c>
      <c r="AO1419" s="75">
        <v>1</v>
      </c>
      <c r="AP1419" s="75">
        <v>0.98936170212765995</v>
      </c>
      <c r="AQ1419" s="75">
        <v>1</v>
      </c>
      <c r="AR1419" s="75">
        <v>0.99918500407498001</v>
      </c>
      <c r="AS1419" s="95">
        <v>7.2186152540827803E-2</v>
      </c>
      <c r="AT1419" s="79">
        <v>0.125</v>
      </c>
      <c r="AU1419" s="79">
        <v>3.3333333333333298E-2</v>
      </c>
      <c r="AV1419" s="79">
        <v>4.3478260869565202E-2</v>
      </c>
      <c r="AW1419" s="79">
        <v>6.0283687943262401E-2</v>
      </c>
      <c r="AX1419" s="56"/>
      <c r="AY1419" s="54"/>
    </row>
    <row r="1420" spans="1:51">
      <c r="A1420" s="53"/>
      <c r="B1420" s="56"/>
      <c r="C1420" s="90" t="s">
        <v>1079</v>
      </c>
      <c r="D1420" s="230" t="s">
        <v>1757</v>
      </c>
      <c r="E1420" s="68" t="s">
        <v>1080</v>
      </c>
      <c r="F1420" s="128" t="s">
        <v>1444</v>
      </c>
      <c r="G1420" s="128" t="s">
        <v>1444</v>
      </c>
      <c r="H1420" s="128" t="s">
        <v>1444</v>
      </c>
      <c r="I1420" s="128" t="s">
        <v>1444</v>
      </c>
      <c r="J1420" s="70">
        <v>0.9</v>
      </c>
      <c r="K1420" s="71">
        <v>0.98076923076923095</v>
      </c>
      <c r="L1420" s="71">
        <v>0.98181818181818203</v>
      </c>
      <c r="M1420" s="72">
        <v>0.9375</v>
      </c>
      <c r="N1420" s="71">
        <v>0.94788273615635199</v>
      </c>
      <c r="O1420" s="73">
        <v>0.9</v>
      </c>
      <c r="P1420" s="71">
        <v>0.94938335046248701</v>
      </c>
      <c r="Q1420" s="71">
        <v>0.95533702110223295</v>
      </c>
      <c r="R1420" s="71">
        <v>0.81395348837209303</v>
      </c>
      <c r="S1420" s="71">
        <v>0.90778281560310303</v>
      </c>
      <c r="T1420" s="73">
        <v>0.9</v>
      </c>
      <c r="U1420" s="71">
        <v>0.92574511819116101</v>
      </c>
      <c r="V1420" s="71">
        <v>0.92378610940381101</v>
      </c>
      <c r="W1420" s="71">
        <v>0.86753488372093002</v>
      </c>
      <c r="X1420" s="71">
        <v>0.92044815827931203</v>
      </c>
      <c r="Y1420" s="73">
        <v>0.92</v>
      </c>
      <c r="Z1420" s="73">
        <v>0.90893271461716896</v>
      </c>
      <c r="AA1420" s="73">
        <v>0.89823008849557495</v>
      </c>
      <c r="AB1420" s="73">
        <v>0.91335740072202198</v>
      </c>
      <c r="AC1420" s="73">
        <v>0.91634599297306296</v>
      </c>
      <c r="AD1420" s="73">
        <v>0.92</v>
      </c>
      <c r="AE1420" s="71">
        <v>0.88345947859956597</v>
      </c>
      <c r="AF1420" s="71">
        <v>0.91883242288804301</v>
      </c>
      <c r="AG1420" s="71">
        <v>0.97075897656417998</v>
      </c>
      <c r="AH1420" s="71">
        <v>0.95342384713225103</v>
      </c>
      <c r="AI1420" s="73">
        <v>0.92</v>
      </c>
      <c r="AJ1420" s="71">
        <v>0.95175360512729201</v>
      </c>
      <c r="AK1420" s="71">
        <v>0.96780575539568303</v>
      </c>
      <c r="AL1420" s="71">
        <v>0.95085401224621302</v>
      </c>
      <c r="AM1420" s="71">
        <v>0.96458253615979195</v>
      </c>
      <c r="AN1420" s="70">
        <v>0.99</v>
      </c>
      <c r="AO1420" s="75">
        <v>1</v>
      </c>
      <c r="AP1420" s="75">
        <v>1</v>
      </c>
      <c r="AQ1420" s="75">
        <v>1</v>
      </c>
      <c r="AR1420" s="75">
        <v>1</v>
      </c>
      <c r="AS1420" s="95">
        <v>7.2186152540827803E-2</v>
      </c>
      <c r="AT1420" s="79">
        <v>0.1875</v>
      </c>
      <c r="AU1420" s="79">
        <v>0</v>
      </c>
      <c r="AV1420" s="79">
        <v>0.11111111111111099</v>
      </c>
      <c r="AW1420" s="79">
        <v>4.7619047619047603E-2</v>
      </c>
      <c r="AX1420" s="56"/>
      <c r="AY1420" s="54"/>
    </row>
    <row r="1421" spans="1:51">
      <c r="A1421" s="53"/>
      <c r="B1421" s="56"/>
      <c r="C1421" s="90" t="s">
        <v>1079</v>
      </c>
      <c r="D1421" s="230" t="s">
        <v>1757</v>
      </c>
      <c r="E1421" s="68" t="s">
        <v>1080</v>
      </c>
      <c r="F1421" s="128" t="s">
        <v>1445</v>
      </c>
      <c r="G1421" s="128" t="s">
        <v>1445</v>
      </c>
      <c r="H1421" s="128" t="s">
        <v>1445</v>
      </c>
      <c r="I1421" s="128" t="s">
        <v>1445</v>
      </c>
      <c r="J1421" s="70">
        <v>0.9</v>
      </c>
      <c r="K1421" s="71">
        <v>0.95833333333333304</v>
      </c>
      <c r="L1421" s="71">
        <v>0.85714285714285698</v>
      </c>
      <c r="M1421" s="72">
        <v>0.89361702127659604</v>
      </c>
      <c r="N1421" s="71">
        <v>0.93902439024390205</v>
      </c>
      <c r="O1421" s="73">
        <v>0.9</v>
      </c>
      <c r="P1421" s="71">
        <v>0.97999420121774405</v>
      </c>
      <c r="Q1421" s="71">
        <v>0.97583373610439805</v>
      </c>
      <c r="R1421" s="71">
        <v>0.92520536100302597</v>
      </c>
      <c r="S1421" s="71">
        <v>0.97278247208186497</v>
      </c>
      <c r="T1421" s="73">
        <v>0.9</v>
      </c>
      <c r="U1421" s="71">
        <v>0.93998260365323305</v>
      </c>
      <c r="V1421" s="71">
        <v>0.94079265345577601</v>
      </c>
      <c r="W1421" s="71">
        <v>0.90207522697795095</v>
      </c>
      <c r="X1421" s="71">
        <v>0.94012993078850204</v>
      </c>
      <c r="Y1421" s="73">
        <v>0.92</v>
      </c>
      <c r="Z1421" s="73">
        <v>0.91938846421125797</v>
      </c>
      <c r="AA1421" s="73">
        <v>0.85231316725978601</v>
      </c>
      <c r="AB1421" s="73">
        <v>0.80089988751406105</v>
      </c>
      <c r="AC1421" s="73">
        <v>0.89739229024943301</v>
      </c>
      <c r="AD1421" s="73">
        <v>0.92</v>
      </c>
      <c r="AE1421" s="71">
        <v>0.99643323183993004</v>
      </c>
      <c r="AF1421" s="71">
        <v>0.98932053861631297</v>
      </c>
      <c r="AG1421" s="71">
        <v>0.99922563159423095</v>
      </c>
      <c r="AH1421" s="71">
        <v>0.98427384030255805</v>
      </c>
      <c r="AI1421" s="73">
        <v>0.92</v>
      </c>
      <c r="AJ1421" s="71">
        <v>0.95437806873977105</v>
      </c>
      <c r="AK1421" s="71">
        <v>0.95938762492026397</v>
      </c>
      <c r="AL1421" s="71">
        <v>0.91858567543064396</v>
      </c>
      <c r="AM1421" s="71">
        <v>0.95890102270757505</v>
      </c>
      <c r="AN1421" s="70">
        <v>0.99</v>
      </c>
      <c r="AO1421" s="75">
        <v>1</v>
      </c>
      <c r="AP1421" s="75">
        <v>1</v>
      </c>
      <c r="AQ1421" s="75">
        <v>1</v>
      </c>
      <c r="AR1421" s="75">
        <v>1</v>
      </c>
      <c r="AS1421" s="95">
        <v>7.2186152540827803E-2</v>
      </c>
      <c r="AT1421" s="79">
        <v>0</v>
      </c>
      <c r="AU1421" s="79">
        <v>0.114285714285714</v>
      </c>
      <c r="AV1421" s="79">
        <v>5.1282051282051301E-2</v>
      </c>
      <c r="AW1421" s="79">
        <v>4.6272493573264802E-2</v>
      </c>
      <c r="AX1421" s="56"/>
      <c r="AY1421" s="54"/>
    </row>
    <row r="1422" spans="1:51">
      <c r="A1422" s="53"/>
      <c r="B1422" s="56"/>
      <c r="C1422" s="90" t="s">
        <v>1079</v>
      </c>
      <c r="D1422" s="230" t="s">
        <v>1760</v>
      </c>
      <c r="E1422" s="68" t="s">
        <v>1080</v>
      </c>
      <c r="F1422" s="128" t="s">
        <v>1446</v>
      </c>
      <c r="G1422" s="128" t="s">
        <v>1446</v>
      </c>
      <c r="H1422" s="128" t="s">
        <v>1446</v>
      </c>
      <c r="I1422" s="128" t="s">
        <v>1446</v>
      </c>
      <c r="J1422" s="70">
        <v>0.9</v>
      </c>
      <c r="K1422" s="71" t="s">
        <v>1710</v>
      </c>
      <c r="L1422" s="71" t="s">
        <v>1710</v>
      </c>
      <c r="M1422" s="72" t="s">
        <v>1710</v>
      </c>
      <c r="N1422" s="71" t="s">
        <v>1710</v>
      </c>
      <c r="O1422" s="73">
        <v>0.9</v>
      </c>
      <c r="P1422" s="71" t="s">
        <v>1710</v>
      </c>
      <c r="Q1422" s="71" t="s">
        <v>1710</v>
      </c>
      <c r="R1422" s="71" t="s">
        <v>1710</v>
      </c>
      <c r="S1422" s="71" t="s">
        <v>1710</v>
      </c>
      <c r="T1422" s="73">
        <v>0.9</v>
      </c>
      <c r="U1422" s="71" t="s">
        <v>1710</v>
      </c>
      <c r="V1422" s="71" t="s">
        <v>1710</v>
      </c>
      <c r="W1422" s="71" t="s">
        <v>1710</v>
      </c>
      <c r="X1422" s="71" t="s">
        <v>1710</v>
      </c>
      <c r="Y1422" s="73">
        <v>0.92</v>
      </c>
      <c r="Z1422" s="73" t="s">
        <v>1710</v>
      </c>
      <c r="AA1422" s="73" t="s">
        <v>1710</v>
      </c>
      <c r="AB1422" s="73" t="s">
        <v>1710</v>
      </c>
      <c r="AC1422" s="73" t="s">
        <v>1710</v>
      </c>
      <c r="AD1422" s="73">
        <v>0.92</v>
      </c>
      <c r="AE1422" s="71" t="s">
        <v>1710</v>
      </c>
      <c r="AF1422" s="71" t="s">
        <v>1710</v>
      </c>
      <c r="AG1422" s="71" t="s">
        <v>1710</v>
      </c>
      <c r="AH1422" s="71" t="s">
        <v>1710</v>
      </c>
      <c r="AI1422" s="73">
        <v>0.92</v>
      </c>
      <c r="AJ1422" s="71" t="s">
        <v>1710</v>
      </c>
      <c r="AK1422" s="71" t="s">
        <v>1710</v>
      </c>
      <c r="AL1422" s="71" t="s">
        <v>1710</v>
      </c>
      <c r="AM1422" s="71" t="s">
        <v>1710</v>
      </c>
      <c r="AN1422" s="70">
        <v>0.99</v>
      </c>
      <c r="AO1422" s="75" t="s">
        <v>1710</v>
      </c>
      <c r="AP1422" s="75" t="s">
        <v>1710</v>
      </c>
      <c r="AQ1422" s="75" t="s">
        <v>1710</v>
      </c>
      <c r="AR1422" s="75" t="s">
        <v>1710</v>
      </c>
      <c r="AS1422" s="95">
        <v>7.2186152540827803E-2</v>
      </c>
      <c r="AT1422" s="79" t="s">
        <v>1710</v>
      </c>
      <c r="AU1422" s="79" t="s">
        <v>1710</v>
      </c>
      <c r="AV1422" s="79" t="s">
        <v>1710</v>
      </c>
      <c r="AW1422" s="79" t="s">
        <v>1710</v>
      </c>
      <c r="AX1422" s="56"/>
      <c r="AY1422" s="54"/>
    </row>
    <row r="1423" spans="1:51">
      <c r="A1423" s="53"/>
      <c r="B1423" s="56"/>
      <c r="C1423" s="90" t="s">
        <v>1079</v>
      </c>
      <c r="D1423" s="230" t="s">
        <v>1757</v>
      </c>
      <c r="E1423" s="68" t="s">
        <v>1080</v>
      </c>
      <c r="F1423" s="128" t="s">
        <v>1447</v>
      </c>
      <c r="G1423" s="128" t="s">
        <v>1447</v>
      </c>
      <c r="H1423" s="128" t="s">
        <v>1447</v>
      </c>
      <c r="I1423" s="128" t="s">
        <v>1447</v>
      </c>
      <c r="J1423" s="70">
        <v>0.9</v>
      </c>
      <c r="K1423" s="71" t="s">
        <v>1710</v>
      </c>
      <c r="L1423" s="71" t="s">
        <v>1710</v>
      </c>
      <c r="M1423" s="72" t="s">
        <v>1710</v>
      </c>
      <c r="N1423" s="71" t="s">
        <v>1710</v>
      </c>
      <c r="O1423" s="73">
        <v>0.9</v>
      </c>
      <c r="P1423" s="71" t="s">
        <v>1710</v>
      </c>
      <c r="Q1423" s="71" t="s">
        <v>1710</v>
      </c>
      <c r="R1423" s="71" t="s">
        <v>1710</v>
      </c>
      <c r="S1423" s="71" t="s">
        <v>1710</v>
      </c>
      <c r="T1423" s="73">
        <v>0.9</v>
      </c>
      <c r="U1423" s="71" t="s">
        <v>1710</v>
      </c>
      <c r="V1423" s="71" t="s">
        <v>1710</v>
      </c>
      <c r="W1423" s="71" t="s">
        <v>1710</v>
      </c>
      <c r="X1423" s="71" t="s">
        <v>1710</v>
      </c>
      <c r="Y1423" s="73">
        <v>0.92</v>
      </c>
      <c r="Z1423" s="73" t="s">
        <v>1710</v>
      </c>
      <c r="AA1423" s="73" t="s">
        <v>1710</v>
      </c>
      <c r="AB1423" s="73" t="s">
        <v>1710</v>
      </c>
      <c r="AC1423" s="73" t="s">
        <v>1710</v>
      </c>
      <c r="AD1423" s="73">
        <v>0.92</v>
      </c>
      <c r="AE1423" s="71" t="s">
        <v>1710</v>
      </c>
      <c r="AF1423" s="71" t="s">
        <v>1710</v>
      </c>
      <c r="AG1423" s="71" t="s">
        <v>1710</v>
      </c>
      <c r="AH1423" s="71" t="s">
        <v>1710</v>
      </c>
      <c r="AI1423" s="73">
        <v>0.92</v>
      </c>
      <c r="AJ1423" s="71" t="s">
        <v>1710</v>
      </c>
      <c r="AK1423" s="71" t="s">
        <v>1710</v>
      </c>
      <c r="AL1423" s="71" t="s">
        <v>1710</v>
      </c>
      <c r="AM1423" s="71" t="s">
        <v>1710</v>
      </c>
      <c r="AN1423" s="70">
        <v>0.99</v>
      </c>
      <c r="AO1423" s="75" t="s">
        <v>1710</v>
      </c>
      <c r="AP1423" s="75" t="s">
        <v>1710</v>
      </c>
      <c r="AQ1423" s="75" t="s">
        <v>1710</v>
      </c>
      <c r="AR1423" s="75" t="s">
        <v>1710</v>
      </c>
      <c r="AS1423" s="95">
        <v>7.2186152540827803E-2</v>
      </c>
      <c r="AT1423" s="79" t="s">
        <v>1710</v>
      </c>
      <c r="AU1423" s="79" t="s">
        <v>1710</v>
      </c>
      <c r="AV1423" s="79" t="s">
        <v>1710</v>
      </c>
      <c r="AW1423" s="79" t="s">
        <v>1710</v>
      </c>
      <c r="AX1423" s="56"/>
      <c r="AY1423" s="54"/>
    </row>
    <row r="1424" spans="1:51">
      <c r="A1424" s="53"/>
      <c r="B1424" s="56"/>
      <c r="C1424" s="109"/>
      <c r="D1424" s="228"/>
      <c r="E1424" s="110"/>
      <c r="F1424" s="110"/>
      <c r="G1424" s="83"/>
      <c r="H1424" s="83"/>
      <c r="I1424" s="110"/>
      <c r="J1424" s="111"/>
      <c r="K1424" s="132"/>
      <c r="L1424" s="132"/>
      <c r="M1424" s="132"/>
      <c r="N1424" s="132"/>
      <c r="O1424" s="88"/>
      <c r="P1424" s="112"/>
      <c r="Q1424" s="112"/>
      <c r="R1424" s="71"/>
      <c r="S1424" s="112"/>
      <c r="T1424" s="88"/>
      <c r="U1424" s="112"/>
      <c r="V1424" s="112"/>
      <c r="W1424" s="71"/>
      <c r="X1424" s="112"/>
      <c r="Y1424" s="88"/>
      <c r="Z1424" s="88"/>
      <c r="AA1424" s="88"/>
      <c r="AB1424" s="73"/>
      <c r="AC1424" s="88"/>
      <c r="AD1424" s="112"/>
      <c r="AE1424" s="112"/>
      <c r="AF1424" s="112"/>
      <c r="AG1424" s="71"/>
      <c r="AH1424" s="112"/>
      <c r="AI1424" s="112"/>
      <c r="AJ1424" s="112"/>
      <c r="AK1424" s="112"/>
      <c r="AL1424" s="71"/>
      <c r="AM1424" s="112"/>
      <c r="AN1424" s="111"/>
      <c r="AO1424" s="111"/>
      <c r="AP1424" s="111"/>
      <c r="AQ1424" s="75"/>
      <c r="AR1424" s="111"/>
      <c r="AS1424" s="112"/>
      <c r="AT1424" s="111"/>
      <c r="AU1424" s="111"/>
      <c r="AV1424" s="79"/>
      <c r="AW1424" s="111"/>
      <c r="AX1424" s="56"/>
      <c r="AY1424" s="54"/>
    </row>
    <row r="1425" spans="1:51" ht="15">
      <c r="A1425" s="53"/>
      <c r="B1425" s="56"/>
      <c r="C1425" s="90" t="s">
        <v>1448</v>
      </c>
      <c r="D1425" s="230" t="s">
        <v>1759</v>
      </c>
      <c r="E1425" s="68" t="s">
        <v>1449</v>
      </c>
      <c r="F1425" s="133" t="s">
        <v>1450</v>
      </c>
      <c r="G1425" s="133" t="s">
        <v>1450</v>
      </c>
      <c r="H1425" s="133" t="s">
        <v>1450</v>
      </c>
      <c r="I1425" s="133" t="s">
        <v>1450</v>
      </c>
      <c r="J1425" s="70">
        <v>0.9</v>
      </c>
      <c r="K1425" s="71" t="s">
        <v>1710</v>
      </c>
      <c r="L1425" s="71" t="s">
        <v>1710</v>
      </c>
      <c r="M1425" s="72" t="s">
        <v>1710</v>
      </c>
      <c r="N1425" s="71" t="s">
        <v>1710</v>
      </c>
      <c r="O1425" s="73">
        <v>0.9</v>
      </c>
      <c r="P1425" s="71" t="s">
        <v>1710</v>
      </c>
      <c r="Q1425" s="71">
        <v>0</v>
      </c>
      <c r="R1425" s="71" t="s">
        <v>1710</v>
      </c>
      <c r="S1425" s="71">
        <v>0</v>
      </c>
      <c r="T1425" s="73">
        <v>0.9</v>
      </c>
      <c r="U1425" s="71" t="s">
        <v>1710</v>
      </c>
      <c r="V1425" s="71">
        <v>1</v>
      </c>
      <c r="W1425" s="71" t="s">
        <v>1710</v>
      </c>
      <c r="X1425" s="71">
        <v>1</v>
      </c>
      <c r="Y1425" s="73">
        <v>0.92</v>
      </c>
      <c r="Z1425" s="73" t="s">
        <v>1710</v>
      </c>
      <c r="AA1425" s="73" t="s">
        <v>1710</v>
      </c>
      <c r="AB1425" s="73" t="s">
        <v>1710</v>
      </c>
      <c r="AC1425" s="73" t="s">
        <v>1710</v>
      </c>
      <c r="AD1425" s="73">
        <v>0.92</v>
      </c>
      <c r="AE1425" s="71">
        <v>0.99524940617577196</v>
      </c>
      <c r="AF1425" s="71">
        <v>0.99424184261036497</v>
      </c>
      <c r="AG1425" s="71">
        <v>0.99710982658959502</v>
      </c>
      <c r="AH1425" s="71">
        <v>0.99149639777961496</v>
      </c>
      <c r="AI1425" s="73">
        <v>0.92</v>
      </c>
      <c r="AJ1425" s="71" t="s">
        <v>1710</v>
      </c>
      <c r="AK1425" s="71">
        <v>1</v>
      </c>
      <c r="AL1425" s="71" t="s">
        <v>1710</v>
      </c>
      <c r="AM1425" s="71">
        <v>1</v>
      </c>
      <c r="AN1425" s="70">
        <v>0.99</v>
      </c>
      <c r="AO1425" s="75">
        <v>1</v>
      </c>
      <c r="AP1425" s="75">
        <v>1</v>
      </c>
      <c r="AQ1425" s="75">
        <v>1</v>
      </c>
      <c r="AR1425" s="75">
        <v>1</v>
      </c>
      <c r="AS1425" s="95">
        <v>0.110069253262963</v>
      </c>
      <c r="AT1425" s="79" t="s">
        <v>1710</v>
      </c>
      <c r="AU1425" s="79" t="s">
        <v>1710</v>
      </c>
      <c r="AV1425" s="79" t="s">
        <v>1710</v>
      </c>
      <c r="AW1425" s="79" t="s">
        <v>1710</v>
      </c>
      <c r="AX1425" s="56"/>
      <c r="AY1425" s="54"/>
    </row>
    <row r="1426" spans="1:51" ht="15">
      <c r="A1426" s="53"/>
      <c r="B1426" s="56"/>
      <c r="C1426" s="90" t="s">
        <v>1448</v>
      </c>
      <c r="D1426" s="230" t="s">
        <v>1759</v>
      </c>
      <c r="E1426" s="68" t="s">
        <v>1449</v>
      </c>
      <c r="F1426" s="134" t="s">
        <v>1451</v>
      </c>
      <c r="G1426" s="134" t="s">
        <v>1451</v>
      </c>
      <c r="H1426" s="134" t="s">
        <v>1451</v>
      </c>
      <c r="I1426" s="134" t="s">
        <v>1451</v>
      </c>
      <c r="J1426" s="70">
        <v>0.9</v>
      </c>
      <c r="K1426" s="71" t="s">
        <v>1710</v>
      </c>
      <c r="L1426" s="71" t="s">
        <v>1710</v>
      </c>
      <c r="M1426" s="72" t="s">
        <v>1710</v>
      </c>
      <c r="N1426" s="71" t="s">
        <v>1710</v>
      </c>
      <c r="O1426" s="73">
        <v>0.9</v>
      </c>
      <c r="P1426" s="71">
        <v>0</v>
      </c>
      <c r="Q1426" s="71" t="s">
        <v>1710</v>
      </c>
      <c r="R1426" s="71" t="s">
        <v>1710</v>
      </c>
      <c r="S1426" s="71">
        <v>0</v>
      </c>
      <c r="T1426" s="73">
        <v>0.9</v>
      </c>
      <c r="U1426" s="71">
        <v>1</v>
      </c>
      <c r="V1426" s="71" t="s">
        <v>1710</v>
      </c>
      <c r="W1426" s="71" t="s">
        <v>1710</v>
      </c>
      <c r="X1426" s="71">
        <v>1</v>
      </c>
      <c r="Y1426" s="73">
        <v>0.92</v>
      </c>
      <c r="Z1426" s="73" t="s">
        <v>1710</v>
      </c>
      <c r="AA1426" s="73" t="s">
        <v>1710</v>
      </c>
      <c r="AB1426" s="73" t="s">
        <v>1710</v>
      </c>
      <c r="AC1426" s="73" t="s">
        <v>1710</v>
      </c>
      <c r="AD1426" s="73">
        <v>0.92</v>
      </c>
      <c r="AE1426" s="71">
        <v>0.94095940959409596</v>
      </c>
      <c r="AF1426" s="71">
        <v>0.83802816901408494</v>
      </c>
      <c r="AG1426" s="71">
        <v>1</v>
      </c>
      <c r="AH1426" s="71">
        <v>0.97312750142938798</v>
      </c>
      <c r="AI1426" s="73">
        <v>0.92</v>
      </c>
      <c r="AJ1426" s="71">
        <v>1</v>
      </c>
      <c r="AK1426" s="71" t="s">
        <v>1710</v>
      </c>
      <c r="AL1426" s="71" t="s">
        <v>1710</v>
      </c>
      <c r="AM1426" s="71">
        <v>1</v>
      </c>
      <c r="AN1426" s="70">
        <v>0.99</v>
      </c>
      <c r="AO1426" s="75" t="s">
        <v>1710</v>
      </c>
      <c r="AP1426" s="75">
        <v>1</v>
      </c>
      <c r="AQ1426" s="75" t="s">
        <v>1710</v>
      </c>
      <c r="AR1426" s="75">
        <v>1</v>
      </c>
      <c r="AS1426" s="95">
        <v>0.110069253262963</v>
      </c>
      <c r="AT1426" s="79" t="s">
        <v>1710</v>
      </c>
      <c r="AU1426" s="79" t="s">
        <v>1710</v>
      </c>
      <c r="AV1426" s="79" t="s">
        <v>1710</v>
      </c>
      <c r="AW1426" s="79" t="s">
        <v>1710</v>
      </c>
      <c r="AX1426" s="56"/>
      <c r="AY1426" s="54"/>
    </row>
    <row r="1427" spans="1:51" ht="15">
      <c r="A1427" s="53"/>
      <c r="B1427" s="56"/>
      <c r="C1427" s="90" t="s">
        <v>1448</v>
      </c>
      <c r="D1427" s="230" t="s">
        <v>1759</v>
      </c>
      <c r="E1427" s="68" t="s">
        <v>1449</v>
      </c>
      <c r="F1427" s="133" t="s">
        <v>1452</v>
      </c>
      <c r="G1427" s="133" t="s">
        <v>1452</v>
      </c>
      <c r="H1427" s="133" t="s">
        <v>1452</v>
      </c>
      <c r="I1427" s="133" t="s">
        <v>1452</v>
      </c>
      <c r="J1427" s="70">
        <v>0.9</v>
      </c>
      <c r="K1427" s="71" t="s">
        <v>1710</v>
      </c>
      <c r="L1427" s="71" t="s">
        <v>1710</v>
      </c>
      <c r="M1427" s="72" t="s">
        <v>1710</v>
      </c>
      <c r="N1427" s="71" t="s">
        <v>1710</v>
      </c>
      <c r="O1427" s="73">
        <v>0.9</v>
      </c>
      <c r="P1427" s="71" t="s">
        <v>1710</v>
      </c>
      <c r="Q1427" s="71" t="s">
        <v>1710</v>
      </c>
      <c r="R1427" s="71" t="s">
        <v>1710</v>
      </c>
      <c r="S1427" s="71" t="s">
        <v>1710</v>
      </c>
      <c r="T1427" s="73">
        <v>0.9</v>
      </c>
      <c r="U1427" s="71" t="s">
        <v>1710</v>
      </c>
      <c r="V1427" s="71" t="s">
        <v>1710</v>
      </c>
      <c r="W1427" s="71" t="s">
        <v>1710</v>
      </c>
      <c r="X1427" s="71" t="s">
        <v>1710</v>
      </c>
      <c r="Y1427" s="73">
        <v>0.92</v>
      </c>
      <c r="Z1427" s="73" t="s">
        <v>1710</v>
      </c>
      <c r="AA1427" s="73" t="s">
        <v>1710</v>
      </c>
      <c r="AB1427" s="73" t="s">
        <v>1710</v>
      </c>
      <c r="AC1427" s="73" t="s">
        <v>1710</v>
      </c>
      <c r="AD1427" s="73">
        <v>0.92</v>
      </c>
      <c r="AE1427" s="71">
        <v>0.98404255319148903</v>
      </c>
      <c r="AF1427" s="71">
        <v>0.99328859060402697</v>
      </c>
      <c r="AG1427" s="71">
        <v>0.952380952380952</v>
      </c>
      <c r="AH1427" s="71">
        <v>0.98801973220577899</v>
      </c>
      <c r="AI1427" s="73">
        <v>0.92</v>
      </c>
      <c r="AJ1427" s="71" t="s">
        <v>1710</v>
      </c>
      <c r="AK1427" s="71" t="s">
        <v>1710</v>
      </c>
      <c r="AL1427" s="71" t="s">
        <v>1710</v>
      </c>
      <c r="AM1427" s="71" t="s">
        <v>1710</v>
      </c>
      <c r="AN1427" s="70">
        <v>0.99</v>
      </c>
      <c r="AO1427" s="75" t="s">
        <v>1710</v>
      </c>
      <c r="AP1427" s="75" t="s">
        <v>1710</v>
      </c>
      <c r="AQ1427" s="75" t="s">
        <v>1710</v>
      </c>
      <c r="AR1427" s="75">
        <v>1</v>
      </c>
      <c r="AS1427" s="95">
        <v>0.110069253262963</v>
      </c>
      <c r="AT1427" s="79" t="s">
        <v>1710</v>
      </c>
      <c r="AU1427" s="79" t="s">
        <v>1710</v>
      </c>
      <c r="AV1427" s="79" t="s">
        <v>1710</v>
      </c>
      <c r="AW1427" s="79" t="s">
        <v>1710</v>
      </c>
      <c r="AX1427" s="56"/>
      <c r="AY1427" s="54"/>
    </row>
    <row r="1428" spans="1:51" ht="15">
      <c r="A1428" s="53"/>
      <c r="B1428" s="56"/>
      <c r="C1428" s="90" t="s">
        <v>1448</v>
      </c>
      <c r="D1428" s="230" t="s">
        <v>1759</v>
      </c>
      <c r="E1428" s="68" t="s">
        <v>1449</v>
      </c>
      <c r="F1428" s="134" t="s">
        <v>1453</v>
      </c>
      <c r="G1428" s="134" t="s">
        <v>1453</v>
      </c>
      <c r="H1428" s="134" t="s">
        <v>1453</v>
      </c>
      <c r="I1428" s="134" t="s">
        <v>1453</v>
      </c>
      <c r="J1428" s="70">
        <v>0.9</v>
      </c>
      <c r="K1428" s="71" t="s">
        <v>1710</v>
      </c>
      <c r="L1428" s="71" t="s">
        <v>1710</v>
      </c>
      <c r="M1428" s="72" t="s">
        <v>1710</v>
      </c>
      <c r="N1428" s="71" t="s">
        <v>1710</v>
      </c>
      <c r="O1428" s="73">
        <v>0.9</v>
      </c>
      <c r="P1428" s="71">
        <v>0</v>
      </c>
      <c r="Q1428" s="71">
        <v>0</v>
      </c>
      <c r="R1428" s="71">
        <v>0</v>
      </c>
      <c r="S1428" s="71">
        <v>0</v>
      </c>
      <c r="T1428" s="73">
        <v>0.9</v>
      </c>
      <c r="U1428" s="71">
        <v>1</v>
      </c>
      <c r="V1428" s="71">
        <v>1</v>
      </c>
      <c r="W1428" s="71">
        <v>1</v>
      </c>
      <c r="X1428" s="71">
        <v>1</v>
      </c>
      <c r="Y1428" s="73">
        <v>0.92</v>
      </c>
      <c r="Z1428" s="73">
        <v>1</v>
      </c>
      <c r="AA1428" s="73" t="s">
        <v>1710</v>
      </c>
      <c r="AB1428" s="73" t="s">
        <v>1710</v>
      </c>
      <c r="AC1428" s="73">
        <v>1</v>
      </c>
      <c r="AD1428" s="73">
        <v>0.92</v>
      </c>
      <c r="AE1428" s="71">
        <v>0.99911452184179494</v>
      </c>
      <c r="AF1428" s="71">
        <v>0.99907663896583598</v>
      </c>
      <c r="AG1428" s="71">
        <v>1</v>
      </c>
      <c r="AH1428" s="71">
        <v>0.99693932205983604</v>
      </c>
      <c r="AI1428" s="73">
        <v>0.92</v>
      </c>
      <c r="AJ1428" s="71">
        <v>1</v>
      </c>
      <c r="AK1428" s="71">
        <v>1</v>
      </c>
      <c r="AL1428" s="71">
        <v>1</v>
      </c>
      <c r="AM1428" s="71">
        <v>0.97260273972602695</v>
      </c>
      <c r="AN1428" s="70">
        <v>0.99</v>
      </c>
      <c r="AO1428" s="75">
        <v>1</v>
      </c>
      <c r="AP1428" s="75">
        <v>1</v>
      </c>
      <c r="AQ1428" s="75">
        <v>1</v>
      </c>
      <c r="AR1428" s="75">
        <v>1</v>
      </c>
      <c r="AS1428" s="95">
        <v>0.110069253262963</v>
      </c>
      <c r="AT1428" s="79" t="s">
        <v>1710</v>
      </c>
      <c r="AU1428" s="79" t="s">
        <v>1710</v>
      </c>
      <c r="AV1428" s="79" t="s">
        <v>1710</v>
      </c>
      <c r="AW1428" s="79" t="s">
        <v>1710</v>
      </c>
      <c r="AX1428" s="56"/>
      <c r="AY1428" s="54"/>
    </row>
    <row r="1429" spans="1:51" ht="15">
      <c r="A1429" s="53"/>
      <c r="B1429" s="56"/>
      <c r="C1429" s="90" t="s">
        <v>1448</v>
      </c>
      <c r="D1429" s="230" t="s">
        <v>1759</v>
      </c>
      <c r="E1429" s="68" t="s">
        <v>1449</v>
      </c>
      <c r="F1429" s="134" t="s">
        <v>1454</v>
      </c>
      <c r="G1429" s="134" t="s">
        <v>1454</v>
      </c>
      <c r="H1429" s="134" t="s">
        <v>1454</v>
      </c>
      <c r="I1429" s="134" t="s">
        <v>1454</v>
      </c>
      <c r="J1429" s="70">
        <v>0.9</v>
      </c>
      <c r="K1429" s="71" t="s">
        <v>1710</v>
      </c>
      <c r="L1429" s="71" t="s">
        <v>1710</v>
      </c>
      <c r="M1429" s="72" t="s">
        <v>1710</v>
      </c>
      <c r="N1429" s="71" t="s">
        <v>1710</v>
      </c>
      <c r="O1429" s="73">
        <v>0.9</v>
      </c>
      <c r="P1429" s="71">
        <v>0</v>
      </c>
      <c r="Q1429" s="71" t="s">
        <v>1710</v>
      </c>
      <c r="R1429" s="71" t="s">
        <v>1710</v>
      </c>
      <c r="S1429" s="71">
        <v>0</v>
      </c>
      <c r="T1429" s="73">
        <v>0.9</v>
      </c>
      <c r="U1429" s="71">
        <v>0</v>
      </c>
      <c r="V1429" s="71" t="s">
        <v>1710</v>
      </c>
      <c r="W1429" s="71" t="s">
        <v>1710</v>
      </c>
      <c r="X1429" s="71">
        <v>0.75</v>
      </c>
      <c r="Y1429" s="73">
        <v>0.92</v>
      </c>
      <c r="Z1429" s="73" t="s">
        <v>1710</v>
      </c>
      <c r="AA1429" s="73" t="s">
        <v>1710</v>
      </c>
      <c r="AB1429" s="73" t="s">
        <v>1710</v>
      </c>
      <c r="AC1429" s="73" t="s">
        <v>1710</v>
      </c>
      <c r="AD1429" s="73">
        <v>0.92</v>
      </c>
      <c r="AE1429" s="71">
        <v>0.94252873563218398</v>
      </c>
      <c r="AF1429" s="71">
        <v>0.77650429799426901</v>
      </c>
      <c r="AG1429" s="71">
        <v>0.99834983498349805</v>
      </c>
      <c r="AH1429" s="71">
        <v>0.96262699564586396</v>
      </c>
      <c r="AI1429" s="73">
        <v>0.92</v>
      </c>
      <c r="AJ1429" s="71">
        <v>0</v>
      </c>
      <c r="AK1429" s="71" t="s">
        <v>1710</v>
      </c>
      <c r="AL1429" s="71" t="s">
        <v>1710</v>
      </c>
      <c r="AM1429" s="71">
        <v>0.75</v>
      </c>
      <c r="AN1429" s="70">
        <v>0.99</v>
      </c>
      <c r="AO1429" s="75">
        <v>1</v>
      </c>
      <c r="AP1429" s="75">
        <v>1</v>
      </c>
      <c r="AQ1429" s="75">
        <v>1</v>
      </c>
      <c r="AR1429" s="75">
        <v>1</v>
      </c>
      <c r="AS1429" s="95">
        <v>0.110069253262963</v>
      </c>
      <c r="AT1429" s="79" t="s">
        <v>1710</v>
      </c>
      <c r="AU1429" s="79" t="s">
        <v>1710</v>
      </c>
      <c r="AV1429" s="79" t="s">
        <v>1710</v>
      </c>
      <c r="AW1429" s="79" t="s">
        <v>1710</v>
      </c>
      <c r="AX1429" s="56"/>
      <c r="AY1429" s="54"/>
    </row>
    <row r="1430" spans="1:51" ht="15">
      <c r="A1430" s="53"/>
      <c r="B1430" s="56"/>
      <c r="C1430" s="90" t="s">
        <v>1448</v>
      </c>
      <c r="D1430" s="230" t="s">
        <v>1759</v>
      </c>
      <c r="E1430" s="68" t="s">
        <v>1449</v>
      </c>
      <c r="F1430" s="134" t="s">
        <v>1455</v>
      </c>
      <c r="G1430" s="134" t="s">
        <v>1455</v>
      </c>
      <c r="H1430" s="134" t="s">
        <v>1455</v>
      </c>
      <c r="I1430" s="134" t="s">
        <v>1455</v>
      </c>
      <c r="J1430" s="70">
        <v>0.9</v>
      </c>
      <c r="K1430" s="71" t="s">
        <v>1710</v>
      </c>
      <c r="L1430" s="71" t="s">
        <v>1710</v>
      </c>
      <c r="M1430" s="72" t="s">
        <v>1710</v>
      </c>
      <c r="N1430" s="71" t="s">
        <v>1710</v>
      </c>
      <c r="O1430" s="73">
        <v>0.9</v>
      </c>
      <c r="P1430" s="71">
        <v>0</v>
      </c>
      <c r="Q1430" s="71" t="s">
        <v>1710</v>
      </c>
      <c r="R1430" s="71">
        <v>0</v>
      </c>
      <c r="S1430" s="71">
        <v>0</v>
      </c>
      <c r="T1430" s="73">
        <v>0.9</v>
      </c>
      <c r="U1430" s="71">
        <v>0</v>
      </c>
      <c r="V1430" s="71" t="s">
        <v>1710</v>
      </c>
      <c r="W1430" s="71">
        <v>0</v>
      </c>
      <c r="X1430" s="71">
        <v>0</v>
      </c>
      <c r="Y1430" s="73">
        <v>0.92</v>
      </c>
      <c r="Z1430" s="73" t="s">
        <v>1710</v>
      </c>
      <c r="AA1430" s="73" t="s">
        <v>1710</v>
      </c>
      <c r="AB1430" s="73" t="s">
        <v>1710</v>
      </c>
      <c r="AC1430" s="73" t="s">
        <v>1710</v>
      </c>
      <c r="AD1430" s="73">
        <v>0.92</v>
      </c>
      <c r="AE1430" s="71">
        <v>0.99942528735632197</v>
      </c>
      <c r="AF1430" s="71">
        <v>0.99406175771971494</v>
      </c>
      <c r="AG1430" s="71">
        <v>0.99689922480620197</v>
      </c>
      <c r="AH1430" s="71">
        <v>0.97529819161215803</v>
      </c>
      <c r="AI1430" s="73">
        <v>0.92</v>
      </c>
      <c r="AJ1430" s="71">
        <v>0</v>
      </c>
      <c r="AK1430" s="71">
        <v>1</v>
      </c>
      <c r="AL1430" s="71">
        <v>0</v>
      </c>
      <c r="AM1430" s="71">
        <v>0.44444444444444398</v>
      </c>
      <c r="AN1430" s="70">
        <v>0.99</v>
      </c>
      <c r="AO1430" s="75">
        <v>1</v>
      </c>
      <c r="AP1430" s="75">
        <v>1</v>
      </c>
      <c r="AQ1430" s="75">
        <v>1</v>
      </c>
      <c r="AR1430" s="75">
        <v>1</v>
      </c>
      <c r="AS1430" s="95">
        <v>0.110069253262963</v>
      </c>
      <c r="AT1430" s="79" t="s">
        <v>1710</v>
      </c>
      <c r="AU1430" s="79" t="s">
        <v>1710</v>
      </c>
      <c r="AV1430" s="79" t="s">
        <v>1710</v>
      </c>
      <c r="AW1430" s="79" t="s">
        <v>1710</v>
      </c>
      <c r="AX1430" s="56"/>
      <c r="AY1430" s="54"/>
    </row>
    <row r="1431" spans="1:51" ht="15">
      <c r="A1431" s="53"/>
      <c r="B1431" s="56"/>
      <c r="C1431" s="90" t="s">
        <v>1448</v>
      </c>
      <c r="D1431" s="230" t="s">
        <v>1759</v>
      </c>
      <c r="E1431" s="68" t="s">
        <v>1449</v>
      </c>
      <c r="F1431" s="134" t="s">
        <v>1456</v>
      </c>
      <c r="G1431" s="134" t="s">
        <v>1456</v>
      </c>
      <c r="H1431" s="134" t="s">
        <v>1456</v>
      </c>
      <c r="I1431" s="134" t="s">
        <v>1456</v>
      </c>
      <c r="J1431" s="70">
        <v>0.9</v>
      </c>
      <c r="K1431" s="71" t="s">
        <v>1710</v>
      </c>
      <c r="L1431" s="71" t="s">
        <v>1710</v>
      </c>
      <c r="M1431" s="72" t="s">
        <v>1710</v>
      </c>
      <c r="N1431" s="71" t="s">
        <v>1710</v>
      </c>
      <c r="O1431" s="73">
        <v>0.9</v>
      </c>
      <c r="P1431" s="71" t="s">
        <v>1710</v>
      </c>
      <c r="Q1431" s="71" t="s">
        <v>1710</v>
      </c>
      <c r="R1431" s="71" t="s">
        <v>1710</v>
      </c>
      <c r="S1431" s="71">
        <v>0</v>
      </c>
      <c r="T1431" s="73">
        <v>0.9</v>
      </c>
      <c r="U1431" s="71" t="s">
        <v>1710</v>
      </c>
      <c r="V1431" s="71" t="s">
        <v>1710</v>
      </c>
      <c r="W1431" s="71" t="s">
        <v>1710</v>
      </c>
      <c r="X1431" s="71">
        <v>1</v>
      </c>
      <c r="Y1431" s="73">
        <v>0.92</v>
      </c>
      <c r="Z1431" s="73" t="s">
        <v>1710</v>
      </c>
      <c r="AA1431" s="73" t="s">
        <v>1710</v>
      </c>
      <c r="AB1431" s="73" t="s">
        <v>1710</v>
      </c>
      <c r="AC1431" s="73" t="s">
        <v>1710</v>
      </c>
      <c r="AD1431" s="73">
        <v>0.92</v>
      </c>
      <c r="AE1431" s="71">
        <v>0.99018003273322397</v>
      </c>
      <c r="AF1431" s="71">
        <v>0.99168975069252097</v>
      </c>
      <c r="AG1431" s="71">
        <v>1</v>
      </c>
      <c r="AH1431" s="71">
        <v>0.99663110612015704</v>
      </c>
      <c r="AI1431" s="73">
        <v>0.92</v>
      </c>
      <c r="AJ1431" s="71" t="s">
        <v>1710</v>
      </c>
      <c r="AK1431" s="71" t="s">
        <v>1710</v>
      </c>
      <c r="AL1431" s="71" t="s">
        <v>1710</v>
      </c>
      <c r="AM1431" s="71">
        <v>1</v>
      </c>
      <c r="AN1431" s="70">
        <v>0.99</v>
      </c>
      <c r="AO1431" s="75">
        <v>1</v>
      </c>
      <c r="AP1431" s="75">
        <v>1</v>
      </c>
      <c r="AQ1431" s="75">
        <v>1</v>
      </c>
      <c r="AR1431" s="75">
        <v>1</v>
      </c>
      <c r="AS1431" s="95">
        <v>0.110069253262963</v>
      </c>
      <c r="AT1431" s="79" t="s">
        <v>1710</v>
      </c>
      <c r="AU1431" s="79" t="s">
        <v>1710</v>
      </c>
      <c r="AV1431" s="79" t="s">
        <v>1710</v>
      </c>
      <c r="AW1431" s="79" t="s">
        <v>1710</v>
      </c>
      <c r="AX1431" s="56"/>
      <c r="AY1431" s="54"/>
    </row>
    <row r="1432" spans="1:51" ht="15">
      <c r="A1432" s="53"/>
      <c r="B1432" s="56"/>
      <c r="C1432" s="90" t="s">
        <v>1448</v>
      </c>
      <c r="D1432" s="230" t="s">
        <v>1759</v>
      </c>
      <c r="E1432" s="68" t="s">
        <v>1449</v>
      </c>
      <c r="F1432" s="134" t="s">
        <v>1457</v>
      </c>
      <c r="G1432" s="134" t="s">
        <v>1457</v>
      </c>
      <c r="H1432" s="134" t="s">
        <v>1457</v>
      </c>
      <c r="I1432" s="134" t="s">
        <v>1457</v>
      </c>
      <c r="J1432" s="70">
        <v>0.9</v>
      </c>
      <c r="K1432" s="71" t="s">
        <v>1710</v>
      </c>
      <c r="L1432" s="71" t="s">
        <v>1710</v>
      </c>
      <c r="M1432" s="72" t="s">
        <v>1710</v>
      </c>
      <c r="N1432" s="71" t="s">
        <v>1710</v>
      </c>
      <c r="O1432" s="73">
        <v>0.9</v>
      </c>
      <c r="P1432" s="71" t="s">
        <v>1710</v>
      </c>
      <c r="Q1432" s="71" t="s">
        <v>1710</v>
      </c>
      <c r="R1432" s="71" t="s">
        <v>1710</v>
      </c>
      <c r="S1432" s="71">
        <v>0</v>
      </c>
      <c r="T1432" s="73">
        <v>0.9</v>
      </c>
      <c r="U1432" s="71" t="s">
        <v>1710</v>
      </c>
      <c r="V1432" s="71" t="s">
        <v>1710</v>
      </c>
      <c r="W1432" s="71" t="s">
        <v>1710</v>
      </c>
      <c r="X1432" s="71">
        <v>0.61904761904761896</v>
      </c>
      <c r="Y1432" s="73">
        <v>0.92</v>
      </c>
      <c r="Z1432" s="73" t="s">
        <v>1710</v>
      </c>
      <c r="AA1432" s="73" t="s">
        <v>1710</v>
      </c>
      <c r="AB1432" s="73" t="s">
        <v>1710</v>
      </c>
      <c r="AC1432" s="73">
        <v>0</v>
      </c>
      <c r="AD1432" s="73">
        <v>0.92</v>
      </c>
      <c r="AE1432" s="71">
        <v>0.99688958009331297</v>
      </c>
      <c r="AF1432" s="71">
        <v>0.99264705882352899</v>
      </c>
      <c r="AG1432" s="71">
        <v>1</v>
      </c>
      <c r="AH1432" s="71">
        <v>0.99643098292659404</v>
      </c>
      <c r="AI1432" s="73">
        <v>0.92</v>
      </c>
      <c r="AJ1432" s="71" t="s">
        <v>1710</v>
      </c>
      <c r="AK1432" s="71" t="s">
        <v>1710</v>
      </c>
      <c r="AL1432" s="71" t="s">
        <v>1710</v>
      </c>
      <c r="AM1432" s="71">
        <v>0.81818181818181801</v>
      </c>
      <c r="AN1432" s="70">
        <v>0.99</v>
      </c>
      <c r="AO1432" s="75" t="s">
        <v>1710</v>
      </c>
      <c r="AP1432" s="75" t="s">
        <v>1710</v>
      </c>
      <c r="AQ1432" s="75" t="s">
        <v>1710</v>
      </c>
      <c r="AR1432" s="75">
        <v>1</v>
      </c>
      <c r="AS1432" s="95">
        <v>0.110069253262963</v>
      </c>
      <c r="AT1432" s="79" t="s">
        <v>1710</v>
      </c>
      <c r="AU1432" s="79" t="s">
        <v>1710</v>
      </c>
      <c r="AV1432" s="79" t="s">
        <v>1710</v>
      </c>
      <c r="AW1432" s="79" t="s">
        <v>1710</v>
      </c>
      <c r="AX1432" s="56"/>
      <c r="AY1432" s="54"/>
    </row>
    <row r="1433" spans="1:51" ht="15">
      <c r="A1433" s="53"/>
      <c r="B1433" s="56"/>
      <c r="C1433" s="90" t="s">
        <v>1448</v>
      </c>
      <c r="D1433" s="230" t="s">
        <v>1759</v>
      </c>
      <c r="E1433" s="68" t="s">
        <v>1449</v>
      </c>
      <c r="F1433" s="133" t="s">
        <v>1458</v>
      </c>
      <c r="G1433" s="133" t="s">
        <v>1458</v>
      </c>
      <c r="H1433" s="133" t="s">
        <v>1458</v>
      </c>
      <c r="I1433" s="133" t="s">
        <v>1458</v>
      </c>
      <c r="J1433" s="70">
        <v>0.9</v>
      </c>
      <c r="K1433" s="71" t="s">
        <v>1710</v>
      </c>
      <c r="L1433" s="71" t="s">
        <v>1710</v>
      </c>
      <c r="M1433" s="72" t="s">
        <v>1710</v>
      </c>
      <c r="N1433" s="71" t="s">
        <v>1710</v>
      </c>
      <c r="O1433" s="73">
        <v>0.9</v>
      </c>
      <c r="P1433" s="71">
        <v>0</v>
      </c>
      <c r="Q1433" s="71" t="s">
        <v>1710</v>
      </c>
      <c r="R1433" s="71">
        <v>0</v>
      </c>
      <c r="S1433" s="71">
        <v>0</v>
      </c>
      <c r="T1433" s="73">
        <v>0.9</v>
      </c>
      <c r="U1433" s="71">
        <v>1</v>
      </c>
      <c r="V1433" s="71" t="s">
        <v>1710</v>
      </c>
      <c r="W1433" s="71">
        <v>1</v>
      </c>
      <c r="X1433" s="71">
        <v>1</v>
      </c>
      <c r="Y1433" s="73">
        <v>0.92</v>
      </c>
      <c r="Z1433" s="73" t="s">
        <v>1710</v>
      </c>
      <c r="AA1433" s="73" t="s">
        <v>1710</v>
      </c>
      <c r="AB1433" s="73" t="s">
        <v>1710</v>
      </c>
      <c r="AC1433" s="73" t="s">
        <v>1710</v>
      </c>
      <c r="AD1433" s="73">
        <v>0.92</v>
      </c>
      <c r="AE1433" s="71">
        <v>0.90425531914893598</v>
      </c>
      <c r="AF1433" s="71">
        <v>0.90322580645161299</v>
      </c>
      <c r="AG1433" s="71">
        <v>0.98952879581151798</v>
      </c>
      <c r="AH1433" s="71">
        <v>0.98156389065479999</v>
      </c>
      <c r="AI1433" s="73">
        <v>0.92</v>
      </c>
      <c r="AJ1433" s="71">
        <v>1</v>
      </c>
      <c r="AK1433" s="71" t="s">
        <v>1710</v>
      </c>
      <c r="AL1433" s="71">
        <v>1</v>
      </c>
      <c r="AM1433" s="71">
        <v>1</v>
      </c>
      <c r="AN1433" s="70">
        <v>0.99</v>
      </c>
      <c r="AO1433" s="75" t="s">
        <v>1710</v>
      </c>
      <c r="AP1433" s="75" t="s">
        <v>1710</v>
      </c>
      <c r="AQ1433" s="75" t="s">
        <v>1710</v>
      </c>
      <c r="AR1433" s="75">
        <v>1</v>
      </c>
      <c r="AS1433" s="95">
        <v>0.110069253262963</v>
      </c>
      <c r="AT1433" s="79" t="s">
        <v>1710</v>
      </c>
      <c r="AU1433" s="79" t="s">
        <v>1710</v>
      </c>
      <c r="AV1433" s="79" t="s">
        <v>1710</v>
      </c>
      <c r="AW1433" s="79" t="s">
        <v>1710</v>
      </c>
      <c r="AX1433" s="56"/>
      <c r="AY1433" s="54"/>
    </row>
    <row r="1434" spans="1:51" ht="15">
      <c r="A1434" s="53"/>
      <c r="B1434" s="56"/>
      <c r="C1434" s="90" t="s">
        <v>1448</v>
      </c>
      <c r="D1434" s="230" t="s">
        <v>1759</v>
      </c>
      <c r="E1434" s="68" t="s">
        <v>1449</v>
      </c>
      <c r="F1434" s="134" t="s">
        <v>1459</v>
      </c>
      <c r="G1434" s="134" t="s">
        <v>1459</v>
      </c>
      <c r="H1434" s="134" t="s">
        <v>1459</v>
      </c>
      <c r="I1434" s="134" t="s">
        <v>1459</v>
      </c>
      <c r="J1434" s="70">
        <v>0.9</v>
      </c>
      <c r="K1434" s="71" t="s">
        <v>1710</v>
      </c>
      <c r="L1434" s="71" t="s">
        <v>1710</v>
      </c>
      <c r="M1434" s="72" t="s">
        <v>1710</v>
      </c>
      <c r="N1434" s="71" t="s">
        <v>1710</v>
      </c>
      <c r="O1434" s="73">
        <v>0.9</v>
      </c>
      <c r="P1434" s="71" t="s">
        <v>1710</v>
      </c>
      <c r="Q1434" s="71" t="s">
        <v>1710</v>
      </c>
      <c r="R1434" s="71" t="s">
        <v>1710</v>
      </c>
      <c r="S1434" s="71" t="s">
        <v>1710</v>
      </c>
      <c r="T1434" s="73">
        <v>0.9</v>
      </c>
      <c r="U1434" s="71" t="s">
        <v>1710</v>
      </c>
      <c r="V1434" s="71" t="s">
        <v>1710</v>
      </c>
      <c r="W1434" s="71" t="s">
        <v>1710</v>
      </c>
      <c r="X1434" s="71" t="s">
        <v>1710</v>
      </c>
      <c r="Y1434" s="73">
        <v>0.92</v>
      </c>
      <c r="Z1434" s="73" t="s">
        <v>1710</v>
      </c>
      <c r="AA1434" s="73" t="s">
        <v>1710</v>
      </c>
      <c r="AB1434" s="73" t="s">
        <v>1710</v>
      </c>
      <c r="AC1434" s="73" t="s">
        <v>1710</v>
      </c>
      <c r="AD1434" s="73">
        <v>0.92</v>
      </c>
      <c r="AE1434" s="71">
        <v>0.952380952380952</v>
      </c>
      <c r="AF1434" s="71">
        <v>0.875</v>
      </c>
      <c r="AG1434" s="71">
        <v>0.90909090909090895</v>
      </c>
      <c r="AH1434" s="71">
        <v>0.95307443365695799</v>
      </c>
      <c r="AI1434" s="73">
        <v>0.92</v>
      </c>
      <c r="AJ1434" s="71" t="s">
        <v>1710</v>
      </c>
      <c r="AK1434" s="71" t="s">
        <v>1710</v>
      </c>
      <c r="AL1434" s="71" t="s">
        <v>1710</v>
      </c>
      <c r="AM1434" s="71" t="s">
        <v>1710</v>
      </c>
      <c r="AN1434" s="70">
        <v>0.99</v>
      </c>
      <c r="AO1434" s="75" t="s">
        <v>1710</v>
      </c>
      <c r="AP1434" s="75" t="s">
        <v>1710</v>
      </c>
      <c r="AQ1434" s="75" t="s">
        <v>1710</v>
      </c>
      <c r="AR1434" s="75" t="s">
        <v>1710</v>
      </c>
      <c r="AS1434" s="95">
        <v>0.110069253262963</v>
      </c>
      <c r="AT1434" s="79" t="s">
        <v>1710</v>
      </c>
      <c r="AU1434" s="79" t="s">
        <v>1710</v>
      </c>
      <c r="AV1434" s="79" t="s">
        <v>1710</v>
      </c>
      <c r="AW1434" s="79" t="s">
        <v>1710</v>
      </c>
      <c r="AX1434" s="56"/>
      <c r="AY1434" s="54"/>
    </row>
    <row r="1435" spans="1:51" ht="15">
      <c r="A1435" s="53"/>
      <c r="B1435" s="56"/>
      <c r="C1435" s="90" t="s">
        <v>1448</v>
      </c>
      <c r="D1435" s="230" t="s">
        <v>1759</v>
      </c>
      <c r="E1435" s="68" t="s">
        <v>1449</v>
      </c>
      <c r="F1435" s="133" t="s">
        <v>1460</v>
      </c>
      <c r="G1435" s="133" t="s">
        <v>1460</v>
      </c>
      <c r="H1435" s="133" t="s">
        <v>1460</v>
      </c>
      <c r="I1435" s="133" t="s">
        <v>1460</v>
      </c>
      <c r="J1435" s="70">
        <v>0.9</v>
      </c>
      <c r="K1435" s="71" t="s">
        <v>1710</v>
      </c>
      <c r="L1435" s="71" t="s">
        <v>1710</v>
      </c>
      <c r="M1435" s="72" t="s">
        <v>1710</v>
      </c>
      <c r="N1435" s="71" t="s">
        <v>1710</v>
      </c>
      <c r="O1435" s="73">
        <v>0.9</v>
      </c>
      <c r="P1435" s="71">
        <v>0</v>
      </c>
      <c r="Q1435" s="71">
        <v>0</v>
      </c>
      <c r="R1435" s="71">
        <v>0</v>
      </c>
      <c r="S1435" s="71">
        <v>0</v>
      </c>
      <c r="T1435" s="73">
        <v>0.9</v>
      </c>
      <c r="U1435" s="71">
        <v>1</v>
      </c>
      <c r="V1435" s="71">
        <v>0.66666666666666696</v>
      </c>
      <c r="W1435" s="71">
        <v>0.5</v>
      </c>
      <c r="X1435" s="71">
        <v>0.9</v>
      </c>
      <c r="Y1435" s="73">
        <v>0.92</v>
      </c>
      <c r="Z1435" s="73">
        <v>0</v>
      </c>
      <c r="AA1435" s="73" t="s">
        <v>1710</v>
      </c>
      <c r="AB1435" s="73" t="s">
        <v>1710</v>
      </c>
      <c r="AC1435" s="73">
        <v>0</v>
      </c>
      <c r="AD1435" s="73">
        <v>0.92</v>
      </c>
      <c r="AE1435" s="71">
        <v>0.99398043641835998</v>
      </c>
      <c r="AF1435" s="71">
        <v>0.904186447993095</v>
      </c>
      <c r="AG1435" s="71">
        <v>0.99869281045751601</v>
      </c>
      <c r="AH1435" s="71">
        <v>0.96651129437074201</v>
      </c>
      <c r="AI1435" s="73">
        <v>0.92</v>
      </c>
      <c r="AJ1435" s="71">
        <v>0.83333333333333304</v>
      </c>
      <c r="AK1435" s="71">
        <v>0.5</v>
      </c>
      <c r="AL1435" s="71">
        <v>0.5</v>
      </c>
      <c r="AM1435" s="71">
        <v>0.86486486486486502</v>
      </c>
      <c r="AN1435" s="70">
        <v>0.99</v>
      </c>
      <c r="AO1435" s="75">
        <v>1</v>
      </c>
      <c r="AP1435" s="75" t="s">
        <v>1710</v>
      </c>
      <c r="AQ1435" s="75">
        <v>1</v>
      </c>
      <c r="AR1435" s="75">
        <v>1</v>
      </c>
      <c r="AS1435" s="95">
        <v>0.110069253262963</v>
      </c>
      <c r="AT1435" s="79" t="s">
        <v>1710</v>
      </c>
      <c r="AU1435" s="79" t="s">
        <v>1710</v>
      </c>
      <c r="AV1435" s="79" t="s">
        <v>1710</v>
      </c>
      <c r="AW1435" s="79" t="s">
        <v>1710</v>
      </c>
      <c r="AX1435" s="56"/>
      <c r="AY1435" s="54"/>
    </row>
    <row r="1436" spans="1:51" ht="15">
      <c r="A1436" s="53"/>
      <c r="B1436" s="56"/>
      <c r="C1436" s="90" t="s">
        <v>1448</v>
      </c>
      <c r="D1436" s="230" t="s">
        <v>1759</v>
      </c>
      <c r="E1436" s="68" t="s">
        <v>1449</v>
      </c>
      <c r="F1436" s="133" t="s">
        <v>1461</v>
      </c>
      <c r="G1436" s="133" t="s">
        <v>1461</v>
      </c>
      <c r="H1436" s="133" t="s">
        <v>1461</v>
      </c>
      <c r="I1436" s="133" t="s">
        <v>1461</v>
      </c>
      <c r="J1436" s="70">
        <v>0.9</v>
      </c>
      <c r="K1436" s="71" t="s">
        <v>1710</v>
      </c>
      <c r="L1436" s="71" t="s">
        <v>1710</v>
      </c>
      <c r="M1436" s="72" t="s">
        <v>1710</v>
      </c>
      <c r="N1436" s="71" t="s">
        <v>1710</v>
      </c>
      <c r="O1436" s="73">
        <v>0.9</v>
      </c>
      <c r="P1436" s="71" t="s">
        <v>1710</v>
      </c>
      <c r="Q1436" s="71" t="s">
        <v>1710</v>
      </c>
      <c r="R1436" s="71" t="s">
        <v>1710</v>
      </c>
      <c r="S1436" s="71" t="s">
        <v>1710</v>
      </c>
      <c r="T1436" s="73">
        <v>0.9</v>
      </c>
      <c r="U1436" s="71" t="s">
        <v>1710</v>
      </c>
      <c r="V1436" s="71" t="s">
        <v>1710</v>
      </c>
      <c r="W1436" s="71" t="s">
        <v>1710</v>
      </c>
      <c r="X1436" s="71" t="s">
        <v>1710</v>
      </c>
      <c r="Y1436" s="73">
        <v>0.92</v>
      </c>
      <c r="Z1436" s="73" t="s">
        <v>1710</v>
      </c>
      <c r="AA1436" s="73" t="s">
        <v>1710</v>
      </c>
      <c r="AB1436" s="73" t="s">
        <v>1710</v>
      </c>
      <c r="AC1436" s="73" t="s">
        <v>1710</v>
      </c>
      <c r="AD1436" s="73">
        <v>0.92</v>
      </c>
      <c r="AE1436" s="71">
        <v>1</v>
      </c>
      <c r="AF1436" s="71">
        <v>1</v>
      </c>
      <c r="AG1436" s="71">
        <v>1</v>
      </c>
      <c r="AH1436" s="71">
        <v>1</v>
      </c>
      <c r="AI1436" s="73">
        <v>0.92</v>
      </c>
      <c r="AJ1436" s="71" t="s">
        <v>1710</v>
      </c>
      <c r="AK1436" s="71" t="s">
        <v>1710</v>
      </c>
      <c r="AL1436" s="71" t="s">
        <v>1710</v>
      </c>
      <c r="AM1436" s="71" t="s">
        <v>1710</v>
      </c>
      <c r="AN1436" s="70">
        <v>0.99</v>
      </c>
      <c r="AO1436" s="75" t="s">
        <v>1710</v>
      </c>
      <c r="AP1436" s="75" t="s">
        <v>1710</v>
      </c>
      <c r="AQ1436" s="75" t="s">
        <v>1710</v>
      </c>
      <c r="AR1436" s="75">
        <v>1</v>
      </c>
      <c r="AS1436" s="95">
        <v>0.110069253262963</v>
      </c>
      <c r="AT1436" s="79" t="s">
        <v>1710</v>
      </c>
      <c r="AU1436" s="79" t="s">
        <v>1710</v>
      </c>
      <c r="AV1436" s="79" t="s">
        <v>1710</v>
      </c>
      <c r="AW1436" s="79" t="s">
        <v>1710</v>
      </c>
      <c r="AX1436" s="56"/>
      <c r="AY1436" s="54"/>
    </row>
    <row r="1437" spans="1:51" ht="15">
      <c r="A1437" s="53"/>
      <c r="B1437" s="56"/>
      <c r="C1437" s="90" t="s">
        <v>1448</v>
      </c>
      <c r="D1437" s="230" t="s">
        <v>1759</v>
      </c>
      <c r="E1437" s="68" t="s">
        <v>1449</v>
      </c>
      <c r="F1437" s="134" t="s">
        <v>1462</v>
      </c>
      <c r="G1437" s="134" t="s">
        <v>1462</v>
      </c>
      <c r="H1437" s="134" t="s">
        <v>1462</v>
      </c>
      <c r="I1437" s="134" t="s">
        <v>1462</v>
      </c>
      <c r="J1437" s="70">
        <v>0.9</v>
      </c>
      <c r="K1437" s="71" t="s">
        <v>1710</v>
      </c>
      <c r="L1437" s="71" t="s">
        <v>1710</v>
      </c>
      <c r="M1437" s="72" t="s">
        <v>1710</v>
      </c>
      <c r="N1437" s="71" t="s">
        <v>1710</v>
      </c>
      <c r="O1437" s="73">
        <v>0.9</v>
      </c>
      <c r="P1437" s="71" t="s">
        <v>1710</v>
      </c>
      <c r="Q1437" s="71" t="s">
        <v>1710</v>
      </c>
      <c r="R1437" s="71" t="s">
        <v>1710</v>
      </c>
      <c r="S1437" s="71" t="s">
        <v>1710</v>
      </c>
      <c r="T1437" s="73">
        <v>0.9</v>
      </c>
      <c r="U1437" s="71" t="s">
        <v>1710</v>
      </c>
      <c r="V1437" s="71" t="s">
        <v>1710</v>
      </c>
      <c r="W1437" s="71" t="s">
        <v>1710</v>
      </c>
      <c r="X1437" s="71" t="s">
        <v>1710</v>
      </c>
      <c r="Y1437" s="73">
        <v>0.92</v>
      </c>
      <c r="Z1437" s="73" t="s">
        <v>1710</v>
      </c>
      <c r="AA1437" s="73" t="s">
        <v>1710</v>
      </c>
      <c r="AB1437" s="73" t="s">
        <v>1710</v>
      </c>
      <c r="AC1437" s="73" t="s">
        <v>1710</v>
      </c>
      <c r="AD1437" s="73">
        <v>0.92</v>
      </c>
      <c r="AE1437" s="71">
        <v>1</v>
      </c>
      <c r="AF1437" s="71">
        <v>1</v>
      </c>
      <c r="AG1437" s="71">
        <v>0.99800399201596801</v>
      </c>
      <c r="AH1437" s="71">
        <v>0.99075322673858601</v>
      </c>
      <c r="AI1437" s="73">
        <v>0.92</v>
      </c>
      <c r="AJ1437" s="71" t="s">
        <v>1710</v>
      </c>
      <c r="AK1437" s="71" t="s">
        <v>1710</v>
      </c>
      <c r="AL1437" s="71" t="s">
        <v>1710</v>
      </c>
      <c r="AM1437" s="71" t="s">
        <v>1710</v>
      </c>
      <c r="AN1437" s="70">
        <v>0.99</v>
      </c>
      <c r="AO1437" s="75" t="s">
        <v>1710</v>
      </c>
      <c r="AP1437" s="75">
        <v>1</v>
      </c>
      <c r="AQ1437" s="75" t="s">
        <v>1710</v>
      </c>
      <c r="AR1437" s="75">
        <v>1</v>
      </c>
      <c r="AS1437" s="95">
        <v>0.110069253262963</v>
      </c>
      <c r="AT1437" s="79" t="s">
        <v>1710</v>
      </c>
      <c r="AU1437" s="79" t="s">
        <v>1710</v>
      </c>
      <c r="AV1437" s="79" t="s">
        <v>1710</v>
      </c>
      <c r="AW1437" s="79" t="s">
        <v>1710</v>
      </c>
      <c r="AX1437" s="56"/>
      <c r="AY1437" s="54"/>
    </row>
    <row r="1438" spans="1:51" ht="15">
      <c r="A1438" s="53"/>
      <c r="B1438" s="56"/>
      <c r="C1438" s="90" t="s">
        <v>1448</v>
      </c>
      <c r="D1438" s="230" t="s">
        <v>1759</v>
      </c>
      <c r="E1438" s="68" t="s">
        <v>1449</v>
      </c>
      <c r="F1438" s="134" t="s">
        <v>1463</v>
      </c>
      <c r="G1438" s="134" t="s">
        <v>1463</v>
      </c>
      <c r="H1438" s="134" t="s">
        <v>1463</v>
      </c>
      <c r="I1438" s="134" t="s">
        <v>1463</v>
      </c>
      <c r="J1438" s="70">
        <v>0.9</v>
      </c>
      <c r="K1438" s="71" t="s">
        <v>1710</v>
      </c>
      <c r="L1438" s="71" t="s">
        <v>1710</v>
      </c>
      <c r="M1438" s="72" t="s">
        <v>1710</v>
      </c>
      <c r="N1438" s="71" t="s">
        <v>1710</v>
      </c>
      <c r="O1438" s="73">
        <v>0.9</v>
      </c>
      <c r="P1438" s="71" t="s">
        <v>1710</v>
      </c>
      <c r="Q1438" s="71" t="s">
        <v>1710</v>
      </c>
      <c r="R1438" s="71" t="s">
        <v>1710</v>
      </c>
      <c r="S1438" s="71">
        <v>0</v>
      </c>
      <c r="T1438" s="73">
        <v>0.9</v>
      </c>
      <c r="U1438" s="71" t="s">
        <v>1710</v>
      </c>
      <c r="V1438" s="71" t="s">
        <v>1710</v>
      </c>
      <c r="W1438" s="71" t="s">
        <v>1710</v>
      </c>
      <c r="X1438" s="71">
        <v>1</v>
      </c>
      <c r="Y1438" s="73">
        <v>0.92</v>
      </c>
      <c r="Z1438" s="73" t="s">
        <v>1710</v>
      </c>
      <c r="AA1438" s="73" t="s">
        <v>1710</v>
      </c>
      <c r="AB1438" s="73" t="s">
        <v>1710</v>
      </c>
      <c r="AC1438" s="73" t="s">
        <v>1710</v>
      </c>
      <c r="AD1438" s="73">
        <v>0.92</v>
      </c>
      <c r="AE1438" s="71">
        <v>0.93798449612403101</v>
      </c>
      <c r="AF1438" s="71" t="s">
        <v>1710</v>
      </c>
      <c r="AG1438" s="71">
        <v>1</v>
      </c>
      <c r="AH1438" s="71">
        <v>0.98725376593279301</v>
      </c>
      <c r="AI1438" s="73">
        <v>0.92</v>
      </c>
      <c r="AJ1438" s="71" t="s">
        <v>1710</v>
      </c>
      <c r="AK1438" s="71" t="s">
        <v>1710</v>
      </c>
      <c r="AL1438" s="71" t="s">
        <v>1710</v>
      </c>
      <c r="AM1438" s="71">
        <v>1</v>
      </c>
      <c r="AN1438" s="70">
        <v>0.99</v>
      </c>
      <c r="AO1438" s="75" t="s">
        <v>1710</v>
      </c>
      <c r="AP1438" s="75" t="s">
        <v>1710</v>
      </c>
      <c r="AQ1438" s="75" t="s">
        <v>1710</v>
      </c>
      <c r="AR1438" s="75" t="s">
        <v>1710</v>
      </c>
      <c r="AS1438" s="95">
        <v>0.110069253262963</v>
      </c>
      <c r="AT1438" s="79" t="s">
        <v>1710</v>
      </c>
      <c r="AU1438" s="79" t="s">
        <v>1710</v>
      </c>
      <c r="AV1438" s="79" t="s">
        <v>1710</v>
      </c>
      <c r="AW1438" s="79" t="s">
        <v>1710</v>
      </c>
      <c r="AX1438" s="56"/>
      <c r="AY1438" s="54"/>
    </row>
    <row r="1439" spans="1:51" ht="15">
      <c r="A1439" s="53"/>
      <c r="B1439" s="56"/>
      <c r="C1439" s="90" t="s">
        <v>1448</v>
      </c>
      <c r="D1439" s="230" t="s">
        <v>1759</v>
      </c>
      <c r="E1439" s="68" t="s">
        <v>1449</v>
      </c>
      <c r="F1439" s="134" t="s">
        <v>1464</v>
      </c>
      <c r="G1439" s="134" t="s">
        <v>1464</v>
      </c>
      <c r="H1439" s="134" t="s">
        <v>1464</v>
      </c>
      <c r="I1439" s="134" t="s">
        <v>1464</v>
      </c>
      <c r="J1439" s="70">
        <v>0.9</v>
      </c>
      <c r="K1439" s="71" t="s">
        <v>1710</v>
      </c>
      <c r="L1439" s="71" t="s">
        <v>1710</v>
      </c>
      <c r="M1439" s="72" t="s">
        <v>1710</v>
      </c>
      <c r="N1439" s="71" t="s">
        <v>1710</v>
      </c>
      <c r="O1439" s="73">
        <v>0.9</v>
      </c>
      <c r="P1439" s="71" t="s">
        <v>1710</v>
      </c>
      <c r="Q1439" s="71" t="s">
        <v>1710</v>
      </c>
      <c r="R1439" s="71" t="s">
        <v>1710</v>
      </c>
      <c r="S1439" s="71" t="s">
        <v>1710</v>
      </c>
      <c r="T1439" s="73">
        <v>0.9</v>
      </c>
      <c r="U1439" s="71" t="s">
        <v>1710</v>
      </c>
      <c r="V1439" s="71" t="s">
        <v>1710</v>
      </c>
      <c r="W1439" s="71" t="s">
        <v>1710</v>
      </c>
      <c r="X1439" s="71" t="s">
        <v>1710</v>
      </c>
      <c r="Y1439" s="73">
        <v>0.92</v>
      </c>
      <c r="Z1439" s="73" t="s">
        <v>1710</v>
      </c>
      <c r="AA1439" s="73" t="s">
        <v>1710</v>
      </c>
      <c r="AB1439" s="73" t="s">
        <v>1710</v>
      </c>
      <c r="AC1439" s="73" t="s">
        <v>1710</v>
      </c>
      <c r="AD1439" s="73">
        <v>0.92</v>
      </c>
      <c r="AE1439" s="71">
        <v>1</v>
      </c>
      <c r="AF1439" s="71">
        <v>1</v>
      </c>
      <c r="AG1439" s="71">
        <v>1</v>
      </c>
      <c r="AH1439" s="71">
        <v>0.99965682910089204</v>
      </c>
      <c r="AI1439" s="73">
        <v>0.92</v>
      </c>
      <c r="AJ1439" s="71" t="s">
        <v>1710</v>
      </c>
      <c r="AK1439" s="71" t="s">
        <v>1710</v>
      </c>
      <c r="AL1439" s="71" t="s">
        <v>1710</v>
      </c>
      <c r="AM1439" s="71" t="s">
        <v>1710</v>
      </c>
      <c r="AN1439" s="70">
        <v>0.99</v>
      </c>
      <c r="AO1439" s="75" t="s">
        <v>1710</v>
      </c>
      <c r="AP1439" s="75" t="s">
        <v>1710</v>
      </c>
      <c r="AQ1439" s="75" t="s">
        <v>1710</v>
      </c>
      <c r="AR1439" s="75" t="s">
        <v>1710</v>
      </c>
      <c r="AS1439" s="95">
        <v>0.110069253262963</v>
      </c>
      <c r="AT1439" s="79" t="s">
        <v>1710</v>
      </c>
      <c r="AU1439" s="79" t="s">
        <v>1710</v>
      </c>
      <c r="AV1439" s="79" t="s">
        <v>1710</v>
      </c>
      <c r="AW1439" s="79" t="s">
        <v>1710</v>
      </c>
      <c r="AX1439" s="56"/>
      <c r="AY1439" s="54"/>
    </row>
    <row r="1440" spans="1:51" ht="15">
      <c r="A1440" s="53"/>
      <c r="B1440" s="56"/>
      <c r="C1440" s="90" t="s">
        <v>1448</v>
      </c>
      <c r="D1440" s="230" t="s">
        <v>1759</v>
      </c>
      <c r="E1440" s="68" t="s">
        <v>1449</v>
      </c>
      <c r="F1440" s="134" t="s">
        <v>1465</v>
      </c>
      <c r="G1440" s="134" t="s">
        <v>1465</v>
      </c>
      <c r="H1440" s="134" t="s">
        <v>1465</v>
      </c>
      <c r="I1440" s="134" t="s">
        <v>1465</v>
      </c>
      <c r="J1440" s="70">
        <v>0.9</v>
      </c>
      <c r="K1440" s="71" t="s">
        <v>1710</v>
      </c>
      <c r="L1440" s="71" t="s">
        <v>1710</v>
      </c>
      <c r="M1440" s="72" t="s">
        <v>1710</v>
      </c>
      <c r="N1440" s="71" t="s">
        <v>1710</v>
      </c>
      <c r="O1440" s="73">
        <v>0.9</v>
      </c>
      <c r="P1440" s="71" t="s">
        <v>1710</v>
      </c>
      <c r="Q1440" s="71">
        <v>0</v>
      </c>
      <c r="R1440" s="71" t="s">
        <v>1710</v>
      </c>
      <c r="S1440" s="71">
        <v>0</v>
      </c>
      <c r="T1440" s="73">
        <v>0.9</v>
      </c>
      <c r="U1440" s="71" t="s">
        <v>1710</v>
      </c>
      <c r="V1440" s="71">
        <v>1</v>
      </c>
      <c r="W1440" s="71" t="s">
        <v>1710</v>
      </c>
      <c r="X1440" s="71">
        <v>1</v>
      </c>
      <c r="Y1440" s="73">
        <v>0.92</v>
      </c>
      <c r="Z1440" s="73" t="s">
        <v>1710</v>
      </c>
      <c r="AA1440" s="73" t="s">
        <v>1710</v>
      </c>
      <c r="AB1440" s="73" t="s">
        <v>1710</v>
      </c>
      <c r="AC1440" s="73" t="s">
        <v>1710</v>
      </c>
      <c r="AD1440" s="73">
        <v>0.92</v>
      </c>
      <c r="AE1440" s="71">
        <v>1</v>
      </c>
      <c r="AF1440" s="71">
        <v>1</v>
      </c>
      <c r="AG1440" s="71">
        <v>1</v>
      </c>
      <c r="AH1440" s="71">
        <v>0.98406169665809795</v>
      </c>
      <c r="AI1440" s="73">
        <v>0.92</v>
      </c>
      <c r="AJ1440" s="71" t="s">
        <v>1710</v>
      </c>
      <c r="AK1440" s="71">
        <v>1</v>
      </c>
      <c r="AL1440" s="71" t="s">
        <v>1710</v>
      </c>
      <c r="AM1440" s="71">
        <v>1</v>
      </c>
      <c r="AN1440" s="70">
        <v>0.99</v>
      </c>
      <c r="AO1440" s="75" t="s">
        <v>1710</v>
      </c>
      <c r="AP1440" s="75" t="s">
        <v>1710</v>
      </c>
      <c r="AQ1440" s="75" t="s">
        <v>1710</v>
      </c>
      <c r="AR1440" s="75" t="s">
        <v>1710</v>
      </c>
      <c r="AS1440" s="95">
        <v>0.110069253262963</v>
      </c>
      <c r="AT1440" s="79" t="s">
        <v>1710</v>
      </c>
      <c r="AU1440" s="79" t="s">
        <v>1710</v>
      </c>
      <c r="AV1440" s="79" t="s">
        <v>1710</v>
      </c>
      <c r="AW1440" s="79" t="s">
        <v>1710</v>
      </c>
      <c r="AX1440" s="56"/>
      <c r="AY1440" s="54"/>
    </row>
    <row r="1441" spans="1:51" ht="15">
      <c r="A1441" s="53"/>
      <c r="B1441" s="56"/>
      <c r="C1441" s="90" t="s">
        <v>1448</v>
      </c>
      <c r="D1441" s="230" t="s">
        <v>1759</v>
      </c>
      <c r="E1441" s="68" t="s">
        <v>1449</v>
      </c>
      <c r="F1441" s="134" t="s">
        <v>1466</v>
      </c>
      <c r="G1441" s="134" t="s">
        <v>1466</v>
      </c>
      <c r="H1441" s="134" t="s">
        <v>1466</v>
      </c>
      <c r="I1441" s="134" t="s">
        <v>1466</v>
      </c>
      <c r="J1441" s="70">
        <v>0.9</v>
      </c>
      <c r="K1441" s="71" t="s">
        <v>1710</v>
      </c>
      <c r="L1441" s="71" t="s">
        <v>1710</v>
      </c>
      <c r="M1441" s="72" t="s">
        <v>1710</v>
      </c>
      <c r="N1441" s="71" t="s">
        <v>1710</v>
      </c>
      <c r="O1441" s="73">
        <v>0.9</v>
      </c>
      <c r="P1441" s="71" t="s">
        <v>1710</v>
      </c>
      <c r="Q1441" s="71">
        <v>0</v>
      </c>
      <c r="R1441" s="71">
        <v>0</v>
      </c>
      <c r="S1441" s="71">
        <v>0</v>
      </c>
      <c r="T1441" s="73">
        <v>0.9</v>
      </c>
      <c r="U1441" s="71" t="s">
        <v>1710</v>
      </c>
      <c r="V1441" s="71">
        <v>1</v>
      </c>
      <c r="W1441" s="71">
        <v>1</v>
      </c>
      <c r="X1441" s="71">
        <v>1</v>
      </c>
      <c r="Y1441" s="73">
        <v>0.92</v>
      </c>
      <c r="Z1441" s="73" t="s">
        <v>1710</v>
      </c>
      <c r="AA1441" s="73" t="s">
        <v>1710</v>
      </c>
      <c r="AB1441" s="73" t="s">
        <v>1710</v>
      </c>
      <c r="AC1441" s="73">
        <v>1</v>
      </c>
      <c r="AD1441" s="73">
        <v>0.92</v>
      </c>
      <c r="AE1441" s="71">
        <v>0.97906489881367798</v>
      </c>
      <c r="AF1441" s="71">
        <v>0.985457063711911</v>
      </c>
      <c r="AG1441" s="71">
        <v>1</v>
      </c>
      <c r="AH1441" s="71">
        <v>0.99451346408526198</v>
      </c>
      <c r="AI1441" s="73">
        <v>0.92</v>
      </c>
      <c r="AJ1441" s="71" t="s">
        <v>1710</v>
      </c>
      <c r="AK1441" s="71">
        <v>1</v>
      </c>
      <c r="AL1441" s="71">
        <v>1</v>
      </c>
      <c r="AM1441" s="71">
        <v>1</v>
      </c>
      <c r="AN1441" s="70">
        <v>0.99</v>
      </c>
      <c r="AO1441" s="75" t="s">
        <v>1710</v>
      </c>
      <c r="AP1441" s="75" t="s">
        <v>1710</v>
      </c>
      <c r="AQ1441" s="75" t="s">
        <v>1710</v>
      </c>
      <c r="AR1441" s="75">
        <v>1</v>
      </c>
      <c r="AS1441" s="95">
        <v>0.110069253262963</v>
      </c>
      <c r="AT1441" s="79" t="s">
        <v>1710</v>
      </c>
      <c r="AU1441" s="79" t="s">
        <v>1710</v>
      </c>
      <c r="AV1441" s="79" t="s">
        <v>1710</v>
      </c>
      <c r="AW1441" s="79" t="s">
        <v>1710</v>
      </c>
      <c r="AX1441" s="56"/>
      <c r="AY1441" s="54"/>
    </row>
    <row r="1442" spans="1:51" ht="15">
      <c r="A1442" s="53"/>
      <c r="B1442" s="56"/>
      <c r="C1442" s="90" t="s">
        <v>1448</v>
      </c>
      <c r="D1442" s="230" t="s">
        <v>1759</v>
      </c>
      <c r="E1442" s="68" t="s">
        <v>1449</v>
      </c>
      <c r="F1442" s="134" t="s">
        <v>1467</v>
      </c>
      <c r="G1442" s="134" t="s">
        <v>1467</v>
      </c>
      <c r="H1442" s="134" t="s">
        <v>1467</v>
      </c>
      <c r="I1442" s="134" t="s">
        <v>1467</v>
      </c>
      <c r="J1442" s="70">
        <v>0.9</v>
      </c>
      <c r="K1442" s="71" t="s">
        <v>1710</v>
      </c>
      <c r="L1442" s="71" t="s">
        <v>1710</v>
      </c>
      <c r="M1442" s="72" t="s">
        <v>1710</v>
      </c>
      <c r="N1442" s="71" t="s">
        <v>1710</v>
      </c>
      <c r="O1442" s="73">
        <v>0.9</v>
      </c>
      <c r="P1442" s="71" t="s">
        <v>1710</v>
      </c>
      <c r="Q1442" s="71" t="s">
        <v>1710</v>
      </c>
      <c r="R1442" s="71" t="s">
        <v>1710</v>
      </c>
      <c r="S1442" s="71" t="s">
        <v>1710</v>
      </c>
      <c r="T1442" s="73">
        <v>0.9</v>
      </c>
      <c r="U1442" s="71" t="s">
        <v>1710</v>
      </c>
      <c r="V1442" s="71" t="s">
        <v>1710</v>
      </c>
      <c r="W1442" s="71" t="s">
        <v>1710</v>
      </c>
      <c r="X1442" s="71" t="s">
        <v>1710</v>
      </c>
      <c r="Y1442" s="73">
        <v>0.92</v>
      </c>
      <c r="Z1442" s="73" t="s">
        <v>1710</v>
      </c>
      <c r="AA1442" s="73" t="s">
        <v>1710</v>
      </c>
      <c r="AB1442" s="73" t="s">
        <v>1710</v>
      </c>
      <c r="AC1442" s="73" t="s">
        <v>1710</v>
      </c>
      <c r="AD1442" s="73">
        <v>0.92</v>
      </c>
      <c r="AE1442" s="71">
        <v>0.97274633123689702</v>
      </c>
      <c r="AF1442" s="71">
        <v>0.61343283582089503</v>
      </c>
      <c r="AG1442" s="71">
        <v>0.98349056603773599</v>
      </c>
      <c r="AH1442" s="71">
        <v>0.87041420118343205</v>
      </c>
      <c r="AI1442" s="73">
        <v>0.92</v>
      </c>
      <c r="AJ1442" s="71" t="s">
        <v>1710</v>
      </c>
      <c r="AK1442" s="71" t="s">
        <v>1710</v>
      </c>
      <c r="AL1442" s="71" t="s">
        <v>1710</v>
      </c>
      <c r="AM1442" s="71" t="s">
        <v>1710</v>
      </c>
      <c r="AN1442" s="70">
        <v>0.99</v>
      </c>
      <c r="AO1442" s="75" t="s">
        <v>1710</v>
      </c>
      <c r="AP1442" s="75" t="s">
        <v>1710</v>
      </c>
      <c r="AQ1442" s="75">
        <v>1</v>
      </c>
      <c r="AR1442" s="75">
        <v>1</v>
      </c>
      <c r="AS1442" s="95">
        <v>0.110069253262963</v>
      </c>
      <c r="AT1442" s="79" t="s">
        <v>1710</v>
      </c>
      <c r="AU1442" s="79" t="s">
        <v>1710</v>
      </c>
      <c r="AV1442" s="79" t="s">
        <v>1710</v>
      </c>
      <c r="AW1442" s="79" t="s">
        <v>1710</v>
      </c>
      <c r="AX1442" s="56"/>
      <c r="AY1442" s="54"/>
    </row>
    <row r="1443" spans="1:51" ht="15">
      <c r="A1443" s="53"/>
      <c r="B1443" s="56"/>
      <c r="C1443" s="90" t="s">
        <v>1448</v>
      </c>
      <c r="D1443" s="230" t="s">
        <v>1759</v>
      </c>
      <c r="E1443" s="68" t="s">
        <v>1449</v>
      </c>
      <c r="F1443" s="133" t="s">
        <v>1468</v>
      </c>
      <c r="G1443" s="133" t="s">
        <v>1468</v>
      </c>
      <c r="H1443" s="133" t="s">
        <v>1468</v>
      </c>
      <c r="I1443" s="133" t="s">
        <v>1468</v>
      </c>
      <c r="J1443" s="70">
        <v>0.9</v>
      </c>
      <c r="K1443" s="71" t="s">
        <v>1710</v>
      </c>
      <c r="L1443" s="71" t="s">
        <v>1710</v>
      </c>
      <c r="M1443" s="72" t="s">
        <v>1710</v>
      </c>
      <c r="N1443" s="71" t="s">
        <v>1710</v>
      </c>
      <c r="O1443" s="73">
        <v>0.9</v>
      </c>
      <c r="P1443" s="71" t="s">
        <v>1710</v>
      </c>
      <c r="Q1443" s="71" t="s">
        <v>1710</v>
      </c>
      <c r="R1443" s="71" t="s">
        <v>1710</v>
      </c>
      <c r="S1443" s="71">
        <v>0</v>
      </c>
      <c r="T1443" s="73">
        <v>0.9</v>
      </c>
      <c r="U1443" s="71" t="s">
        <v>1710</v>
      </c>
      <c r="V1443" s="71" t="s">
        <v>1710</v>
      </c>
      <c r="W1443" s="71" t="s">
        <v>1710</v>
      </c>
      <c r="X1443" s="71">
        <v>1</v>
      </c>
      <c r="Y1443" s="73">
        <v>0.92</v>
      </c>
      <c r="Z1443" s="73" t="s">
        <v>1710</v>
      </c>
      <c r="AA1443" s="73" t="s">
        <v>1710</v>
      </c>
      <c r="AB1443" s="73" t="s">
        <v>1710</v>
      </c>
      <c r="AC1443" s="73" t="s">
        <v>1710</v>
      </c>
      <c r="AD1443" s="73">
        <v>0.92</v>
      </c>
      <c r="AE1443" s="71">
        <v>0.95950155763239897</v>
      </c>
      <c r="AF1443" s="71">
        <v>0.87096774193548399</v>
      </c>
      <c r="AG1443" s="71">
        <v>1</v>
      </c>
      <c r="AH1443" s="71">
        <v>0.99181117533718699</v>
      </c>
      <c r="AI1443" s="73">
        <v>0.92</v>
      </c>
      <c r="AJ1443" s="71" t="s">
        <v>1710</v>
      </c>
      <c r="AK1443" s="71" t="s">
        <v>1710</v>
      </c>
      <c r="AL1443" s="71" t="s">
        <v>1710</v>
      </c>
      <c r="AM1443" s="71">
        <v>1</v>
      </c>
      <c r="AN1443" s="70">
        <v>0.99</v>
      </c>
      <c r="AO1443" s="75" t="s">
        <v>1710</v>
      </c>
      <c r="AP1443" s="75">
        <v>1</v>
      </c>
      <c r="AQ1443" s="75" t="s">
        <v>1710</v>
      </c>
      <c r="AR1443" s="75">
        <v>1</v>
      </c>
      <c r="AS1443" s="95">
        <v>0.110069253262963</v>
      </c>
      <c r="AT1443" s="79" t="s">
        <v>1710</v>
      </c>
      <c r="AU1443" s="79" t="s">
        <v>1710</v>
      </c>
      <c r="AV1443" s="79" t="s">
        <v>1710</v>
      </c>
      <c r="AW1443" s="79" t="s">
        <v>1710</v>
      </c>
      <c r="AX1443" s="56"/>
      <c r="AY1443" s="54"/>
    </row>
    <row r="1444" spans="1:51" ht="15">
      <c r="A1444" s="53"/>
      <c r="B1444" s="56"/>
      <c r="C1444" s="90" t="s">
        <v>1448</v>
      </c>
      <c r="D1444" s="230" t="s">
        <v>1759</v>
      </c>
      <c r="E1444" s="68" t="s">
        <v>1449</v>
      </c>
      <c r="F1444" s="133" t="s">
        <v>1469</v>
      </c>
      <c r="G1444" s="133" t="s">
        <v>1469</v>
      </c>
      <c r="H1444" s="133" t="s">
        <v>1469</v>
      </c>
      <c r="I1444" s="133" t="s">
        <v>1469</v>
      </c>
      <c r="J1444" s="70">
        <v>0.9</v>
      </c>
      <c r="K1444" s="71" t="s">
        <v>1710</v>
      </c>
      <c r="L1444" s="71" t="s">
        <v>1710</v>
      </c>
      <c r="M1444" s="72" t="s">
        <v>1710</v>
      </c>
      <c r="N1444" s="71" t="s">
        <v>1710</v>
      </c>
      <c r="O1444" s="73">
        <v>0.9</v>
      </c>
      <c r="P1444" s="71" t="s">
        <v>1710</v>
      </c>
      <c r="Q1444" s="71" t="s">
        <v>1710</v>
      </c>
      <c r="R1444" s="71" t="s">
        <v>1710</v>
      </c>
      <c r="S1444" s="71" t="s">
        <v>1710</v>
      </c>
      <c r="T1444" s="73">
        <v>0.9</v>
      </c>
      <c r="U1444" s="71" t="s">
        <v>1710</v>
      </c>
      <c r="V1444" s="71" t="s">
        <v>1710</v>
      </c>
      <c r="W1444" s="71" t="s">
        <v>1710</v>
      </c>
      <c r="X1444" s="71" t="s">
        <v>1710</v>
      </c>
      <c r="Y1444" s="73">
        <v>0.92</v>
      </c>
      <c r="Z1444" s="73" t="s">
        <v>1710</v>
      </c>
      <c r="AA1444" s="73" t="s">
        <v>1710</v>
      </c>
      <c r="AB1444" s="73" t="s">
        <v>1710</v>
      </c>
      <c r="AC1444" s="73" t="s">
        <v>1710</v>
      </c>
      <c r="AD1444" s="73">
        <v>0.92</v>
      </c>
      <c r="AE1444" s="71">
        <v>0.35714285714285698</v>
      </c>
      <c r="AF1444" s="71">
        <v>0</v>
      </c>
      <c r="AG1444" s="71">
        <v>0.8125</v>
      </c>
      <c r="AH1444" s="71">
        <v>0.35074626865671599</v>
      </c>
      <c r="AI1444" s="73">
        <v>0.92</v>
      </c>
      <c r="AJ1444" s="71" t="s">
        <v>1710</v>
      </c>
      <c r="AK1444" s="71" t="s">
        <v>1710</v>
      </c>
      <c r="AL1444" s="71" t="s">
        <v>1710</v>
      </c>
      <c r="AM1444" s="71" t="s">
        <v>1710</v>
      </c>
      <c r="AN1444" s="70">
        <v>0.99</v>
      </c>
      <c r="AO1444" s="75" t="s">
        <v>1710</v>
      </c>
      <c r="AP1444" s="75" t="s">
        <v>1710</v>
      </c>
      <c r="AQ1444" s="75" t="s">
        <v>1710</v>
      </c>
      <c r="AR1444" s="75" t="s">
        <v>1710</v>
      </c>
      <c r="AS1444" s="95">
        <v>0.110069253262963</v>
      </c>
      <c r="AT1444" s="79" t="s">
        <v>1710</v>
      </c>
      <c r="AU1444" s="79" t="s">
        <v>1710</v>
      </c>
      <c r="AV1444" s="79" t="s">
        <v>1710</v>
      </c>
      <c r="AW1444" s="79" t="s">
        <v>1710</v>
      </c>
      <c r="AX1444" s="56"/>
      <c r="AY1444" s="54"/>
    </row>
    <row r="1445" spans="1:51" ht="15">
      <c r="A1445" s="53"/>
      <c r="B1445" s="56"/>
      <c r="C1445" s="90" t="s">
        <v>1448</v>
      </c>
      <c r="D1445" s="230" t="s">
        <v>1759</v>
      </c>
      <c r="E1445" s="68" t="s">
        <v>1449</v>
      </c>
      <c r="F1445" s="133" t="s">
        <v>1470</v>
      </c>
      <c r="G1445" s="133" t="s">
        <v>1470</v>
      </c>
      <c r="H1445" s="133" t="s">
        <v>1470</v>
      </c>
      <c r="I1445" s="133" t="s">
        <v>1470</v>
      </c>
      <c r="J1445" s="70">
        <v>0.9</v>
      </c>
      <c r="K1445" s="71" t="s">
        <v>1710</v>
      </c>
      <c r="L1445" s="71" t="s">
        <v>1710</v>
      </c>
      <c r="M1445" s="72" t="s">
        <v>1710</v>
      </c>
      <c r="N1445" s="71" t="s">
        <v>1710</v>
      </c>
      <c r="O1445" s="73">
        <v>0.9</v>
      </c>
      <c r="P1445" s="71" t="s">
        <v>1710</v>
      </c>
      <c r="Q1445" s="71" t="s">
        <v>1710</v>
      </c>
      <c r="R1445" s="71" t="s">
        <v>1710</v>
      </c>
      <c r="S1445" s="71" t="s">
        <v>1710</v>
      </c>
      <c r="T1445" s="73">
        <v>0.9</v>
      </c>
      <c r="U1445" s="71" t="s">
        <v>1710</v>
      </c>
      <c r="V1445" s="71" t="s">
        <v>1710</v>
      </c>
      <c r="W1445" s="71" t="s">
        <v>1710</v>
      </c>
      <c r="X1445" s="71" t="s">
        <v>1710</v>
      </c>
      <c r="Y1445" s="73">
        <v>0.92</v>
      </c>
      <c r="Z1445" s="73" t="s">
        <v>1710</v>
      </c>
      <c r="AA1445" s="73" t="s">
        <v>1710</v>
      </c>
      <c r="AB1445" s="73" t="s">
        <v>1710</v>
      </c>
      <c r="AC1445" s="73" t="s">
        <v>1710</v>
      </c>
      <c r="AD1445" s="73">
        <v>0.92</v>
      </c>
      <c r="AE1445" s="71">
        <v>1</v>
      </c>
      <c r="AF1445" s="71">
        <v>1</v>
      </c>
      <c r="AG1445" s="71">
        <v>0.57142857142857095</v>
      </c>
      <c r="AH1445" s="71">
        <v>0.8125</v>
      </c>
      <c r="AI1445" s="73">
        <v>0.92</v>
      </c>
      <c r="AJ1445" s="71" t="s">
        <v>1710</v>
      </c>
      <c r="AK1445" s="71" t="s">
        <v>1710</v>
      </c>
      <c r="AL1445" s="71" t="s">
        <v>1710</v>
      </c>
      <c r="AM1445" s="71" t="s">
        <v>1710</v>
      </c>
      <c r="AN1445" s="70">
        <v>0.99</v>
      </c>
      <c r="AO1445" s="75" t="s">
        <v>1710</v>
      </c>
      <c r="AP1445" s="75" t="s">
        <v>1710</v>
      </c>
      <c r="AQ1445" s="75" t="s">
        <v>1710</v>
      </c>
      <c r="AR1445" s="75" t="s">
        <v>1710</v>
      </c>
      <c r="AS1445" s="95">
        <v>0.110069253262963</v>
      </c>
      <c r="AT1445" s="79" t="s">
        <v>1710</v>
      </c>
      <c r="AU1445" s="79" t="s">
        <v>1710</v>
      </c>
      <c r="AV1445" s="79" t="s">
        <v>1710</v>
      </c>
      <c r="AW1445" s="79" t="s">
        <v>1710</v>
      </c>
      <c r="AX1445" s="56"/>
      <c r="AY1445" s="54"/>
    </row>
    <row r="1446" spans="1:51" ht="15">
      <c r="A1446" s="53"/>
      <c r="B1446" s="56"/>
      <c r="C1446" s="90" t="s">
        <v>1448</v>
      </c>
      <c r="D1446" s="230" t="s">
        <v>1759</v>
      </c>
      <c r="E1446" s="68" t="s">
        <v>1449</v>
      </c>
      <c r="F1446" s="134" t="s">
        <v>1471</v>
      </c>
      <c r="G1446" s="134" t="s">
        <v>1471</v>
      </c>
      <c r="H1446" s="134" t="s">
        <v>1471</v>
      </c>
      <c r="I1446" s="134" t="s">
        <v>1471</v>
      </c>
      <c r="J1446" s="70">
        <v>0.9</v>
      </c>
      <c r="K1446" s="71" t="s">
        <v>1710</v>
      </c>
      <c r="L1446" s="71" t="s">
        <v>1710</v>
      </c>
      <c r="M1446" s="72" t="s">
        <v>1710</v>
      </c>
      <c r="N1446" s="71" t="s">
        <v>1710</v>
      </c>
      <c r="O1446" s="73">
        <v>0.9</v>
      </c>
      <c r="P1446" s="71">
        <v>0</v>
      </c>
      <c r="Q1446" s="71">
        <v>0</v>
      </c>
      <c r="R1446" s="71">
        <v>0</v>
      </c>
      <c r="S1446" s="71">
        <v>0</v>
      </c>
      <c r="T1446" s="73">
        <v>0.9</v>
      </c>
      <c r="U1446" s="71">
        <v>0.2</v>
      </c>
      <c r="V1446" s="71">
        <v>0</v>
      </c>
      <c r="W1446" s="71">
        <v>0</v>
      </c>
      <c r="X1446" s="71">
        <v>0.42105263157894701</v>
      </c>
      <c r="Y1446" s="73">
        <v>0.92</v>
      </c>
      <c r="Z1446" s="73">
        <v>0</v>
      </c>
      <c r="AA1446" s="73">
        <v>1</v>
      </c>
      <c r="AB1446" s="73" t="s">
        <v>1710</v>
      </c>
      <c r="AC1446" s="73">
        <v>7.1428571428571397E-2</v>
      </c>
      <c r="AD1446" s="73">
        <v>0.92</v>
      </c>
      <c r="AE1446" s="71">
        <v>0.99914459323933702</v>
      </c>
      <c r="AF1446" s="71">
        <v>0.99793388429752095</v>
      </c>
      <c r="AG1446" s="71">
        <v>0.999746824760538</v>
      </c>
      <c r="AH1446" s="71">
        <v>0.99970432946145704</v>
      </c>
      <c r="AI1446" s="73">
        <v>0.92</v>
      </c>
      <c r="AJ1446" s="71">
        <v>4.4444444444444398E-2</v>
      </c>
      <c r="AK1446" s="71">
        <v>0.57142857142857095</v>
      </c>
      <c r="AL1446" s="71">
        <v>0.8</v>
      </c>
      <c r="AM1446" s="71">
        <v>0.293333333333333</v>
      </c>
      <c r="AN1446" s="70">
        <v>0.99</v>
      </c>
      <c r="AO1446" s="75">
        <v>1</v>
      </c>
      <c r="AP1446" s="75">
        <v>1</v>
      </c>
      <c r="AQ1446" s="75">
        <v>1</v>
      </c>
      <c r="AR1446" s="75">
        <v>1</v>
      </c>
      <c r="AS1446" s="95">
        <v>0.110069253262963</v>
      </c>
      <c r="AT1446" s="79" t="s">
        <v>1710</v>
      </c>
      <c r="AU1446" s="79" t="s">
        <v>1710</v>
      </c>
      <c r="AV1446" s="79" t="s">
        <v>1710</v>
      </c>
      <c r="AW1446" s="79" t="s">
        <v>1710</v>
      </c>
      <c r="AX1446" s="56"/>
      <c r="AY1446" s="54"/>
    </row>
    <row r="1447" spans="1:51" ht="15">
      <c r="A1447" s="53"/>
      <c r="B1447" s="56"/>
      <c r="C1447" s="90" t="s">
        <v>1448</v>
      </c>
      <c r="D1447" s="230" t="s">
        <v>1759</v>
      </c>
      <c r="E1447" s="68" t="s">
        <v>1449</v>
      </c>
      <c r="F1447" s="134" t="s">
        <v>1472</v>
      </c>
      <c r="G1447" s="134" t="s">
        <v>1472</v>
      </c>
      <c r="H1447" s="134" t="s">
        <v>1472</v>
      </c>
      <c r="I1447" s="134" t="s">
        <v>1472</v>
      </c>
      <c r="J1447" s="70">
        <v>0.9</v>
      </c>
      <c r="K1447" s="71" t="s">
        <v>1710</v>
      </c>
      <c r="L1447" s="71" t="s">
        <v>1710</v>
      </c>
      <c r="M1447" s="72" t="s">
        <v>1710</v>
      </c>
      <c r="N1447" s="71" t="s">
        <v>1710</v>
      </c>
      <c r="O1447" s="73">
        <v>0.9</v>
      </c>
      <c r="P1447" s="71" t="s">
        <v>1710</v>
      </c>
      <c r="Q1447" s="71" t="s">
        <v>1710</v>
      </c>
      <c r="R1447" s="71" t="s">
        <v>1710</v>
      </c>
      <c r="S1447" s="71" t="s">
        <v>1710</v>
      </c>
      <c r="T1447" s="73">
        <v>0.9</v>
      </c>
      <c r="U1447" s="71" t="s">
        <v>1710</v>
      </c>
      <c r="V1447" s="71" t="s">
        <v>1710</v>
      </c>
      <c r="W1447" s="71" t="s">
        <v>1710</v>
      </c>
      <c r="X1447" s="71" t="s">
        <v>1710</v>
      </c>
      <c r="Y1447" s="73">
        <v>0.92</v>
      </c>
      <c r="Z1447" s="73" t="s">
        <v>1710</v>
      </c>
      <c r="AA1447" s="73" t="s">
        <v>1710</v>
      </c>
      <c r="AB1447" s="73" t="s">
        <v>1710</v>
      </c>
      <c r="AC1447" s="73" t="s">
        <v>1710</v>
      </c>
      <c r="AD1447" s="73">
        <v>0.92</v>
      </c>
      <c r="AE1447" s="71">
        <v>0.88392857142857095</v>
      </c>
      <c r="AF1447" s="71">
        <v>0.92307692307692302</v>
      </c>
      <c r="AG1447" s="71">
        <v>0.94949494949494995</v>
      </c>
      <c r="AH1447" s="71">
        <v>0.90478752017213604</v>
      </c>
      <c r="AI1447" s="73">
        <v>0.92</v>
      </c>
      <c r="AJ1447" s="71" t="s">
        <v>1710</v>
      </c>
      <c r="AK1447" s="71" t="s">
        <v>1710</v>
      </c>
      <c r="AL1447" s="71" t="s">
        <v>1710</v>
      </c>
      <c r="AM1447" s="71" t="s">
        <v>1710</v>
      </c>
      <c r="AN1447" s="70">
        <v>0.99</v>
      </c>
      <c r="AO1447" s="75">
        <v>1</v>
      </c>
      <c r="AP1447" s="75">
        <v>1</v>
      </c>
      <c r="AQ1447" s="75">
        <v>1</v>
      </c>
      <c r="AR1447" s="75">
        <v>1</v>
      </c>
      <c r="AS1447" s="95">
        <v>0.110069253262963</v>
      </c>
      <c r="AT1447" s="79" t="s">
        <v>1710</v>
      </c>
      <c r="AU1447" s="79" t="s">
        <v>1710</v>
      </c>
      <c r="AV1447" s="79" t="s">
        <v>1710</v>
      </c>
      <c r="AW1447" s="79" t="s">
        <v>1710</v>
      </c>
      <c r="AX1447" s="56"/>
      <c r="AY1447" s="54"/>
    </row>
    <row r="1448" spans="1:51" ht="15">
      <c r="A1448" s="53"/>
      <c r="B1448" s="56"/>
      <c r="C1448" s="90" t="s">
        <v>1448</v>
      </c>
      <c r="D1448" s="230" t="s">
        <v>1759</v>
      </c>
      <c r="E1448" s="68" t="s">
        <v>1449</v>
      </c>
      <c r="F1448" s="134" t="s">
        <v>1473</v>
      </c>
      <c r="G1448" s="134" t="s">
        <v>1473</v>
      </c>
      <c r="H1448" s="134" t="s">
        <v>1473</v>
      </c>
      <c r="I1448" s="134" t="s">
        <v>1473</v>
      </c>
      <c r="J1448" s="70">
        <v>0.9</v>
      </c>
      <c r="K1448" s="71" t="s">
        <v>1710</v>
      </c>
      <c r="L1448" s="71" t="s">
        <v>1710</v>
      </c>
      <c r="M1448" s="72" t="s">
        <v>1710</v>
      </c>
      <c r="N1448" s="71" t="s">
        <v>1710</v>
      </c>
      <c r="O1448" s="73">
        <v>0.9</v>
      </c>
      <c r="P1448" s="71" t="s">
        <v>1710</v>
      </c>
      <c r="Q1448" s="71" t="s">
        <v>1710</v>
      </c>
      <c r="R1448" s="71" t="s">
        <v>1710</v>
      </c>
      <c r="S1448" s="71" t="s">
        <v>1710</v>
      </c>
      <c r="T1448" s="73">
        <v>0.9</v>
      </c>
      <c r="U1448" s="71" t="s">
        <v>1710</v>
      </c>
      <c r="V1448" s="71" t="s">
        <v>1710</v>
      </c>
      <c r="W1448" s="71" t="s">
        <v>1710</v>
      </c>
      <c r="X1448" s="71" t="s">
        <v>1710</v>
      </c>
      <c r="Y1448" s="73">
        <v>0.92</v>
      </c>
      <c r="Z1448" s="73" t="s">
        <v>1710</v>
      </c>
      <c r="AA1448" s="73" t="s">
        <v>1710</v>
      </c>
      <c r="AB1448" s="73" t="s">
        <v>1710</v>
      </c>
      <c r="AC1448" s="73" t="s">
        <v>1710</v>
      </c>
      <c r="AD1448" s="73">
        <v>0.92</v>
      </c>
      <c r="AE1448" s="71">
        <v>0.95693779904306198</v>
      </c>
      <c r="AF1448" s="71">
        <v>0.28625954198473302</v>
      </c>
      <c r="AG1448" s="71">
        <v>1</v>
      </c>
      <c r="AH1448" s="71">
        <v>0.81444926964074205</v>
      </c>
      <c r="AI1448" s="73">
        <v>0.92</v>
      </c>
      <c r="AJ1448" s="71">
        <v>0</v>
      </c>
      <c r="AK1448" s="71" t="s">
        <v>1710</v>
      </c>
      <c r="AL1448" s="71" t="s">
        <v>1710</v>
      </c>
      <c r="AM1448" s="71">
        <v>0</v>
      </c>
      <c r="AN1448" s="70">
        <v>0.99</v>
      </c>
      <c r="AO1448" s="75">
        <v>1</v>
      </c>
      <c r="AP1448" s="75">
        <v>1</v>
      </c>
      <c r="AQ1448" s="75" t="s">
        <v>1710</v>
      </c>
      <c r="AR1448" s="75">
        <v>1</v>
      </c>
      <c r="AS1448" s="95">
        <v>0.110069253262963</v>
      </c>
      <c r="AT1448" s="79" t="s">
        <v>1710</v>
      </c>
      <c r="AU1448" s="79" t="s">
        <v>1710</v>
      </c>
      <c r="AV1448" s="79" t="s">
        <v>1710</v>
      </c>
      <c r="AW1448" s="79" t="s">
        <v>1710</v>
      </c>
      <c r="AX1448" s="56"/>
      <c r="AY1448" s="54"/>
    </row>
    <row r="1449" spans="1:51" ht="15">
      <c r="A1449" s="53"/>
      <c r="B1449" s="56"/>
      <c r="C1449" s="90" t="s">
        <v>1448</v>
      </c>
      <c r="D1449" s="230" t="s">
        <v>1759</v>
      </c>
      <c r="E1449" s="68" t="s">
        <v>1449</v>
      </c>
      <c r="F1449" s="133" t="s">
        <v>1474</v>
      </c>
      <c r="G1449" s="133" t="s">
        <v>1474</v>
      </c>
      <c r="H1449" s="133" t="s">
        <v>1474</v>
      </c>
      <c r="I1449" s="133" t="s">
        <v>1474</v>
      </c>
      <c r="J1449" s="70">
        <v>0.9</v>
      </c>
      <c r="K1449" s="71" t="s">
        <v>1710</v>
      </c>
      <c r="L1449" s="71" t="s">
        <v>1710</v>
      </c>
      <c r="M1449" s="72" t="s">
        <v>1710</v>
      </c>
      <c r="N1449" s="71" t="s">
        <v>1710</v>
      </c>
      <c r="O1449" s="73">
        <v>0.9</v>
      </c>
      <c r="P1449" s="71" t="s">
        <v>1710</v>
      </c>
      <c r="Q1449" s="71" t="s">
        <v>1710</v>
      </c>
      <c r="R1449" s="71" t="s">
        <v>1710</v>
      </c>
      <c r="S1449" s="71" t="s">
        <v>1710</v>
      </c>
      <c r="T1449" s="73">
        <v>0.9</v>
      </c>
      <c r="U1449" s="71" t="s">
        <v>1710</v>
      </c>
      <c r="V1449" s="71" t="s">
        <v>1710</v>
      </c>
      <c r="W1449" s="71" t="s">
        <v>1710</v>
      </c>
      <c r="X1449" s="71" t="s">
        <v>1710</v>
      </c>
      <c r="Y1449" s="73">
        <v>0.92</v>
      </c>
      <c r="Z1449" s="73" t="s">
        <v>1710</v>
      </c>
      <c r="AA1449" s="73" t="s">
        <v>1710</v>
      </c>
      <c r="AB1449" s="73" t="s">
        <v>1710</v>
      </c>
      <c r="AC1449" s="73" t="s">
        <v>1710</v>
      </c>
      <c r="AD1449" s="73">
        <v>0.92</v>
      </c>
      <c r="AE1449" s="71">
        <v>0.48214285714285698</v>
      </c>
      <c r="AF1449" s="71" t="s">
        <v>1710</v>
      </c>
      <c r="AG1449" s="71">
        <v>0.92682926829268297</v>
      </c>
      <c r="AH1449" s="71">
        <v>0.53398058252427205</v>
      </c>
      <c r="AI1449" s="73">
        <v>0.92</v>
      </c>
      <c r="AJ1449" s="71" t="s">
        <v>1710</v>
      </c>
      <c r="AK1449" s="71" t="s">
        <v>1710</v>
      </c>
      <c r="AL1449" s="71" t="s">
        <v>1710</v>
      </c>
      <c r="AM1449" s="71" t="s">
        <v>1710</v>
      </c>
      <c r="AN1449" s="70">
        <v>0.99</v>
      </c>
      <c r="AO1449" s="75" t="s">
        <v>1710</v>
      </c>
      <c r="AP1449" s="75" t="s">
        <v>1710</v>
      </c>
      <c r="AQ1449" s="75" t="s">
        <v>1710</v>
      </c>
      <c r="AR1449" s="75">
        <v>1</v>
      </c>
      <c r="AS1449" s="95">
        <v>0.110069253262963</v>
      </c>
      <c r="AT1449" s="79" t="s">
        <v>1710</v>
      </c>
      <c r="AU1449" s="79" t="s">
        <v>1710</v>
      </c>
      <c r="AV1449" s="79" t="s">
        <v>1710</v>
      </c>
      <c r="AW1449" s="79" t="s">
        <v>1710</v>
      </c>
      <c r="AX1449" s="56"/>
      <c r="AY1449" s="54"/>
    </row>
    <row r="1450" spans="1:51" ht="15">
      <c r="A1450" s="53"/>
      <c r="B1450" s="56"/>
      <c r="C1450" s="90" t="s">
        <v>1448</v>
      </c>
      <c r="D1450" s="230" t="s">
        <v>1759</v>
      </c>
      <c r="E1450" s="68" t="s">
        <v>1449</v>
      </c>
      <c r="F1450" s="133" t="s">
        <v>1475</v>
      </c>
      <c r="G1450" s="133" t="s">
        <v>1475</v>
      </c>
      <c r="H1450" s="133" t="s">
        <v>1475</v>
      </c>
      <c r="I1450" s="133" t="s">
        <v>1475</v>
      </c>
      <c r="J1450" s="70">
        <v>0.9</v>
      </c>
      <c r="K1450" s="71" t="s">
        <v>1710</v>
      </c>
      <c r="L1450" s="71" t="s">
        <v>1710</v>
      </c>
      <c r="M1450" s="72" t="s">
        <v>1710</v>
      </c>
      <c r="N1450" s="71" t="s">
        <v>1710</v>
      </c>
      <c r="O1450" s="73">
        <v>0.9</v>
      </c>
      <c r="P1450" s="71" t="s">
        <v>1710</v>
      </c>
      <c r="Q1450" s="71" t="s">
        <v>1710</v>
      </c>
      <c r="R1450" s="71">
        <v>0</v>
      </c>
      <c r="S1450" s="71">
        <v>0</v>
      </c>
      <c r="T1450" s="73">
        <v>0.9</v>
      </c>
      <c r="U1450" s="71" t="s">
        <v>1710</v>
      </c>
      <c r="V1450" s="71" t="s">
        <v>1710</v>
      </c>
      <c r="W1450" s="71">
        <v>1</v>
      </c>
      <c r="X1450" s="71">
        <v>0.8</v>
      </c>
      <c r="Y1450" s="73">
        <v>0.92</v>
      </c>
      <c r="Z1450" s="73" t="s">
        <v>1710</v>
      </c>
      <c r="AA1450" s="73" t="s">
        <v>1710</v>
      </c>
      <c r="AB1450" s="73" t="s">
        <v>1710</v>
      </c>
      <c r="AC1450" s="73" t="s">
        <v>1710</v>
      </c>
      <c r="AD1450" s="73">
        <v>0.92</v>
      </c>
      <c r="AE1450" s="71">
        <v>0.93407821229050303</v>
      </c>
      <c r="AF1450" s="71">
        <v>0.89857369255150599</v>
      </c>
      <c r="AG1450" s="71">
        <v>0.99723756906077299</v>
      </c>
      <c r="AH1450" s="71">
        <v>0.76526580459770099</v>
      </c>
      <c r="AI1450" s="73">
        <v>0.92</v>
      </c>
      <c r="AJ1450" s="71" t="s">
        <v>1710</v>
      </c>
      <c r="AK1450" s="71" t="s">
        <v>1710</v>
      </c>
      <c r="AL1450" s="71">
        <v>1</v>
      </c>
      <c r="AM1450" s="71">
        <v>0.72727272727272696</v>
      </c>
      <c r="AN1450" s="70">
        <v>0.99</v>
      </c>
      <c r="AO1450" s="75">
        <v>1</v>
      </c>
      <c r="AP1450" s="75" t="s">
        <v>1710</v>
      </c>
      <c r="AQ1450" s="75">
        <v>1</v>
      </c>
      <c r="AR1450" s="75">
        <v>1</v>
      </c>
      <c r="AS1450" s="95">
        <v>0.110069253262963</v>
      </c>
      <c r="AT1450" s="79" t="s">
        <v>1710</v>
      </c>
      <c r="AU1450" s="79" t="s">
        <v>1710</v>
      </c>
      <c r="AV1450" s="79" t="s">
        <v>1710</v>
      </c>
      <c r="AW1450" s="79" t="s">
        <v>1710</v>
      </c>
      <c r="AX1450" s="56"/>
      <c r="AY1450" s="54"/>
    </row>
    <row r="1451" spans="1:51" ht="15">
      <c r="A1451" s="53"/>
      <c r="B1451" s="56"/>
      <c r="C1451" s="90" t="s">
        <v>1448</v>
      </c>
      <c r="D1451" s="230" t="s">
        <v>1759</v>
      </c>
      <c r="E1451" s="68" t="s">
        <v>1449</v>
      </c>
      <c r="F1451" s="133" t="s">
        <v>1476</v>
      </c>
      <c r="G1451" s="133" t="s">
        <v>1476</v>
      </c>
      <c r="H1451" s="133" t="s">
        <v>1476</v>
      </c>
      <c r="I1451" s="133" t="s">
        <v>1476</v>
      </c>
      <c r="J1451" s="70">
        <v>0.9</v>
      </c>
      <c r="K1451" s="71" t="s">
        <v>1710</v>
      </c>
      <c r="L1451" s="71" t="s">
        <v>1710</v>
      </c>
      <c r="M1451" s="72" t="s">
        <v>1710</v>
      </c>
      <c r="N1451" s="71" t="s">
        <v>1710</v>
      </c>
      <c r="O1451" s="73">
        <v>0.9</v>
      </c>
      <c r="P1451" s="71" t="s">
        <v>1710</v>
      </c>
      <c r="Q1451" s="71" t="s">
        <v>1710</v>
      </c>
      <c r="R1451" s="71" t="s">
        <v>1710</v>
      </c>
      <c r="S1451" s="71" t="s">
        <v>1710</v>
      </c>
      <c r="T1451" s="73">
        <v>0.9</v>
      </c>
      <c r="U1451" s="71" t="s">
        <v>1710</v>
      </c>
      <c r="V1451" s="71" t="s">
        <v>1710</v>
      </c>
      <c r="W1451" s="71" t="s">
        <v>1710</v>
      </c>
      <c r="X1451" s="71" t="s">
        <v>1710</v>
      </c>
      <c r="Y1451" s="73">
        <v>0.92</v>
      </c>
      <c r="Z1451" s="73" t="s">
        <v>1710</v>
      </c>
      <c r="AA1451" s="73" t="s">
        <v>1710</v>
      </c>
      <c r="AB1451" s="73" t="s">
        <v>1710</v>
      </c>
      <c r="AC1451" s="73" t="s">
        <v>1710</v>
      </c>
      <c r="AD1451" s="73">
        <v>0.92</v>
      </c>
      <c r="AE1451" s="71">
        <v>1</v>
      </c>
      <c r="AF1451" s="71">
        <v>1</v>
      </c>
      <c r="AG1451" s="71">
        <v>1</v>
      </c>
      <c r="AH1451" s="71">
        <v>0.82932692307692302</v>
      </c>
      <c r="AI1451" s="73">
        <v>0.92</v>
      </c>
      <c r="AJ1451" s="71" t="s">
        <v>1710</v>
      </c>
      <c r="AK1451" s="71" t="s">
        <v>1710</v>
      </c>
      <c r="AL1451" s="71" t="s">
        <v>1710</v>
      </c>
      <c r="AM1451" s="71" t="s">
        <v>1710</v>
      </c>
      <c r="AN1451" s="70">
        <v>0.99</v>
      </c>
      <c r="AO1451" s="75" t="s">
        <v>1710</v>
      </c>
      <c r="AP1451" s="75">
        <v>1</v>
      </c>
      <c r="AQ1451" s="75" t="s">
        <v>1710</v>
      </c>
      <c r="AR1451" s="75">
        <v>1</v>
      </c>
      <c r="AS1451" s="95">
        <v>0.110069253262963</v>
      </c>
      <c r="AT1451" s="79" t="s">
        <v>1710</v>
      </c>
      <c r="AU1451" s="79" t="s">
        <v>1710</v>
      </c>
      <c r="AV1451" s="79" t="s">
        <v>1710</v>
      </c>
      <c r="AW1451" s="79" t="s">
        <v>1710</v>
      </c>
      <c r="AX1451" s="56"/>
      <c r="AY1451" s="54"/>
    </row>
    <row r="1452" spans="1:51" ht="15">
      <c r="A1452" s="53"/>
      <c r="B1452" s="56"/>
      <c r="C1452" s="90" t="s">
        <v>1448</v>
      </c>
      <c r="D1452" s="230" t="s">
        <v>1759</v>
      </c>
      <c r="E1452" s="68" t="s">
        <v>1449</v>
      </c>
      <c r="F1452" s="133" t="s">
        <v>1477</v>
      </c>
      <c r="G1452" s="133" t="s">
        <v>1477</v>
      </c>
      <c r="H1452" s="133" t="s">
        <v>1477</v>
      </c>
      <c r="I1452" s="133" t="s">
        <v>1477</v>
      </c>
      <c r="J1452" s="70">
        <v>0.9</v>
      </c>
      <c r="K1452" s="71" t="s">
        <v>1710</v>
      </c>
      <c r="L1452" s="71" t="s">
        <v>1710</v>
      </c>
      <c r="M1452" s="72" t="s">
        <v>1710</v>
      </c>
      <c r="N1452" s="71" t="s">
        <v>1710</v>
      </c>
      <c r="O1452" s="73">
        <v>0.9</v>
      </c>
      <c r="P1452" s="71" t="s">
        <v>1710</v>
      </c>
      <c r="Q1452" s="71" t="s">
        <v>1710</v>
      </c>
      <c r="R1452" s="71" t="s">
        <v>1710</v>
      </c>
      <c r="S1452" s="71" t="s">
        <v>1710</v>
      </c>
      <c r="T1452" s="73">
        <v>0.9</v>
      </c>
      <c r="U1452" s="71" t="s">
        <v>1710</v>
      </c>
      <c r="V1452" s="71" t="s">
        <v>1710</v>
      </c>
      <c r="W1452" s="71" t="s">
        <v>1710</v>
      </c>
      <c r="X1452" s="71" t="s">
        <v>1710</v>
      </c>
      <c r="Y1452" s="73">
        <v>0.92</v>
      </c>
      <c r="Z1452" s="73" t="s">
        <v>1710</v>
      </c>
      <c r="AA1452" s="73" t="s">
        <v>1710</v>
      </c>
      <c r="AB1452" s="73" t="s">
        <v>1710</v>
      </c>
      <c r="AC1452" s="73" t="s">
        <v>1710</v>
      </c>
      <c r="AD1452" s="73">
        <v>0.92</v>
      </c>
      <c r="AE1452" s="71">
        <v>1</v>
      </c>
      <c r="AF1452" s="71">
        <v>0.72972972972973005</v>
      </c>
      <c r="AG1452" s="71">
        <v>0.94202898550724601</v>
      </c>
      <c r="AH1452" s="71">
        <v>0.96459096459096505</v>
      </c>
      <c r="AI1452" s="73">
        <v>0.92</v>
      </c>
      <c r="AJ1452" s="71" t="s">
        <v>1710</v>
      </c>
      <c r="AK1452" s="71" t="s">
        <v>1710</v>
      </c>
      <c r="AL1452" s="71" t="s">
        <v>1710</v>
      </c>
      <c r="AM1452" s="71" t="s">
        <v>1710</v>
      </c>
      <c r="AN1452" s="70">
        <v>0.99</v>
      </c>
      <c r="AO1452" s="75">
        <v>1</v>
      </c>
      <c r="AP1452" s="75">
        <v>1</v>
      </c>
      <c r="AQ1452" s="75" t="s">
        <v>1710</v>
      </c>
      <c r="AR1452" s="75">
        <v>1</v>
      </c>
      <c r="AS1452" s="95">
        <v>0.110069253262963</v>
      </c>
      <c r="AT1452" s="79" t="s">
        <v>1710</v>
      </c>
      <c r="AU1452" s="79" t="s">
        <v>1710</v>
      </c>
      <c r="AV1452" s="79" t="s">
        <v>1710</v>
      </c>
      <c r="AW1452" s="79" t="s">
        <v>1710</v>
      </c>
      <c r="AX1452" s="56"/>
      <c r="AY1452" s="54"/>
    </row>
    <row r="1453" spans="1:51" ht="15">
      <c r="A1453" s="53"/>
      <c r="B1453" s="56"/>
      <c r="C1453" s="90" t="s">
        <v>1448</v>
      </c>
      <c r="D1453" s="230" t="s">
        <v>1759</v>
      </c>
      <c r="E1453" s="68" t="s">
        <v>1449</v>
      </c>
      <c r="F1453" s="133" t="s">
        <v>1478</v>
      </c>
      <c r="G1453" s="133" t="s">
        <v>1478</v>
      </c>
      <c r="H1453" s="133" t="s">
        <v>1478</v>
      </c>
      <c r="I1453" s="133" t="s">
        <v>1478</v>
      </c>
      <c r="J1453" s="70">
        <v>0.9</v>
      </c>
      <c r="K1453" s="71" t="s">
        <v>1710</v>
      </c>
      <c r="L1453" s="71" t="s">
        <v>1710</v>
      </c>
      <c r="M1453" s="72" t="s">
        <v>1710</v>
      </c>
      <c r="N1453" s="71" t="s">
        <v>1710</v>
      </c>
      <c r="O1453" s="73">
        <v>0.9</v>
      </c>
      <c r="P1453" s="71" t="s">
        <v>1710</v>
      </c>
      <c r="Q1453" s="71" t="s">
        <v>1710</v>
      </c>
      <c r="R1453" s="71" t="s">
        <v>1710</v>
      </c>
      <c r="S1453" s="71" t="s">
        <v>1710</v>
      </c>
      <c r="T1453" s="73">
        <v>0.9</v>
      </c>
      <c r="U1453" s="71" t="s">
        <v>1710</v>
      </c>
      <c r="V1453" s="71" t="s">
        <v>1710</v>
      </c>
      <c r="W1453" s="71" t="s">
        <v>1710</v>
      </c>
      <c r="X1453" s="71" t="s">
        <v>1710</v>
      </c>
      <c r="Y1453" s="73">
        <v>0.92</v>
      </c>
      <c r="Z1453" s="73" t="s">
        <v>1710</v>
      </c>
      <c r="AA1453" s="73" t="s">
        <v>1710</v>
      </c>
      <c r="AB1453" s="73" t="s">
        <v>1710</v>
      </c>
      <c r="AC1453" s="73" t="s">
        <v>1710</v>
      </c>
      <c r="AD1453" s="73">
        <v>0.92</v>
      </c>
      <c r="AE1453" s="71">
        <v>1</v>
      </c>
      <c r="AF1453" s="71">
        <v>1</v>
      </c>
      <c r="AG1453" s="71">
        <v>1</v>
      </c>
      <c r="AH1453" s="71">
        <v>0.99887005649717497</v>
      </c>
      <c r="AI1453" s="73">
        <v>0.92</v>
      </c>
      <c r="AJ1453" s="71" t="s">
        <v>1710</v>
      </c>
      <c r="AK1453" s="71" t="s">
        <v>1710</v>
      </c>
      <c r="AL1453" s="71" t="s">
        <v>1710</v>
      </c>
      <c r="AM1453" s="71" t="s">
        <v>1710</v>
      </c>
      <c r="AN1453" s="70">
        <v>0.99</v>
      </c>
      <c r="AO1453" s="75" t="s">
        <v>1710</v>
      </c>
      <c r="AP1453" s="75">
        <v>1</v>
      </c>
      <c r="AQ1453" s="75" t="s">
        <v>1710</v>
      </c>
      <c r="AR1453" s="75">
        <v>1</v>
      </c>
      <c r="AS1453" s="95">
        <v>0.110069253262963</v>
      </c>
      <c r="AT1453" s="79" t="s">
        <v>1710</v>
      </c>
      <c r="AU1453" s="79" t="s">
        <v>1710</v>
      </c>
      <c r="AV1453" s="79" t="s">
        <v>1710</v>
      </c>
      <c r="AW1453" s="79" t="s">
        <v>1710</v>
      </c>
      <c r="AX1453" s="56"/>
      <c r="AY1453" s="54"/>
    </row>
    <row r="1454" spans="1:51" ht="15">
      <c r="A1454" s="53"/>
      <c r="B1454" s="56"/>
      <c r="C1454" s="90" t="s">
        <v>1448</v>
      </c>
      <c r="D1454" s="230" t="s">
        <v>1759</v>
      </c>
      <c r="E1454" s="68" t="s">
        <v>1449</v>
      </c>
      <c r="F1454" s="133" t="s">
        <v>1479</v>
      </c>
      <c r="G1454" s="133" t="s">
        <v>1479</v>
      </c>
      <c r="H1454" s="133" t="s">
        <v>1479</v>
      </c>
      <c r="I1454" s="133" t="s">
        <v>1479</v>
      </c>
      <c r="J1454" s="70">
        <v>0.9</v>
      </c>
      <c r="K1454" s="71" t="s">
        <v>1710</v>
      </c>
      <c r="L1454" s="71" t="s">
        <v>1710</v>
      </c>
      <c r="M1454" s="72" t="s">
        <v>1710</v>
      </c>
      <c r="N1454" s="71" t="s">
        <v>1710</v>
      </c>
      <c r="O1454" s="73">
        <v>0.9</v>
      </c>
      <c r="P1454" s="71">
        <v>0</v>
      </c>
      <c r="Q1454" s="71">
        <v>0</v>
      </c>
      <c r="R1454" s="71">
        <v>0</v>
      </c>
      <c r="S1454" s="71">
        <v>0</v>
      </c>
      <c r="T1454" s="73">
        <v>0.9</v>
      </c>
      <c r="U1454" s="71">
        <v>1</v>
      </c>
      <c r="V1454" s="71">
        <v>1</v>
      </c>
      <c r="W1454" s="71">
        <v>1</v>
      </c>
      <c r="X1454" s="71">
        <v>1</v>
      </c>
      <c r="Y1454" s="73">
        <v>0.92</v>
      </c>
      <c r="Z1454" s="73" t="s">
        <v>1710</v>
      </c>
      <c r="AA1454" s="73" t="s">
        <v>1710</v>
      </c>
      <c r="AB1454" s="73" t="s">
        <v>1710</v>
      </c>
      <c r="AC1454" s="73">
        <v>0.625</v>
      </c>
      <c r="AD1454" s="73">
        <v>0.92</v>
      </c>
      <c r="AE1454" s="71">
        <v>0.98874560375146503</v>
      </c>
      <c r="AF1454" s="71">
        <v>0.99793431109274899</v>
      </c>
      <c r="AG1454" s="71">
        <v>0.99953874538745402</v>
      </c>
      <c r="AH1454" s="71">
        <v>0.99420974982946497</v>
      </c>
      <c r="AI1454" s="73">
        <v>0.92</v>
      </c>
      <c r="AJ1454" s="71">
        <v>1</v>
      </c>
      <c r="AK1454" s="71">
        <v>1</v>
      </c>
      <c r="AL1454" s="71">
        <v>1</v>
      </c>
      <c r="AM1454" s="71">
        <v>0.981012658227848</v>
      </c>
      <c r="AN1454" s="70">
        <v>0.99</v>
      </c>
      <c r="AO1454" s="75">
        <v>1</v>
      </c>
      <c r="AP1454" s="75">
        <v>1</v>
      </c>
      <c r="AQ1454" s="75">
        <v>1</v>
      </c>
      <c r="AR1454" s="75">
        <v>1</v>
      </c>
      <c r="AS1454" s="95">
        <v>0.110069253262963</v>
      </c>
      <c r="AT1454" s="79" t="s">
        <v>1710</v>
      </c>
      <c r="AU1454" s="79" t="s">
        <v>1710</v>
      </c>
      <c r="AV1454" s="79" t="s">
        <v>1710</v>
      </c>
      <c r="AW1454" s="79" t="s">
        <v>1710</v>
      </c>
      <c r="AX1454" s="56"/>
      <c r="AY1454" s="54"/>
    </row>
    <row r="1455" spans="1:51" ht="15">
      <c r="A1455" s="53"/>
      <c r="B1455" s="56"/>
      <c r="C1455" s="90" t="s">
        <v>1448</v>
      </c>
      <c r="D1455" s="230" t="s">
        <v>1759</v>
      </c>
      <c r="E1455" s="68" t="s">
        <v>1449</v>
      </c>
      <c r="F1455" s="133" t="s">
        <v>1480</v>
      </c>
      <c r="G1455" s="133" t="s">
        <v>1480</v>
      </c>
      <c r="H1455" s="133" t="s">
        <v>1480</v>
      </c>
      <c r="I1455" s="133" t="s">
        <v>1480</v>
      </c>
      <c r="J1455" s="70">
        <v>0.9</v>
      </c>
      <c r="K1455" s="71" t="s">
        <v>1710</v>
      </c>
      <c r="L1455" s="71" t="s">
        <v>1710</v>
      </c>
      <c r="M1455" s="72" t="s">
        <v>1710</v>
      </c>
      <c r="N1455" s="71" t="s">
        <v>1710</v>
      </c>
      <c r="O1455" s="73">
        <v>0.9</v>
      </c>
      <c r="P1455" s="71" t="s">
        <v>1710</v>
      </c>
      <c r="Q1455" s="71" t="s">
        <v>1710</v>
      </c>
      <c r="R1455" s="71" t="s">
        <v>1710</v>
      </c>
      <c r="S1455" s="71" t="s">
        <v>1710</v>
      </c>
      <c r="T1455" s="73">
        <v>0.9</v>
      </c>
      <c r="U1455" s="71" t="s">
        <v>1710</v>
      </c>
      <c r="V1455" s="71" t="s">
        <v>1710</v>
      </c>
      <c r="W1455" s="71" t="s">
        <v>1710</v>
      </c>
      <c r="X1455" s="71" t="s">
        <v>1710</v>
      </c>
      <c r="Y1455" s="73">
        <v>0.92</v>
      </c>
      <c r="Z1455" s="73" t="s">
        <v>1710</v>
      </c>
      <c r="AA1455" s="73" t="s">
        <v>1710</v>
      </c>
      <c r="AB1455" s="73" t="s">
        <v>1710</v>
      </c>
      <c r="AC1455" s="73" t="s">
        <v>1710</v>
      </c>
      <c r="AD1455" s="73">
        <v>0.92</v>
      </c>
      <c r="AE1455" s="71">
        <v>0.99774011299434995</v>
      </c>
      <c r="AF1455" s="71">
        <v>0.99809523809523804</v>
      </c>
      <c r="AG1455" s="71">
        <v>1</v>
      </c>
      <c r="AH1455" s="71">
        <v>0.99943622269203702</v>
      </c>
      <c r="AI1455" s="73">
        <v>0.92</v>
      </c>
      <c r="AJ1455" s="71" t="s">
        <v>1710</v>
      </c>
      <c r="AK1455" s="71" t="s">
        <v>1710</v>
      </c>
      <c r="AL1455" s="71" t="s">
        <v>1710</v>
      </c>
      <c r="AM1455" s="71" t="s">
        <v>1710</v>
      </c>
      <c r="AN1455" s="70">
        <v>0.99</v>
      </c>
      <c r="AO1455" s="75" t="s">
        <v>1710</v>
      </c>
      <c r="AP1455" s="75" t="s">
        <v>1710</v>
      </c>
      <c r="AQ1455" s="75" t="s">
        <v>1710</v>
      </c>
      <c r="AR1455" s="75">
        <v>1</v>
      </c>
      <c r="AS1455" s="95">
        <v>0.110069253262963</v>
      </c>
      <c r="AT1455" s="79" t="s">
        <v>1710</v>
      </c>
      <c r="AU1455" s="79" t="s">
        <v>1710</v>
      </c>
      <c r="AV1455" s="79" t="s">
        <v>1710</v>
      </c>
      <c r="AW1455" s="79" t="s">
        <v>1710</v>
      </c>
      <c r="AX1455" s="56"/>
      <c r="AY1455" s="54"/>
    </row>
    <row r="1456" spans="1:51" ht="15">
      <c r="A1456" s="53"/>
      <c r="B1456" s="56"/>
      <c r="C1456" s="90" t="s">
        <v>1448</v>
      </c>
      <c r="D1456" s="230" t="s">
        <v>1759</v>
      </c>
      <c r="E1456" s="68" t="s">
        <v>1449</v>
      </c>
      <c r="F1456" s="133" t="s">
        <v>1481</v>
      </c>
      <c r="G1456" s="133" t="s">
        <v>1481</v>
      </c>
      <c r="H1456" s="133" t="s">
        <v>1481</v>
      </c>
      <c r="I1456" s="133" t="s">
        <v>1481</v>
      </c>
      <c r="J1456" s="70">
        <v>0.9</v>
      </c>
      <c r="K1456" s="71" t="s">
        <v>1710</v>
      </c>
      <c r="L1456" s="71" t="s">
        <v>1710</v>
      </c>
      <c r="M1456" s="72" t="s">
        <v>1710</v>
      </c>
      <c r="N1456" s="71" t="s">
        <v>1710</v>
      </c>
      <c r="O1456" s="73">
        <v>0.9</v>
      </c>
      <c r="P1456" s="71" t="s">
        <v>1710</v>
      </c>
      <c r="Q1456" s="71" t="s">
        <v>1710</v>
      </c>
      <c r="R1456" s="71" t="s">
        <v>1710</v>
      </c>
      <c r="S1456" s="71" t="s">
        <v>1710</v>
      </c>
      <c r="T1456" s="73">
        <v>0.9</v>
      </c>
      <c r="U1456" s="71" t="s">
        <v>1710</v>
      </c>
      <c r="V1456" s="71" t="s">
        <v>1710</v>
      </c>
      <c r="W1456" s="71" t="s">
        <v>1710</v>
      </c>
      <c r="X1456" s="71" t="s">
        <v>1710</v>
      </c>
      <c r="Y1456" s="73">
        <v>0.92</v>
      </c>
      <c r="Z1456" s="73" t="s">
        <v>1710</v>
      </c>
      <c r="AA1456" s="73" t="s">
        <v>1710</v>
      </c>
      <c r="AB1456" s="73" t="s">
        <v>1710</v>
      </c>
      <c r="AC1456" s="73" t="s">
        <v>1710</v>
      </c>
      <c r="AD1456" s="73">
        <v>0.92</v>
      </c>
      <c r="AE1456" s="71">
        <v>0.99722222222222201</v>
      </c>
      <c r="AF1456" s="71">
        <v>0</v>
      </c>
      <c r="AG1456" s="71">
        <v>0.99593495934959397</v>
      </c>
      <c r="AH1456" s="71">
        <v>0.79252782193958704</v>
      </c>
      <c r="AI1456" s="73">
        <v>0.92</v>
      </c>
      <c r="AJ1456" s="71" t="s">
        <v>1710</v>
      </c>
      <c r="AK1456" s="71" t="s">
        <v>1710</v>
      </c>
      <c r="AL1456" s="71" t="s">
        <v>1710</v>
      </c>
      <c r="AM1456" s="71" t="s">
        <v>1710</v>
      </c>
      <c r="AN1456" s="70">
        <v>0.99</v>
      </c>
      <c r="AO1456" s="75" t="s">
        <v>1710</v>
      </c>
      <c r="AP1456" s="75">
        <v>1</v>
      </c>
      <c r="AQ1456" s="75" t="s">
        <v>1710</v>
      </c>
      <c r="AR1456" s="75">
        <v>1</v>
      </c>
      <c r="AS1456" s="95">
        <v>0.110069253262963</v>
      </c>
      <c r="AT1456" s="79" t="s">
        <v>1710</v>
      </c>
      <c r="AU1456" s="79" t="s">
        <v>1710</v>
      </c>
      <c r="AV1456" s="79" t="s">
        <v>1710</v>
      </c>
      <c r="AW1456" s="79" t="s">
        <v>1710</v>
      </c>
      <c r="AX1456" s="56"/>
      <c r="AY1456" s="54"/>
    </row>
    <row r="1457" spans="1:51" ht="15">
      <c r="A1457" s="53"/>
      <c r="B1457" s="56"/>
      <c r="C1457" s="90" t="s">
        <v>1448</v>
      </c>
      <c r="D1457" s="230" t="s">
        <v>1759</v>
      </c>
      <c r="E1457" s="68" t="s">
        <v>1449</v>
      </c>
      <c r="F1457" s="135" t="s">
        <v>1482</v>
      </c>
      <c r="G1457" s="135" t="s">
        <v>1482</v>
      </c>
      <c r="H1457" s="135" t="s">
        <v>1482</v>
      </c>
      <c r="I1457" s="135" t="s">
        <v>1482</v>
      </c>
      <c r="J1457" s="70">
        <v>0.9</v>
      </c>
      <c r="K1457" s="71" t="s">
        <v>1710</v>
      </c>
      <c r="L1457" s="71" t="s">
        <v>1710</v>
      </c>
      <c r="M1457" s="72" t="s">
        <v>1710</v>
      </c>
      <c r="N1457" s="71" t="s">
        <v>1710</v>
      </c>
      <c r="O1457" s="73">
        <v>0.9</v>
      </c>
      <c r="P1457" s="71" t="s">
        <v>1710</v>
      </c>
      <c r="Q1457" s="71" t="s">
        <v>1710</v>
      </c>
      <c r="R1457" s="71" t="s">
        <v>1710</v>
      </c>
      <c r="S1457" s="71" t="s">
        <v>1710</v>
      </c>
      <c r="T1457" s="73">
        <v>0.9</v>
      </c>
      <c r="U1457" s="71" t="s">
        <v>1710</v>
      </c>
      <c r="V1457" s="71" t="s">
        <v>1710</v>
      </c>
      <c r="W1457" s="71" t="s">
        <v>1710</v>
      </c>
      <c r="X1457" s="71" t="s">
        <v>1710</v>
      </c>
      <c r="Y1457" s="73">
        <v>0.92</v>
      </c>
      <c r="Z1457" s="73" t="s">
        <v>1710</v>
      </c>
      <c r="AA1457" s="73" t="s">
        <v>1710</v>
      </c>
      <c r="AB1457" s="73" t="s">
        <v>1710</v>
      </c>
      <c r="AC1457" s="73" t="s">
        <v>1710</v>
      </c>
      <c r="AD1457" s="73">
        <v>0.92</v>
      </c>
      <c r="AE1457" s="71">
        <v>0.908675799086758</v>
      </c>
      <c r="AF1457" s="71">
        <v>1</v>
      </c>
      <c r="AG1457" s="71">
        <v>0.93023255813953498</v>
      </c>
      <c r="AH1457" s="71">
        <v>0.86618942731277504</v>
      </c>
      <c r="AI1457" s="73">
        <v>0.92</v>
      </c>
      <c r="AJ1457" s="71" t="s">
        <v>1710</v>
      </c>
      <c r="AK1457" s="71" t="s">
        <v>1710</v>
      </c>
      <c r="AL1457" s="71" t="s">
        <v>1710</v>
      </c>
      <c r="AM1457" s="71" t="s">
        <v>1710</v>
      </c>
      <c r="AN1457" s="70">
        <v>0.99</v>
      </c>
      <c r="AO1457" s="75">
        <v>1</v>
      </c>
      <c r="AP1457" s="75">
        <v>1</v>
      </c>
      <c r="AQ1457" s="75" t="s">
        <v>1710</v>
      </c>
      <c r="AR1457" s="75">
        <v>1</v>
      </c>
      <c r="AS1457" s="95">
        <v>0.110069253262963</v>
      </c>
      <c r="AT1457" s="79" t="s">
        <v>1710</v>
      </c>
      <c r="AU1457" s="79" t="s">
        <v>1710</v>
      </c>
      <c r="AV1457" s="79" t="s">
        <v>1710</v>
      </c>
      <c r="AW1457" s="79" t="s">
        <v>1710</v>
      </c>
      <c r="AX1457" s="56"/>
      <c r="AY1457" s="54"/>
    </row>
    <row r="1458" spans="1:51" ht="15">
      <c r="A1458" s="53"/>
      <c r="B1458" s="56"/>
      <c r="C1458" s="90" t="s">
        <v>1448</v>
      </c>
      <c r="D1458" s="230" t="s">
        <v>1759</v>
      </c>
      <c r="E1458" s="68" t="s">
        <v>1449</v>
      </c>
      <c r="F1458" s="135" t="s">
        <v>1483</v>
      </c>
      <c r="G1458" s="135" t="s">
        <v>1483</v>
      </c>
      <c r="H1458" s="135" t="s">
        <v>1483</v>
      </c>
      <c r="I1458" s="135" t="s">
        <v>1483</v>
      </c>
      <c r="J1458" s="70">
        <v>0.9</v>
      </c>
      <c r="K1458" s="71" t="s">
        <v>1710</v>
      </c>
      <c r="L1458" s="71" t="s">
        <v>1710</v>
      </c>
      <c r="M1458" s="72" t="s">
        <v>1710</v>
      </c>
      <c r="N1458" s="71" t="s">
        <v>1710</v>
      </c>
      <c r="O1458" s="73">
        <v>0.9</v>
      </c>
      <c r="P1458" s="71" t="s">
        <v>1710</v>
      </c>
      <c r="Q1458" s="71" t="s">
        <v>1710</v>
      </c>
      <c r="R1458" s="71" t="s">
        <v>1710</v>
      </c>
      <c r="S1458" s="71" t="s">
        <v>1710</v>
      </c>
      <c r="T1458" s="73">
        <v>0.9</v>
      </c>
      <c r="U1458" s="71" t="s">
        <v>1710</v>
      </c>
      <c r="V1458" s="71" t="s">
        <v>1710</v>
      </c>
      <c r="W1458" s="71" t="s">
        <v>1710</v>
      </c>
      <c r="X1458" s="71" t="s">
        <v>1710</v>
      </c>
      <c r="Y1458" s="73">
        <v>0.92</v>
      </c>
      <c r="Z1458" s="73" t="s">
        <v>1710</v>
      </c>
      <c r="AA1458" s="73" t="s">
        <v>1710</v>
      </c>
      <c r="AB1458" s="73" t="s">
        <v>1710</v>
      </c>
      <c r="AC1458" s="73" t="s">
        <v>1710</v>
      </c>
      <c r="AD1458" s="73">
        <v>0.92</v>
      </c>
      <c r="AE1458" s="71">
        <v>1</v>
      </c>
      <c r="AF1458" s="71">
        <v>0.98911070780399302</v>
      </c>
      <c r="AG1458" s="71">
        <v>1</v>
      </c>
      <c r="AH1458" s="71">
        <v>0.99829931972789099</v>
      </c>
      <c r="AI1458" s="73">
        <v>0.92</v>
      </c>
      <c r="AJ1458" s="71" t="s">
        <v>1710</v>
      </c>
      <c r="AK1458" s="71" t="s">
        <v>1710</v>
      </c>
      <c r="AL1458" s="71" t="s">
        <v>1710</v>
      </c>
      <c r="AM1458" s="71" t="s">
        <v>1710</v>
      </c>
      <c r="AN1458" s="70">
        <v>0.99</v>
      </c>
      <c r="AO1458" s="75">
        <v>1</v>
      </c>
      <c r="AP1458" s="75">
        <v>1</v>
      </c>
      <c r="AQ1458" s="75">
        <v>1</v>
      </c>
      <c r="AR1458" s="75">
        <v>1</v>
      </c>
      <c r="AS1458" s="95">
        <v>0.110069253262963</v>
      </c>
      <c r="AT1458" s="79" t="s">
        <v>1710</v>
      </c>
      <c r="AU1458" s="79" t="s">
        <v>1710</v>
      </c>
      <c r="AV1458" s="79" t="s">
        <v>1710</v>
      </c>
      <c r="AW1458" s="79" t="s">
        <v>1710</v>
      </c>
      <c r="AX1458" s="56"/>
      <c r="AY1458" s="54"/>
    </row>
    <row r="1459" spans="1:51" ht="15">
      <c r="A1459" s="53"/>
      <c r="B1459" s="56"/>
      <c r="C1459" s="90" t="s">
        <v>1448</v>
      </c>
      <c r="D1459" s="230" t="s">
        <v>1759</v>
      </c>
      <c r="E1459" s="68" t="s">
        <v>1449</v>
      </c>
      <c r="F1459" s="133" t="s">
        <v>1484</v>
      </c>
      <c r="G1459" s="133" t="s">
        <v>1484</v>
      </c>
      <c r="H1459" s="133" t="s">
        <v>1484</v>
      </c>
      <c r="I1459" s="133" t="s">
        <v>1484</v>
      </c>
      <c r="J1459" s="70">
        <v>0.9</v>
      </c>
      <c r="K1459" s="71" t="s">
        <v>1710</v>
      </c>
      <c r="L1459" s="71" t="s">
        <v>1710</v>
      </c>
      <c r="M1459" s="72" t="s">
        <v>1710</v>
      </c>
      <c r="N1459" s="71" t="s">
        <v>1710</v>
      </c>
      <c r="O1459" s="73">
        <v>0.9</v>
      </c>
      <c r="P1459" s="71">
        <v>0</v>
      </c>
      <c r="Q1459" s="71">
        <v>0</v>
      </c>
      <c r="R1459" s="71" t="s">
        <v>1710</v>
      </c>
      <c r="S1459" s="71">
        <v>0</v>
      </c>
      <c r="T1459" s="73">
        <v>0.9</v>
      </c>
      <c r="U1459" s="71">
        <v>1</v>
      </c>
      <c r="V1459" s="71">
        <v>1</v>
      </c>
      <c r="W1459" s="71" t="s">
        <v>1710</v>
      </c>
      <c r="X1459" s="71">
        <v>1</v>
      </c>
      <c r="Y1459" s="73">
        <v>0.92</v>
      </c>
      <c r="Z1459" s="73" t="s">
        <v>1710</v>
      </c>
      <c r="AA1459" s="73">
        <v>1</v>
      </c>
      <c r="AB1459" s="73" t="s">
        <v>1710</v>
      </c>
      <c r="AC1459" s="73">
        <v>1</v>
      </c>
      <c r="AD1459" s="73">
        <v>0.92</v>
      </c>
      <c r="AE1459" s="71">
        <v>0.99054054054054097</v>
      </c>
      <c r="AF1459" s="71">
        <v>0.99206349206349198</v>
      </c>
      <c r="AG1459" s="71">
        <v>0.99780941949616697</v>
      </c>
      <c r="AH1459" s="71">
        <v>0.99311356965455</v>
      </c>
      <c r="AI1459" s="73">
        <v>0.92</v>
      </c>
      <c r="AJ1459" s="71">
        <v>1</v>
      </c>
      <c r="AK1459" s="71">
        <v>1</v>
      </c>
      <c r="AL1459" s="71" t="s">
        <v>1710</v>
      </c>
      <c r="AM1459" s="71">
        <v>1</v>
      </c>
      <c r="AN1459" s="70">
        <v>0.99</v>
      </c>
      <c r="AO1459" s="75">
        <v>1</v>
      </c>
      <c r="AP1459" s="75">
        <v>1</v>
      </c>
      <c r="AQ1459" s="75">
        <v>1</v>
      </c>
      <c r="AR1459" s="75">
        <v>1</v>
      </c>
      <c r="AS1459" s="95">
        <v>0.110069253262963</v>
      </c>
      <c r="AT1459" s="79" t="s">
        <v>1710</v>
      </c>
      <c r="AU1459" s="79" t="s">
        <v>1710</v>
      </c>
      <c r="AV1459" s="79" t="s">
        <v>1710</v>
      </c>
      <c r="AW1459" s="79" t="s">
        <v>1710</v>
      </c>
      <c r="AX1459" s="56"/>
      <c r="AY1459" s="54"/>
    </row>
    <row r="1460" spans="1:51">
      <c r="A1460" s="53"/>
      <c r="B1460" s="56"/>
      <c r="C1460" s="90" t="s">
        <v>1448</v>
      </c>
      <c r="D1460" s="230" t="s">
        <v>1757</v>
      </c>
      <c r="E1460" s="68" t="s">
        <v>1449</v>
      </c>
      <c r="F1460" s="106" t="s">
        <v>1485</v>
      </c>
      <c r="G1460" s="106" t="s">
        <v>1485</v>
      </c>
      <c r="H1460" s="106" t="s">
        <v>1485</v>
      </c>
      <c r="I1460" s="106" t="s">
        <v>1485</v>
      </c>
      <c r="J1460" s="70">
        <v>0.9</v>
      </c>
      <c r="K1460" s="71">
        <v>1</v>
      </c>
      <c r="L1460" s="71">
        <v>1</v>
      </c>
      <c r="M1460" s="72">
        <v>1</v>
      </c>
      <c r="N1460" s="71">
        <v>0.99358974358974395</v>
      </c>
      <c r="O1460" s="73">
        <v>0.9</v>
      </c>
      <c r="P1460" s="71">
        <v>0.99856321839080497</v>
      </c>
      <c r="Q1460" s="71">
        <v>0.99382716049382702</v>
      </c>
      <c r="R1460" s="71">
        <v>0.996506550218341</v>
      </c>
      <c r="S1460" s="71">
        <v>0.99380664652567996</v>
      </c>
      <c r="T1460" s="73">
        <v>0.9</v>
      </c>
      <c r="U1460" s="71">
        <v>0.90732758620689702</v>
      </c>
      <c r="V1460" s="71">
        <v>0.94367283950617298</v>
      </c>
      <c r="W1460" s="71">
        <v>0.96069868995633201</v>
      </c>
      <c r="X1460" s="71">
        <v>0.92077039274924499</v>
      </c>
      <c r="Y1460" s="73">
        <v>0.92</v>
      </c>
      <c r="Z1460" s="73" t="s">
        <v>1710</v>
      </c>
      <c r="AA1460" s="73" t="s">
        <v>1710</v>
      </c>
      <c r="AB1460" s="73" t="s">
        <v>1710</v>
      </c>
      <c r="AC1460" s="73" t="s">
        <v>1710</v>
      </c>
      <c r="AD1460" s="73">
        <v>0.92</v>
      </c>
      <c r="AE1460" s="71">
        <v>1</v>
      </c>
      <c r="AF1460" s="71">
        <v>1</v>
      </c>
      <c r="AG1460" s="71">
        <v>1</v>
      </c>
      <c r="AH1460" s="71">
        <v>0.97727272727272696</v>
      </c>
      <c r="AI1460" s="73">
        <v>0.92</v>
      </c>
      <c r="AJ1460" s="71">
        <v>0.93821839080459801</v>
      </c>
      <c r="AK1460" s="71">
        <v>0.98996913580246904</v>
      </c>
      <c r="AL1460" s="71">
        <v>0.996506550218341</v>
      </c>
      <c r="AM1460" s="71">
        <v>0.98330815709969799</v>
      </c>
      <c r="AN1460" s="70">
        <v>0.99</v>
      </c>
      <c r="AO1460" s="75">
        <v>1</v>
      </c>
      <c r="AP1460" s="75">
        <v>1</v>
      </c>
      <c r="AQ1460" s="75">
        <v>1</v>
      </c>
      <c r="AR1460" s="75">
        <v>1</v>
      </c>
      <c r="AS1460" s="95">
        <v>0.110069253262963</v>
      </c>
      <c r="AT1460" s="79">
        <v>0.14285714285714299</v>
      </c>
      <c r="AU1460" s="79">
        <v>0.214285714285714</v>
      </c>
      <c r="AV1460" s="79">
        <v>0</v>
      </c>
      <c r="AW1460" s="79">
        <v>0.10738255033557</v>
      </c>
      <c r="AX1460" s="56"/>
      <c r="AY1460" s="54"/>
    </row>
    <row r="1461" spans="1:51">
      <c r="A1461" s="53"/>
      <c r="B1461" s="56"/>
      <c r="C1461" s="90" t="s">
        <v>1448</v>
      </c>
      <c r="D1461" s="230" t="s">
        <v>1757</v>
      </c>
      <c r="E1461" s="68" t="s">
        <v>1449</v>
      </c>
      <c r="F1461" s="106" t="s">
        <v>1486</v>
      </c>
      <c r="G1461" s="106" t="s">
        <v>1486</v>
      </c>
      <c r="H1461" s="106" t="s">
        <v>1486</v>
      </c>
      <c r="I1461" s="106" t="s">
        <v>1486</v>
      </c>
      <c r="J1461" s="70">
        <v>0.9</v>
      </c>
      <c r="K1461" s="71">
        <v>1</v>
      </c>
      <c r="L1461" s="71">
        <v>1</v>
      </c>
      <c r="M1461" s="72">
        <v>1</v>
      </c>
      <c r="N1461" s="71">
        <v>0.98913043478260898</v>
      </c>
      <c r="O1461" s="73">
        <v>0.9</v>
      </c>
      <c r="P1461" s="71">
        <v>0.99883687118348397</v>
      </c>
      <c r="Q1461" s="71">
        <v>0.99973190348525498</v>
      </c>
      <c r="R1461" s="71">
        <v>0.99864803965750304</v>
      </c>
      <c r="S1461" s="71">
        <v>0.99868688074489698</v>
      </c>
      <c r="T1461" s="73">
        <v>0.9</v>
      </c>
      <c r="U1461" s="71">
        <v>0.94882233207327704</v>
      </c>
      <c r="V1461" s="71">
        <v>0.95603217158176901</v>
      </c>
      <c r="W1461" s="71">
        <v>0.96529968454258697</v>
      </c>
      <c r="X1461" s="71">
        <v>0.96454578011221204</v>
      </c>
      <c r="Y1461" s="73">
        <v>0.92</v>
      </c>
      <c r="Z1461" s="73" t="s">
        <v>1710</v>
      </c>
      <c r="AA1461" s="73" t="s">
        <v>1710</v>
      </c>
      <c r="AB1461" s="73" t="s">
        <v>1710</v>
      </c>
      <c r="AC1461" s="73" t="s">
        <v>1710</v>
      </c>
      <c r="AD1461" s="73">
        <v>0.92</v>
      </c>
      <c r="AE1461" s="71">
        <v>0.91666666666666696</v>
      </c>
      <c r="AF1461" s="71">
        <v>0.9</v>
      </c>
      <c r="AG1461" s="71">
        <v>0.82608695652173902</v>
      </c>
      <c r="AH1461" s="71">
        <v>0.80310880829015496</v>
      </c>
      <c r="AI1461" s="73">
        <v>0.92</v>
      </c>
      <c r="AJ1461" s="71">
        <v>0.97819133469031705</v>
      </c>
      <c r="AK1461" s="71">
        <v>0.98579088471849896</v>
      </c>
      <c r="AL1461" s="71">
        <v>0.99008562415502499</v>
      </c>
      <c r="AM1461" s="71">
        <v>0.98821177032350505</v>
      </c>
      <c r="AN1461" s="70">
        <v>0.99</v>
      </c>
      <c r="AO1461" s="75">
        <v>1</v>
      </c>
      <c r="AP1461" s="75">
        <v>1</v>
      </c>
      <c r="AQ1461" s="75">
        <v>1</v>
      </c>
      <c r="AR1461" s="75">
        <v>1</v>
      </c>
      <c r="AS1461" s="95">
        <v>0.110069253262963</v>
      </c>
      <c r="AT1461" s="79">
        <v>0</v>
      </c>
      <c r="AU1461" s="79">
        <v>0</v>
      </c>
      <c r="AV1461" s="79">
        <v>0.105263157894737</v>
      </c>
      <c r="AW1461" s="79">
        <v>3.42465753424658E-2</v>
      </c>
      <c r="AX1461" s="56"/>
      <c r="AY1461" s="54"/>
    </row>
    <row r="1462" spans="1:51">
      <c r="A1462" s="53"/>
      <c r="B1462" s="56"/>
      <c r="C1462" s="90" t="s">
        <v>1448</v>
      </c>
      <c r="D1462" s="230" t="s">
        <v>1757</v>
      </c>
      <c r="E1462" s="68" t="s">
        <v>1449</v>
      </c>
      <c r="F1462" s="106" t="s">
        <v>1487</v>
      </c>
      <c r="G1462" s="106" t="s">
        <v>1487</v>
      </c>
      <c r="H1462" s="106" t="s">
        <v>1487</v>
      </c>
      <c r="I1462" s="106" t="s">
        <v>1487</v>
      </c>
      <c r="J1462" s="70">
        <v>0.9</v>
      </c>
      <c r="K1462" s="71" t="s">
        <v>1710</v>
      </c>
      <c r="L1462" s="71" t="s">
        <v>1710</v>
      </c>
      <c r="M1462" s="72" t="s">
        <v>1710</v>
      </c>
      <c r="N1462" s="71" t="s">
        <v>1710</v>
      </c>
      <c r="O1462" s="73">
        <v>0.9</v>
      </c>
      <c r="P1462" s="71" t="s">
        <v>1710</v>
      </c>
      <c r="Q1462" s="71" t="s">
        <v>1710</v>
      </c>
      <c r="R1462" s="71" t="s">
        <v>1710</v>
      </c>
      <c r="S1462" s="71" t="s">
        <v>1710</v>
      </c>
      <c r="T1462" s="73">
        <v>0.9</v>
      </c>
      <c r="U1462" s="71" t="s">
        <v>1710</v>
      </c>
      <c r="V1462" s="71" t="s">
        <v>1710</v>
      </c>
      <c r="W1462" s="71" t="s">
        <v>1710</v>
      </c>
      <c r="X1462" s="71" t="s">
        <v>1710</v>
      </c>
      <c r="Y1462" s="73">
        <v>0.92</v>
      </c>
      <c r="Z1462" s="73" t="s">
        <v>1710</v>
      </c>
      <c r="AA1462" s="73" t="s">
        <v>1710</v>
      </c>
      <c r="AB1462" s="73" t="s">
        <v>1710</v>
      </c>
      <c r="AC1462" s="73" t="s">
        <v>1710</v>
      </c>
      <c r="AD1462" s="73">
        <v>0.92</v>
      </c>
      <c r="AE1462" s="71" t="s">
        <v>1710</v>
      </c>
      <c r="AF1462" s="71" t="s">
        <v>1710</v>
      </c>
      <c r="AG1462" s="71" t="s">
        <v>1710</v>
      </c>
      <c r="AH1462" s="71" t="s">
        <v>1710</v>
      </c>
      <c r="AI1462" s="73">
        <v>0.92</v>
      </c>
      <c r="AJ1462" s="71" t="s">
        <v>1710</v>
      </c>
      <c r="AK1462" s="71" t="s">
        <v>1710</v>
      </c>
      <c r="AL1462" s="71" t="s">
        <v>1710</v>
      </c>
      <c r="AM1462" s="71" t="s">
        <v>1710</v>
      </c>
      <c r="AN1462" s="70">
        <v>0.99</v>
      </c>
      <c r="AO1462" s="75" t="s">
        <v>1710</v>
      </c>
      <c r="AP1462" s="75" t="s">
        <v>1710</v>
      </c>
      <c r="AQ1462" s="75" t="s">
        <v>1710</v>
      </c>
      <c r="AR1462" s="75" t="s">
        <v>1710</v>
      </c>
      <c r="AS1462" s="95">
        <v>0.110069253262963</v>
      </c>
      <c r="AT1462" s="79" t="s">
        <v>1710</v>
      </c>
      <c r="AU1462" s="79" t="s">
        <v>1710</v>
      </c>
      <c r="AV1462" s="79" t="s">
        <v>1710</v>
      </c>
      <c r="AW1462" s="79" t="s">
        <v>1710</v>
      </c>
      <c r="AX1462" s="56"/>
      <c r="AY1462" s="54"/>
    </row>
    <row r="1463" spans="1:51">
      <c r="A1463" s="53"/>
      <c r="B1463" s="56"/>
      <c r="C1463" s="90" t="s">
        <v>1448</v>
      </c>
      <c r="D1463" s="230" t="s">
        <v>1757</v>
      </c>
      <c r="E1463" s="68" t="s">
        <v>1449</v>
      </c>
      <c r="F1463" s="106" t="s">
        <v>1488</v>
      </c>
      <c r="G1463" s="106" t="s">
        <v>1488</v>
      </c>
      <c r="H1463" s="106" t="s">
        <v>1488</v>
      </c>
      <c r="I1463" s="106" t="s">
        <v>1488</v>
      </c>
      <c r="J1463" s="70">
        <v>0.9</v>
      </c>
      <c r="K1463" s="71">
        <v>0.71428571428571397</v>
      </c>
      <c r="L1463" s="71">
        <v>0.625</v>
      </c>
      <c r="M1463" s="72">
        <v>0.6</v>
      </c>
      <c r="N1463" s="71">
        <v>0.74666666666666703</v>
      </c>
      <c r="O1463" s="73">
        <v>0.9</v>
      </c>
      <c r="P1463" s="71">
        <v>1</v>
      </c>
      <c r="Q1463" s="71">
        <v>0.69079297498669501</v>
      </c>
      <c r="R1463" s="71">
        <v>0.80714285714285705</v>
      </c>
      <c r="S1463" s="71">
        <v>0.65366379310344802</v>
      </c>
      <c r="T1463" s="73">
        <v>0.9</v>
      </c>
      <c r="U1463" s="71">
        <v>1</v>
      </c>
      <c r="V1463" s="71">
        <v>0.59446514103246395</v>
      </c>
      <c r="W1463" s="71">
        <v>0.69285714285714295</v>
      </c>
      <c r="X1463" s="71">
        <v>0.53706896551724104</v>
      </c>
      <c r="Y1463" s="73">
        <v>0.92</v>
      </c>
      <c r="Z1463" s="73" t="s">
        <v>1710</v>
      </c>
      <c r="AA1463" s="73" t="s">
        <v>1710</v>
      </c>
      <c r="AB1463" s="73" t="s">
        <v>1710</v>
      </c>
      <c r="AC1463" s="73" t="s">
        <v>1710</v>
      </c>
      <c r="AD1463" s="73">
        <v>0.92</v>
      </c>
      <c r="AE1463" s="71" t="s">
        <v>1710</v>
      </c>
      <c r="AF1463" s="71">
        <v>1</v>
      </c>
      <c r="AG1463" s="71" t="s">
        <v>1710</v>
      </c>
      <c r="AH1463" s="71">
        <v>1</v>
      </c>
      <c r="AI1463" s="73">
        <v>0.92</v>
      </c>
      <c r="AJ1463" s="71">
        <v>0.98214285714285698</v>
      </c>
      <c r="AK1463" s="71">
        <v>0.65693043016463104</v>
      </c>
      <c r="AL1463" s="71">
        <v>0.7</v>
      </c>
      <c r="AM1463" s="71">
        <v>0.58509052183173604</v>
      </c>
      <c r="AN1463" s="70">
        <v>0.99</v>
      </c>
      <c r="AO1463" s="75" t="s">
        <v>1710</v>
      </c>
      <c r="AP1463" s="75" t="s">
        <v>1710</v>
      </c>
      <c r="AQ1463" s="75">
        <v>1</v>
      </c>
      <c r="AR1463" s="75">
        <v>1</v>
      </c>
      <c r="AS1463" s="95">
        <v>0.110069253262963</v>
      </c>
      <c r="AT1463" s="79">
        <v>0.28571428571428598</v>
      </c>
      <c r="AU1463" s="79">
        <v>0.28571428571428598</v>
      </c>
      <c r="AV1463" s="79">
        <v>7.69230769230769E-2</v>
      </c>
      <c r="AW1463" s="79">
        <v>0.14150943396226401</v>
      </c>
      <c r="AX1463" s="56"/>
      <c r="AY1463" s="54"/>
    </row>
    <row r="1464" spans="1:51">
      <c r="A1464" s="53"/>
      <c r="B1464" s="56"/>
      <c r="C1464" s="90" t="s">
        <v>1448</v>
      </c>
      <c r="D1464" s="230" t="s">
        <v>1757</v>
      </c>
      <c r="E1464" s="68" t="s">
        <v>1449</v>
      </c>
      <c r="F1464" s="106" t="s">
        <v>1489</v>
      </c>
      <c r="G1464" s="106" t="s">
        <v>1489</v>
      </c>
      <c r="H1464" s="106" t="s">
        <v>1489</v>
      </c>
      <c r="I1464" s="106" t="s">
        <v>1489</v>
      </c>
      <c r="J1464" s="70">
        <v>0.9</v>
      </c>
      <c r="K1464" s="71">
        <v>0.83333333333333304</v>
      </c>
      <c r="L1464" s="71">
        <v>0.83333333333333304</v>
      </c>
      <c r="M1464" s="72">
        <v>0.85714285714285698</v>
      </c>
      <c r="N1464" s="71">
        <v>0.91428571428571404</v>
      </c>
      <c r="O1464" s="73">
        <v>0.9</v>
      </c>
      <c r="P1464" s="71" t="s">
        <v>1710</v>
      </c>
      <c r="Q1464" s="71" t="s">
        <v>1710</v>
      </c>
      <c r="R1464" s="71" t="s">
        <v>1710</v>
      </c>
      <c r="S1464" s="71">
        <v>0</v>
      </c>
      <c r="T1464" s="73">
        <v>0.9</v>
      </c>
      <c r="U1464" s="71" t="s">
        <v>1710</v>
      </c>
      <c r="V1464" s="71" t="s">
        <v>1710</v>
      </c>
      <c r="W1464" s="71" t="s">
        <v>1710</v>
      </c>
      <c r="X1464" s="71">
        <v>0</v>
      </c>
      <c r="Y1464" s="73">
        <v>0.92</v>
      </c>
      <c r="Z1464" s="73" t="s">
        <v>1710</v>
      </c>
      <c r="AA1464" s="73" t="s">
        <v>1710</v>
      </c>
      <c r="AB1464" s="73" t="s">
        <v>1710</v>
      </c>
      <c r="AC1464" s="73" t="s">
        <v>1710</v>
      </c>
      <c r="AD1464" s="73">
        <v>0.92</v>
      </c>
      <c r="AE1464" s="71" t="s">
        <v>1710</v>
      </c>
      <c r="AF1464" s="71">
        <v>0</v>
      </c>
      <c r="AG1464" s="71">
        <v>0</v>
      </c>
      <c r="AH1464" s="71">
        <v>4.3478260869565202E-2</v>
      </c>
      <c r="AI1464" s="73">
        <v>0.92</v>
      </c>
      <c r="AJ1464" s="71">
        <v>0.72104404567699798</v>
      </c>
      <c r="AK1464" s="71">
        <v>0.74095513748191</v>
      </c>
      <c r="AL1464" s="71">
        <v>0.897683397683398</v>
      </c>
      <c r="AM1464" s="71">
        <v>0.87001819083843202</v>
      </c>
      <c r="AN1464" s="70">
        <v>0.99</v>
      </c>
      <c r="AO1464" s="75" t="s">
        <v>1710</v>
      </c>
      <c r="AP1464" s="75" t="s">
        <v>1710</v>
      </c>
      <c r="AQ1464" s="75" t="s">
        <v>1710</v>
      </c>
      <c r="AR1464" s="75" t="s">
        <v>1710</v>
      </c>
      <c r="AS1464" s="95">
        <v>0.110069253262963</v>
      </c>
      <c r="AT1464" s="79">
        <v>0.14285714285714299</v>
      </c>
      <c r="AU1464" s="79">
        <v>0.25</v>
      </c>
      <c r="AV1464" s="79">
        <v>0</v>
      </c>
      <c r="AW1464" s="79">
        <v>9.6774193548387094E-2</v>
      </c>
      <c r="AX1464" s="56"/>
      <c r="AY1464" s="54"/>
    </row>
    <row r="1465" spans="1:51">
      <c r="A1465" s="53"/>
      <c r="B1465" s="56"/>
      <c r="C1465" s="90" t="s">
        <v>1448</v>
      </c>
      <c r="D1465" s="230" t="s">
        <v>1757</v>
      </c>
      <c r="E1465" s="68" t="s">
        <v>1449</v>
      </c>
      <c r="F1465" s="106" t="s">
        <v>1490</v>
      </c>
      <c r="G1465" s="106" t="s">
        <v>1490</v>
      </c>
      <c r="H1465" s="106" t="s">
        <v>1490</v>
      </c>
      <c r="I1465" s="106" t="s">
        <v>1490</v>
      </c>
      <c r="J1465" s="70">
        <v>0.9</v>
      </c>
      <c r="K1465" s="71">
        <v>0.46428571428571402</v>
      </c>
      <c r="L1465" s="71">
        <v>0.55555555555555602</v>
      </c>
      <c r="M1465" s="72">
        <v>0.54545454545454497</v>
      </c>
      <c r="N1465" s="71">
        <v>0.54074074074074097</v>
      </c>
      <c r="O1465" s="73">
        <v>0.9</v>
      </c>
      <c r="P1465" s="71">
        <v>0.77099236641221403</v>
      </c>
      <c r="Q1465" s="71">
        <v>0.87130295763389298</v>
      </c>
      <c r="R1465" s="71">
        <v>0.677326968973747</v>
      </c>
      <c r="S1465" s="71">
        <v>0.80217171495142203</v>
      </c>
      <c r="T1465" s="73">
        <v>0.9</v>
      </c>
      <c r="U1465" s="71">
        <v>0.50381679389313005</v>
      </c>
      <c r="V1465" s="71">
        <v>0.45323741007194202</v>
      </c>
      <c r="W1465" s="71">
        <v>0.45584725536992798</v>
      </c>
      <c r="X1465" s="71">
        <v>0.52560777245350998</v>
      </c>
      <c r="Y1465" s="73">
        <v>0.92</v>
      </c>
      <c r="Z1465" s="73" t="s">
        <v>1710</v>
      </c>
      <c r="AA1465" s="73" t="s">
        <v>1710</v>
      </c>
      <c r="AB1465" s="73" t="s">
        <v>1710</v>
      </c>
      <c r="AC1465" s="73" t="s">
        <v>1710</v>
      </c>
      <c r="AD1465" s="73">
        <v>0.92</v>
      </c>
      <c r="AE1465" s="71">
        <v>1</v>
      </c>
      <c r="AF1465" s="71">
        <v>1</v>
      </c>
      <c r="AG1465" s="71">
        <v>1</v>
      </c>
      <c r="AH1465" s="71">
        <v>0.98726114649681496</v>
      </c>
      <c r="AI1465" s="73">
        <v>0.92</v>
      </c>
      <c r="AJ1465" s="71">
        <v>0.78771355870592497</v>
      </c>
      <c r="AK1465" s="71">
        <v>0.79536370903277398</v>
      </c>
      <c r="AL1465" s="71">
        <v>0.75799522673030995</v>
      </c>
      <c r="AM1465" s="71">
        <v>0.82358113157779</v>
      </c>
      <c r="AN1465" s="70">
        <v>0.99</v>
      </c>
      <c r="AO1465" s="75">
        <v>1</v>
      </c>
      <c r="AP1465" s="75">
        <v>1</v>
      </c>
      <c r="AQ1465" s="75">
        <v>1</v>
      </c>
      <c r="AR1465" s="75">
        <v>1</v>
      </c>
      <c r="AS1465" s="95">
        <v>0.110069253262963</v>
      </c>
      <c r="AT1465" s="79">
        <v>0.12903225806451599</v>
      </c>
      <c r="AU1465" s="79">
        <v>0.17499999999999999</v>
      </c>
      <c r="AV1465" s="79">
        <v>0.102564102564103</v>
      </c>
      <c r="AW1465" s="79">
        <v>0.135135135135135</v>
      </c>
      <c r="AX1465" s="56"/>
      <c r="AY1465" s="54"/>
    </row>
    <row r="1466" spans="1:51">
      <c r="A1466" s="53"/>
      <c r="B1466" s="56"/>
      <c r="C1466" s="90" t="s">
        <v>1448</v>
      </c>
      <c r="D1466" s="230" t="s">
        <v>1757</v>
      </c>
      <c r="E1466" s="68" t="s">
        <v>1449</v>
      </c>
      <c r="F1466" s="106" t="s">
        <v>1491</v>
      </c>
      <c r="G1466" s="106" t="s">
        <v>1491</v>
      </c>
      <c r="H1466" s="106" t="s">
        <v>1491</v>
      </c>
      <c r="I1466" s="106" t="s">
        <v>1491</v>
      </c>
      <c r="J1466" s="70">
        <v>0.9</v>
      </c>
      <c r="K1466" s="71">
        <v>0.8</v>
      </c>
      <c r="L1466" s="71">
        <v>0.73333333333333295</v>
      </c>
      <c r="M1466" s="72">
        <v>0.90909090909090895</v>
      </c>
      <c r="N1466" s="71">
        <v>0.77631578947368396</v>
      </c>
      <c r="O1466" s="73">
        <v>0.9</v>
      </c>
      <c r="P1466" s="71">
        <v>1</v>
      </c>
      <c r="Q1466" s="71">
        <v>0.99905571293673301</v>
      </c>
      <c r="R1466" s="71">
        <v>0.99871959026888601</v>
      </c>
      <c r="S1466" s="71">
        <v>0.99957387876851</v>
      </c>
      <c r="T1466" s="73">
        <v>0.9</v>
      </c>
      <c r="U1466" s="71">
        <v>0.87608069164265101</v>
      </c>
      <c r="V1466" s="71">
        <v>0.88290840415486305</v>
      </c>
      <c r="W1466" s="71">
        <v>0.94110115236875802</v>
      </c>
      <c r="X1466" s="71">
        <v>0.92702673910727595</v>
      </c>
      <c r="Y1466" s="73">
        <v>0.92</v>
      </c>
      <c r="Z1466" s="73" t="s">
        <v>1710</v>
      </c>
      <c r="AA1466" s="73" t="s">
        <v>1710</v>
      </c>
      <c r="AB1466" s="73" t="s">
        <v>1710</v>
      </c>
      <c r="AC1466" s="73" t="s">
        <v>1710</v>
      </c>
      <c r="AD1466" s="73">
        <v>0.92</v>
      </c>
      <c r="AE1466" s="71">
        <v>0</v>
      </c>
      <c r="AF1466" s="71">
        <v>0.125</v>
      </c>
      <c r="AG1466" s="71">
        <v>0.42857142857142899</v>
      </c>
      <c r="AH1466" s="71">
        <v>0.39285714285714302</v>
      </c>
      <c r="AI1466" s="73">
        <v>0.92</v>
      </c>
      <c r="AJ1466" s="71">
        <v>0.90201729106628203</v>
      </c>
      <c r="AK1466" s="71">
        <v>0.93032015065913398</v>
      </c>
      <c r="AL1466" s="71">
        <v>0.96560509554140095</v>
      </c>
      <c r="AM1466" s="71">
        <v>0.95418792517006801</v>
      </c>
      <c r="AN1466" s="70">
        <v>0.99</v>
      </c>
      <c r="AO1466" s="75">
        <v>1</v>
      </c>
      <c r="AP1466" s="75">
        <v>1</v>
      </c>
      <c r="AQ1466" s="75">
        <v>1</v>
      </c>
      <c r="AR1466" s="75">
        <v>1</v>
      </c>
      <c r="AS1466" s="95">
        <v>0.110069253262963</v>
      </c>
      <c r="AT1466" s="79">
        <v>0.04</v>
      </c>
      <c r="AU1466" s="79">
        <v>0.17857142857142899</v>
      </c>
      <c r="AV1466" s="79">
        <v>0.2</v>
      </c>
      <c r="AW1466" s="79">
        <v>9.6385542168674704E-2</v>
      </c>
      <c r="AX1466" s="56"/>
      <c r="AY1466" s="54"/>
    </row>
    <row r="1467" spans="1:51">
      <c r="A1467" s="53"/>
      <c r="B1467" s="56"/>
      <c r="C1467" s="90" t="s">
        <v>1448</v>
      </c>
      <c r="D1467" s="230" t="s">
        <v>1757</v>
      </c>
      <c r="E1467" s="68" t="s">
        <v>1449</v>
      </c>
      <c r="F1467" s="106" t="s">
        <v>1492</v>
      </c>
      <c r="G1467" s="106" t="s">
        <v>1492</v>
      </c>
      <c r="H1467" s="106" t="s">
        <v>1492</v>
      </c>
      <c r="I1467" s="106" t="s">
        <v>1492</v>
      </c>
      <c r="J1467" s="70">
        <v>0.9</v>
      </c>
      <c r="K1467" s="71">
        <v>0.875</v>
      </c>
      <c r="L1467" s="71">
        <v>1</v>
      </c>
      <c r="M1467" s="72">
        <v>1</v>
      </c>
      <c r="N1467" s="71">
        <v>0.96531791907514497</v>
      </c>
      <c r="O1467" s="73">
        <v>0.9</v>
      </c>
      <c r="P1467" s="71">
        <v>0.98574144486691995</v>
      </c>
      <c r="Q1467" s="71">
        <v>0.89653333333333296</v>
      </c>
      <c r="R1467" s="71">
        <v>0.91544638639584297</v>
      </c>
      <c r="S1467" s="71">
        <v>0.95952995442315103</v>
      </c>
      <c r="T1467" s="73">
        <v>0.9</v>
      </c>
      <c r="U1467" s="71">
        <v>0.37832699619771898</v>
      </c>
      <c r="V1467" s="71">
        <v>0.28320000000000001</v>
      </c>
      <c r="W1467" s="71">
        <v>0.26310817194142699</v>
      </c>
      <c r="X1467" s="71">
        <v>0.310801164131569</v>
      </c>
      <c r="Y1467" s="73">
        <v>0.92</v>
      </c>
      <c r="Z1467" s="73" t="s">
        <v>1710</v>
      </c>
      <c r="AA1467" s="73" t="s">
        <v>1710</v>
      </c>
      <c r="AB1467" s="73" t="s">
        <v>1710</v>
      </c>
      <c r="AC1467" s="73" t="s">
        <v>1710</v>
      </c>
      <c r="AD1467" s="73">
        <v>0.92</v>
      </c>
      <c r="AE1467" s="71">
        <v>1</v>
      </c>
      <c r="AF1467" s="71">
        <v>0.88888888888888895</v>
      </c>
      <c r="AG1467" s="71">
        <v>1</v>
      </c>
      <c r="AH1467" s="71">
        <v>0.91269841269841301</v>
      </c>
      <c r="AI1467" s="73">
        <v>0.92</v>
      </c>
      <c r="AJ1467" s="71">
        <v>0.89923954372623605</v>
      </c>
      <c r="AK1467" s="71">
        <v>0.88693333333333302</v>
      </c>
      <c r="AL1467" s="71">
        <v>0.83797827113840295</v>
      </c>
      <c r="AM1467" s="71">
        <v>0.90456317610235604</v>
      </c>
      <c r="AN1467" s="70">
        <v>0.99</v>
      </c>
      <c r="AO1467" s="75">
        <v>1</v>
      </c>
      <c r="AP1467" s="75">
        <v>1</v>
      </c>
      <c r="AQ1467" s="75">
        <v>1</v>
      </c>
      <c r="AR1467" s="75">
        <v>1</v>
      </c>
      <c r="AS1467" s="95">
        <v>0.110069253262963</v>
      </c>
      <c r="AT1467" s="79">
        <v>0</v>
      </c>
      <c r="AU1467" s="79">
        <v>0.25</v>
      </c>
      <c r="AV1467" s="79">
        <v>0</v>
      </c>
      <c r="AW1467" s="79">
        <v>9.2592592592592601E-2</v>
      </c>
      <c r="AX1467" s="56"/>
      <c r="AY1467" s="54"/>
    </row>
    <row r="1468" spans="1:51">
      <c r="A1468" s="53"/>
      <c r="B1468" s="56"/>
      <c r="C1468" s="90" t="s">
        <v>1448</v>
      </c>
      <c r="D1468" s="230" t="s">
        <v>1757</v>
      </c>
      <c r="E1468" s="68" t="s">
        <v>1449</v>
      </c>
      <c r="F1468" s="106" t="s">
        <v>1493</v>
      </c>
      <c r="G1468" s="106" t="s">
        <v>1493</v>
      </c>
      <c r="H1468" s="106" t="s">
        <v>1493</v>
      </c>
      <c r="I1468" s="106" t="s">
        <v>1493</v>
      </c>
      <c r="J1468" s="70">
        <v>0.9</v>
      </c>
      <c r="K1468" s="71">
        <v>1</v>
      </c>
      <c r="L1468" s="71">
        <v>1</v>
      </c>
      <c r="M1468" s="72">
        <v>1</v>
      </c>
      <c r="N1468" s="71">
        <v>0.85185185185185197</v>
      </c>
      <c r="O1468" s="73">
        <v>0.9</v>
      </c>
      <c r="P1468" s="71" t="s">
        <v>1710</v>
      </c>
      <c r="Q1468" s="71" t="s">
        <v>1710</v>
      </c>
      <c r="R1468" s="71" t="s">
        <v>1710</v>
      </c>
      <c r="S1468" s="71" t="s">
        <v>1710</v>
      </c>
      <c r="T1468" s="73">
        <v>0.9</v>
      </c>
      <c r="U1468" s="71" t="s">
        <v>1710</v>
      </c>
      <c r="V1468" s="71" t="s">
        <v>1710</v>
      </c>
      <c r="W1468" s="71" t="s">
        <v>1710</v>
      </c>
      <c r="X1468" s="71" t="s">
        <v>1710</v>
      </c>
      <c r="Y1468" s="73">
        <v>0.92</v>
      </c>
      <c r="Z1468" s="73" t="s">
        <v>1710</v>
      </c>
      <c r="AA1468" s="73" t="s">
        <v>1710</v>
      </c>
      <c r="AB1468" s="73" t="s">
        <v>1710</v>
      </c>
      <c r="AC1468" s="73" t="s">
        <v>1710</v>
      </c>
      <c r="AD1468" s="73">
        <v>0.92</v>
      </c>
      <c r="AE1468" s="71">
        <v>0</v>
      </c>
      <c r="AF1468" s="71">
        <v>0</v>
      </c>
      <c r="AG1468" s="71">
        <v>0</v>
      </c>
      <c r="AH1468" s="71">
        <v>0.234567901234568</v>
      </c>
      <c r="AI1468" s="73">
        <v>0.92</v>
      </c>
      <c r="AJ1468" s="71">
        <v>0.87122416534181202</v>
      </c>
      <c r="AK1468" s="71">
        <v>0.93062605752961103</v>
      </c>
      <c r="AL1468" s="71">
        <v>0.97327394209354101</v>
      </c>
      <c r="AM1468" s="71">
        <v>0.927221702525725</v>
      </c>
      <c r="AN1468" s="70">
        <v>0.99</v>
      </c>
      <c r="AO1468" s="75">
        <v>1</v>
      </c>
      <c r="AP1468" s="75">
        <v>1</v>
      </c>
      <c r="AQ1468" s="75">
        <v>1</v>
      </c>
      <c r="AR1468" s="75">
        <v>1</v>
      </c>
      <c r="AS1468" s="95">
        <v>0.110069253262963</v>
      </c>
      <c r="AT1468" s="79">
        <v>0</v>
      </c>
      <c r="AU1468" s="79">
        <v>1</v>
      </c>
      <c r="AV1468" s="79">
        <v>0.4</v>
      </c>
      <c r="AW1468" s="79">
        <v>0.08</v>
      </c>
      <c r="AX1468" s="56"/>
      <c r="AY1468" s="54"/>
    </row>
    <row r="1469" spans="1:51">
      <c r="A1469" s="53"/>
      <c r="B1469" s="56"/>
      <c r="C1469" s="90" t="s">
        <v>1448</v>
      </c>
      <c r="D1469" s="230" t="s">
        <v>1757</v>
      </c>
      <c r="E1469" s="68" t="s">
        <v>1449</v>
      </c>
      <c r="F1469" s="106" t="s">
        <v>1494</v>
      </c>
      <c r="G1469" s="106" t="s">
        <v>1494</v>
      </c>
      <c r="H1469" s="106" t="s">
        <v>1494</v>
      </c>
      <c r="I1469" s="106" t="s">
        <v>1494</v>
      </c>
      <c r="J1469" s="70">
        <v>0.9</v>
      </c>
      <c r="K1469" s="71">
        <v>1</v>
      </c>
      <c r="L1469" s="71">
        <v>0.91666666666666696</v>
      </c>
      <c r="M1469" s="72">
        <v>0.88888888888888895</v>
      </c>
      <c r="N1469" s="71">
        <v>0.90551181102362199</v>
      </c>
      <c r="O1469" s="73">
        <v>0.9</v>
      </c>
      <c r="P1469" s="71" t="s">
        <v>1710</v>
      </c>
      <c r="Q1469" s="71" t="s">
        <v>1710</v>
      </c>
      <c r="R1469" s="71" t="s">
        <v>1710</v>
      </c>
      <c r="S1469" s="71">
        <v>1</v>
      </c>
      <c r="T1469" s="73">
        <v>0.9</v>
      </c>
      <c r="U1469" s="71" t="s">
        <v>1710</v>
      </c>
      <c r="V1469" s="71" t="s">
        <v>1710</v>
      </c>
      <c r="W1469" s="71" t="s">
        <v>1710</v>
      </c>
      <c r="X1469" s="71">
        <v>0</v>
      </c>
      <c r="Y1469" s="73">
        <v>0.92</v>
      </c>
      <c r="Z1469" s="73" t="s">
        <v>1710</v>
      </c>
      <c r="AA1469" s="73" t="s">
        <v>1710</v>
      </c>
      <c r="AB1469" s="73" t="s">
        <v>1710</v>
      </c>
      <c r="AC1469" s="73" t="s">
        <v>1710</v>
      </c>
      <c r="AD1469" s="73">
        <v>0.92</v>
      </c>
      <c r="AE1469" s="71">
        <v>0.5</v>
      </c>
      <c r="AF1469" s="71">
        <v>0</v>
      </c>
      <c r="AG1469" s="71">
        <v>0</v>
      </c>
      <c r="AH1469" s="71">
        <v>9.85915492957746E-2</v>
      </c>
      <c r="AI1469" s="73">
        <v>0.92</v>
      </c>
      <c r="AJ1469" s="71">
        <v>0.92307692307692302</v>
      </c>
      <c r="AK1469" s="71">
        <v>0.91555555555555601</v>
      </c>
      <c r="AL1469" s="71">
        <v>0.93424657534246602</v>
      </c>
      <c r="AM1469" s="71">
        <v>0.94616446460264203</v>
      </c>
      <c r="AN1469" s="70">
        <v>0.99</v>
      </c>
      <c r="AO1469" s="75">
        <v>1</v>
      </c>
      <c r="AP1469" s="75" t="s">
        <v>1710</v>
      </c>
      <c r="AQ1469" s="75" t="s">
        <v>1710</v>
      </c>
      <c r="AR1469" s="75">
        <v>1</v>
      </c>
      <c r="AS1469" s="95">
        <v>0.110069253262963</v>
      </c>
      <c r="AT1469" s="79">
        <v>0.11111111111111099</v>
      </c>
      <c r="AU1469" s="79">
        <v>0.4</v>
      </c>
      <c r="AV1469" s="79">
        <v>0</v>
      </c>
      <c r="AW1469" s="79">
        <v>0.10958904109589</v>
      </c>
      <c r="AX1469" s="56"/>
      <c r="AY1469" s="54"/>
    </row>
    <row r="1470" spans="1:51">
      <c r="A1470" s="53"/>
      <c r="B1470" s="56"/>
      <c r="C1470" s="90" t="s">
        <v>1448</v>
      </c>
      <c r="D1470" s="230" t="s">
        <v>1757</v>
      </c>
      <c r="E1470" s="68" t="s">
        <v>1449</v>
      </c>
      <c r="F1470" s="106" t="s">
        <v>1495</v>
      </c>
      <c r="G1470" s="106" t="s">
        <v>1495</v>
      </c>
      <c r="H1470" s="106" t="s">
        <v>1495</v>
      </c>
      <c r="I1470" s="106" t="s">
        <v>1495</v>
      </c>
      <c r="J1470" s="70">
        <v>0.9</v>
      </c>
      <c r="K1470" s="71">
        <v>0.34782608695652201</v>
      </c>
      <c r="L1470" s="71">
        <v>0.26315789473684198</v>
      </c>
      <c r="M1470" s="72">
        <v>0.41176470588235298</v>
      </c>
      <c r="N1470" s="71">
        <v>0.34061135371179002</v>
      </c>
      <c r="O1470" s="73">
        <v>0.9</v>
      </c>
      <c r="P1470" s="71">
        <v>0.97415123456790098</v>
      </c>
      <c r="Q1470" s="71">
        <v>0.93715083798882703</v>
      </c>
      <c r="R1470" s="71">
        <v>0.98251748251748205</v>
      </c>
      <c r="S1470" s="71">
        <v>0.97896367564923104</v>
      </c>
      <c r="T1470" s="73">
        <v>0.9</v>
      </c>
      <c r="U1470" s="71">
        <v>0.64506172839506204</v>
      </c>
      <c r="V1470" s="71">
        <v>0.56180167597765396</v>
      </c>
      <c r="W1470" s="71">
        <v>0.69405594405594395</v>
      </c>
      <c r="X1470" s="71">
        <v>0.72359248236780904</v>
      </c>
      <c r="Y1470" s="73">
        <v>0.92</v>
      </c>
      <c r="Z1470" s="73" t="s">
        <v>1710</v>
      </c>
      <c r="AA1470" s="73" t="s">
        <v>1710</v>
      </c>
      <c r="AB1470" s="73" t="s">
        <v>1710</v>
      </c>
      <c r="AC1470" s="73" t="s">
        <v>1710</v>
      </c>
      <c r="AD1470" s="73">
        <v>0.92</v>
      </c>
      <c r="AE1470" s="71">
        <v>0.75862068965517204</v>
      </c>
      <c r="AF1470" s="71">
        <v>0.875</v>
      </c>
      <c r="AG1470" s="71">
        <v>0.29411764705882398</v>
      </c>
      <c r="AH1470" s="71">
        <v>0.83524904214559403</v>
      </c>
      <c r="AI1470" s="73">
        <v>0.92</v>
      </c>
      <c r="AJ1470" s="71">
        <v>0.83757716049382702</v>
      </c>
      <c r="AK1470" s="71">
        <v>0.77548882681564202</v>
      </c>
      <c r="AL1470" s="71">
        <v>0.82925407925407901</v>
      </c>
      <c r="AM1470" s="71">
        <v>0.87516816829059496</v>
      </c>
      <c r="AN1470" s="70">
        <v>0.99</v>
      </c>
      <c r="AO1470" s="75">
        <v>1</v>
      </c>
      <c r="AP1470" s="75">
        <v>1</v>
      </c>
      <c r="AQ1470" s="75">
        <v>1</v>
      </c>
      <c r="AR1470" s="75">
        <v>1</v>
      </c>
      <c r="AS1470" s="95">
        <v>0.110069253262963</v>
      </c>
      <c r="AT1470" s="79">
        <v>0.233333333333333</v>
      </c>
      <c r="AU1470" s="79">
        <v>6.8965517241379296E-2</v>
      </c>
      <c r="AV1470" s="79">
        <v>0</v>
      </c>
      <c r="AW1470" s="79">
        <v>8.4870848708487101E-2</v>
      </c>
      <c r="AX1470" s="56"/>
      <c r="AY1470" s="54"/>
    </row>
    <row r="1471" spans="1:51">
      <c r="A1471" s="53"/>
      <c r="B1471" s="56"/>
      <c r="C1471" s="90" t="s">
        <v>1448</v>
      </c>
      <c r="D1471" s="230" t="s">
        <v>1757</v>
      </c>
      <c r="E1471" s="68" t="s">
        <v>1449</v>
      </c>
      <c r="F1471" s="106" t="s">
        <v>1496</v>
      </c>
      <c r="G1471" s="106" t="s">
        <v>1496</v>
      </c>
      <c r="H1471" s="106" t="s">
        <v>1496</v>
      </c>
      <c r="I1471" s="106" t="s">
        <v>1496</v>
      </c>
      <c r="J1471" s="70">
        <v>0.9</v>
      </c>
      <c r="K1471" s="71">
        <v>1</v>
      </c>
      <c r="L1471" s="71">
        <v>1</v>
      </c>
      <c r="M1471" s="72">
        <v>1</v>
      </c>
      <c r="N1471" s="71">
        <v>1</v>
      </c>
      <c r="O1471" s="73">
        <v>0.9</v>
      </c>
      <c r="P1471" s="71">
        <v>0.937827715355805</v>
      </c>
      <c r="Q1471" s="71">
        <v>0.98079763663220099</v>
      </c>
      <c r="R1471" s="71">
        <v>0.94984326018808796</v>
      </c>
      <c r="S1471" s="71">
        <v>0.96881482011301101</v>
      </c>
      <c r="T1471" s="73">
        <v>0.9</v>
      </c>
      <c r="U1471" s="71">
        <v>0.78277153558052404</v>
      </c>
      <c r="V1471" s="71">
        <v>0.79246676514032499</v>
      </c>
      <c r="W1471" s="71">
        <v>0.73918495297805598</v>
      </c>
      <c r="X1471" s="71">
        <v>0.77755525355840105</v>
      </c>
      <c r="Y1471" s="73">
        <v>0.92</v>
      </c>
      <c r="Z1471" s="73">
        <v>0.85693106004447706</v>
      </c>
      <c r="AA1471" s="73">
        <v>0.91123701605287999</v>
      </c>
      <c r="AB1471" s="73">
        <v>0.83900643974240996</v>
      </c>
      <c r="AC1471" s="73">
        <v>0.89340764608551804</v>
      </c>
      <c r="AD1471" s="73">
        <v>0.92</v>
      </c>
      <c r="AE1471" s="71">
        <v>1</v>
      </c>
      <c r="AF1471" s="71">
        <v>0.96551724137931005</v>
      </c>
      <c r="AG1471" s="71">
        <v>1</v>
      </c>
      <c r="AH1471" s="71">
        <v>0.86641221374045796</v>
      </c>
      <c r="AI1471" s="73">
        <v>0.92</v>
      </c>
      <c r="AJ1471" s="71">
        <v>0.88785394932935902</v>
      </c>
      <c r="AK1471" s="71">
        <v>0.93576460837132203</v>
      </c>
      <c r="AL1471" s="71">
        <v>0.87695749440715898</v>
      </c>
      <c r="AM1471" s="71">
        <v>0.92051523719761197</v>
      </c>
      <c r="AN1471" s="70">
        <v>0.99</v>
      </c>
      <c r="AO1471" s="75">
        <v>1</v>
      </c>
      <c r="AP1471" s="75">
        <v>1</v>
      </c>
      <c r="AQ1471" s="75">
        <v>1</v>
      </c>
      <c r="AR1471" s="75">
        <v>1</v>
      </c>
      <c r="AS1471" s="95">
        <v>0.110069253262963</v>
      </c>
      <c r="AT1471" s="79">
        <v>0.125</v>
      </c>
      <c r="AU1471" s="79">
        <v>0</v>
      </c>
      <c r="AV1471" s="79">
        <v>0</v>
      </c>
      <c r="AW1471" s="79">
        <v>0.118811881188119</v>
      </c>
      <c r="AX1471" s="56"/>
      <c r="AY1471" s="54"/>
    </row>
    <row r="1472" spans="1:51">
      <c r="A1472" s="53"/>
      <c r="B1472" s="56"/>
      <c r="C1472" s="90" t="s">
        <v>1448</v>
      </c>
      <c r="D1472" s="230" t="s">
        <v>1757</v>
      </c>
      <c r="E1472" s="68" t="s">
        <v>1449</v>
      </c>
      <c r="F1472" s="106" t="s">
        <v>1497</v>
      </c>
      <c r="G1472" s="106" t="s">
        <v>1497</v>
      </c>
      <c r="H1472" s="106" t="s">
        <v>1497</v>
      </c>
      <c r="I1472" s="106" t="s">
        <v>1497</v>
      </c>
      <c r="J1472" s="70">
        <v>0.9</v>
      </c>
      <c r="K1472" s="71">
        <v>0.73076923076923095</v>
      </c>
      <c r="L1472" s="71">
        <v>0.71428571428571397</v>
      </c>
      <c r="M1472" s="72">
        <v>0.58333333333333304</v>
      </c>
      <c r="N1472" s="71">
        <v>0.77647058823529402</v>
      </c>
      <c r="O1472" s="73">
        <v>0.9</v>
      </c>
      <c r="P1472" s="71">
        <v>0.89600363306085395</v>
      </c>
      <c r="Q1472" s="71">
        <v>0.73265244818263697</v>
      </c>
      <c r="R1472" s="71">
        <v>0.68454164170161802</v>
      </c>
      <c r="S1472" s="71">
        <v>0.69854675250175302</v>
      </c>
      <c r="T1472" s="73">
        <v>0.9</v>
      </c>
      <c r="U1472" s="71">
        <v>0.79791099000908305</v>
      </c>
      <c r="V1472" s="71">
        <v>0.52658455992790598</v>
      </c>
      <c r="W1472" s="71">
        <v>0.49370880766926301</v>
      </c>
      <c r="X1472" s="71">
        <v>0.52023710880234597</v>
      </c>
      <c r="Y1472" s="73">
        <v>0.92</v>
      </c>
      <c r="Z1472" s="73" t="s">
        <v>1710</v>
      </c>
      <c r="AA1472" s="73" t="s">
        <v>1710</v>
      </c>
      <c r="AB1472" s="73" t="s">
        <v>1710</v>
      </c>
      <c r="AC1472" s="73" t="s">
        <v>1710</v>
      </c>
      <c r="AD1472" s="73">
        <v>0.92</v>
      </c>
      <c r="AE1472" s="71">
        <v>1</v>
      </c>
      <c r="AF1472" s="71">
        <v>1</v>
      </c>
      <c r="AG1472" s="71">
        <v>0.83333333333333304</v>
      </c>
      <c r="AH1472" s="71">
        <v>0.94202898550724601</v>
      </c>
      <c r="AI1472" s="73">
        <v>0.92</v>
      </c>
      <c r="AJ1472" s="71">
        <v>0.88737511353315202</v>
      </c>
      <c r="AK1472" s="71">
        <v>0.70832081706218097</v>
      </c>
      <c r="AL1472" s="71">
        <v>0.652486518873577</v>
      </c>
      <c r="AM1472" s="71">
        <v>0.71368474727516096</v>
      </c>
      <c r="AN1472" s="70">
        <v>0.99</v>
      </c>
      <c r="AO1472" s="75">
        <v>1</v>
      </c>
      <c r="AP1472" s="75">
        <v>1</v>
      </c>
      <c r="AQ1472" s="75" t="s">
        <v>1710</v>
      </c>
      <c r="AR1472" s="75">
        <v>1</v>
      </c>
      <c r="AS1472" s="95">
        <v>0.110069253262963</v>
      </c>
      <c r="AT1472" s="79">
        <v>0</v>
      </c>
      <c r="AU1472" s="79">
        <v>0.25</v>
      </c>
      <c r="AV1472" s="79">
        <v>0.30769230769230799</v>
      </c>
      <c r="AW1472" s="79">
        <v>0.14193548387096799</v>
      </c>
      <c r="AX1472" s="56"/>
      <c r="AY1472" s="54"/>
    </row>
    <row r="1473" spans="1:51">
      <c r="A1473" s="53"/>
      <c r="B1473" s="56"/>
      <c r="C1473" s="90" t="s">
        <v>1448</v>
      </c>
      <c r="D1473" s="230" t="s">
        <v>1757</v>
      </c>
      <c r="E1473" s="68" t="s">
        <v>1449</v>
      </c>
      <c r="F1473" s="106" t="s">
        <v>1498</v>
      </c>
      <c r="G1473" s="106" t="s">
        <v>1498</v>
      </c>
      <c r="H1473" s="106" t="s">
        <v>1498</v>
      </c>
      <c r="I1473" s="106" t="s">
        <v>1498</v>
      </c>
      <c r="J1473" s="70">
        <v>0.9</v>
      </c>
      <c r="K1473" s="71">
        <v>0.9375</v>
      </c>
      <c r="L1473" s="71">
        <v>0.84210526315789502</v>
      </c>
      <c r="M1473" s="72">
        <v>0.92307692307692302</v>
      </c>
      <c r="N1473" s="71">
        <v>0.9</v>
      </c>
      <c r="O1473" s="73">
        <v>0.9</v>
      </c>
      <c r="P1473" s="71">
        <v>0.90542635658914705</v>
      </c>
      <c r="Q1473" s="71">
        <v>0.21998562185478099</v>
      </c>
      <c r="R1473" s="71">
        <v>0.19623824451410701</v>
      </c>
      <c r="S1473" s="71">
        <v>0.39772369663274898</v>
      </c>
      <c r="T1473" s="73">
        <v>0.9</v>
      </c>
      <c r="U1473" s="71">
        <v>0.68217054263565902</v>
      </c>
      <c r="V1473" s="71">
        <v>0.15456506110711701</v>
      </c>
      <c r="W1473" s="71">
        <v>0.14106583072100301</v>
      </c>
      <c r="X1473" s="71">
        <v>0.29869925521871399</v>
      </c>
      <c r="Y1473" s="73">
        <v>0.92</v>
      </c>
      <c r="Z1473" s="73" t="s">
        <v>1710</v>
      </c>
      <c r="AA1473" s="73">
        <v>0</v>
      </c>
      <c r="AB1473" s="73">
        <v>0</v>
      </c>
      <c r="AC1473" s="73">
        <v>0</v>
      </c>
      <c r="AD1473" s="73">
        <v>0.92</v>
      </c>
      <c r="AE1473" s="71">
        <v>0.86363636363636398</v>
      </c>
      <c r="AF1473" s="71">
        <v>0.81818181818181801</v>
      </c>
      <c r="AG1473" s="71">
        <v>0.51351351351351304</v>
      </c>
      <c r="AH1473" s="71">
        <v>0.68548387096774199</v>
      </c>
      <c r="AI1473" s="73">
        <v>0.92</v>
      </c>
      <c r="AJ1473" s="71">
        <v>0.81085271317829499</v>
      </c>
      <c r="AK1473" s="71">
        <v>0.206576125804146</v>
      </c>
      <c r="AL1473" s="71">
        <v>0.18773466833541899</v>
      </c>
      <c r="AM1473" s="71">
        <v>0.363731656184486</v>
      </c>
      <c r="AN1473" s="70">
        <v>0.99</v>
      </c>
      <c r="AO1473" s="75">
        <v>1</v>
      </c>
      <c r="AP1473" s="75">
        <v>1</v>
      </c>
      <c r="AQ1473" s="75">
        <v>1</v>
      </c>
      <c r="AR1473" s="75">
        <v>1</v>
      </c>
      <c r="AS1473" s="95">
        <v>0.110069253262963</v>
      </c>
      <c r="AT1473" s="79">
        <v>0</v>
      </c>
      <c r="AU1473" s="79">
        <v>0</v>
      </c>
      <c r="AV1473" s="79">
        <v>0.92307692307692302</v>
      </c>
      <c r="AW1473" s="79">
        <v>0.11976911976912</v>
      </c>
      <c r="AX1473" s="56"/>
      <c r="AY1473" s="54"/>
    </row>
    <row r="1474" spans="1:51">
      <c r="A1474" s="53"/>
      <c r="B1474" s="56"/>
      <c r="C1474" s="90" t="s">
        <v>1448</v>
      </c>
      <c r="D1474" s="230" t="s">
        <v>1757</v>
      </c>
      <c r="E1474" s="68" t="s">
        <v>1449</v>
      </c>
      <c r="F1474" s="106" t="s">
        <v>1499</v>
      </c>
      <c r="G1474" s="106" t="s">
        <v>1499</v>
      </c>
      <c r="H1474" s="106" t="s">
        <v>1499</v>
      </c>
      <c r="I1474" s="106" t="s">
        <v>1499</v>
      </c>
      <c r="J1474" s="70">
        <v>0.9</v>
      </c>
      <c r="K1474" s="71">
        <v>1</v>
      </c>
      <c r="L1474" s="71">
        <v>1</v>
      </c>
      <c r="M1474" s="72">
        <v>1</v>
      </c>
      <c r="N1474" s="71">
        <v>0.86111111111111105</v>
      </c>
      <c r="O1474" s="73">
        <v>0.9</v>
      </c>
      <c r="P1474" s="71">
        <v>0.39690721649484501</v>
      </c>
      <c r="Q1474" s="71">
        <v>0.31162790697674397</v>
      </c>
      <c r="R1474" s="71">
        <v>0.70194986072423404</v>
      </c>
      <c r="S1474" s="71">
        <v>0.64625058220773202</v>
      </c>
      <c r="T1474" s="73">
        <v>0.9</v>
      </c>
      <c r="U1474" s="71">
        <v>0.42268041237113402</v>
      </c>
      <c r="V1474" s="71">
        <v>0.293023255813953</v>
      </c>
      <c r="W1474" s="71">
        <v>0.38774373259052902</v>
      </c>
      <c r="X1474" s="71">
        <v>0.388216115510014</v>
      </c>
      <c r="Y1474" s="73">
        <v>0.92</v>
      </c>
      <c r="Z1474" s="73" t="s">
        <v>1710</v>
      </c>
      <c r="AA1474" s="73" t="s">
        <v>1710</v>
      </c>
      <c r="AB1474" s="73" t="s">
        <v>1710</v>
      </c>
      <c r="AC1474" s="73" t="s">
        <v>1710</v>
      </c>
      <c r="AD1474" s="73">
        <v>0.92</v>
      </c>
      <c r="AE1474" s="71">
        <v>0</v>
      </c>
      <c r="AF1474" s="71">
        <v>0.33333333333333298</v>
      </c>
      <c r="AG1474" s="71" t="s">
        <v>1710</v>
      </c>
      <c r="AH1474" s="71">
        <v>0.71739130434782605</v>
      </c>
      <c r="AI1474" s="73">
        <v>0.92</v>
      </c>
      <c r="AJ1474" s="71">
        <v>0.44615384615384601</v>
      </c>
      <c r="AK1474" s="71">
        <v>0.26446280991735499</v>
      </c>
      <c r="AL1474" s="71">
        <v>0.42562674094707498</v>
      </c>
      <c r="AM1474" s="71">
        <v>0.42258360054970201</v>
      </c>
      <c r="AN1474" s="70">
        <v>0.99</v>
      </c>
      <c r="AO1474" s="75" t="s">
        <v>1710</v>
      </c>
      <c r="AP1474" s="75">
        <v>1</v>
      </c>
      <c r="AQ1474" s="75" t="s">
        <v>1710</v>
      </c>
      <c r="AR1474" s="75">
        <v>1</v>
      </c>
      <c r="AS1474" s="95">
        <v>0.110069253262963</v>
      </c>
      <c r="AT1474" s="79">
        <v>6.5217391304347797E-2</v>
      </c>
      <c r="AU1474" s="79">
        <v>0.107142857142857</v>
      </c>
      <c r="AV1474" s="79">
        <v>9.6774193548387094E-2</v>
      </c>
      <c r="AW1474" s="79">
        <v>0.121739130434783</v>
      </c>
      <c r="AX1474" s="56"/>
      <c r="AY1474" s="54"/>
    </row>
    <row r="1475" spans="1:51">
      <c r="A1475" s="53"/>
      <c r="B1475" s="56"/>
      <c r="C1475" s="90" t="s">
        <v>1448</v>
      </c>
      <c r="D1475" s="230" t="s">
        <v>1757</v>
      </c>
      <c r="E1475" s="68" t="s">
        <v>1449</v>
      </c>
      <c r="F1475" s="106" t="s">
        <v>1500</v>
      </c>
      <c r="G1475" s="106" t="s">
        <v>1500</v>
      </c>
      <c r="H1475" s="106" t="s">
        <v>1500</v>
      </c>
      <c r="I1475" s="106" t="s">
        <v>1500</v>
      </c>
      <c r="J1475" s="70">
        <v>0.9</v>
      </c>
      <c r="K1475" s="71">
        <v>0.78947368421052599</v>
      </c>
      <c r="L1475" s="71">
        <v>0.71428571428571397</v>
      </c>
      <c r="M1475" s="72">
        <v>0.8</v>
      </c>
      <c r="N1475" s="71">
        <v>0.8068669527897</v>
      </c>
      <c r="O1475" s="73">
        <v>0.9</v>
      </c>
      <c r="P1475" s="71">
        <v>0.5</v>
      </c>
      <c r="Q1475" s="71" t="s">
        <v>1710</v>
      </c>
      <c r="R1475" s="71" t="s">
        <v>1710</v>
      </c>
      <c r="S1475" s="71">
        <v>0.25</v>
      </c>
      <c r="T1475" s="73">
        <v>0.9</v>
      </c>
      <c r="U1475" s="71">
        <v>0</v>
      </c>
      <c r="V1475" s="71" t="s">
        <v>1710</v>
      </c>
      <c r="W1475" s="71" t="s">
        <v>1710</v>
      </c>
      <c r="X1475" s="71">
        <v>0.5</v>
      </c>
      <c r="Y1475" s="73">
        <v>0.92</v>
      </c>
      <c r="Z1475" s="73" t="s">
        <v>1710</v>
      </c>
      <c r="AA1475" s="73" t="s">
        <v>1710</v>
      </c>
      <c r="AB1475" s="73" t="s">
        <v>1710</v>
      </c>
      <c r="AC1475" s="73" t="s">
        <v>1710</v>
      </c>
      <c r="AD1475" s="73">
        <v>0.92</v>
      </c>
      <c r="AE1475" s="71">
        <v>0</v>
      </c>
      <c r="AF1475" s="71">
        <v>0</v>
      </c>
      <c r="AG1475" s="71">
        <v>0</v>
      </c>
      <c r="AH1475" s="71">
        <v>0.20652173913043501</v>
      </c>
      <c r="AI1475" s="73">
        <v>0.92</v>
      </c>
      <c r="AJ1475" s="71">
        <v>0.85725709716113596</v>
      </c>
      <c r="AK1475" s="71">
        <v>0.91195335276967904</v>
      </c>
      <c r="AL1475" s="71">
        <v>0.92948237059264804</v>
      </c>
      <c r="AM1475" s="71">
        <v>0.930617379523902</v>
      </c>
      <c r="AN1475" s="70">
        <v>0.99</v>
      </c>
      <c r="AO1475" s="75">
        <v>1</v>
      </c>
      <c r="AP1475" s="75">
        <v>1</v>
      </c>
      <c r="AQ1475" s="75">
        <v>1</v>
      </c>
      <c r="AR1475" s="75">
        <v>1</v>
      </c>
      <c r="AS1475" s="95">
        <v>0.110069253262963</v>
      </c>
      <c r="AT1475" s="79">
        <v>0.16</v>
      </c>
      <c r="AU1475" s="79">
        <v>4.1666666666666699E-2</v>
      </c>
      <c r="AV1475" s="79">
        <v>0.148148148148148</v>
      </c>
      <c r="AW1475" s="79">
        <v>0.10033444816053499</v>
      </c>
      <c r="AX1475" s="56"/>
      <c r="AY1475" s="54"/>
    </row>
    <row r="1476" spans="1:51">
      <c r="A1476" s="53"/>
      <c r="B1476" s="56"/>
      <c r="C1476" s="90" t="s">
        <v>1448</v>
      </c>
      <c r="D1476" s="230" t="s">
        <v>1757</v>
      </c>
      <c r="E1476" s="68" t="s">
        <v>1449</v>
      </c>
      <c r="F1476" s="106" t="s">
        <v>1501</v>
      </c>
      <c r="G1476" s="106" t="s">
        <v>1501</v>
      </c>
      <c r="H1476" s="106" t="s">
        <v>1501</v>
      </c>
      <c r="I1476" s="106" t="s">
        <v>1501</v>
      </c>
      <c r="J1476" s="70">
        <v>0.9</v>
      </c>
      <c r="K1476" s="71">
        <v>0.92307692307692302</v>
      </c>
      <c r="L1476" s="71">
        <v>0.9375</v>
      </c>
      <c r="M1476" s="72">
        <v>0.8</v>
      </c>
      <c r="N1476" s="71">
        <v>0.905063291139241</v>
      </c>
      <c r="O1476" s="73">
        <v>0.9</v>
      </c>
      <c r="P1476" s="71">
        <v>0.35719063545150498</v>
      </c>
      <c r="Q1476" s="71">
        <v>0.17926829268292699</v>
      </c>
      <c r="R1476" s="71">
        <v>0.42660550458715601</v>
      </c>
      <c r="S1476" s="71">
        <v>0.441679428279735</v>
      </c>
      <c r="T1476" s="73">
        <v>0.9</v>
      </c>
      <c r="U1476" s="71">
        <v>0.32709030100334402</v>
      </c>
      <c r="V1476" s="71">
        <v>0.14390243902439001</v>
      </c>
      <c r="W1476" s="71">
        <v>0.26376146788990801</v>
      </c>
      <c r="X1476" s="71">
        <v>0.361026033690658</v>
      </c>
      <c r="Y1476" s="73">
        <v>0.92</v>
      </c>
      <c r="Z1476" s="73" t="s">
        <v>1710</v>
      </c>
      <c r="AA1476" s="73" t="s">
        <v>1710</v>
      </c>
      <c r="AB1476" s="73" t="s">
        <v>1710</v>
      </c>
      <c r="AC1476" s="73" t="s">
        <v>1710</v>
      </c>
      <c r="AD1476" s="73">
        <v>0.92</v>
      </c>
      <c r="AE1476" s="71">
        <v>1</v>
      </c>
      <c r="AF1476" s="71">
        <v>0</v>
      </c>
      <c r="AG1476" s="71">
        <v>0.5</v>
      </c>
      <c r="AH1476" s="71">
        <v>0.27835051546391798</v>
      </c>
      <c r="AI1476" s="73">
        <v>0.92</v>
      </c>
      <c r="AJ1476" s="71">
        <v>0.44749163879598702</v>
      </c>
      <c r="AK1476" s="71">
        <v>0.159756097560976</v>
      </c>
      <c r="AL1476" s="71">
        <v>0.302752293577982</v>
      </c>
      <c r="AM1476" s="71">
        <v>0.45188871873404801</v>
      </c>
      <c r="AN1476" s="70">
        <v>0.99</v>
      </c>
      <c r="AO1476" s="75">
        <v>1</v>
      </c>
      <c r="AP1476" s="75">
        <v>1</v>
      </c>
      <c r="AQ1476" s="75" t="s">
        <v>1710</v>
      </c>
      <c r="AR1476" s="75">
        <v>1</v>
      </c>
      <c r="AS1476" s="95">
        <v>0.110069253262963</v>
      </c>
      <c r="AT1476" s="79">
        <v>3.8461538461538498E-2</v>
      </c>
      <c r="AU1476" s="79">
        <v>2.7777777777777801E-2</v>
      </c>
      <c r="AV1476" s="79">
        <v>0</v>
      </c>
      <c r="AW1476" s="79">
        <v>0.13150289017340999</v>
      </c>
      <c r="AX1476" s="56"/>
      <c r="AY1476" s="54"/>
    </row>
    <row r="1477" spans="1:51">
      <c r="A1477" s="53"/>
      <c r="B1477" s="56"/>
      <c r="C1477" s="90" t="s">
        <v>1448</v>
      </c>
      <c r="D1477" s="230" t="s">
        <v>1757</v>
      </c>
      <c r="E1477" s="68" t="s">
        <v>1449</v>
      </c>
      <c r="F1477" s="106" t="s">
        <v>1502</v>
      </c>
      <c r="G1477" s="106" t="s">
        <v>1502</v>
      </c>
      <c r="H1477" s="106" t="s">
        <v>1502</v>
      </c>
      <c r="I1477" s="106" t="s">
        <v>1502</v>
      </c>
      <c r="J1477" s="70">
        <v>0.9</v>
      </c>
      <c r="K1477" s="71">
        <v>0.90909090909090895</v>
      </c>
      <c r="L1477" s="71">
        <v>1</v>
      </c>
      <c r="M1477" s="72">
        <v>1</v>
      </c>
      <c r="N1477" s="71">
        <v>0.98373983739837401</v>
      </c>
      <c r="O1477" s="73">
        <v>0.9</v>
      </c>
      <c r="P1477" s="71">
        <v>0.59112370160528804</v>
      </c>
      <c r="Q1477" s="71">
        <v>0.152625152625153</v>
      </c>
      <c r="R1477" s="71">
        <v>0.28320802005012502</v>
      </c>
      <c r="S1477" s="71">
        <v>0.49444677284157601</v>
      </c>
      <c r="T1477" s="73">
        <v>0.9</v>
      </c>
      <c r="U1477" s="71">
        <v>0.36827195467422102</v>
      </c>
      <c r="V1477" s="71">
        <v>0.14896214896214899</v>
      </c>
      <c r="W1477" s="71">
        <v>0.27318295739348403</v>
      </c>
      <c r="X1477" s="71">
        <v>0.40915758591785401</v>
      </c>
      <c r="Y1477" s="73">
        <v>0.92</v>
      </c>
      <c r="Z1477" s="73" t="s">
        <v>1710</v>
      </c>
      <c r="AA1477" s="73" t="s">
        <v>1710</v>
      </c>
      <c r="AB1477" s="73" t="s">
        <v>1710</v>
      </c>
      <c r="AC1477" s="73" t="s">
        <v>1710</v>
      </c>
      <c r="AD1477" s="73">
        <v>0.92</v>
      </c>
      <c r="AE1477" s="71">
        <v>0</v>
      </c>
      <c r="AF1477" s="71">
        <v>0</v>
      </c>
      <c r="AG1477" s="71">
        <v>1</v>
      </c>
      <c r="AH1477" s="71">
        <v>0.54716981132075504</v>
      </c>
      <c r="AI1477" s="73">
        <v>0.92</v>
      </c>
      <c r="AJ1477" s="71">
        <v>0.49102927289896098</v>
      </c>
      <c r="AK1477" s="71">
        <v>0.26373626373626402</v>
      </c>
      <c r="AL1477" s="71">
        <v>0.290726817042607</v>
      </c>
      <c r="AM1477" s="71">
        <v>0.48910310142497898</v>
      </c>
      <c r="AN1477" s="70">
        <v>0.99</v>
      </c>
      <c r="AO1477" s="75">
        <v>1</v>
      </c>
      <c r="AP1477" s="75">
        <v>1</v>
      </c>
      <c r="AQ1477" s="75" t="s">
        <v>1710</v>
      </c>
      <c r="AR1477" s="75">
        <v>1</v>
      </c>
      <c r="AS1477" s="95">
        <v>0.110069253262963</v>
      </c>
      <c r="AT1477" s="79">
        <v>6.1224489795918401E-2</v>
      </c>
      <c r="AU1477" s="79">
        <v>2.5000000000000001E-2</v>
      </c>
      <c r="AV1477" s="79">
        <v>0.11764705882352899</v>
      </c>
      <c r="AW1477" s="79">
        <v>0.121149897330595</v>
      </c>
      <c r="AX1477" s="56"/>
      <c r="AY1477" s="54"/>
    </row>
    <row r="1478" spans="1:51">
      <c r="A1478" s="53"/>
      <c r="B1478" s="56"/>
      <c r="C1478" s="90" t="s">
        <v>1448</v>
      </c>
      <c r="D1478" s="230" t="s">
        <v>1757</v>
      </c>
      <c r="E1478" s="68" t="s">
        <v>1449</v>
      </c>
      <c r="F1478" s="106" t="s">
        <v>1503</v>
      </c>
      <c r="G1478" s="106" t="s">
        <v>1503</v>
      </c>
      <c r="H1478" s="106" t="s">
        <v>1503</v>
      </c>
      <c r="I1478" s="106" t="s">
        <v>1503</v>
      </c>
      <c r="J1478" s="70">
        <v>0.9</v>
      </c>
      <c r="K1478" s="71">
        <v>0.92307692307692302</v>
      </c>
      <c r="L1478" s="71">
        <v>1</v>
      </c>
      <c r="M1478" s="72">
        <v>1</v>
      </c>
      <c r="N1478" s="71">
        <v>0.97857142857142898</v>
      </c>
      <c r="O1478" s="73">
        <v>0.9</v>
      </c>
      <c r="P1478" s="71">
        <v>1</v>
      </c>
      <c r="Q1478" s="71">
        <v>1</v>
      </c>
      <c r="R1478" s="71">
        <v>0.99867986798679897</v>
      </c>
      <c r="S1478" s="71">
        <v>0.99770158973376699</v>
      </c>
      <c r="T1478" s="73">
        <v>0.9</v>
      </c>
      <c r="U1478" s="71">
        <v>0.99290780141844004</v>
      </c>
      <c r="V1478" s="71">
        <v>0.82284921369102704</v>
      </c>
      <c r="W1478" s="71">
        <v>0.71287128712871295</v>
      </c>
      <c r="X1478" s="71">
        <v>0.82465045010534399</v>
      </c>
      <c r="Y1478" s="73">
        <v>0.92</v>
      </c>
      <c r="Z1478" s="73" t="s">
        <v>1710</v>
      </c>
      <c r="AA1478" s="73" t="s">
        <v>1710</v>
      </c>
      <c r="AB1478" s="73" t="s">
        <v>1710</v>
      </c>
      <c r="AC1478" s="73" t="s">
        <v>1710</v>
      </c>
      <c r="AD1478" s="73">
        <v>0.92</v>
      </c>
      <c r="AE1478" s="71">
        <v>0.5</v>
      </c>
      <c r="AF1478" s="71">
        <v>0.85294117647058798</v>
      </c>
      <c r="AG1478" s="71">
        <v>0.18181818181818199</v>
      </c>
      <c r="AH1478" s="71">
        <v>0.73103448275862104</v>
      </c>
      <c r="AI1478" s="73">
        <v>0.92</v>
      </c>
      <c r="AJ1478" s="71">
        <v>0.99290780141844004</v>
      </c>
      <c r="AK1478" s="71">
        <v>0.83626271970397803</v>
      </c>
      <c r="AL1478" s="71">
        <v>0.72475247524752495</v>
      </c>
      <c r="AM1478" s="71">
        <v>0.85634935836046699</v>
      </c>
      <c r="AN1478" s="70">
        <v>0.99</v>
      </c>
      <c r="AO1478" s="75">
        <v>1</v>
      </c>
      <c r="AP1478" s="75">
        <v>1</v>
      </c>
      <c r="AQ1478" s="75">
        <v>1</v>
      </c>
      <c r="AR1478" s="75">
        <v>1</v>
      </c>
      <c r="AS1478" s="95">
        <v>0.110069253262963</v>
      </c>
      <c r="AT1478" s="79">
        <v>0.178294573643411</v>
      </c>
      <c r="AU1478" s="79">
        <v>6.4000000000000001E-2</v>
      </c>
      <c r="AV1478" s="79">
        <v>8.3333333333333301E-2</v>
      </c>
      <c r="AW1478" s="79">
        <v>0.11354838709677401</v>
      </c>
      <c r="AX1478" s="56"/>
      <c r="AY1478" s="54"/>
    </row>
    <row r="1479" spans="1:51">
      <c r="A1479" s="53"/>
      <c r="B1479" s="56"/>
      <c r="C1479" s="90" t="s">
        <v>1448</v>
      </c>
      <c r="D1479" s="230" t="s">
        <v>1757</v>
      </c>
      <c r="E1479" s="68" t="s">
        <v>1449</v>
      </c>
      <c r="F1479" s="106" t="s">
        <v>1504</v>
      </c>
      <c r="G1479" s="106" t="s">
        <v>1504</v>
      </c>
      <c r="H1479" s="106" t="s">
        <v>1504</v>
      </c>
      <c r="I1479" s="106" t="s">
        <v>1504</v>
      </c>
      <c r="J1479" s="70">
        <v>0.9</v>
      </c>
      <c r="K1479" s="71">
        <v>0.967741935483871</v>
      </c>
      <c r="L1479" s="71">
        <v>0.93548387096774199</v>
      </c>
      <c r="M1479" s="72">
        <v>0.96666666666666701</v>
      </c>
      <c r="N1479" s="71">
        <v>0.96706586826347296</v>
      </c>
      <c r="O1479" s="73">
        <v>0.9</v>
      </c>
      <c r="P1479" s="71">
        <v>0.99892933618843704</v>
      </c>
      <c r="Q1479" s="71">
        <v>0.99486803519061595</v>
      </c>
      <c r="R1479" s="71">
        <v>0.99101796407185605</v>
      </c>
      <c r="S1479" s="71">
        <v>0.99616070204305496</v>
      </c>
      <c r="T1479" s="73">
        <v>0.9</v>
      </c>
      <c r="U1479" s="71">
        <v>0.914614561027837</v>
      </c>
      <c r="V1479" s="71">
        <v>0.85752688172043001</v>
      </c>
      <c r="W1479" s="71">
        <v>0.91467065868263497</v>
      </c>
      <c r="X1479" s="71">
        <v>0.91583710407239804</v>
      </c>
      <c r="Y1479" s="73">
        <v>0.92</v>
      </c>
      <c r="Z1479" s="73" t="s">
        <v>1710</v>
      </c>
      <c r="AA1479" s="73" t="s">
        <v>1710</v>
      </c>
      <c r="AB1479" s="73" t="s">
        <v>1710</v>
      </c>
      <c r="AC1479" s="73">
        <v>0</v>
      </c>
      <c r="AD1479" s="73">
        <v>0.92</v>
      </c>
      <c r="AE1479" s="71">
        <v>1</v>
      </c>
      <c r="AF1479" s="71">
        <v>0.91891891891891897</v>
      </c>
      <c r="AG1479" s="71">
        <v>0.98039215686274495</v>
      </c>
      <c r="AH1479" s="71">
        <v>0.953346855983773</v>
      </c>
      <c r="AI1479" s="73">
        <v>0.92</v>
      </c>
      <c r="AJ1479" s="71">
        <v>0.97831905781584605</v>
      </c>
      <c r="AK1479" s="71">
        <v>0.97751710654936497</v>
      </c>
      <c r="AL1479" s="71">
        <v>0.96107784431137699</v>
      </c>
      <c r="AM1479" s="71">
        <v>0.98085888224647599</v>
      </c>
      <c r="AN1479" s="70">
        <v>0.99</v>
      </c>
      <c r="AO1479" s="75">
        <v>1</v>
      </c>
      <c r="AP1479" s="75">
        <v>1</v>
      </c>
      <c r="AQ1479" s="75">
        <v>1</v>
      </c>
      <c r="AR1479" s="75">
        <v>1</v>
      </c>
      <c r="AS1479" s="95">
        <v>0.110069253262963</v>
      </c>
      <c r="AT1479" s="79">
        <v>0</v>
      </c>
      <c r="AU1479" s="79">
        <v>9.5238095238095205E-2</v>
      </c>
      <c r="AV1479" s="79">
        <v>5.5555555555555601E-2</v>
      </c>
      <c r="AW1479" s="79">
        <v>7.6470588235294096E-2</v>
      </c>
      <c r="AX1479" s="56"/>
      <c r="AY1479" s="54"/>
    </row>
    <row r="1480" spans="1:51">
      <c r="A1480" s="53"/>
      <c r="B1480" s="56"/>
      <c r="C1480" s="90" t="s">
        <v>1448</v>
      </c>
      <c r="D1480" s="230" t="s">
        <v>1757</v>
      </c>
      <c r="E1480" s="68" t="s">
        <v>1449</v>
      </c>
      <c r="F1480" s="106" t="s">
        <v>1505</v>
      </c>
      <c r="G1480" s="106" t="s">
        <v>1505</v>
      </c>
      <c r="H1480" s="106" t="s">
        <v>1505</v>
      </c>
      <c r="I1480" s="106" t="s">
        <v>1505</v>
      </c>
      <c r="J1480" s="70">
        <v>0.9</v>
      </c>
      <c r="K1480" s="71">
        <v>0.26315789473684198</v>
      </c>
      <c r="L1480" s="71">
        <v>0.238095238095238</v>
      </c>
      <c r="M1480" s="72">
        <v>0.27777777777777801</v>
      </c>
      <c r="N1480" s="71">
        <v>0.27167630057803499</v>
      </c>
      <c r="O1480" s="73">
        <v>0.9</v>
      </c>
      <c r="P1480" s="71">
        <v>0.48371647509578503</v>
      </c>
      <c r="Q1480" s="71">
        <v>0.77647058823529402</v>
      </c>
      <c r="R1480" s="71">
        <v>0.63606010016694503</v>
      </c>
      <c r="S1480" s="71">
        <v>0.70471630110184302</v>
      </c>
      <c r="T1480" s="73">
        <v>0.9</v>
      </c>
      <c r="U1480" s="71">
        <v>0.31513409961685801</v>
      </c>
      <c r="V1480" s="71">
        <v>0.61764705882352899</v>
      </c>
      <c r="W1480" s="71">
        <v>0.495826377295493</v>
      </c>
      <c r="X1480" s="71">
        <v>0.64638039336834496</v>
      </c>
      <c r="Y1480" s="73">
        <v>0.92</v>
      </c>
      <c r="Z1480" s="73" t="s">
        <v>1710</v>
      </c>
      <c r="AA1480" s="73" t="s">
        <v>1710</v>
      </c>
      <c r="AB1480" s="73" t="s">
        <v>1710</v>
      </c>
      <c r="AC1480" s="73" t="s">
        <v>1710</v>
      </c>
      <c r="AD1480" s="73">
        <v>0.92</v>
      </c>
      <c r="AE1480" s="71">
        <v>0</v>
      </c>
      <c r="AF1480" s="71" t="s">
        <v>1710</v>
      </c>
      <c r="AG1480" s="71">
        <v>0.5</v>
      </c>
      <c r="AH1480" s="71">
        <v>0.18918918918918901</v>
      </c>
      <c r="AI1480" s="73">
        <v>0.92</v>
      </c>
      <c r="AJ1480" s="71">
        <v>0.43438697318007702</v>
      </c>
      <c r="AK1480" s="71">
        <v>0.66372549019607796</v>
      </c>
      <c r="AL1480" s="71">
        <v>0.63105175292153604</v>
      </c>
      <c r="AM1480" s="71">
        <v>0.716933532410029</v>
      </c>
      <c r="AN1480" s="70">
        <v>0.99</v>
      </c>
      <c r="AO1480" s="75" t="s">
        <v>1710</v>
      </c>
      <c r="AP1480" s="75">
        <v>1</v>
      </c>
      <c r="AQ1480" s="75">
        <v>1</v>
      </c>
      <c r="AR1480" s="75">
        <v>1</v>
      </c>
      <c r="AS1480" s="95">
        <v>0.110069253262963</v>
      </c>
      <c r="AT1480" s="79">
        <v>0.18181818181818199</v>
      </c>
      <c r="AU1480" s="79">
        <v>0.28571428571428598</v>
      </c>
      <c r="AV1480" s="79">
        <v>0.162162162162162</v>
      </c>
      <c r="AW1480" s="79">
        <v>0.22970639032815199</v>
      </c>
      <c r="AX1480" s="56"/>
      <c r="AY1480" s="54"/>
    </row>
    <row r="1481" spans="1:51">
      <c r="A1481" s="53"/>
      <c r="B1481" s="56"/>
      <c r="C1481" s="90" t="s">
        <v>1448</v>
      </c>
      <c r="D1481" s="230" t="s">
        <v>1757</v>
      </c>
      <c r="E1481" s="68" t="s">
        <v>1449</v>
      </c>
      <c r="F1481" s="106" t="s">
        <v>1506</v>
      </c>
      <c r="G1481" s="106" t="s">
        <v>1506</v>
      </c>
      <c r="H1481" s="106" t="s">
        <v>1506</v>
      </c>
      <c r="I1481" s="106" t="s">
        <v>1506</v>
      </c>
      <c r="J1481" s="70">
        <v>0.9</v>
      </c>
      <c r="K1481" s="71">
        <v>0.69230769230769196</v>
      </c>
      <c r="L1481" s="71">
        <v>0.57575757575757602</v>
      </c>
      <c r="M1481" s="72">
        <v>0.44</v>
      </c>
      <c r="N1481" s="71">
        <v>0.51249999999999996</v>
      </c>
      <c r="O1481" s="73">
        <v>0.9</v>
      </c>
      <c r="P1481" s="71">
        <v>0.81945162959130902</v>
      </c>
      <c r="Q1481" s="71">
        <v>0.62427542596170704</v>
      </c>
      <c r="R1481" s="71">
        <v>0.68194291986827704</v>
      </c>
      <c r="S1481" s="71">
        <v>0.631851851851852</v>
      </c>
      <c r="T1481" s="73">
        <v>0.9</v>
      </c>
      <c r="U1481" s="71">
        <v>0.78530781169167097</v>
      </c>
      <c r="V1481" s="71">
        <v>0.48041454417705998</v>
      </c>
      <c r="W1481" s="71">
        <v>0.46542261251372102</v>
      </c>
      <c r="X1481" s="71">
        <v>0.50276972624798699</v>
      </c>
      <c r="Y1481" s="73">
        <v>0.92</v>
      </c>
      <c r="Z1481" s="73" t="s">
        <v>1710</v>
      </c>
      <c r="AA1481" s="73" t="s">
        <v>1710</v>
      </c>
      <c r="AB1481" s="73" t="s">
        <v>1710</v>
      </c>
      <c r="AC1481" s="73" t="s">
        <v>1710</v>
      </c>
      <c r="AD1481" s="73">
        <v>0.92</v>
      </c>
      <c r="AE1481" s="71">
        <v>0.75</v>
      </c>
      <c r="AF1481" s="71">
        <v>0.875</v>
      </c>
      <c r="AG1481" s="71">
        <v>1</v>
      </c>
      <c r="AH1481" s="71">
        <v>0.79104477611940305</v>
      </c>
      <c r="AI1481" s="73">
        <v>0.92</v>
      </c>
      <c r="AJ1481" s="71">
        <v>0.82617692705638901</v>
      </c>
      <c r="AK1481" s="71">
        <v>0.66924292991392897</v>
      </c>
      <c r="AL1481" s="71">
        <v>0.56558726673984605</v>
      </c>
      <c r="AM1481" s="71">
        <v>0.65263598595858396</v>
      </c>
      <c r="AN1481" s="70">
        <v>0.99</v>
      </c>
      <c r="AO1481" s="75">
        <v>1</v>
      </c>
      <c r="AP1481" s="75" t="s">
        <v>1710</v>
      </c>
      <c r="AQ1481" s="75" t="s">
        <v>1710</v>
      </c>
      <c r="AR1481" s="75">
        <v>1</v>
      </c>
      <c r="AS1481" s="95">
        <v>0.110069253262963</v>
      </c>
      <c r="AT1481" s="79">
        <v>0.14285714285714299</v>
      </c>
      <c r="AU1481" s="79">
        <v>0.1</v>
      </c>
      <c r="AV1481" s="79">
        <v>0.27777777777777801</v>
      </c>
      <c r="AW1481" s="79">
        <v>0.15</v>
      </c>
      <c r="AX1481" s="56"/>
      <c r="AY1481" s="54"/>
    </row>
    <row r="1482" spans="1:51">
      <c r="A1482" s="53"/>
      <c r="B1482" s="56"/>
      <c r="C1482" s="90" t="s">
        <v>1448</v>
      </c>
      <c r="D1482" s="230" t="s">
        <v>1757</v>
      </c>
      <c r="E1482" s="68" t="s">
        <v>1449</v>
      </c>
      <c r="F1482" s="106" t="s">
        <v>1507</v>
      </c>
      <c r="G1482" s="106" t="s">
        <v>1507</v>
      </c>
      <c r="H1482" s="106" t="s">
        <v>1507</v>
      </c>
      <c r="I1482" s="106" t="s">
        <v>1507</v>
      </c>
      <c r="J1482" s="70">
        <v>0.9</v>
      </c>
      <c r="K1482" s="71">
        <v>0.69230769230769196</v>
      </c>
      <c r="L1482" s="71">
        <v>0.71428571428571397</v>
      </c>
      <c r="M1482" s="72">
        <v>0.88</v>
      </c>
      <c r="N1482" s="71">
        <v>0.75684931506849296</v>
      </c>
      <c r="O1482" s="73">
        <v>0.9</v>
      </c>
      <c r="P1482" s="71">
        <v>0.89914701455092805</v>
      </c>
      <c r="Q1482" s="71">
        <v>0.78260869565217395</v>
      </c>
      <c r="R1482" s="71">
        <v>0.85377221089426203</v>
      </c>
      <c r="S1482" s="71">
        <v>0.82424604923503098</v>
      </c>
      <c r="T1482" s="73">
        <v>0.9</v>
      </c>
      <c r="U1482" s="71">
        <v>0.80381334671349702</v>
      </c>
      <c r="V1482" s="71">
        <v>0.62825213899074595</v>
      </c>
      <c r="W1482" s="71">
        <v>0.68628022138071698</v>
      </c>
      <c r="X1482" s="71">
        <v>0.65396965308820798</v>
      </c>
      <c r="Y1482" s="73">
        <v>0.92</v>
      </c>
      <c r="Z1482" s="73" t="s">
        <v>1710</v>
      </c>
      <c r="AA1482" s="73" t="s">
        <v>1710</v>
      </c>
      <c r="AB1482" s="73" t="s">
        <v>1710</v>
      </c>
      <c r="AC1482" s="73" t="s">
        <v>1710</v>
      </c>
      <c r="AD1482" s="73">
        <v>0.92</v>
      </c>
      <c r="AE1482" s="71">
        <v>0.92857142857142905</v>
      </c>
      <c r="AF1482" s="71">
        <v>0.90625</v>
      </c>
      <c r="AG1482" s="71">
        <v>0.66666666666666696</v>
      </c>
      <c r="AH1482" s="71">
        <v>0.86885245901639296</v>
      </c>
      <c r="AI1482" s="73">
        <v>0.92</v>
      </c>
      <c r="AJ1482" s="71">
        <v>0.88309081786251897</v>
      </c>
      <c r="AK1482" s="71">
        <v>0.77771957394796598</v>
      </c>
      <c r="AL1482" s="71">
        <v>0.75793766385085903</v>
      </c>
      <c r="AM1482" s="71">
        <v>0.81080400428130694</v>
      </c>
      <c r="AN1482" s="70">
        <v>0.99</v>
      </c>
      <c r="AO1482" s="75">
        <v>1</v>
      </c>
      <c r="AP1482" s="75">
        <v>1</v>
      </c>
      <c r="AQ1482" s="75">
        <v>1</v>
      </c>
      <c r="AR1482" s="75">
        <v>1</v>
      </c>
      <c r="AS1482" s="95">
        <v>0.110069253262963</v>
      </c>
      <c r="AT1482" s="79">
        <v>0.2</v>
      </c>
      <c r="AU1482" s="79">
        <v>5.8823529411764698E-2</v>
      </c>
      <c r="AV1482" s="79">
        <v>7.69230769230769E-2</v>
      </c>
      <c r="AW1482" s="79">
        <v>8.5836909871244593E-2</v>
      </c>
      <c r="AX1482" s="56"/>
      <c r="AY1482" s="54"/>
    </row>
    <row r="1483" spans="1:51">
      <c r="A1483" s="53"/>
      <c r="B1483" s="56"/>
      <c r="C1483" s="90" t="s">
        <v>1448</v>
      </c>
      <c r="D1483" s="230" t="s">
        <v>1759</v>
      </c>
      <c r="E1483" s="68" t="s">
        <v>1449</v>
      </c>
      <c r="F1483" s="106" t="s">
        <v>1508</v>
      </c>
      <c r="G1483" s="106" t="s">
        <v>1508</v>
      </c>
      <c r="H1483" s="106" t="s">
        <v>1508</v>
      </c>
      <c r="I1483" s="106" t="s">
        <v>1508</v>
      </c>
      <c r="J1483" s="70">
        <v>0.9</v>
      </c>
      <c r="K1483" s="71" t="s">
        <v>1710</v>
      </c>
      <c r="L1483" s="71" t="s">
        <v>1710</v>
      </c>
      <c r="M1483" s="72" t="s">
        <v>1710</v>
      </c>
      <c r="N1483" s="71" t="s">
        <v>1710</v>
      </c>
      <c r="O1483" s="73">
        <v>0.9</v>
      </c>
      <c r="P1483" s="71" t="s">
        <v>1710</v>
      </c>
      <c r="Q1483" s="71" t="s">
        <v>1710</v>
      </c>
      <c r="R1483" s="71" t="s">
        <v>1710</v>
      </c>
      <c r="S1483" s="71">
        <v>0</v>
      </c>
      <c r="T1483" s="73">
        <v>0.9</v>
      </c>
      <c r="U1483" s="71" t="s">
        <v>1710</v>
      </c>
      <c r="V1483" s="71" t="s">
        <v>1710</v>
      </c>
      <c r="W1483" s="71" t="s">
        <v>1710</v>
      </c>
      <c r="X1483" s="71">
        <v>1</v>
      </c>
      <c r="Y1483" s="73">
        <v>0.92</v>
      </c>
      <c r="Z1483" s="73" t="s">
        <v>1710</v>
      </c>
      <c r="AA1483" s="73" t="s">
        <v>1710</v>
      </c>
      <c r="AB1483" s="73" t="s">
        <v>1710</v>
      </c>
      <c r="AC1483" s="73" t="s">
        <v>1710</v>
      </c>
      <c r="AD1483" s="73">
        <v>0.92</v>
      </c>
      <c r="AE1483" s="71">
        <v>0.71042471042471</v>
      </c>
      <c r="AF1483" s="71">
        <v>0.97424892703862698</v>
      </c>
      <c r="AG1483" s="71">
        <v>0.99494949494949503</v>
      </c>
      <c r="AH1483" s="71">
        <v>0.80979159775057896</v>
      </c>
      <c r="AI1483" s="73">
        <v>0.92</v>
      </c>
      <c r="AJ1483" s="71" t="s">
        <v>1710</v>
      </c>
      <c r="AK1483" s="71" t="s">
        <v>1710</v>
      </c>
      <c r="AL1483" s="71" t="s">
        <v>1710</v>
      </c>
      <c r="AM1483" s="71">
        <v>1</v>
      </c>
      <c r="AN1483" s="70">
        <v>0.99</v>
      </c>
      <c r="AO1483" s="75">
        <v>1</v>
      </c>
      <c r="AP1483" s="75">
        <v>1</v>
      </c>
      <c r="AQ1483" s="75">
        <v>1</v>
      </c>
      <c r="AR1483" s="75">
        <v>1</v>
      </c>
      <c r="AS1483" s="95">
        <v>0.110069253262963</v>
      </c>
      <c r="AT1483" s="79" t="s">
        <v>1710</v>
      </c>
      <c r="AU1483" s="79" t="s">
        <v>1710</v>
      </c>
      <c r="AV1483" s="79" t="s">
        <v>1710</v>
      </c>
      <c r="AW1483" s="79" t="s">
        <v>1710</v>
      </c>
      <c r="AX1483" s="56"/>
      <c r="AY1483" s="54"/>
    </row>
    <row r="1484" spans="1:51">
      <c r="A1484" s="53"/>
      <c r="B1484" s="56"/>
      <c r="C1484" s="90" t="s">
        <v>1448</v>
      </c>
      <c r="D1484" s="230" t="s">
        <v>1757</v>
      </c>
      <c r="E1484" s="68" t="s">
        <v>1449</v>
      </c>
      <c r="F1484" s="106" t="s">
        <v>1509</v>
      </c>
      <c r="G1484" s="106" t="s">
        <v>1509</v>
      </c>
      <c r="H1484" s="106" t="s">
        <v>1509</v>
      </c>
      <c r="I1484" s="106" t="s">
        <v>1509</v>
      </c>
      <c r="J1484" s="70">
        <v>0.9</v>
      </c>
      <c r="K1484" s="71">
        <v>1</v>
      </c>
      <c r="L1484" s="71">
        <v>1</v>
      </c>
      <c r="M1484" s="72">
        <v>1</v>
      </c>
      <c r="N1484" s="71">
        <v>0.99610894941634198</v>
      </c>
      <c r="O1484" s="73">
        <v>0.9</v>
      </c>
      <c r="P1484" s="71">
        <v>0.94459102902374703</v>
      </c>
      <c r="Q1484" s="71">
        <v>0.96438356164383598</v>
      </c>
      <c r="R1484" s="71">
        <v>0.96814159292035395</v>
      </c>
      <c r="S1484" s="71">
        <v>0.95679518731200397</v>
      </c>
      <c r="T1484" s="73">
        <v>0.9</v>
      </c>
      <c r="U1484" s="71">
        <v>0.81662269129287601</v>
      </c>
      <c r="V1484" s="71">
        <v>0.79178082191780796</v>
      </c>
      <c r="W1484" s="71">
        <v>0.74690265486725704</v>
      </c>
      <c r="X1484" s="71">
        <v>0.78520645337708495</v>
      </c>
      <c r="Y1484" s="73">
        <v>0.92</v>
      </c>
      <c r="Z1484" s="73">
        <v>0.82791435368754995</v>
      </c>
      <c r="AA1484" s="73">
        <v>0.88708220415537498</v>
      </c>
      <c r="AB1484" s="73">
        <v>0.78029642545771605</v>
      </c>
      <c r="AC1484" s="73">
        <v>0.84590050268677397</v>
      </c>
      <c r="AD1484" s="73">
        <v>0.92</v>
      </c>
      <c r="AE1484" s="71">
        <v>1</v>
      </c>
      <c r="AF1484" s="71">
        <v>0.96296296296296302</v>
      </c>
      <c r="AG1484" s="71">
        <v>1</v>
      </c>
      <c r="AH1484" s="71">
        <v>0.84234234234234195</v>
      </c>
      <c r="AI1484" s="73">
        <v>0.92</v>
      </c>
      <c r="AJ1484" s="71">
        <v>0.87792581922938395</v>
      </c>
      <c r="AK1484" s="71">
        <v>0.91079080638878096</v>
      </c>
      <c r="AL1484" s="71">
        <v>0.84482758620689702</v>
      </c>
      <c r="AM1484" s="71">
        <v>0.88879547538978898</v>
      </c>
      <c r="AN1484" s="70">
        <v>0.99</v>
      </c>
      <c r="AO1484" s="75">
        <v>1</v>
      </c>
      <c r="AP1484" s="75">
        <v>1</v>
      </c>
      <c r="AQ1484" s="75">
        <v>1</v>
      </c>
      <c r="AR1484" s="75">
        <v>1</v>
      </c>
      <c r="AS1484" s="95">
        <v>0.110069253262963</v>
      </c>
      <c r="AT1484" s="79">
        <v>9.0909090909090898E-2</v>
      </c>
      <c r="AU1484" s="79">
        <v>0</v>
      </c>
      <c r="AV1484" s="79">
        <v>0.14285714285714299</v>
      </c>
      <c r="AW1484" s="79">
        <v>0.118055555555556</v>
      </c>
      <c r="AX1484" s="56"/>
      <c r="AY1484" s="54"/>
    </row>
    <row r="1485" spans="1:51">
      <c r="A1485" s="53"/>
      <c r="B1485" s="56"/>
      <c r="C1485" s="90" t="s">
        <v>1448</v>
      </c>
      <c r="D1485" s="230" t="s">
        <v>1757</v>
      </c>
      <c r="E1485" s="68" t="s">
        <v>1449</v>
      </c>
      <c r="F1485" s="106" t="s">
        <v>1510</v>
      </c>
      <c r="G1485" s="106" t="s">
        <v>1510</v>
      </c>
      <c r="H1485" s="106" t="s">
        <v>1510</v>
      </c>
      <c r="I1485" s="106" t="s">
        <v>1510</v>
      </c>
      <c r="J1485" s="70">
        <v>0.9</v>
      </c>
      <c r="K1485" s="71">
        <v>1</v>
      </c>
      <c r="L1485" s="71">
        <v>1</v>
      </c>
      <c r="M1485" s="72">
        <v>0.95454545454545503</v>
      </c>
      <c r="N1485" s="71">
        <v>0.99221789883268496</v>
      </c>
      <c r="O1485" s="73">
        <v>0.9</v>
      </c>
      <c r="P1485" s="71">
        <v>0.96415094339622598</v>
      </c>
      <c r="Q1485" s="71">
        <v>0.92686567164179101</v>
      </c>
      <c r="R1485" s="71">
        <v>0.962048192771084</v>
      </c>
      <c r="S1485" s="71">
        <v>0.96908830938925605</v>
      </c>
      <c r="T1485" s="73">
        <v>0.9</v>
      </c>
      <c r="U1485" s="71">
        <v>0.82327044025157203</v>
      </c>
      <c r="V1485" s="71">
        <v>0.76865671641791</v>
      </c>
      <c r="W1485" s="71">
        <v>0.694578313253012</v>
      </c>
      <c r="X1485" s="71">
        <v>0.78600122557363605</v>
      </c>
      <c r="Y1485" s="73">
        <v>0.92</v>
      </c>
      <c r="Z1485" s="73">
        <v>0.90217391304347805</v>
      </c>
      <c r="AA1485" s="73">
        <v>0.86257073565076803</v>
      </c>
      <c r="AB1485" s="73">
        <v>0.90142095914742404</v>
      </c>
      <c r="AC1485" s="73">
        <v>0.91038477451386002</v>
      </c>
      <c r="AD1485" s="73">
        <v>0.92</v>
      </c>
      <c r="AE1485" s="71">
        <v>1</v>
      </c>
      <c r="AF1485" s="71">
        <v>1</v>
      </c>
      <c r="AG1485" s="71">
        <v>0.97058823529411797</v>
      </c>
      <c r="AH1485" s="71">
        <v>0.89976133651551304</v>
      </c>
      <c r="AI1485" s="73">
        <v>0.92</v>
      </c>
      <c r="AJ1485" s="71">
        <v>0.93265993265993297</v>
      </c>
      <c r="AK1485" s="71">
        <v>0.909584788513776</v>
      </c>
      <c r="AL1485" s="71">
        <v>0.928212491026561</v>
      </c>
      <c r="AM1485" s="71">
        <v>0.93941883917233104</v>
      </c>
      <c r="AN1485" s="70">
        <v>0.99</v>
      </c>
      <c r="AO1485" s="75">
        <v>1</v>
      </c>
      <c r="AP1485" s="75">
        <v>1</v>
      </c>
      <c r="AQ1485" s="75">
        <v>1</v>
      </c>
      <c r="AR1485" s="75">
        <v>1</v>
      </c>
      <c r="AS1485" s="95">
        <v>0.110069253262963</v>
      </c>
      <c r="AT1485" s="79">
        <v>0.2</v>
      </c>
      <c r="AU1485" s="79">
        <v>0.14285714285714299</v>
      </c>
      <c r="AV1485" s="79">
        <v>0</v>
      </c>
      <c r="AW1485" s="79">
        <v>9.6774193548387094E-2</v>
      </c>
      <c r="AX1485" s="56"/>
      <c r="AY1485" s="54"/>
    </row>
    <row r="1486" spans="1:51">
      <c r="A1486" s="53"/>
      <c r="B1486" s="56"/>
      <c r="C1486" s="90" t="s">
        <v>1448</v>
      </c>
      <c r="D1486" s="230" t="s">
        <v>1757</v>
      </c>
      <c r="E1486" s="68" t="s">
        <v>1449</v>
      </c>
      <c r="F1486" s="106" t="s">
        <v>1511</v>
      </c>
      <c r="G1486" s="106" t="s">
        <v>1511</v>
      </c>
      <c r="H1486" s="106" t="s">
        <v>1511</v>
      </c>
      <c r="I1486" s="106" t="s">
        <v>1511</v>
      </c>
      <c r="J1486" s="70">
        <v>0.9</v>
      </c>
      <c r="K1486" s="71">
        <v>0</v>
      </c>
      <c r="L1486" s="71">
        <v>0.3</v>
      </c>
      <c r="M1486" s="72" t="s">
        <v>1710</v>
      </c>
      <c r="N1486" s="71">
        <v>0.23214285714285701</v>
      </c>
      <c r="O1486" s="73">
        <v>0.9</v>
      </c>
      <c r="P1486" s="71">
        <v>1</v>
      </c>
      <c r="Q1486" s="71">
        <v>7.69230769230769E-2</v>
      </c>
      <c r="R1486" s="71">
        <v>8.8235294117647106E-2</v>
      </c>
      <c r="S1486" s="71">
        <v>0.13891726251276801</v>
      </c>
      <c r="T1486" s="73">
        <v>0.9</v>
      </c>
      <c r="U1486" s="71">
        <v>0.25</v>
      </c>
      <c r="V1486" s="71">
        <v>0.102564102564103</v>
      </c>
      <c r="W1486" s="71">
        <v>2.9411764705882401E-2</v>
      </c>
      <c r="X1486" s="71">
        <v>6.2308478038815097E-2</v>
      </c>
      <c r="Y1486" s="73">
        <v>0.92</v>
      </c>
      <c r="Z1486" s="73" t="s">
        <v>1710</v>
      </c>
      <c r="AA1486" s="73" t="s">
        <v>1710</v>
      </c>
      <c r="AB1486" s="73" t="s">
        <v>1710</v>
      </c>
      <c r="AC1486" s="73" t="s">
        <v>1710</v>
      </c>
      <c r="AD1486" s="73">
        <v>0.92</v>
      </c>
      <c r="AE1486" s="71">
        <v>0</v>
      </c>
      <c r="AF1486" s="71">
        <v>0</v>
      </c>
      <c r="AG1486" s="71" t="s">
        <v>1710</v>
      </c>
      <c r="AH1486" s="71">
        <v>0.70588235294117696</v>
      </c>
      <c r="AI1486" s="73">
        <v>0.92</v>
      </c>
      <c r="AJ1486" s="71">
        <v>0.5</v>
      </c>
      <c r="AK1486" s="71">
        <v>0.230769230769231</v>
      </c>
      <c r="AL1486" s="71">
        <v>2.9411764705882401E-2</v>
      </c>
      <c r="AM1486" s="71">
        <v>7.5587334014300303E-2</v>
      </c>
      <c r="AN1486" s="70">
        <v>0.99</v>
      </c>
      <c r="AO1486" s="75" t="s">
        <v>1710</v>
      </c>
      <c r="AP1486" s="75" t="s">
        <v>1710</v>
      </c>
      <c r="AQ1486" s="75" t="s">
        <v>1710</v>
      </c>
      <c r="AR1486" s="75" t="s">
        <v>1710</v>
      </c>
      <c r="AS1486" s="95">
        <v>0.110069253262963</v>
      </c>
      <c r="AT1486" s="79">
        <v>0.25</v>
      </c>
      <c r="AU1486" s="79">
        <v>0.94736842105263197</v>
      </c>
      <c r="AV1486" s="79" t="s">
        <v>1710</v>
      </c>
      <c r="AW1486" s="79">
        <v>0.106941838649156</v>
      </c>
      <c r="AX1486" s="56"/>
      <c r="AY1486" s="54"/>
    </row>
    <row r="1487" spans="1:51">
      <c r="A1487" s="53"/>
      <c r="B1487" s="56"/>
      <c r="C1487" s="90" t="s">
        <v>1448</v>
      </c>
      <c r="D1487" s="230" t="s">
        <v>1759</v>
      </c>
      <c r="E1487" s="68" t="s">
        <v>1449</v>
      </c>
      <c r="F1487" s="106" t="s">
        <v>1512</v>
      </c>
      <c r="G1487" s="106" t="s">
        <v>1512</v>
      </c>
      <c r="H1487" s="106" t="s">
        <v>1512</v>
      </c>
      <c r="I1487" s="106" t="s">
        <v>1512</v>
      </c>
      <c r="J1487" s="70">
        <v>0.9</v>
      </c>
      <c r="K1487" s="71" t="s">
        <v>1710</v>
      </c>
      <c r="L1487" s="71" t="s">
        <v>1710</v>
      </c>
      <c r="M1487" s="72" t="s">
        <v>1710</v>
      </c>
      <c r="N1487" s="71" t="s">
        <v>1710</v>
      </c>
      <c r="O1487" s="73">
        <v>0.9</v>
      </c>
      <c r="P1487" s="71" t="s">
        <v>1710</v>
      </c>
      <c r="Q1487" s="71" t="s">
        <v>1710</v>
      </c>
      <c r="R1487" s="71" t="s">
        <v>1710</v>
      </c>
      <c r="S1487" s="71" t="s">
        <v>1710</v>
      </c>
      <c r="T1487" s="73">
        <v>0.9</v>
      </c>
      <c r="U1487" s="71" t="s">
        <v>1710</v>
      </c>
      <c r="V1487" s="71" t="s">
        <v>1710</v>
      </c>
      <c r="W1487" s="71" t="s">
        <v>1710</v>
      </c>
      <c r="X1487" s="71" t="s">
        <v>1710</v>
      </c>
      <c r="Y1487" s="73">
        <v>0.92</v>
      </c>
      <c r="Z1487" s="73" t="s">
        <v>1710</v>
      </c>
      <c r="AA1487" s="73" t="s">
        <v>1710</v>
      </c>
      <c r="AB1487" s="73" t="s">
        <v>1710</v>
      </c>
      <c r="AC1487" s="73" t="s">
        <v>1710</v>
      </c>
      <c r="AD1487" s="73">
        <v>0.92</v>
      </c>
      <c r="AE1487" s="71">
        <v>1</v>
      </c>
      <c r="AF1487" s="71">
        <v>0.95454545454545503</v>
      </c>
      <c r="AG1487" s="71">
        <v>0.89361702127659604</v>
      </c>
      <c r="AH1487" s="71">
        <v>0.94666666666666699</v>
      </c>
      <c r="AI1487" s="73">
        <v>0.92</v>
      </c>
      <c r="AJ1487" s="71" t="s">
        <v>1710</v>
      </c>
      <c r="AK1487" s="71" t="s">
        <v>1710</v>
      </c>
      <c r="AL1487" s="71" t="s">
        <v>1710</v>
      </c>
      <c r="AM1487" s="71" t="s">
        <v>1710</v>
      </c>
      <c r="AN1487" s="70">
        <v>0.99</v>
      </c>
      <c r="AO1487" s="75">
        <v>1</v>
      </c>
      <c r="AP1487" s="75">
        <v>1</v>
      </c>
      <c r="AQ1487" s="75">
        <v>1</v>
      </c>
      <c r="AR1487" s="75">
        <v>1</v>
      </c>
      <c r="AS1487" s="95">
        <v>0.110069253262963</v>
      </c>
      <c r="AT1487" s="79" t="s">
        <v>1710</v>
      </c>
      <c r="AU1487" s="79" t="s">
        <v>1710</v>
      </c>
      <c r="AV1487" s="79" t="s">
        <v>1710</v>
      </c>
      <c r="AW1487" s="79" t="s">
        <v>1710</v>
      </c>
      <c r="AX1487" s="56"/>
      <c r="AY1487" s="54"/>
    </row>
    <row r="1488" spans="1:51">
      <c r="A1488" s="53"/>
      <c r="B1488" s="56"/>
      <c r="C1488" s="90" t="s">
        <v>1448</v>
      </c>
      <c r="D1488" s="230" t="s">
        <v>1757</v>
      </c>
      <c r="E1488" s="68" t="s">
        <v>1449</v>
      </c>
      <c r="F1488" s="106" t="s">
        <v>1513</v>
      </c>
      <c r="G1488" s="106" t="s">
        <v>1513</v>
      </c>
      <c r="H1488" s="106" t="s">
        <v>1513</v>
      </c>
      <c r="I1488" s="106" t="s">
        <v>1513</v>
      </c>
      <c r="J1488" s="70">
        <v>0.9</v>
      </c>
      <c r="K1488" s="71">
        <v>0.57692307692307698</v>
      </c>
      <c r="L1488" s="71">
        <v>0.89655172413793105</v>
      </c>
      <c r="M1488" s="72">
        <v>0.73076923076923095</v>
      </c>
      <c r="N1488" s="71">
        <v>0.70967741935483897</v>
      </c>
      <c r="O1488" s="73">
        <v>0.9</v>
      </c>
      <c r="P1488" s="71">
        <v>0.92100192678227399</v>
      </c>
      <c r="Q1488" s="71">
        <v>0.79774844720496896</v>
      </c>
      <c r="R1488" s="71">
        <v>0.824332524271845</v>
      </c>
      <c r="S1488" s="71">
        <v>0.86128313965625203</v>
      </c>
      <c r="T1488" s="73">
        <v>0.9</v>
      </c>
      <c r="U1488" s="71">
        <v>0.86833654463712295</v>
      </c>
      <c r="V1488" s="71">
        <v>0.68575310559006197</v>
      </c>
      <c r="W1488" s="71">
        <v>0.64381067961165095</v>
      </c>
      <c r="X1488" s="71">
        <v>0.71038897780251897</v>
      </c>
      <c r="Y1488" s="73">
        <v>0.92</v>
      </c>
      <c r="Z1488" s="73" t="s">
        <v>1710</v>
      </c>
      <c r="AA1488" s="73" t="s">
        <v>1710</v>
      </c>
      <c r="AB1488" s="73" t="s">
        <v>1710</v>
      </c>
      <c r="AC1488" s="73" t="s">
        <v>1710</v>
      </c>
      <c r="AD1488" s="73">
        <v>0.92</v>
      </c>
      <c r="AE1488" s="71">
        <v>0.98</v>
      </c>
      <c r="AF1488" s="71">
        <v>0.90476190476190499</v>
      </c>
      <c r="AG1488" s="71">
        <v>1</v>
      </c>
      <c r="AH1488" s="71">
        <v>0.80967741935483895</v>
      </c>
      <c r="AI1488" s="73">
        <v>0.92</v>
      </c>
      <c r="AJ1488" s="71">
        <v>0.92614001284521497</v>
      </c>
      <c r="AK1488" s="71">
        <v>0.82822204968944102</v>
      </c>
      <c r="AL1488" s="71">
        <v>0.71783980582524298</v>
      </c>
      <c r="AM1488" s="71">
        <v>0.85380279730011799</v>
      </c>
      <c r="AN1488" s="70">
        <v>0.99</v>
      </c>
      <c r="AO1488" s="75">
        <v>1</v>
      </c>
      <c r="AP1488" s="75">
        <v>1</v>
      </c>
      <c r="AQ1488" s="75" t="s">
        <v>1710</v>
      </c>
      <c r="AR1488" s="75">
        <v>1</v>
      </c>
      <c r="AS1488" s="95">
        <v>0.110069253262963</v>
      </c>
      <c r="AT1488" s="79">
        <v>0.105263157894737</v>
      </c>
      <c r="AU1488" s="79">
        <v>0.217391304347826</v>
      </c>
      <c r="AV1488" s="79">
        <v>0</v>
      </c>
      <c r="AW1488" s="79">
        <v>9.1575091575091597E-2</v>
      </c>
      <c r="AX1488" s="56"/>
      <c r="AY1488" s="54"/>
    </row>
    <row r="1489" spans="1:51">
      <c r="A1489" s="53"/>
      <c r="B1489" s="56"/>
      <c r="C1489" s="90" t="s">
        <v>1448</v>
      </c>
      <c r="D1489" s="230" t="s">
        <v>1757</v>
      </c>
      <c r="E1489" s="68" t="s">
        <v>1449</v>
      </c>
      <c r="F1489" s="106" t="s">
        <v>1514</v>
      </c>
      <c r="G1489" s="106" t="s">
        <v>1514</v>
      </c>
      <c r="H1489" s="106" t="s">
        <v>1514</v>
      </c>
      <c r="I1489" s="106" t="s">
        <v>1514</v>
      </c>
      <c r="J1489" s="70">
        <v>0.9</v>
      </c>
      <c r="K1489" s="71">
        <v>0.95833333333333304</v>
      </c>
      <c r="L1489" s="71">
        <v>1</v>
      </c>
      <c r="M1489" s="72">
        <v>1</v>
      </c>
      <c r="N1489" s="71">
        <v>0.99280575539568305</v>
      </c>
      <c r="O1489" s="73">
        <v>0.9</v>
      </c>
      <c r="P1489" s="71">
        <v>0.95846852693056495</v>
      </c>
      <c r="Q1489" s="71">
        <v>0.97084745762711899</v>
      </c>
      <c r="R1489" s="71">
        <v>0.88294711824123595</v>
      </c>
      <c r="S1489" s="71">
        <v>0.95550507749866398</v>
      </c>
      <c r="T1489" s="73">
        <v>0.9</v>
      </c>
      <c r="U1489" s="71">
        <v>0.80921479558728104</v>
      </c>
      <c r="V1489" s="71">
        <v>0.71254237288135602</v>
      </c>
      <c r="W1489" s="71">
        <v>0.63339275103980996</v>
      </c>
      <c r="X1489" s="71">
        <v>0.71666221272047004</v>
      </c>
      <c r="Y1489" s="73">
        <v>0.92</v>
      </c>
      <c r="Z1489" s="73">
        <v>0.84111445783132499</v>
      </c>
      <c r="AA1489" s="73">
        <v>0.89750215331610705</v>
      </c>
      <c r="AB1489" s="73">
        <v>0.76974310180780203</v>
      </c>
      <c r="AC1489" s="73">
        <v>0.86094276094276101</v>
      </c>
      <c r="AD1489" s="73">
        <v>0.92</v>
      </c>
      <c r="AE1489" s="71">
        <v>0.71794871794871795</v>
      </c>
      <c r="AF1489" s="71">
        <v>0.13793103448275901</v>
      </c>
      <c r="AG1489" s="71">
        <v>0.08</v>
      </c>
      <c r="AH1489" s="71">
        <v>0.280984719864177</v>
      </c>
      <c r="AI1489" s="73">
        <v>0.92</v>
      </c>
      <c r="AJ1489" s="71">
        <v>0.89125130707563605</v>
      </c>
      <c r="AK1489" s="71">
        <v>0.92754172989377803</v>
      </c>
      <c r="AL1489" s="71">
        <v>0.82406730065837597</v>
      </c>
      <c r="AM1489" s="71">
        <v>0.8956052141527</v>
      </c>
      <c r="AN1489" s="70">
        <v>0.99</v>
      </c>
      <c r="AO1489" s="75">
        <v>1</v>
      </c>
      <c r="AP1489" s="75">
        <v>1</v>
      </c>
      <c r="AQ1489" s="75">
        <v>1</v>
      </c>
      <c r="AR1489" s="75">
        <v>1</v>
      </c>
      <c r="AS1489" s="95">
        <v>0.110069253262963</v>
      </c>
      <c r="AT1489" s="79">
        <v>0</v>
      </c>
      <c r="AU1489" s="79">
        <v>0.18181818181818199</v>
      </c>
      <c r="AV1489" s="79">
        <v>0</v>
      </c>
      <c r="AW1489" s="79">
        <v>7.7519379844961198E-2</v>
      </c>
      <c r="AX1489" s="56"/>
      <c r="AY1489" s="54"/>
    </row>
    <row r="1490" spans="1:51">
      <c r="A1490" s="53"/>
      <c r="B1490" s="56"/>
      <c r="C1490" s="90" t="s">
        <v>1448</v>
      </c>
      <c r="D1490" s="230" t="s">
        <v>1757</v>
      </c>
      <c r="E1490" s="68" t="s">
        <v>1449</v>
      </c>
      <c r="F1490" s="106" t="s">
        <v>1515</v>
      </c>
      <c r="G1490" s="106" t="s">
        <v>1515</v>
      </c>
      <c r="H1490" s="106" t="s">
        <v>1515</v>
      </c>
      <c r="I1490" s="106" t="s">
        <v>1515</v>
      </c>
      <c r="J1490" s="70">
        <v>0.9</v>
      </c>
      <c r="K1490" s="71">
        <v>1</v>
      </c>
      <c r="L1490" s="71">
        <v>1</v>
      </c>
      <c r="M1490" s="72">
        <v>0.92307692307692302</v>
      </c>
      <c r="N1490" s="71">
        <v>0.88764044943820197</v>
      </c>
      <c r="O1490" s="73">
        <v>0.9</v>
      </c>
      <c r="P1490" s="71">
        <v>0</v>
      </c>
      <c r="Q1490" s="71" t="s">
        <v>1710</v>
      </c>
      <c r="R1490" s="71" t="s">
        <v>1710</v>
      </c>
      <c r="S1490" s="71">
        <v>0.13953488372093001</v>
      </c>
      <c r="T1490" s="73">
        <v>0.9</v>
      </c>
      <c r="U1490" s="71">
        <v>0</v>
      </c>
      <c r="V1490" s="71" t="s">
        <v>1710</v>
      </c>
      <c r="W1490" s="71" t="s">
        <v>1710</v>
      </c>
      <c r="X1490" s="71">
        <v>6.9767441860465101E-2</v>
      </c>
      <c r="Y1490" s="73">
        <v>0.92</v>
      </c>
      <c r="Z1490" s="73" t="s">
        <v>1710</v>
      </c>
      <c r="AA1490" s="73" t="s">
        <v>1710</v>
      </c>
      <c r="AB1490" s="73" t="s">
        <v>1710</v>
      </c>
      <c r="AC1490" s="73">
        <v>0</v>
      </c>
      <c r="AD1490" s="73">
        <v>0.92</v>
      </c>
      <c r="AE1490" s="71" t="s">
        <v>1710</v>
      </c>
      <c r="AF1490" s="71" t="s">
        <v>1710</v>
      </c>
      <c r="AG1490" s="71" t="s">
        <v>1710</v>
      </c>
      <c r="AH1490" s="71">
        <v>1</v>
      </c>
      <c r="AI1490" s="73">
        <v>0.92</v>
      </c>
      <c r="AJ1490" s="71">
        <v>0.40625</v>
      </c>
      <c r="AK1490" s="71">
        <v>1</v>
      </c>
      <c r="AL1490" s="71">
        <v>0.25</v>
      </c>
      <c r="AM1490" s="71">
        <v>0.745979595365727</v>
      </c>
      <c r="AN1490" s="70">
        <v>0.99</v>
      </c>
      <c r="AO1490" s="75">
        <v>1</v>
      </c>
      <c r="AP1490" s="75" t="s">
        <v>1710</v>
      </c>
      <c r="AQ1490" s="75" t="s">
        <v>1710</v>
      </c>
      <c r="AR1490" s="75">
        <v>1</v>
      </c>
      <c r="AS1490" s="95">
        <v>0.110069253262963</v>
      </c>
      <c r="AT1490" s="79">
        <v>1</v>
      </c>
      <c r="AU1490" s="79">
        <v>0.27272727272727298</v>
      </c>
      <c r="AV1490" s="79">
        <v>3</v>
      </c>
      <c r="AW1490" s="79">
        <v>0.111559139784946</v>
      </c>
      <c r="AX1490" s="56"/>
      <c r="AY1490" s="54"/>
    </row>
    <row r="1491" spans="1:51">
      <c r="A1491" s="53"/>
      <c r="B1491" s="56"/>
      <c r="C1491" s="90" t="s">
        <v>1448</v>
      </c>
      <c r="D1491" s="230" t="s">
        <v>1757</v>
      </c>
      <c r="E1491" s="68" t="s">
        <v>1449</v>
      </c>
      <c r="F1491" s="106" t="s">
        <v>1516</v>
      </c>
      <c r="G1491" s="106" t="s">
        <v>1516</v>
      </c>
      <c r="H1491" s="106" t="s">
        <v>1516</v>
      </c>
      <c r="I1491" s="106" t="s">
        <v>1516</v>
      </c>
      <c r="J1491" s="70">
        <v>0.9</v>
      </c>
      <c r="K1491" s="71">
        <v>0.95</v>
      </c>
      <c r="L1491" s="71">
        <v>1</v>
      </c>
      <c r="M1491" s="72">
        <v>0.84615384615384603</v>
      </c>
      <c r="N1491" s="71">
        <v>0.92146596858638696</v>
      </c>
      <c r="O1491" s="73">
        <v>0.9</v>
      </c>
      <c r="P1491" s="71" t="s">
        <v>1710</v>
      </c>
      <c r="Q1491" s="71" t="s">
        <v>1710</v>
      </c>
      <c r="R1491" s="71" t="s">
        <v>1710</v>
      </c>
      <c r="S1491" s="71">
        <v>0</v>
      </c>
      <c r="T1491" s="73">
        <v>0.9</v>
      </c>
      <c r="U1491" s="71" t="s">
        <v>1710</v>
      </c>
      <c r="V1491" s="71" t="s">
        <v>1710</v>
      </c>
      <c r="W1491" s="71" t="s">
        <v>1710</v>
      </c>
      <c r="X1491" s="71">
        <v>0</v>
      </c>
      <c r="Y1491" s="73">
        <v>0.92</v>
      </c>
      <c r="Z1491" s="73" t="s">
        <v>1710</v>
      </c>
      <c r="AA1491" s="73" t="s">
        <v>1710</v>
      </c>
      <c r="AB1491" s="73" t="s">
        <v>1710</v>
      </c>
      <c r="AC1491" s="73" t="s">
        <v>1710</v>
      </c>
      <c r="AD1491" s="73">
        <v>0.92</v>
      </c>
      <c r="AE1491" s="71">
        <v>1</v>
      </c>
      <c r="AF1491" s="71">
        <v>1</v>
      </c>
      <c r="AG1491" s="71">
        <v>0.90909090909090895</v>
      </c>
      <c r="AH1491" s="71">
        <v>0.79838709677419395</v>
      </c>
      <c r="AI1491" s="73">
        <v>0.92</v>
      </c>
      <c r="AJ1491" s="71">
        <v>0.88525835866261404</v>
      </c>
      <c r="AK1491" s="71">
        <v>0.84648493543758996</v>
      </c>
      <c r="AL1491" s="71">
        <v>0.89210675752413404</v>
      </c>
      <c r="AM1491" s="71">
        <v>0.87878325836700499</v>
      </c>
      <c r="AN1491" s="70">
        <v>0.99</v>
      </c>
      <c r="AO1491" s="75">
        <v>1</v>
      </c>
      <c r="AP1491" s="75">
        <v>1</v>
      </c>
      <c r="AQ1491" s="75">
        <v>1</v>
      </c>
      <c r="AR1491" s="75">
        <v>1</v>
      </c>
      <c r="AS1491" s="95">
        <v>0.110069253262963</v>
      </c>
      <c r="AT1491" s="79">
        <v>3.3519553072625698E-2</v>
      </c>
      <c r="AU1491" s="79">
        <v>0.112582781456954</v>
      </c>
      <c r="AV1491" s="79">
        <v>1.25</v>
      </c>
      <c r="AW1491" s="79">
        <v>0.100645161290323</v>
      </c>
      <c r="AX1491" s="56"/>
      <c r="AY1491" s="54"/>
    </row>
    <row r="1492" spans="1:51">
      <c r="A1492" s="53"/>
      <c r="B1492" s="56"/>
      <c r="C1492" s="90" t="s">
        <v>1448</v>
      </c>
      <c r="D1492" s="230" t="s">
        <v>1757</v>
      </c>
      <c r="E1492" s="68" t="s">
        <v>1449</v>
      </c>
      <c r="F1492" s="106" t="s">
        <v>1517</v>
      </c>
      <c r="G1492" s="106" t="s">
        <v>1517</v>
      </c>
      <c r="H1492" s="106" t="s">
        <v>1517</v>
      </c>
      <c r="I1492" s="106" t="s">
        <v>1517</v>
      </c>
      <c r="J1492" s="70">
        <v>0.9</v>
      </c>
      <c r="K1492" s="71">
        <v>0.76923076923076905</v>
      </c>
      <c r="L1492" s="71">
        <v>0.84615384615384603</v>
      </c>
      <c r="M1492" s="72">
        <v>0.41666666666666702</v>
      </c>
      <c r="N1492" s="71">
        <v>0.82352941176470595</v>
      </c>
      <c r="O1492" s="73">
        <v>0.9</v>
      </c>
      <c r="P1492" s="71">
        <v>0.57059558517284503</v>
      </c>
      <c r="Q1492" s="71">
        <v>0.71972904318374298</v>
      </c>
      <c r="R1492" s="71">
        <v>0.12314225053078599</v>
      </c>
      <c r="S1492" s="71">
        <v>0.43774215604345501</v>
      </c>
      <c r="T1492" s="73">
        <v>0.9</v>
      </c>
      <c r="U1492" s="71">
        <v>0.43565181174510598</v>
      </c>
      <c r="V1492" s="71">
        <v>0.227773073666384</v>
      </c>
      <c r="W1492" s="71">
        <v>0.11889596602972401</v>
      </c>
      <c r="X1492" s="71">
        <v>0.32948416014586301</v>
      </c>
      <c r="Y1492" s="73">
        <v>0.92</v>
      </c>
      <c r="Z1492" s="73" t="s">
        <v>1710</v>
      </c>
      <c r="AA1492" s="73" t="s">
        <v>1710</v>
      </c>
      <c r="AB1492" s="73" t="s">
        <v>1710</v>
      </c>
      <c r="AC1492" s="73" t="s">
        <v>1710</v>
      </c>
      <c r="AD1492" s="73">
        <v>0.92</v>
      </c>
      <c r="AE1492" s="71">
        <v>0</v>
      </c>
      <c r="AF1492" s="71">
        <v>0.36363636363636398</v>
      </c>
      <c r="AG1492" s="71">
        <v>1</v>
      </c>
      <c r="AH1492" s="71">
        <v>0.31034482758620702</v>
      </c>
      <c r="AI1492" s="73">
        <v>0.92</v>
      </c>
      <c r="AJ1492" s="71">
        <v>0.63598500624739696</v>
      </c>
      <c r="AK1492" s="71">
        <v>0.469940728196444</v>
      </c>
      <c r="AL1492" s="71">
        <v>0.36199575371549902</v>
      </c>
      <c r="AM1492" s="71">
        <v>0.499962014738282</v>
      </c>
      <c r="AN1492" s="70">
        <v>0.99</v>
      </c>
      <c r="AO1492" s="75">
        <v>1</v>
      </c>
      <c r="AP1492" s="75">
        <v>1</v>
      </c>
      <c r="AQ1492" s="75" t="s">
        <v>1710</v>
      </c>
      <c r="AR1492" s="75">
        <v>1</v>
      </c>
      <c r="AS1492" s="95">
        <v>0.110069253262963</v>
      </c>
      <c r="AT1492" s="79">
        <v>4.48717948717949E-2</v>
      </c>
      <c r="AU1492" s="79">
        <v>6.5789473684210495E-2</v>
      </c>
      <c r="AV1492" s="79">
        <v>4.9079754601227002E-2</v>
      </c>
      <c r="AW1492" s="79">
        <v>0.102990033222591</v>
      </c>
      <c r="AX1492" s="56"/>
      <c r="AY1492" s="54"/>
    </row>
    <row r="1493" spans="1:51">
      <c r="A1493" s="53"/>
      <c r="B1493" s="56"/>
      <c r="C1493" s="90" t="s">
        <v>1448</v>
      </c>
      <c r="D1493" s="230" t="s">
        <v>1757</v>
      </c>
      <c r="E1493" s="68" t="s">
        <v>1449</v>
      </c>
      <c r="F1493" s="106" t="s">
        <v>1518</v>
      </c>
      <c r="G1493" s="106" t="s">
        <v>1518</v>
      </c>
      <c r="H1493" s="106" t="s">
        <v>1518</v>
      </c>
      <c r="I1493" s="106" t="s">
        <v>1518</v>
      </c>
      <c r="J1493" s="70">
        <v>0.9</v>
      </c>
      <c r="K1493" s="71" t="s">
        <v>1710</v>
      </c>
      <c r="L1493" s="71" t="s">
        <v>1710</v>
      </c>
      <c r="M1493" s="72" t="s">
        <v>1710</v>
      </c>
      <c r="N1493" s="71" t="s">
        <v>1710</v>
      </c>
      <c r="O1493" s="73">
        <v>0.9</v>
      </c>
      <c r="P1493" s="71" t="s">
        <v>1710</v>
      </c>
      <c r="Q1493" s="71" t="s">
        <v>1710</v>
      </c>
      <c r="R1493" s="71" t="s">
        <v>1710</v>
      </c>
      <c r="S1493" s="71" t="s">
        <v>1710</v>
      </c>
      <c r="T1493" s="73">
        <v>0.9</v>
      </c>
      <c r="U1493" s="71" t="s">
        <v>1710</v>
      </c>
      <c r="V1493" s="71" t="s">
        <v>1710</v>
      </c>
      <c r="W1493" s="71" t="s">
        <v>1710</v>
      </c>
      <c r="X1493" s="71" t="s">
        <v>1710</v>
      </c>
      <c r="Y1493" s="73">
        <v>0.92</v>
      </c>
      <c r="Z1493" s="73" t="s">
        <v>1710</v>
      </c>
      <c r="AA1493" s="73" t="s">
        <v>1710</v>
      </c>
      <c r="AB1493" s="73" t="s">
        <v>1710</v>
      </c>
      <c r="AC1493" s="73" t="s">
        <v>1710</v>
      </c>
      <c r="AD1493" s="73">
        <v>0.92</v>
      </c>
      <c r="AE1493" s="71">
        <v>0.32760736196319001</v>
      </c>
      <c r="AF1493" s="71">
        <v>0</v>
      </c>
      <c r="AG1493" s="71">
        <v>0.97775030902348603</v>
      </c>
      <c r="AH1493" s="71">
        <v>0.77241112828438996</v>
      </c>
      <c r="AI1493" s="73">
        <v>0.92</v>
      </c>
      <c r="AJ1493" s="71" t="s">
        <v>1710</v>
      </c>
      <c r="AK1493" s="71" t="s">
        <v>1710</v>
      </c>
      <c r="AL1493" s="71" t="s">
        <v>1710</v>
      </c>
      <c r="AM1493" s="71">
        <v>1</v>
      </c>
      <c r="AN1493" s="70">
        <v>0.99</v>
      </c>
      <c r="AO1493" s="75">
        <v>1</v>
      </c>
      <c r="AP1493" s="75">
        <v>1</v>
      </c>
      <c r="AQ1493" s="75">
        <v>1</v>
      </c>
      <c r="AR1493" s="75">
        <v>1</v>
      </c>
      <c r="AS1493" s="95">
        <v>0.110069253262963</v>
      </c>
      <c r="AT1493" s="79" t="s">
        <v>1710</v>
      </c>
      <c r="AU1493" s="79" t="s">
        <v>1710</v>
      </c>
      <c r="AV1493" s="79" t="s">
        <v>1710</v>
      </c>
      <c r="AW1493" s="79" t="s">
        <v>1710</v>
      </c>
      <c r="AX1493" s="56"/>
      <c r="AY1493" s="54"/>
    </row>
    <row r="1494" spans="1:51">
      <c r="A1494" s="53"/>
      <c r="B1494" s="56"/>
      <c r="C1494" s="90" t="s">
        <v>1448</v>
      </c>
      <c r="D1494" s="230" t="s">
        <v>1757</v>
      </c>
      <c r="E1494" s="68" t="s">
        <v>1449</v>
      </c>
      <c r="F1494" s="106" t="s">
        <v>1519</v>
      </c>
      <c r="G1494" s="106" t="s">
        <v>1519</v>
      </c>
      <c r="H1494" s="106" t="s">
        <v>1519</v>
      </c>
      <c r="I1494" s="106" t="s">
        <v>1519</v>
      </c>
      <c r="J1494" s="70">
        <v>0.9</v>
      </c>
      <c r="K1494" s="71">
        <v>0.483870967741935</v>
      </c>
      <c r="L1494" s="71">
        <v>0.51612903225806495</v>
      </c>
      <c r="M1494" s="72">
        <v>0.48148148148148101</v>
      </c>
      <c r="N1494" s="71">
        <v>0.45192307692307698</v>
      </c>
      <c r="O1494" s="73">
        <v>0.9</v>
      </c>
      <c r="P1494" s="71">
        <v>0.98261327713382496</v>
      </c>
      <c r="Q1494" s="71">
        <v>0.97155441365388095</v>
      </c>
      <c r="R1494" s="71">
        <v>0.96246973365617405</v>
      </c>
      <c r="S1494" s="71">
        <v>0.90085776292672803</v>
      </c>
      <c r="T1494" s="73">
        <v>0.9</v>
      </c>
      <c r="U1494" s="71">
        <v>0.85827186512118003</v>
      </c>
      <c r="V1494" s="71">
        <v>0.56799412736281896</v>
      </c>
      <c r="W1494" s="71">
        <v>0.60774818401937003</v>
      </c>
      <c r="X1494" s="71">
        <v>0.55888938647559305</v>
      </c>
      <c r="Y1494" s="73">
        <v>0.92</v>
      </c>
      <c r="Z1494" s="73" t="s">
        <v>1710</v>
      </c>
      <c r="AA1494" s="73" t="s">
        <v>1710</v>
      </c>
      <c r="AB1494" s="73" t="s">
        <v>1710</v>
      </c>
      <c r="AC1494" s="73">
        <v>1</v>
      </c>
      <c r="AD1494" s="73">
        <v>0.92</v>
      </c>
      <c r="AE1494" s="71">
        <v>1</v>
      </c>
      <c r="AF1494" s="71">
        <v>1</v>
      </c>
      <c r="AG1494" s="71">
        <v>0.70833333333333304</v>
      </c>
      <c r="AH1494" s="71">
        <v>0.92215568862275499</v>
      </c>
      <c r="AI1494" s="73">
        <v>0.92</v>
      </c>
      <c r="AJ1494" s="71">
        <v>0.89884088514225502</v>
      </c>
      <c r="AK1494" s="71">
        <v>0.75665259680675401</v>
      </c>
      <c r="AL1494" s="71">
        <v>0.71791767554479402</v>
      </c>
      <c r="AM1494" s="71">
        <v>0.76844643472270102</v>
      </c>
      <c r="AN1494" s="70">
        <v>0.99</v>
      </c>
      <c r="AO1494" s="75">
        <v>1</v>
      </c>
      <c r="AP1494" s="75">
        <v>1</v>
      </c>
      <c r="AQ1494" s="75">
        <v>1</v>
      </c>
      <c r="AR1494" s="75">
        <v>1</v>
      </c>
      <c r="AS1494" s="95">
        <v>0.110069253262963</v>
      </c>
      <c r="AT1494" s="79">
        <v>0.162162162162162</v>
      </c>
      <c r="AU1494" s="79">
        <v>0.22727272727272699</v>
      </c>
      <c r="AV1494" s="79">
        <v>0.125</v>
      </c>
      <c r="AW1494" s="79">
        <v>0.144859813084112</v>
      </c>
      <c r="AX1494" s="56"/>
      <c r="AY1494" s="54"/>
    </row>
    <row r="1495" spans="1:51">
      <c r="A1495" s="53"/>
      <c r="B1495" s="56"/>
      <c r="C1495" s="90" t="s">
        <v>1448</v>
      </c>
      <c r="D1495" s="230" t="s">
        <v>1757</v>
      </c>
      <c r="E1495" s="68" t="s">
        <v>1449</v>
      </c>
      <c r="F1495" s="106" t="s">
        <v>1520</v>
      </c>
      <c r="G1495" s="106" t="s">
        <v>1520</v>
      </c>
      <c r="H1495" s="106" t="s">
        <v>1520</v>
      </c>
      <c r="I1495" s="106" t="s">
        <v>1520</v>
      </c>
      <c r="J1495" s="70">
        <v>0.9</v>
      </c>
      <c r="K1495" s="71">
        <v>0.81481481481481499</v>
      </c>
      <c r="L1495" s="71">
        <v>0.92592592592592604</v>
      </c>
      <c r="M1495" s="72">
        <v>0.76923076923076905</v>
      </c>
      <c r="N1495" s="71">
        <v>0.85135135135135098</v>
      </c>
      <c r="O1495" s="73">
        <v>0.9</v>
      </c>
      <c r="P1495" s="71" t="s">
        <v>1710</v>
      </c>
      <c r="Q1495" s="71" t="s">
        <v>1710</v>
      </c>
      <c r="R1495" s="71">
        <v>1</v>
      </c>
      <c r="S1495" s="71">
        <v>0.8</v>
      </c>
      <c r="T1495" s="73">
        <v>0.9</v>
      </c>
      <c r="U1495" s="71" t="s">
        <v>1710</v>
      </c>
      <c r="V1495" s="71" t="s">
        <v>1710</v>
      </c>
      <c r="W1495" s="71">
        <v>0.5</v>
      </c>
      <c r="X1495" s="71">
        <v>0.4</v>
      </c>
      <c r="Y1495" s="73">
        <v>0.92</v>
      </c>
      <c r="Z1495" s="73" t="s">
        <v>1710</v>
      </c>
      <c r="AA1495" s="73">
        <v>0</v>
      </c>
      <c r="AB1495" s="73" t="s">
        <v>1710</v>
      </c>
      <c r="AC1495" s="73">
        <v>0</v>
      </c>
      <c r="AD1495" s="73">
        <v>0.92</v>
      </c>
      <c r="AE1495" s="71">
        <v>0</v>
      </c>
      <c r="AF1495" s="71">
        <v>0</v>
      </c>
      <c r="AG1495" s="71">
        <v>1</v>
      </c>
      <c r="AH1495" s="71">
        <v>0.2</v>
      </c>
      <c r="AI1495" s="73">
        <v>0.92</v>
      </c>
      <c r="AJ1495" s="71">
        <v>0.67652671755725202</v>
      </c>
      <c r="AK1495" s="71">
        <v>0.73358490566037704</v>
      </c>
      <c r="AL1495" s="71">
        <v>0.73956158663883098</v>
      </c>
      <c r="AM1495" s="71">
        <v>0.76660311407689896</v>
      </c>
      <c r="AN1495" s="70">
        <v>0.99</v>
      </c>
      <c r="AO1495" s="75" t="s">
        <v>1710</v>
      </c>
      <c r="AP1495" s="75" t="s">
        <v>1710</v>
      </c>
      <c r="AQ1495" s="75" t="s">
        <v>1710</v>
      </c>
      <c r="AR1495" s="75" t="s">
        <v>1710</v>
      </c>
      <c r="AS1495" s="95">
        <v>0.110069253262963</v>
      </c>
      <c r="AT1495" s="79">
        <v>0.25</v>
      </c>
      <c r="AU1495" s="79">
        <v>0.35294117647058798</v>
      </c>
      <c r="AV1495" s="79">
        <v>0.162790697674419</v>
      </c>
      <c r="AW1495" s="79">
        <v>0.22540983606557399</v>
      </c>
      <c r="AX1495" s="56"/>
      <c r="AY1495" s="54"/>
    </row>
    <row r="1496" spans="1:51">
      <c r="A1496" s="53"/>
      <c r="B1496" s="56"/>
      <c r="C1496" s="90" t="s">
        <v>1448</v>
      </c>
      <c r="D1496" s="230" t="s">
        <v>1757</v>
      </c>
      <c r="E1496" s="68" t="s">
        <v>1449</v>
      </c>
      <c r="F1496" s="106" t="s">
        <v>1521</v>
      </c>
      <c r="G1496" s="106" t="s">
        <v>1521</v>
      </c>
      <c r="H1496" s="106" t="s">
        <v>1521</v>
      </c>
      <c r="I1496" s="106" t="s">
        <v>1521</v>
      </c>
      <c r="J1496" s="70">
        <v>0.9</v>
      </c>
      <c r="K1496" s="71">
        <v>0.92307692307692302</v>
      </c>
      <c r="L1496" s="71">
        <v>1</v>
      </c>
      <c r="M1496" s="72">
        <v>1</v>
      </c>
      <c r="N1496" s="71">
        <v>0.94656488549618301</v>
      </c>
      <c r="O1496" s="73">
        <v>0.9</v>
      </c>
      <c r="P1496" s="71">
        <v>0</v>
      </c>
      <c r="Q1496" s="71">
        <v>0.98709677419354802</v>
      </c>
      <c r="R1496" s="71">
        <v>0</v>
      </c>
      <c r="S1496" s="71">
        <v>0.99517703799553003</v>
      </c>
      <c r="T1496" s="73">
        <v>0.9</v>
      </c>
      <c r="U1496" s="71">
        <v>1</v>
      </c>
      <c r="V1496" s="71">
        <v>0.84516129032258103</v>
      </c>
      <c r="W1496" s="71">
        <v>0.33333333333333298</v>
      </c>
      <c r="X1496" s="71">
        <v>0.80614045406422796</v>
      </c>
      <c r="Y1496" s="73">
        <v>0.92</v>
      </c>
      <c r="Z1496" s="73" t="s">
        <v>1710</v>
      </c>
      <c r="AA1496" s="73" t="s">
        <v>1710</v>
      </c>
      <c r="AB1496" s="73" t="s">
        <v>1710</v>
      </c>
      <c r="AC1496" s="73" t="s">
        <v>1710</v>
      </c>
      <c r="AD1496" s="73">
        <v>0.92</v>
      </c>
      <c r="AE1496" s="71" t="s">
        <v>1710</v>
      </c>
      <c r="AF1496" s="71" t="s">
        <v>1710</v>
      </c>
      <c r="AG1496" s="71" t="s">
        <v>1710</v>
      </c>
      <c r="AH1496" s="71">
        <v>1</v>
      </c>
      <c r="AI1496" s="73">
        <v>0.92</v>
      </c>
      <c r="AJ1496" s="71">
        <v>0.27272727272727298</v>
      </c>
      <c r="AK1496" s="71">
        <v>0.72432432432432403</v>
      </c>
      <c r="AL1496" s="71">
        <v>0.33333333333333298</v>
      </c>
      <c r="AM1496" s="71">
        <v>0.83296265948729997</v>
      </c>
      <c r="AN1496" s="70">
        <v>0.99</v>
      </c>
      <c r="AO1496" s="75">
        <v>1</v>
      </c>
      <c r="AP1496" s="75" t="s">
        <v>1710</v>
      </c>
      <c r="AQ1496" s="75" t="s">
        <v>1710</v>
      </c>
      <c r="AR1496" s="75">
        <v>1</v>
      </c>
      <c r="AS1496" s="95">
        <v>0.110069253262963</v>
      </c>
      <c r="AT1496" s="79">
        <v>3.7037037037037E-2</v>
      </c>
      <c r="AU1496" s="79">
        <v>0</v>
      </c>
      <c r="AV1496" s="79">
        <v>5.10204081632653E-2</v>
      </c>
      <c r="AW1496" s="79">
        <v>7.6155938349954697E-2</v>
      </c>
      <c r="AX1496" s="56"/>
      <c r="AY1496" s="54"/>
    </row>
    <row r="1497" spans="1:51">
      <c r="A1497" s="53"/>
      <c r="B1497" s="56"/>
      <c r="C1497" s="90" t="s">
        <v>1448</v>
      </c>
      <c r="D1497" s="230" t="s">
        <v>1757</v>
      </c>
      <c r="E1497" s="68" t="s">
        <v>1449</v>
      </c>
      <c r="F1497" s="106" t="s">
        <v>1522</v>
      </c>
      <c r="G1497" s="106" t="s">
        <v>1522</v>
      </c>
      <c r="H1497" s="106" t="s">
        <v>1522</v>
      </c>
      <c r="I1497" s="106" t="s">
        <v>1522</v>
      </c>
      <c r="J1497" s="70">
        <v>0.9</v>
      </c>
      <c r="K1497" s="71">
        <v>0.68</v>
      </c>
      <c r="L1497" s="71">
        <v>0.51724137931034497</v>
      </c>
      <c r="M1497" s="72">
        <v>0.6</v>
      </c>
      <c r="N1497" s="71">
        <v>0.60278745644599296</v>
      </c>
      <c r="O1497" s="73">
        <v>0.9</v>
      </c>
      <c r="P1497" s="71">
        <v>0.96974697469746995</v>
      </c>
      <c r="Q1497" s="71">
        <v>0.80865641711229996</v>
      </c>
      <c r="R1497" s="71">
        <v>0.791825613079019</v>
      </c>
      <c r="S1497" s="71">
        <v>0.81023562199138599</v>
      </c>
      <c r="T1497" s="73">
        <v>0.9</v>
      </c>
      <c r="U1497" s="71">
        <v>0.85863586358635902</v>
      </c>
      <c r="V1497" s="71">
        <v>0.57503342245989297</v>
      </c>
      <c r="W1497" s="71">
        <v>0.56975476839237105</v>
      </c>
      <c r="X1497" s="71">
        <v>0.60295794274132297</v>
      </c>
      <c r="Y1497" s="73">
        <v>0.92</v>
      </c>
      <c r="Z1497" s="73" t="s">
        <v>1710</v>
      </c>
      <c r="AA1497" s="73" t="s">
        <v>1710</v>
      </c>
      <c r="AB1497" s="73" t="s">
        <v>1710</v>
      </c>
      <c r="AC1497" s="73" t="s">
        <v>1710</v>
      </c>
      <c r="AD1497" s="73">
        <v>0.92</v>
      </c>
      <c r="AE1497" s="71">
        <v>0.94736842105263197</v>
      </c>
      <c r="AF1497" s="71">
        <v>0.95833333333333304</v>
      </c>
      <c r="AG1497" s="71">
        <v>0.78947368421052599</v>
      </c>
      <c r="AH1497" s="71">
        <v>0.92170818505338103</v>
      </c>
      <c r="AI1497" s="73">
        <v>0.92</v>
      </c>
      <c r="AJ1497" s="71">
        <v>0.91254125412541298</v>
      </c>
      <c r="AK1497" s="71">
        <v>0.79461898395721897</v>
      </c>
      <c r="AL1497" s="71">
        <v>0.696457765667575</v>
      </c>
      <c r="AM1497" s="71">
        <v>0.79864454015708097</v>
      </c>
      <c r="AN1497" s="70">
        <v>0.99</v>
      </c>
      <c r="AO1497" s="75">
        <v>1</v>
      </c>
      <c r="AP1497" s="75">
        <v>1</v>
      </c>
      <c r="AQ1497" s="75">
        <v>1</v>
      </c>
      <c r="AR1497" s="75">
        <v>1</v>
      </c>
      <c r="AS1497" s="95">
        <v>0.110069253262963</v>
      </c>
      <c r="AT1497" s="79">
        <v>0.14285714285714299</v>
      </c>
      <c r="AU1497" s="79">
        <v>0.22222222222222199</v>
      </c>
      <c r="AV1497" s="79">
        <v>3.7037037037037E-2</v>
      </c>
      <c r="AW1497" s="79">
        <v>9.8039215686274495E-2</v>
      </c>
      <c r="AX1497" s="56"/>
      <c r="AY1497" s="54"/>
    </row>
    <row r="1498" spans="1:51">
      <c r="A1498" s="53"/>
      <c r="B1498" s="56"/>
      <c r="C1498" s="90" t="s">
        <v>1448</v>
      </c>
      <c r="D1498" s="230" t="s">
        <v>1757</v>
      </c>
      <c r="E1498" s="68" t="s">
        <v>1449</v>
      </c>
      <c r="F1498" s="106" t="s">
        <v>1523</v>
      </c>
      <c r="G1498" s="106" t="s">
        <v>1523</v>
      </c>
      <c r="H1498" s="106" t="s">
        <v>1523</v>
      </c>
      <c r="I1498" s="106" t="s">
        <v>1523</v>
      </c>
      <c r="J1498" s="70">
        <v>0.9</v>
      </c>
      <c r="K1498" s="71">
        <v>0.75</v>
      </c>
      <c r="L1498" s="71">
        <v>0.9375</v>
      </c>
      <c r="M1498" s="72">
        <v>1</v>
      </c>
      <c r="N1498" s="71">
        <v>0.77966101694915302</v>
      </c>
      <c r="O1498" s="73">
        <v>0.9</v>
      </c>
      <c r="P1498" s="71" t="s">
        <v>1710</v>
      </c>
      <c r="Q1498" s="71" t="s">
        <v>1710</v>
      </c>
      <c r="R1498" s="71">
        <v>0.5</v>
      </c>
      <c r="S1498" s="71">
        <v>0.11111111111111099</v>
      </c>
      <c r="T1498" s="73">
        <v>0.9</v>
      </c>
      <c r="U1498" s="71" t="s">
        <v>1710</v>
      </c>
      <c r="V1498" s="71" t="s">
        <v>1710</v>
      </c>
      <c r="W1498" s="71">
        <v>0.5</v>
      </c>
      <c r="X1498" s="71">
        <v>0.11111111111111099</v>
      </c>
      <c r="Y1498" s="73">
        <v>0.92</v>
      </c>
      <c r="Z1498" s="73" t="s">
        <v>1710</v>
      </c>
      <c r="AA1498" s="73" t="s">
        <v>1710</v>
      </c>
      <c r="AB1498" s="73" t="s">
        <v>1710</v>
      </c>
      <c r="AC1498" s="73" t="s">
        <v>1710</v>
      </c>
      <c r="AD1498" s="73">
        <v>0.92</v>
      </c>
      <c r="AE1498" s="71">
        <v>0</v>
      </c>
      <c r="AF1498" s="71">
        <v>0</v>
      </c>
      <c r="AG1498" s="71">
        <v>1</v>
      </c>
      <c r="AH1498" s="71">
        <v>0.71428571428571397</v>
      </c>
      <c r="AI1498" s="73">
        <v>0.92</v>
      </c>
      <c r="AJ1498" s="71">
        <v>0.50276243093922701</v>
      </c>
      <c r="AK1498" s="71">
        <v>0.38136094674556198</v>
      </c>
      <c r="AL1498" s="71">
        <v>0.99354838709677396</v>
      </c>
      <c r="AM1498" s="71">
        <v>0.39851381815145698</v>
      </c>
      <c r="AN1498" s="70">
        <v>0.99</v>
      </c>
      <c r="AO1498" s="75">
        <v>1</v>
      </c>
      <c r="AP1498" s="75" t="s">
        <v>1710</v>
      </c>
      <c r="AQ1498" s="75" t="s">
        <v>1710</v>
      </c>
      <c r="AR1498" s="75">
        <v>1</v>
      </c>
      <c r="AS1498" s="95">
        <v>0.110069253262963</v>
      </c>
      <c r="AT1498" s="79">
        <v>0.22115384615384601</v>
      </c>
      <c r="AU1498" s="79">
        <v>2.6315789473684199E-2</v>
      </c>
      <c r="AV1498" s="79">
        <v>2.7027027027027001E-2</v>
      </c>
      <c r="AW1498" s="79">
        <v>8.4662576687116603E-2</v>
      </c>
      <c r="AX1498" s="56"/>
      <c r="AY1498" s="54"/>
    </row>
    <row r="1499" spans="1:51">
      <c r="A1499" s="53"/>
      <c r="B1499" s="56"/>
      <c r="C1499" s="90" t="s">
        <v>1448</v>
      </c>
      <c r="D1499" s="230" t="s">
        <v>1757</v>
      </c>
      <c r="E1499" s="68" t="s">
        <v>1449</v>
      </c>
      <c r="F1499" s="106" t="s">
        <v>1524</v>
      </c>
      <c r="G1499" s="106" t="s">
        <v>1524</v>
      </c>
      <c r="H1499" s="106" t="s">
        <v>1524</v>
      </c>
      <c r="I1499" s="106" t="s">
        <v>1524</v>
      </c>
      <c r="J1499" s="70">
        <v>0.9</v>
      </c>
      <c r="K1499" s="71">
        <v>1</v>
      </c>
      <c r="L1499" s="71">
        <v>1</v>
      </c>
      <c r="M1499" s="72">
        <v>0.66666666666666696</v>
      </c>
      <c r="N1499" s="71">
        <v>0.98387096774193505</v>
      </c>
      <c r="O1499" s="73">
        <v>0.9</v>
      </c>
      <c r="P1499" s="71" t="s">
        <v>1710</v>
      </c>
      <c r="Q1499" s="71">
        <v>1</v>
      </c>
      <c r="R1499" s="71" t="s">
        <v>1710</v>
      </c>
      <c r="S1499" s="71">
        <v>0.75</v>
      </c>
      <c r="T1499" s="73">
        <v>0.9</v>
      </c>
      <c r="U1499" s="71" t="s">
        <v>1710</v>
      </c>
      <c r="V1499" s="71">
        <v>1</v>
      </c>
      <c r="W1499" s="71" t="s">
        <v>1710</v>
      </c>
      <c r="X1499" s="71">
        <v>0.625</v>
      </c>
      <c r="Y1499" s="73">
        <v>0.92</v>
      </c>
      <c r="Z1499" s="73" t="s">
        <v>1710</v>
      </c>
      <c r="AA1499" s="73" t="s">
        <v>1710</v>
      </c>
      <c r="AB1499" s="73" t="s">
        <v>1710</v>
      </c>
      <c r="AC1499" s="73">
        <v>1</v>
      </c>
      <c r="AD1499" s="73">
        <v>0.92</v>
      </c>
      <c r="AE1499" s="71">
        <v>0.81818181818181801</v>
      </c>
      <c r="AF1499" s="71">
        <v>0.69230769230769196</v>
      </c>
      <c r="AG1499" s="71">
        <v>1</v>
      </c>
      <c r="AH1499" s="71">
        <v>0.89655172413793105</v>
      </c>
      <c r="AI1499" s="73">
        <v>0.92</v>
      </c>
      <c r="AJ1499" s="71">
        <v>0.84372759856630797</v>
      </c>
      <c r="AK1499" s="71">
        <v>0.83333333333333304</v>
      </c>
      <c r="AL1499" s="71">
        <v>0.70212765957446799</v>
      </c>
      <c r="AM1499" s="71">
        <v>0.81753812636165601</v>
      </c>
      <c r="AN1499" s="70">
        <v>0.99</v>
      </c>
      <c r="AO1499" s="75">
        <v>1</v>
      </c>
      <c r="AP1499" s="75" t="s">
        <v>1710</v>
      </c>
      <c r="AQ1499" s="75">
        <v>1</v>
      </c>
      <c r="AR1499" s="75">
        <v>1</v>
      </c>
      <c r="AS1499" s="95">
        <v>0.110069253262963</v>
      </c>
      <c r="AT1499" s="79">
        <v>0.18518518518518501</v>
      </c>
      <c r="AU1499" s="79">
        <v>0.06</v>
      </c>
      <c r="AV1499" s="79">
        <v>0</v>
      </c>
      <c r="AW1499" s="79">
        <v>0.107744107744108</v>
      </c>
      <c r="AX1499" s="56"/>
      <c r="AY1499" s="54"/>
    </row>
    <row r="1500" spans="1:51">
      <c r="A1500" s="53"/>
      <c r="B1500" s="56"/>
      <c r="C1500" s="90" t="s">
        <v>1448</v>
      </c>
      <c r="D1500" s="230" t="s">
        <v>1757</v>
      </c>
      <c r="E1500" s="68" t="s">
        <v>1449</v>
      </c>
      <c r="F1500" s="106" t="s">
        <v>1525</v>
      </c>
      <c r="G1500" s="106" t="s">
        <v>1525</v>
      </c>
      <c r="H1500" s="106" t="s">
        <v>1525</v>
      </c>
      <c r="I1500" s="106" t="s">
        <v>1525</v>
      </c>
      <c r="J1500" s="70">
        <v>0.9</v>
      </c>
      <c r="K1500" s="71">
        <v>1</v>
      </c>
      <c r="L1500" s="71">
        <v>0.6</v>
      </c>
      <c r="M1500" s="72">
        <v>0.61538461538461497</v>
      </c>
      <c r="N1500" s="71">
        <v>0.70535714285714302</v>
      </c>
      <c r="O1500" s="73">
        <v>0.9</v>
      </c>
      <c r="P1500" s="71">
        <v>0.98850574712643702</v>
      </c>
      <c r="Q1500" s="71">
        <v>0.99878048780487805</v>
      </c>
      <c r="R1500" s="71">
        <v>0.99193548387096797</v>
      </c>
      <c r="S1500" s="71">
        <v>0.88468941382327204</v>
      </c>
      <c r="T1500" s="73">
        <v>0.9</v>
      </c>
      <c r="U1500" s="71">
        <v>0.78160919540229901</v>
      </c>
      <c r="V1500" s="71">
        <v>0.63699186991869905</v>
      </c>
      <c r="W1500" s="71">
        <v>0.64516129032258096</v>
      </c>
      <c r="X1500" s="71">
        <v>0.59370078740157495</v>
      </c>
      <c r="Y1500" s="73">
        <v>0.92</v>
      </c>
      <c r="Z1500" s="73" t="s">
        <v>1710</v>
      </c>
      <c r="AA1500" s="73" t="s">
        <v>1710</v>
      </c>
      <c r="AB1500" s="73" t="s">
        <v>1710</v>
      </c>
      <c r="AC1500" s="73" t="s">
        <v>1710</v>
      </c>
      <c r="AD1500" s="73">
        <v>0.92</v>
      </c>
      <c r="AE1500" s="71">
        <v>0</v>
      </c>
      <c r="AF1500" s="71" t="s">
        <v>1710</v>
      </c>
      <c r="AG1500" s="71" t="s">
        <v>1710</v>
      </c>
      <c r="AH1500" s="71">
        <v>0.33333333333333298</v>
      </c>
      <c r="AI1500" s="73">
        <v>0.92</v>
      </c>
      <c r="AJ1500" s="71">
        <v>0.86206896551724099</v>
      </c>
      <c r="AK1500" s="71">
        <v>0.75284552845528496</v>
      </c>
      <c r="AL1500" s="71">
        <v>0.717741935483871</v>
      </c>
      <c r="AM1500" s="71">
        <v>0.70468859342197299</v>
      </c>
      <c r="AN1500" s="70">
        <v>0.99</v>
      </c>
      <c r="AO1500" s="75" t="s">
        <v>1710</v>
      </c>
      <c r="AP1500" s="75" t="s">
        <v>1710</v>
      </c>
      <c r="AQ1500" s="75" t="s">
        <v>1710</v>
      </c>
      <c r="AR1500" s="75" t="s">
        <v>1710</v>
      </c>
      <c r="AS1500" s="95">
        <v>0.110069253262963</v>
      </c>
      <c r="AT1500" s="79">
        <v>4.6666666666666696</v>
      </c>
      <c r="AU1500" s="79">
        <v>0</v>
      </c>
      <c r="AV1500" s="79">
        <v>2.3529411764705899E-2</v>
      </c>
      <c r="AW1500" s="79">
        <v>0.18510158013544001</v>
      </c>
      <c r="AX1500" s="56"/>
      <c r="AY1500" s="54"/>
    </row>
    <row r="1501" spans="1:51">
      <c r="A1501" s="53"/>
      <c r="B1501" s="56"/>
      <c r="C1501" s="90" t="s">
        <v>1448</v>
      </c>
      <c r="D1501" s="230" t="s">
        <v>1757</v>
      </c>
      <c r="E1501" s="68" t="s">
        <v>1449</v>
      </c>
      <c r="F1501" s="106" t="s">
        <v>1526</v>
      </c>
      <c r="G1501" s="106" t="s">
        <v>1526</v>
      </c>
      <c r="H1501" s="106" t="s">
        <v>1526</v>
      </c>
      <c r="I1501" s="106" t="s">
        <v>1526</v>
      </c>
      <c r="J1501" s="70">
        <v>0.9</v>
      </c>
      <c r="K1501" s="71">
        <v>0.8</v>
      </c>
      <c r="L1501" s="71">
        <v>1</v>
      </c>
      <c r="M1501" s="72">
        <v>1</v>
      </c>
      <c r="N1501" s="71">
        <v>0.97058823529411797</v>
      </c>
      <c r="O1501" s="73">
        <v>0.9</v>
      </c>
      <c r="P1501" s="71">
        <v>0.98545454545454503</v>
      </c>
      <c r="Q1501" s="71">
        <v>0.97050147492625405</v>
      </c>
      <c r="R1501" s="71">
        <v>0</v>
      </c>
      <c r="S1501" s="71">
        <v>0.98929049531459201</v>
      </c>
      <c r="T1501" s="73">
        <v>0.9</v>
      </c>
      <c r="U1501" s="71">
        <v>0.35636363636363599</v>
      </c>
      <c r="V1501" s="71">
        <v>0.71091445427728595</v>
      </c>
      <c r="W1501" s="71">
        <v>1</v>
      </c>
      <c r="X1501" s="71">
        <v>0.41666666666666702</v>
      </c>
      <c r="Y1501" s="73">
        <v>0.92</v>
      </c>
      <c r="Z1501" s="73">
        <v>0</v>
      </c>
      <c r="AA1501" s="73" t="s">
        <v>1710</v>
      </c>
      <c r="AB1501" s="73" t="s">
        <v>1710</v>
      </c>
      <c r="AC1501" s="73">
        <v>0</v>
      </c>
      <c r="AD1501" s="73">
        <v>0.92</v>
      </c>
      <c r="AE1501" s="71" t="s">
        <v>1710</v>
      </c>
      <c r="AF1501" s="71">
        <v>1</v>
      </c>
      <c r="AG1501" s="71">
        <v>1</v>
      </c>
      <c r="AH1501" s="71">
        <v>0.96629213483146104</v>
      </c>
      <c r="AI1501" s="73">
        <v>0.92</v>
      </c>
      <c r="AJ1501" s="71">
        <v>0.37545126353790598</v>
      </c>
      <c r="AK1501" s="71">
        <v>0.72941176470588198</v>
      </c>
      <c r="AL1501" s="71">
        <v>1</v>
      </c>
      <c r="AM1501" s="71">
        <v>0.45390781563126298</v>
      </c>
      <c r="AN1501" s="70">
        <v>0.99</v>
      </c>
      <c r="AO1501" s="75">
        <v>1</v>
      </c>
      <c r="AP1501" s="75" t="s">
        <v>1710</v>
      </c>
      <c r="AQ1501" s="75">
        <v>1</v>
      </c>
      <c r="AR1501" s="75">
        <v>1</v>
      </c>
      <c r="AS1501" s="95">
        <v>0.110069253262963</v>
      </c>
      <c r="AT1501" s="79">
        <v>0.19298245614035101</v>
      </c>
      <c r="AU1501" s="79">
        <v>0.247933884297521</v>
      </c>
      <c r="AV1501" s="79">
        <v>4.3209876543209902E-2</v>
      </c>
      <c r="AW1501" s="79">
        <v>7.5059101654846305E-2</v>
      </c>
      <c r="AX1501" s="56"/>
      <c r="AY1501" s="54"/>
    </row>
    <row r="1502" spans="1:51">
      <c r="A1502" s="53"/>
      <c r="B1502" s="56"/>
      <c r="C1502" s="90" t="s">
        <v>1448</v>
      </c>
      <c r="D1502" s="230" t="s">
        <v>1757</v>
      </c>
      <c r="E1502" s="68" t="s">
        <v>1449</v>
      </c>
      <c r="F1502" s="106" t="s">
        <v>1527</v>
      </c>
      <c r="G1502" s="106" t="s">
        <v>1527</v>
      </c>
      <c r="H1502" s="106" t="s">
        <v>1527</v>
      </c>
      <c r="I1502" s="106" t="s">
        <v>1527</v>
      </c>
      <c r="J1502" s="70">
        <v>0.9</v>
      </c>
      <c r="K1502" s="71">
        <v>0.71428571428571397</v>
      </c>
      <c r="L1502" s="71">
        <v>0.5</v>
      </c>
      <c r="M1502" s="72">
        <v>0.44444444444444398</v>
      </c>
      <c r="N1502" s="71">
        <v>0.73493975903614495</v>
      </c>
      <c r="O1502" s="73">
        <v>0.9</v>
      </c>
      <c r="P1502" s="71" t="s">
        <v>1710</v>
      </c>
      <c r="Q1502" s="71" t="s">
        <v>1710</v>
      </c>
      <c r="R1502" s="71">
        <v>0</v>
      </c>
      <c r="S1502" s="71">
        <v>0</v>
      </c>
      <c r="T1502" s="73">
        <v>0.9</v>
      </c>
      <c r="U1502" s="71" t="s">
        <v>1710</v>
      </c>
      <c r="V1502" s="71" t="s">
        <v>1710</v>
      </c>
      <c r="W1502" s="71">
        <v>0</v>
      </c>
      <c r="X1502" s="71">
        <v>0</v>
      </c>
      <c r="Y1502" s="73">
        <v>0.92</v>
      </c>
      <c r="Z1502" s="73" t="s">
        <v>1710</v>
      </c>
      <c r="AA1502" s="73" t="s">
        <v>1710</v>
      </c>
      <c r="AB1502" s="73" t="s">
        <v>1710</v>
      </c>
      <c r="AC1502" s="73">
        <v>1</v>
      </c>
      <c r="AD1502" s="73">
        <v>0.92</v>
      </c>
      <c r="AE1502" s="71">
        <v>0</v>
      </c>
      <c r="AF1502" s="71">
        <v>0</v>
      </c>
      <c r="AG1502" s="71">
        <v>1</v>
      </c>
      <c r="AH1502" s="71">
        <v>0.71232876712328796</v>
      </c>
      <c r="AI1502" s="73">
        <v>0.92</v>
      </c>
      <c r="AJ1502" s="71">
        <v>0.61019108280254797</v>
      </c>
      <c r="AK1502" s="71">
        <v>0.56574727389352197</v>
      </c>
      <c r="AL1502" s="71">
        <v>0.98292220113852002</v>
      </c>
      <c r="AM1502" s="71">
        <v>0.66040763922323897</v>
      </c>
      <c r="AN1502" s="70">
        <v>0.99</v>
      </c>
      <c r="AO1502" s="75" t="s">
        <v>1710</v>
      </c>
      <c r="AP1502" s="75" t="s">
        <v>1710</v>
      </c>
      <c r="AQ1502" s="75" t="s">
        <v>1710</v>
      </c>
      <c r="AR1502" s="75" t="s">
        <v>1710</v>
      </c>
      <c r="AS1502" s="95">
        <v>0.110069253262963</v>
      </c>
      <c r="AT1502" s="79">
        <v>0.18333333333333299</v>
      </c>
      <c r="AU1502" s="79">
        <v>0.103896103896104</v>
      </c>
      <c r="AV1502" s="79">
        <v>5.2631578947368397E-2</v>
      </c>
      <c r="AW1502" s="79">
        <v>0.105058365758755</v>
      </c>
      <c r="AX1502" s="56"/>
      <c r="AY1502" s="54"/>
    </row>
    <row r="1503" spans="1:51">
      <c r="A1503" s="53"/>
      <c r="B1503" s="56"/>
      <c r="C1503" s="90" t="s">
        <v>1448</v>
      </c>
      <c r="D1503" s="230" t="s">
        <v>1757</v>
      </c>
      <c r="E1503" s="68" t="s">
        <v>1449</v>
      </c>
      <c r="F1503" s="106" t="s">
        <v>1528</v>
      </c>
      <c r="G1503" s="106" t="s">
        <v>1528</v>
      </c>
      <c r="H1503" s="106" t="s">
        <v>1528</v>
      </c>
      <c r="I1503" s="106" t="s">
        <v>1528</v>
      </c>
      <c r="J1503" s="70">
        <v>0.9</v>
      </c>
      <c r="K1503" s="71">
        <v>0.76923076923076905</v>
      </c>
      <c r="L1503" s="71">
        <v>1</v>
      </c>
      <c r="M1503" s="72">
        <v>0.93333333333333302</v>
      </c>
      <c r="N1503" s="71">
        <v>0.873417721518987</v>
      </c>
      <c r="O1503" s="73">
        <v>0.9</v>
      </c>
      <c r="P1503" s="71" t="s">
        <v>1710</v>
      </c>
      <c r="Q1503" s="71" t="s">
        <v>1710</v>
      </c>
      <c r="R1503" s="71" t="s">
        <v>1710</v>
      </c>
      <c r="S1503" s="71">
        <v>0</v>
      </c>
      <c r="T1503" s="73">
        <v>0.9</v>
      </c>
      <c r="U1503" s="71" t="s">
        <v>1710</v>
      </c>
      <c r="V1503" s="71" t="s">
        <v>1710</v>
      </c>
      <c r="W1503" s="71" t="s">
        <v>1710</v>
      </c>
      <c r="X1503" s="71">
        <v>0</v>
      </c>
      <c r="Y1503" s="73">
        <v>0.92</v>
      </c>
      <c r="Z1503" s="73" t="s">
        <v>1710</v>
      </c>
      <c r="AA1503" s="73" t="s">
        <v>1710</v>
      </c>
      <c r="AB1503" s="73" t="s">
        <v>1710</v>
      </c>
      <c r="AC1503" s="73" t="s">
        <v>1710</v>
      </c>
      <c r="AD1503" s="73">
        <v>0.92</v>
      </c>
      <c r="AE1503" s="71">
        <v>0.66666666666666696</v>
      </c>
      <c r="AF1503" s="71">
        <v>0</v>
      </c>
      <c r="AG1503" s="71">
        <v>0</v>
      </c>
      <c r="AH1503" s="71">
        <v>0.57407407407407396</v>
      </c>
      <c r="AI1503" s="73">
        <v>0.92</v>
      </c>
      <c r="AJ1503" s="71">
        <v>0.35</v>
      </c>
      <c r="AK1503" s="71">
        <v>0.92758620689655202</v>
      </c>
      <c r="AL1503" s="71">
        <v>0.64570416297608502</v>
      </c>
      <c r="AM1503" s="71">
        <v>0.82592231959320594</v>
      </c>
      <c r="AN1503" s="70">
        <v>0.99</v>
      </c>
      <c r="AO1503" s="75">
        <v>1</v>
      </c>
      <c r="AP1503" s="75" t="s">
        <v>1710</v>
      </c>
      <c r="AQ1503" s="75" t="s">
        <v>1710</v>
      </c>
      <c r="AR1503" s="75">
        <v>1</v>
      </c>
      <c r="AS1503" s="95">
        <v>0.110069253262963</v>
      </c>
      <c r="AT1503" s="79">
        <v>0.25</v>
      </c>
      <c r="AU1503" s="79">
        <v>0.15094339622641501</v>
      </c>
      <c r="AV1503" s="79">
        <v>1.4084507042253501E-2</v>
      </c>
      <c r="AW1503" s="79">
        <v>0.116279069767442</v>
      </c>
      <c r="AX1503" s="56"/>
      <c r="AY1503" s="54"/>
    </row>
    <row r="1504" spans="1:51">
      <c r="A1504" s="53"/>
      <c r="B1504" s="56"/>
      <c r="C1504" s="90" t="s">
        <v>1448</v>
      </c>
      <c r="D1504" s="230" t="s">
        <v>1757</v>
      </c>
      <c r="E1504" s="68" t="s">
        <v>1449</v>
      </c>
      <c r="F1504" s="106" t="s">
        <v>1529</v>
      </c>
      <c r="G1504" s="106" t="s">
        <v>1529</v>
      </c>
      <c r="H1504" s="106" t="s">
        <v>1529</v>
      </c>
      <c r="I1504" s="106" t="s">
        <v>1529</v>
      </c>
      <c r="J1504" s="70">
        <v>0.9</v>
      </c>
      <c r="K1504" s="71">
        <v>1</v>
      </c>
      <c r="L1504" s="71">
        <v>1</v>
      </c>
      <c r="M1504" s="72">
        <v>0.85714285714285698</v>
      </c>
      <c r="N1504" s="71">
        <v>0.95652173913043503</v>
      </c>
      <c r="O1504" s="73">
        <v>0.9</v>
      </c>
      <c r="P1504" s="71">
        <v>1</v>
      </c>
      <c r="Q1504" s="71">
        <v>1</v>
      </c>
      <c r="R1504" s="71">
        <v>0.433497536945813</v>
      </c>
      <c r="S1504" s="71">
        <v>0.79350583460172497</v>
      </c>
      <c r="T1504" s="73">
        <v>0.9</v>
      </c>
      <c r="U1504" s="71">
        <v>0.96062992125984203</v>
      </c>
      <c r="V1504" s="71">
        <v>0.78333333333333299</v>
      </c>
      <c r="W1504" s="71">
        <v>0.72906403940886699</v>
      </c>
      <c r="X1504" s="71">
        <v>0.78640284119736203</v>
      </c>
      <c r="Y1504" s="73">
        <v>0.92</v>
      </c>
      <c r="Z1504" s="73" t="s">
        <v>1710</v>
      </c>
      <c r="AA1504" s="73" t="s">
        <v>1710</v>
      </c>
      <c r="AB1504" s="73" t="s">
        <v>1710</v>
      </c>
      <c r="AC1504" s="73" t="s">
        <v>1710</v>
      </c>
      <c r="AD1504" s="73">
        <v>0.92</v>
      </c>
      <c r="AE1504" s="71">
        <v>0.125</v>
      </c>
      <c r="AF1504" s="71">
        <v>0</v>
      </c>
      <c r="AG1504" s="71" t="s">
        <v>1710</v>
      </c>
      <c r="AH1504" s="71">
        <v>0.77500000000000002</v>
      </c>
      <c r="AI1504" s="73">
        <v>0.92</v>
      </c>
      <c r="AJ1504" s="71">
        <v>0.976377952755906</v>
      </c>
      <c r="AK1504" s="71">
        <v>0.81666666666666698</v>
      </c>
      <c r="AL1504" s="71">
        <v>0.79556650246305405</v>
      </c>
      <c r="AM1504" s="71">
        <v>0.81735159817351599</v>
      </c>
      <c r="AN1504" s="70">
        <v>0.99</v>
      </c>
      <c r="AO1504" s="75">
        <v>1</v>
      </c>
      <c r="AP1504" s="75" t="s">
        <v>1710</v>
      </c>
      <c r="AQ1504" s="75">
        <v>1</v>
      </c>
      <c r="AR1504" s="75">
        <v>1</v>
      </c>
      <c r="AS1504" s="95">
        <v>0.110069253262963</v>
      </c>
      <c r="AT1504" s="79">
        <v>0.4</v>
      </c>
      <c r="AU1504" s="79">
        <v>0</v>
      </c>
      <c r="AV1504" s="79">
        <v>0</v>
      </c>
      <c r="AW1504" s="79">
        <v>3.2258064516128997E-2</v>
      </c>
      <c r="AX1504" s="56"/>
      <c r="AY1504" s="54"/>
    </row>
    <row r="1505" spans="1:51">
      <c r="A1505" s="53"/>
      <c r="B1505" s="56"/>
      <c r="C1505" s="90" t="s">
        <v>1448</v>
      </c>
      <c r="D1505" s="230" t="s">
        <v>1757</v>
      </c>
      <c r="E1505" s="68" t="s">
        <v>1449</v>
      </c>
      <c r="F1505" s="106" t="s">
        <v>1530</v>
      </c>
      <c r="G1505" s="106" t="s">
        <v>1530</v>
      </c>
      <c r="H1505" s="106" t="s">
        <v>1530</v>
      </c>
      <c r="I1505" s="106" t="s">
        <v>1530</v>
      </c>
      <c r="J1505" s="70">
        <v>0.9</v>
      </c>
      <c r="K1505" s="71">
        <v>0.6875</v>
      </c>
      <c r="L1505" s="71">
        <v>0.46666666666666701</v>
      </c>
      <c r="M1505" s="72">
        <v>0.4375</v>
      </c>
      <c r="N1505" s="71">
        <v>0.54117647058823504</v>
      </c>
      <c r="O1505" s="73">
        <v>0.9</v>
      </c>
      <c r="P1505" s="71" t="s">
        <v>1710</v>
      </c>
      <c r="Q1505" s="71">
        <v>1</v>
      </c>
      <c r="R1505" s="71" t="s">
        <v>1710</v>
      </c>
      <c r="S1505" s="71">
        <v>0.6</v>
      </c>
      <c r="T1505" s="73">
        <v>0.9</v>
      </c>
      <c r="U1505" s="71" t="s">
        <v>1710</v>
      </c>
      <c r="V1505" s="71">
        <v>0</v>
      </c>
      <c r="W1505" s="71" t="s">
        <v>1710</v>
      </c>
      <c r="X1505" s="71">
        <v>0.1</v>
      </c>
      <c r="Y1505" s="73">
        <v>0.92</v>
      </c>
      <c r="Z1505" s="73" t="s">
        <v>1710</v>
      </c>
      <c r="AA1505" s="73" t="s">
        <v>1710</v>
      </c>
      <c r="AB1505" s="73" t="s">
        <v>1710</v>
      </c>
      <c r="AC1505" s="73" t="s">
        <v>1710</v>
      </c>
      <c r="AD1505" s="73">
        <v>0.92</v>
      </c>
      <c r="AE1505" s="71">
        <v>0</v>
      </c>
      <c r="AF1505" s="71">
        <v>0.71428571428571397</v>
      </c>
      <c r="AG1505" s="71">
        <v>0</v>
      </c>
      <c r="AH1505" s="71">
        <v>0.151260504201681</v>
      </c>
      <c r="AI1505" s="73">
        <v>0.92</v>
      </c>
      <c r="AJ1505" s="71">
        <v>0.741077222582738</v>
      </c>
      <c r="AK1505" s="71">
        <v>0.68609271523178805</v>
      </c>
      <c r="AL1505" s="71">
        <v>0.75828729281768004</v>
      </c>
      <c r="AM1505" s="71">
        <v>0.73647322680123395</v>
      </c>
      <c r="AN1505" s="70">
        <v>0.99</v>
      </c>
      <c r="AO1505" s="75" t="s">
        <v>1710</v>
      </c>
      <c r="AP1505" s="75">
        <v>1</v>
      </c>
      <c r="AQ1505" s="75">
        <v>1</v>
      </c>
      <c r="AR1505" s="75">
        <v>1</v>
      </c>
      <c r="AS1505" s="95">
        <v>0.110069253262963</v>
      </c>
      <c r="AT1505" s="79">
        <v>0.22222222222222199</v>
      </c>
      <c r="AU1505" s="79">
        <v>0.125</v>
      </c>
      <c r="AV1505" s="79">
        <v>6.6666666666666693E-2</v>
      </c>
      <c r="AW1505" s="79">
        <v>0.11971830985915501</v>
      </c>
      <c r="AX1505" s="56"/>
      <c r="AY1505" s="54"/>
    </row>
    <row r="1506" spans="1:51">
      <c r="A1506" s="53"/>
      <c r="B1506" s="56"/>
      <c r="C1506" s="90" t="s">
        <v>1448</v>
      </c>
      <c r="D1506" s="230" t="s">
        <v>1757</v>
      </c>
      <c r="E1506" s="68" t="s">
        <v>1449</v>
      </c>
      <c r="F1506" s="106" t="s">
        <v>1531</v>
      </c>
      <c r="G1506" s="106" t="s">
        <v>1531</v>
      </c>
      <c r="H1506" s="106" t="s">
        <v>1531</v>
      </c>
      <c r="I1506" s="106" t="s">
        <v>1531</v>
      </c>
      <c r="J1506" s="70">
        <v>0.9</v>
      </c>
      <c r="K1506" s="71">
        <v>1</v>
      </c>
      <c r="L1506" s="71">
        <v>0.95</v>
      </c>
      <c r="M1506" s="72">
        <v>0.5</v>
      </c>
      <c r="N1506" s="71">
        <v>0.96363636363636396</v>
      </c>
      <c r="O1506" s="73">
        <v>0.9</v>
      </c>
      <c r="P1506" s="71">
        <v>0.99923722349351596</v>
      </c>
      <c r="Q1506" s="71">
        <v>0.64344827586206899</v>
      </c>
      <c r="R1506" s="71">
        <v>0.31158156911581603</v>
      </c>
      <c r="S1506" s="71">
        <v>0.54900853856467402</v>
      </c>
      <c r="T1506" s="73">
        <v>0.9</v>
      </c>
      <c r="U1506" s="71">
        <v>0.71243325705568294</v>
      </c>
      <c r="V1506" s="71">
        <v>0.63931034482758597</v>
      </c>
      <c r="W1506" s="71">
        <v>0.303860523038605</v>
      </c>
      <c r="X1506" s="71">
        <v>0.478230188412956</v>
      </c>
      <c r="Y1506" s="73">
        <v>0.92</v>
      </c>
      <c r="Z1506" s="73" t="s">
        <v>1710</v>
      </c>
      <c r="AA1506" s="73" t="s">
        <v>1710</v>
      </c>
      <c r="AB1506" s="73" t="s">
        <v>1710</v>
      </c>
      <c r="AC1506" s="73" t="s">
        <v>1710</v>
      </c>
      <c r="AD1506" s="73">
        <v>0.92</v>
      </c>
      <c r="AE1506" s="71">
        <v>1</v>
      </c>
      <c r="AF1506" s="71">
        <v>1</v>
      </c>
      <c r="AG1506" s="71">
        <v>1</v>
      </c>
      <c r="AH1506" s="71">
        <v>0.98936170212765995</v>
      </c>
      <c r="AI1506" s="73">
        <v>0.92</v>
      </c>
      <c r="AJ1506" s="71">
        <v>0.76277650648359996</v>
      </c>
      <c r="AK1506" s="71">
        <v>0.71241379310344799</v>
      </c>
      <c r="AL1506" s="71">
        <v>0.30403386454183301</v>
      </c>
      <c r="AM1506" s="71">
        <v>0.52048718670797001</v>
      </c>
      <c r="AN1506" s="70">
        <v>0.99</v>
      </c>
      <c r="AO1506" s="75" t="s">
        <v>1710</v>
      </c>
      <c r="AP1506" s="75">
        <v>1</v>
      </c>
      <c r="AQ1506" s="75" t="s">
        <v>1710</v>
      </c>
      <c r="AR1506" s="75">
        <v>1</v>
      </c>
      <c r="AS1506" s="95">
        <v>0.110069253262963</v>
      </c>
      <c r="AT1506" s="79">
        <v>4.08163265306122E-2</v>
      </c>
      <c r="AU1506" s="79">
        <v>3.4782608695652202E-2</v>
      </c>
      <c r="AV1506" s="79" t="s">
        <v>1710</v>
      </c>
      <c r="AW1506" s="79">
        <v>0.121069182389937</v>
      </c>
      <c r="AX1506" s="56"/>
      <c r="AY1506" s="54"/>
    </row>
    <row r="1507" spans="1:51">
      <c r="A1507" s="53"/>
      <c r="B1507" s="56"/>
      <c r="C1507" s="90" t="s">
        <v>1448</v>
      </c>
      <c r="D1507" s="230" t="s">
        <v>1757</v>
      </c>
      <c r="E1507" s="68" t="s">
        <v>1449</v>
      </c>
      <c r="F1507" s="106" t="s">
        <v>1532</v>
      </c>
      <c r="G1507" s="106" t="s">
        <v>1532</v>
      </c>
      <c r="H1507" s="106" t="s">
        <v>1532</v>
      </c>
      <c r="I1507" s="106" t="s">
        <v>1532</v>
      </c>
      <c r="J1507" s="70">
        <v>0.9</v>
      </c>
      <c r="K1507" s="71">
        <v>0.75</v>
      </c>
      <c r="L1507" s="71">
        <v>0.69230769230769196</v>
      </c>
      <c r="M1507" s="72">
        <v>0.625</v>
      </c>
      <c r="N1507" s="71">
        <v>0.683168316831683</v>
      </c>
      <c r="O1507" s="73">
        <v>0.9</v>
      </c>
      <c r="P1507" s="71" t="s">
        <v>1710</v>
      </c>
      <c r="Q1507" s="71" t="s">
        <v>1710</v>
      </c>
      <c r="R1507" s="71">
        <v>0</v>
      </c>
      <c r="S1507" s="71">
        <v>0</v>
      </c>
      <c r="T1507" s="73">
        <v>0.9</v>
      </c>
      <c r="U1507" s="71" t="s">
        <v>1710</v>
      </c>
      <c r="V1507" s="71" t="s">
        <v>1710</v>
      </c>
      <c r="W1507" s="71">
        <v>0</v>
      </c>
      <c r="X1507" s="71">
        <v>0</v>
      </c>
      <c r="Y1507" s="73">
        <v>0.92</v>
      </c>
      <c r="Z1507" s="73" t="s">
        <v>1710</v>
      </c>
      <c r="AA1507" s="73" t="s">
        <v>1710</v>
      </c>
      <c r="AB1507" s="73" t="s">
        <v>1710</v>
      </c>
      <c r="AC1507" s="73" t="s">
        <v>1710</v>
      </c>
      <c r="AD1507" s="73">
        <v>0.92</v>
      </c>
      <c r="AE1507" s="71">
        <v>0</v>
      </c>
      <c r="AF1507" s="71">
        <v>0</v>
      </c>
      <c r="AG1507" s="71" t="s">
        <v>1710</v>
      </c>
      <c r="AH1507" s="71">
        <v>0.25</v>
      </c>
      <c r="AI1507" s="73">
        <v>0.92</v>
      </c>
      <c r="AJ1507" s="71">
        <v>0.343035343035343</v>
      </c>
      <c r="AK1507" s="71">
        <v>0.25465587044534399</v>
      </c>
      <c r="AL1507" s="71">
        <v>0.203007518796992</v>
      </c>
      <c r="AM1507" s="71">
        <v>0.27164650184113598</v>
      </c>
      <c r="AN1507" s="70">
        <v>0.99</v>
      </c>
      <c r="AO1507" s="75" t="s">
        <v>1710</v>
      </c>
      <c r="AP1507" s="75" t="s">
        <v>1710</v>
      </c>
      <c r="AQ1507" s="75" t="s">
        <v>1710</v>
      </c>
      <c r="AR1507" s="75">
        <v>1</v>
      </c>
      <c r="AS1507" s="95">
        <v>0.110069253262963</v>
      </c>
      <c r="AT1507" s="79">
        <v>1.9230769230769201E-2</v>
      </c>
      <c r="AU1507" s="79">
        <v>5.8823529411764698E-2</v>
      </c>
      <c r="AV1507" s="79">
        <v>3.2608695652173898E-2</v>
      </c>
      <c r="AW1507" s="79">
        <v>3.9959016393442598E-2</v>
      </c>
      <c r="AX1507" s="56"/>
      <c r="AY1507" s="54"/>
    </row>
    <row r="1508" spans="1:51">
      <c r="A1508" s="53"/>
      <c r="B1508" s="56"/>
      <c r="C1508" s="90" t="s">
        <v>1448</v>
      </c>
      <c r="D1508" s="230" t="s">
        <v>1757</v>
      </c>
      <c r="E1508" s="68" t="s">
        <v>1449</v>
      </c>
      <c r="F1508" s="106" t="s">
        <v>1533</v>
      </c>
      <c r="G1508" s="106" t="s">
        <v>1533</v>
      </c>
      <c r="H1508" s="106" t="s">
        <v>1533</v>
      </c>
      <c r="I1508" s="106" t="s">
        <v>1533</v>
      </c>
      <c r="J1508" s="70">
        <v>0.9</v>
      </c>
      <c r="K1508" s="71">
        <v>1</v>
      </c>
      <c r="L1508" s="71">
        <v>0.96428571428571397</v>
      </c>
      <c r="M1508" s="72">
        <v>1</v>
      </c>
      <c r="N1508" s="71">
        <v>0.99322033898305095</v>
      </c>
      <c r="O1508" s="73">
        <v>0.9</v>
      </c>
      <c r="P1508" s="71">
        <v>0.960025789813024</v>
      </c>
      <c r="Q1508" s="71">
        <v>0.96572995202193301</v>
      </c>
      <c r="R1508" s="71">
        <v>0.92434017595307905</v>
      </c>
      <c r="S1508" s="71">
        <v>0.96179698216735299</v>
      </c>
      <c r="T1508" s="73">
        <v>0.9</v>
      </c>
      <c r="U1508" s="71">
        <v>0.74725983236621496</v>
      </c>
      <c r="V1508" s="71">
        <v>0.62919808087731299</v>
      </c>
      <c r="W1508" s="71">
        <v>0.51906158357771304</v>
      </c>
      <c r="X1508" s="71">
        <v>0.67078189300411495</v>
      </c>
      <c r="Y1508" s="73">
        <v>0.92</v>
      </c>
      <c r="Z1508" s="73">
        <v>0.84060150375939802</v>
      </c>
      <c r="AA1508" s="73">
        <v>0.846615252784919</v>
      </c>
      <c r="AB1508" s="73">
        <v>0.666088464874241</v>
      </c>
      <c r="AC1508" s="73">
        <v>0.80916887072212895</v>
      </c>
      <c r="AD1508" s="73">
        <v>0.92</v>
      </c>
      <c r="AE1508" s="71">
        <v>0.96363636363636396</v>
      </c>
      <c r="AF1508" s="71">
        <v>1</v>
      </c>
      <c r="AG1508" s="71">
        <v>0.565217391304348</v>
      </c>
      <c r="AH1508" s="71">
        <v>0.89837398373983701</v>
      </c>
      <c r="AI1508" s="73">
        <v>0.92</v>
      </c>
      <c r="AJ1508" s="71">
        <v>0.86710617626648201</v>
      </c>
      <c r="AK1508" s="71">
        <v>0.89146991622239102</v>
      </c>
      <c r="AL1508" s="71">
        <v>0.73058082575227401</v>
      </c>
      <c r="AM1508" s="71">
        <v>0.85692643092044496</v>
      </c>
      <c r="AN1508" s="70">
        <v>0.99</v>
      </c>
      <c r="AO1508" s="75">
        <v>1</v>
      </c>
      <c r="AP1508" s="75">
        <v>1</v>
      </c>
      <c r="AQ1508" s="75">
        <v>1</v>
      </c>
      <c r="AR1508" s="75">
        <v>1</v>
      </c>
      <c r="AS1508" s="95">
        <v>0.110069253262963</v>
      </c>
      <c r="AT1508" s="79">
        <v>0.15384615384615399</v>
      </c>
      <c r="AU1508" s="79">
        <v>0.16666666666666699</v>
      </c>
      <c r="AV1508" s="79">
        <v>9.0909090909090898E-2</v>
      </c>
      <c r="AW1508" s="79">
        <v>0.108108108108108</v>
      </c>
      <c r="AX1508" s="56"/>
      <c r="AY1508" s="54"/>
    </row>
    <row r="1509" spans="1:51">
      <c r="A1509" s="53"/>
      <c r="B1509" s="56"/>
      <c r="C1509" s="90" t="s">
        <v>1448</v>
      </c>
      <c r="D1509" s="230" t="s">
        <v>1757</v>
      </c>
      <c r="E1509" s="68" t="s">
        <v>1449</v>
      </c>
      <c r="F1509" s="106" t="s">
        <v>1534</v>
      </c>
      <c r="G1509" s="106" t="s">
        <v>1534</v>
      </c>
      <c r="H1509" s="106" t="s">
        <v>1534</v>
      </c>
      <c r="I1509" s="106" t="s">
        <v>1534</v>
      </c>
      <c r="J1509" s="70">
        <v>0.9</v>
      </c>
      <c r="K1509" s="71">
        <v>1</v>
      </c>
      <c r="L1509" s="71">
        <v>1</v>
      </c>
      <c r="M1509" s="72">
        <v>1</v>
      </c>
      <c r="N1509" s="71">
        <v>0.98979591836734704</v>
      </c>
      <c r="O1509" s="73">
        <v>0.9</v>
      </c>
      <c r="P1509" s="71">
        <v>0.99173243141676104</v>
      </c>
      <c r="Q1509" s="71">
        <v>0.95689371503784104</v>
      </c>
      <c r="R1509" s="71">
        <v>0.99105299380591905</v>
      </c>
      <c r="S1509" s="71">
        <v>0.95885314073101302</v>
      </c>
      <c r="T1509" s="73">
        <v>0.9</v>
      </c>
      <c r="U1509" s="71">
        <v>0.84066140548665902</v>
      </c>
      <c r="V1509" s="71">
        <v>0.84304047384007896</v>
      </c>
      <c r="W1509" s="71">
        <v>0.84927735719201602</v>
      </c>
      <c r="X1509" s="71">
        <v>0.83459963105399704</v>
      </c>
      <c r="Y1509" s="73">
        <v>0.92</v>
      </c>
      <c r="Z1509" s="73" t="s">
        <v>1710</v>
      </c>
      <c r="AA1509" s="73" t="s">
        <v>1710</v>
      </c>
      <c r="AB1509" s="73" t="s">
        <v>1710</v>
      </c>
      <c r="AC1509" s="73" t="s">
        <v>1710</v>
      </c>
      <c r="AD1509" s="73">
        <v>0.92</v>
      </c>
      <c r="AE1509" s="71">
        <v>0.92857142857142905</v>
      </c>
      <c r="AF1509" s="71">
        <v>1</v>
      </c>
      <c r="AG1509" s="71">
        <v>1</v>
      </c>
      <c r="AH1509" s="71">
        <v>0.98769771528998196</v>
      </c>
      <c r="AI1509" s="73">
        <v>0.92</v>
      </c>
      <c r="AJ1509" s="71">
        <v>0.94325441563322099</v>
      </c>
      <c r="AK1509" s="71">
        <v>0.95886804870023001</v>
      </c>
      <c r="AL1509" s="71">
        <v>0.95629731589814204</v>
      </c>
      <c r="AM1509" s="71">
        <v>0.93877997686270798</v>
      </c>
      <c r="AN1509" s="70">
        <v>0.99</v>
      </c>
      <c r="AO1509" s="75">
        <v>1</v>
      </c>
      <c r="AP1509" s="75">
        <v>1</v>
      </c>
      <c r="AQ1509" s="75">
        <v>1</v>
      </c>
      <c r="AR1509" s="75">
        <v>1</v>
      </c>
      <c r="AS1509" s="95">
        <v>0.110069253262963</v>
      </c>
      <c r="AT1509" s="79">
        <v>0.11111111111111099</v>
      </c>
      <c r="AU1509" s="79">
        <v>4.7619047619047603E-2</v>
      </c>
      <c r="AV1509" s="79">
        <v>0</v>
      </c>
      <c r="AW1509" s="79">
        <v>5.8295964125560498E-2</v>
      </c>
      <c r="AX1509" s="56"/>
      <c r="AY1509" s="54"/>
    </row>
    <row r="1510" spans="1:51">
      <c r="A1510" s="53"/>
      <c r="B1510" s="56"/>
      <c r="C1510" s="90" t="s">
        <v>1448</v>
      </c>
      <c r="D1510" s="230" t="s">
        <v>1757</v>
      </c>
      <c r="E1510" s="68" t="s">
        <v>1449</v>
      </c>
      <c r="F1510" s="106" t="s">
        <v>1535</v>
      </c>
      <c r="G1510" s="106" t="s">
        <v>1535</v>
      </c>
      <c r="H1510" s="106" t="s">
        <v>1535</v>
      </c>
      <c r="I1510" s="106" t="s">
        <v>1535</v>
      </c>
      <c r="J1510" s="70">
        <v>0.9</v>
      </c>
      <c r="K1510" s="71">
        <v>1</v>
      </c>
      <c r="L1510" s="71">
        <v>0.96551724137931005</v>
      </c>
      <c r="M1510" s="72">
        <v>0.95652173913043503</v>
      </c>
      <c r="N1510" s="71">
        <v>0.98245614035087703</v>
      </c>
      <c r="O1510" s="73">
        <v>0.9</v>
      </c>
      <c r="P1510" s="71">
        <v>0.96146674953387201</v>
      </c>
      <c r="Q1510" s="71">
        <v>0.94810659186535795</v>
      </c>
      <c r="R1510" s="71">
        <v>0.92516205067766599</v>
      </c>
      <c r="S1510" s="71">
        <v>0.95790372364878196</v>
      </c>
      <c r="T1510" s="73">
        <v>0.9</v>
      </c>
      <c r="U1510" s="71">
        <v>0.70602858918583</v>
      </c>
      <c r="V1510" s="71">
        <v>0.71037868162692897</v>
      </c>
      <c r="W1510" s="71">
        <v>0.54449027695934005</v>
      </c>
      <c r="X1510" s="71">
        <v>0.669534379720234</v>
      </c>
      <c r="Y1510" s="73">
        <v>0.92</v>
      </c>
      <c r="Z1510" s="73">
        <v>0.82435597189695597</v>
      </c>
      <c r="AA1510" s="73">
        <v>0.88987138263665599</v>
      </c>
      <c r="AB1510" s="73">
        <v>0.71091703056768596</v>
      </c>
      <c r="AC1510" s="73">
        <v>0.83714970653881104</v>
      </c>
      <c r="AD1510" s="73">
        <v>0.92</v>
      </c>
      <c r="AE1510" s="71">
        <v>1</v>
      </c>
      <c r="AF1510" s="71">
        <v>1</v>
      </c>
      <c r="AG1510" s="71">
        <v>1</v>
      </c>
      <c r="AH1510" s="71">
        <v>0.99810246679316905</v>
      </c>
      <c r="AI1510" s="73">
        <v>0.92</v>
      </c>
      <c r="AJ1510" s="71">
        <v>0.89031141868512098</v>
      </c>
      <c r="AK1510" s="71">
        <v>0.92808988764044897</v>
      </c>
      <c r="AL1510" s="71">
        <v>0.79169598874032399</v>
      </c>
      <c r="AM1510" s="71">
        <v>0.88823830783868796</v>
      </c>
      <c r="AN1510" s="70">
        <v>0.99</v>
      </c>
      <c r="AO1510" s="75">
        <v>1</v>
      </c>
      <c r="AP1510" s="75">
        <v>1</v>
      </c>
      <c r="AQ1510" s="75">
        <v>1</v>
      </c>
      <c r="AR1510" s="75">
        <v>1</v>
      </c>
      <c r="AS1510" s="95">
        <v>0.110069253262963</v>
      </c>
      <c r="AT1510" s="79">
        <v>0.11111111111111099</v>
      </c>
      <c r="AU1510" s="79">
        <v>8.3333333333333301E-2</v>
      </c>
      <c r="AV1510" s="79">
        <v>0</v>
      </c>
      <c r="AW1510" s="79">
        <v>6.0975609756097601E-2</v>
      </c>
      <c r="AX1510" s="56"/>
      <c r="AY1510" s="54"/>
    </row>
    <row r="1511" spans="1:51">
      <c r="A1511" s="53"/>
      <c r="B1511" s="56"/>
      <c r="C1511" s="90" t="s">
        <v>1448</v>
      </c>
      <c r="D1511" s="230" t="s">
        <v>1757</v>
      </c>
      <c r="E1511" s="68" t="s">
        <v>1449</v>
      </c>
      <c r="F1511" s="106" t="s">
        <v>1536</v>
      </c>
      <c r="G1511" s="106" t="s">
        <v>1536</v>
      </c>
      <c r="H1511" s="106" t="s">
        <v>1536</v>
      </c>
      <c r="I1511" s="106" t="s">
        <v>1536</v>
      </c>
      <c r="J1511" s="70">
        <v>0.9</v>
      </c>
      <c r="K1511" s="71">
        <v>1</v>
      </c>
      <c r="L1511" s="71">
        <v>0.95652173913043503</v>
      </c>
      <c r="M1511" s="72">
        <v>1</v>
      </c>
      <c r="N1511" s="71">
        <v>0.97368421052631604</v>
      </c>
      <c r="O1511" s="73">
        <v>0.9</v>
      </c>
      <c r="P1511" s="71">
        <v>0.94717762817193196</v>
      </c>
      <c r="Q1511" s="71">
        <v>0.78122065727699497</v>
      </c>
      <c r="R1511" s="71">
        <v>0.92881858625803304</v>
      </c>
      <c r="S1511" s="71">
        <v>0.91532014170915099</v>
      </c>
      <c r="T1511" s="73">
        <v>0.9</v>
      </c>
      <c r="U1511" s="71">
        <v>0.86276540652511702</v>
      </c>
      <c r="V1511" s="71">
        <v>0.72018779342723005</v>
      </c>
      <c r="W1511" s="71">
        <v>0.82698961937716298</v>
      </c>
      <c r="X1511" s="71">
        <v>0.85332238831763596</v>
      </c>
      <c r="Y1511" s="73">
        <v>0.92</v>
      </c>
      <c r="Z1511" s="73" t="s">
        <v>1710</v>
      </c>
      <c r="AA1511" s="73" t="s">
        <v>1710</v>
      </c>
      <c r="AB1511" s="73" t="s">
        <v>1710</v>
      </c>
      <c r="AC1511" s="73" t="s">
        <v>1710</v>
      </c>
      <c r="AD1511" s="73">
        <v>0.92</v>
      </c>
      <c r="AE1511" s="71">
        <v>0.82954545454545503</v>
      </c>
      <c r="AF1511" s="71">
        <v>0.96</v>
      </c>
      <c r="AG1511" s="71">
        <v>0.87804878048780499</v>
      </c>
      <c r="AH1511" s="71">
        <v>0.86594761171032397</v>
      </c>
      <c r="AI1511" s="73">
        <v>0.92</v>
      </c>
      <c r="AJ1511" s="71">
        <v>0.92542723977213903</v>
      </c>
      <c r="AK1511" s="71">
        <v>0.92065727699530497</v>
      </c>
      <c r="AL1511" s="71">
        <v>0.89075630252100801</v>
      </c>
      <c r="AM1511" s="71">
        <v>0.93592845416054604</v>
      </c>
      <c r="AN1511" s="70">
        <v>0.99</v>
      </c>
      <c r="AO1511" s="75">
        <v>1</v>
      </c>
      <c r="AP1511" s="75" t="s">
        <v>1710</v>
      </c>
      <c r="AQ1511" s="75">
        <v>1</v>
      </c>
      <c r="AR1511" s="75">
        <v>1</v>
      </c>
      <c r="AS1511" s="95">
        <v>0.110069253262963</v>
      </c>
      <c r="AT1511" s="79">
        <v>0.2</v>
      </c>
      <c r="AU1511" s="79">
        <v>0</v>
      </c>
      <c r="AV1511" s="79">
        <v>0</v>
      </c>
      <c r="AW1511" s="79">
        <v>7.7419354838709695E-2</v>
      </c>
      <c r="AX1511" s="56"/>
      <c r="AY1511" s="54"/>
    </row>
    <row r="1512" spans="1:51">
      <c r="A1512" s="53"/>
      <c r="B1512" s="56"/>
      <c r="C1512" s="90" t="s">
        <v>1448</v>
      </c>
      <c r="D1512" s="230" t="s">
        <v>1757</v>
      </c>
      <c r="E1512" s="68" t="s">
        <v>1449</v>
      </c>
      <c r="F1512" s="106" t="s">
        <v>1537</v>
      </c>
      <c r="G1512" s="106" t="s">
        <v>1537</v>
      </c>
      <c r="H1512" s="106" t="s">
        <v>1537</v>
      </c>
      <c r="I1512" s="106" t="s">
        <v>1537</v>
      </c>
      <c r="J1512" s="70">
        <v>0.9</v>
      </c>
      <c r="K1512" s="71">
        <v>1</v>
      </c>
      <c r="L1512" s="71">
        <v>1</v>
      </c>
      <c r="M1512" s="72">
        <v>1</v>
      </c>
      <c r="N1512" s="71">
        <v>0.99438202247190999</v>
      </c>
      <c r="O1512" s="73">
        <v>0.9</v>
      </c>
      <c r="P1512" s="71">
        <v>0.99495268138801296</v>
      </c>
      <c r="Q1512" s="71">
        <v>0.99599733155436998</v>
      </c>
      <c r="R1512" s="71">
        <v>0.98223039215686303</v>
      </c>
      <c r="S1512" s="71">
        <v>0.973766562354351</v>
      </c>
      <c r="T1512" s="73">
        <v>0.9</v>
      </c>
      <c r="U1512" s="71">
        <v>0.63848580441640401</v>
      </c>
      <c r="V1512" s="71">
        <v>0.59906604402935304</v>
      </c>
      <c r="W1512" s="71">
        <v>0.56188725490196101</v>
      </c>
      <c r="X1512" s="71">
        <v>0.64678074439043898</v>
      </c>
      <c r="Y1512" s="73">
        <v>0.92</v>
      </c>
      <c r="Z1512" s="73" t="s">
        <v>1710</v>
      </c>
      <c r="AA1512" s="73" t="s">
        <v>1710</v>
      </c>
      <c r="AB1512" s="73" t="s">
        <v>1710</v>
      </c>
      <c r="AC1512" s="73" t="s">
        <v>1710</v>
      </c>
      <c r="AD1512" s="73">
        <v>0.92</v>
      </c>
      <c r="AE1512" s="71">
        <v>1</v>
      </c>
      <c r="AF1512" s="71">
        <v>1</v>
      </c>
      <c r="AG1512" s="71">
        <v>1</v>
      </c>
      <c r="AH1512" s="71">
        <v>1</v>
      </c>
      <c r="AI1512" s="73">
        <v>0.92</v>
      </c>
      <c r="AJ1512" s="71">
        <v>0.92870662460567799</v>
      </c>
      <c r="AK1512" s="71">
        <v>0.87391594396264205</v>
      </c>
      <c r="AL1512" s="71">
        <v>0.90257352941176505</v>
      </c>
      <c r="AM1512" s="71">
        <v>0.908449297556429</v>
      </c>
      <c r="AN1512" s="70">
        <v>0.99</v>
      </c>
      <c r="AO1512" s="75">
        <v>1</v>
      </c>
      <c r="AP1512" s="75">
        <v>1</v>
      </c>
      <c r="AQ1512" s="75">
        <v>1</v>
      </c>
      <c r="AR1512" s="75">
        <v>1</v>
      </c>
      <c r="AS1512" s="95">
        <v>0.110069253262963</v>
      </c>
      <c r="AT1512" s="79">
        <v>6.6666666666666693E-2</v>
      </c>
      <c r="AU1512" s="79">
        <v>7.69230769230769E-2</v>
      </c>
      <c r="AV1512" s="79">
        <v>0</v>
      </c>
      <c r="AW1512" s="79">
        <v>6.1224489795918401E-2</v>
      </c>
      <c r="AX1512" s="56"/>
      <c r="AY1512" s="54"/>
    </row>
    <row r="1513" spans="1:51">
      <c r="A1513" s="53"/>
      <c r="B1513" s="56"/>
      <c r="C1513" s="90" t="s">
        <v>1448</v>
      </c>
      <c r="D1513" s="230" t="s">
        <v>1757</v>
      </c>
      <c r="E1513" s="68" t="s">
        <v>1449</v>
      </c>
      <c r="F1513" s="106" t="s">
        <v>1538</v>
      </c>
      <c r="G1513" s="106" t="s">
        <v>1538</v>
      </c>
      <c r="H1513" s="106" t="s">
        <v>1538</v>
      </c>
      <c r="I1513" s="106" t="s">
        <v>1538</v>
      </c>
      <c r="J1513" s="70">
        <v>0.9</v>
      </c>
      <c r="K1513" s="71">
        <v>0.95833333333333304</v>
      </c>
      <c r="L1513" s="71">
        <v>1</v>
      </c>
      <c r="M1513" s="72">
        <v>1</v>
      </c>
      <c r="N1513" s="71">
        <v>0.97718631178707205</v>
      </c>
      <c r="O1513" s="73">
        <v>0.9</v>
      </c>
      <c r="P1513" s="71">
        <v>0.98234255444379004</v>
      </c>
      <c r="Q1513" s="71">
        <v>0.98493068113321303</v>
      </c>
      <c r="R1513" s="71">
        <v>0.88996029495178697</v>
      </c>
      <c r="S1513" s="71">
        <v>0.96538581693220904</v>
      </c>
      <c r="T1513" s="73">
        <v>0.9</v>
      </c>
      <c r="U1513" s="71">
        <v>0.68216597998822803</v>
      </c>
      <c r="V1513" s="71">
        <v>0.63954189270645001</v>
      </c>
      <c r="W1513" s="71">
        <v>0.55473624503686902</v>
      </c>
      <c r="X1513" s="71">
        <v>0.69340830990315505</v>
      </c>
      <c r="Y1513" s="73">
        <v>0.92</v>
      </c>
      <c r="Z1513" s="73" t="s">
        <v>1710</v>
      </c>
      <c r="AA1513" s="73" t="s">
        <v>1710</v>
      </c>
      <c r="AB1513" s="73" t="s">
        <v>1710</v>
      </c>
      <c r="AC1513" s="73" t="s">
        <v>1710</v>
      </c>
      <c r="AD1513" s="73">
        <v>0.92</v>
      </c>
      <c r="AE1513" s="71">
        <v>1</v>
      </c>
      <c r="AF1513" s="71">
        <v>1</v>
      </c>
      <c r="AG1513" s="71">
        <v>1</v>
      </c>
      <c r="AH1513" s="71">
        <v>0.98319327731092399</v>
      </c>
      <c r="AI1513" s="73">
        <v>0.92</v>
      </c>
      <c r="AJ1513" s="71">
        <v>0.93231312536786304</v>
      </c>
      <c r="AK1513" s="71">
        <v>0.94575045207956598</v>
      </c>
      <c r="AL1513" s="71">
        <v>0.92456040839478204</v>
      </c>
      <c r="AM1513" s="71">
        <v>0.95151515151515198</v>
      </c>
      <c r="AN1513" s="70">
        <v>0.99</v>
      </c>
      <c r="AO1513" s="75">
        <v>1</v>
      </c>
      <c r="AP1513" s="75">
        <v>1</v>
      </c>
      <c r="AQ1513" s="75">
        <v>1</v>
      </c>
      <c r="AR1513" s="75">
        <v>1</v>
      </c>
      <c r="AS1513" s="95">
        <v>0.110069253262963</v>
      </c>
      <c r="AT1513" s="79">
        <v>0.11111111111111099</v>
      </c>
      <c r="AU1513" s="79">
        <v>0</v>
      </c>
      <c r="AV1513" s="79">
        <v>0</v>
      </c>
      <c r="AW1513" s="79">
        <v>8.4745762711864403E-2</v>
      </c>
      <c r="AX1513" s="56"/>
      <c r="AY1513" s="54"/>
    </row>
    <row r="1514" spans="1:51">
      <c r="A1514" s="53"/>
      <c r="B1514" s="56"/>
      <c r="C1514" s="90" t="s">
        <v>1448</v>
      </c>
      <c r="D1514" s="230" t="s">
        <v>1757</v>
      </c>
      <c r="E1514" s="68" t="s">
        <v>1449</v>
      </c>
      <c r="F1514" s="106" t="s">
        <v>1539</v>
      </c>
      <c r="G1514" s="106" t="s">
        <v>1539</v>
      </c>
      <c r="H1514" s="106" t="s">
        <v>1539</v>
      </c>
      <c r="I1514" s="106" t="s">
        <v>1539</v>
      </c>
      <c r="J1514" s="70">
        <v>0.9</v>
      </c>
      <c r="K1514" s="71">
        <v>0.97499999999999998</v>
      </c>
      <c r="L1514" s="71">
        <v>0.95348837209302295</v>
      </c>
      <c r="M1514" s="72">
        <v>0.80555555555555602</v>
      </c>
      <c r="N1514" s="71">
        <v>0.92575406032482599</v>
      </c>
      <c r="O1514" s="73">
        <v>0.9</v>
      </c>
      <c r="P1514" s="71">
        <v>0.76577986437141399</v>
      </c>
      <c r="Q1514" s="71">
        <v>0.66952695269526996</v>
      </c>
      <c r="R1514" s="71">
        <v>0.63778801843318</v>
      </c>
      <c r="S1514" s="71">
        <v>0.71696879278984704</v>
      </c>
      <c r="T1514" s="73">
        <v>0.9</v>
      </c>
      <c r="U1514" s="71">
        <v>0.84141888367240503</v>
      </c>
      <c r="V1514" s="71">
        <v>0.733113311331133</v>
      </c>
      <c r="W1514" s="71">
        <v>0.71635944700460796</v>
      </c>
      <c r="X1514" s="71">
        <v>0.76932823772250702</v>
      </c>
      <c r="Y1514" s="73">
        <v>0.92</v>
      </c>
      <c r="Z1514" s="73" t="s">
        <v>1710</v>
      </c>
      <c r="AA1514" s="73" t="s">
        <v>1710</v>
      </c>
      <c r="AB1514" s="73" t="s">
        <v>1710</v>
      </c>
      <c r="AC1514" s="73">
        <v>0</v>
      </c>
      <c r="AD1514" s="73">
        <v>0.92</v>
      </c>
      <c r="AE1514" s="71">
        <v>0.82086956521739096</v>
      </c>
      <c r="AF1514" s="71">
        <v>0.13970588235294101</v>
      </c>
      <c r="AG1514" s="71">
        <v>0.70319634703196299</v>
      </c>
      <c r="AH1514" s="71">
        <v>0.78167843788948899</v>
      </c>
      <c r="AI1514" s="73">
        <v>0.92</v>
      </c>
      <c r="AJ1514" s="71">
        <v>0.96348461137193497</v>
      </c>
      <c r="AK1514" s="71">
        <v>0.947194719471947</v>
      </c>
      <c r="AL1514" s="71">
        <v>0.87626728110599095</v>
      </c>
      <c r="AM1514" s="71">
        <v>0.92356739965666601</v>
      </c>
      <c r="AN1514" s="70">
        <v>0.99</v>
      </c>
      <c r="AO1514" s="75">
        <v>1</v>
      </c>
      <c r="AP1514" s="75">
        <v>1</v>
      </c>
      <c r="AQ1514" s="75">
        <v>1</v>
      </c>
      <c r="AR1514" s="75">
        <v>1</v>
      </c>
      <c r="AS1514" s="95">
        <v>0.110069253262963</v>
      </c>
      <c r="AT1514" s="79">
        <v>6.0606060606060601E-2</v>
      </c>
      <c r="AU1514" s="79">
        <v>0.186046511627907</v>
      </c>
      <c r="AV1514" s="79">
        <v>0.08</v>
      </c>
      <c r="AW1514" s="79">
        <v>7.7586206896551699E-2</v>
      </c>
      <c r="AX1514" s="56"/>
      <c r="AY1514" s="54"/>
    </row>
    <row r="1515" spans="1:51">
      <c r="A1515" s="53"/>
      <c r="B1515" s="56"/>
      <c r="C1515" s="90" t="s">
        <v>1448</v>
      </c>
      <c r="D1515" s="230" t="s">
        <v>1757</v>
      </c>
      <c r="E1515" s="68" t="s">
        <v>1449</v>
      </c>
      <c r="F1515" s="106" t="s">
        <v>1540</v>
      </c>
      <c r="G1515" s="106" t="s">
        <v>1540</v>
      </c>
      <c r="H1515" s="106" t="s">
        <v>1540</v>
      </c>
      <c r="I1515" s="106" t="s">
        <v>1540</v>
      </c>
      <c r="J1515" s="70">
        <v>0.9</v>
      </c>
      <c r="K1515" s="71">
        <v>0.95652173913043503</v>
      </c>
      <c r="L1515" s="71">
        <v>1</v>
      </c>
      <c r="M1515" s="72">
        <v>1</v>
      </c>
      <c r="N1515" s="71">
        <v>0.98387096774193505</v>
      </c>
      <c r="O1515" s="73">
        <v>0.9</v>
      </c>
      <c r="P1515" s="71" t="s">
        <v>1710</v>
      </c>
      <c r="Q1515" s="71" t="s">
        <v>1710</v>
      </c>
      <c r="R1515" s="71" t="s">
        <v>1710</v>
      </c>
      <c r="S1515" s="71">
        <v>0.5</v>
      </c>
      <c r="T1515" s="73">
        <v>0.9</v>
      </c>
      <c r="U1515" s="71" t="s">
        <v>1710</v>
      </c>
      <c r="V1515" s="71" t="s">
        <v>1710</v>
      </c>
      <c r="W1515" s="71" t="s">
        <v>1710</v>
      </c>
      <c r="X1515" s="71">
        <v>0.5</v>
      </c>
      <c r="Y1515" s="73">
        <v>0.92</v>
      </c>
      <c r="Z1515" s="73" t="s">
        <v>1710</v>
      </c>
      <c r="AA1515" s="73" t="s">
        <v>1710</v>
      </c>
      <c r="AB1515" s="73" t="s">
        <v>1710</v>
      </c>
      <c r="AC1515" s="73" t="s">
        <v>1710</v>
      </c>
      <c r="AD1515" s="73">
        <v>0.92</v>
      </c>
      <c r="AE1515" s="71">
        <v>0</v>
      </c>
      <c r="AF1515" s="71">
        <v>0</v>
      </c>
      <c r="AG1515" s="71" t="s">
        <v>1710</v>
      </c>
      <c r="AH1515" s="71">
        <v>0.61538461538461497</v>
      </c>
      <c r="AI1515" s="73">
        <v>0.92</v>
      </c>
      <c r="AJ1515" s="71">
        <v>0.71918186843559995</v>
      </c>
      <c r="AK1515" s="71">
        <v>0.85626156693399103</v>
      </c>
      <c r="AL1515" s="71">
        <v>0.66802089378990104</v>
      </c>
      <c r="AM1515" s="71">
        <v>0.78655599959012201</v>
      </c>
      <c r="AN1515" s="70">
        <v>0.99</v>
      </c>
      <c r="AO1515" s="75">
        <v>1</v>
      </c>
      <c r="AP1515" s="75">
        <v>1</v>
      </c>
      <c r="AQ1515" s="75">
        <v>1</v>
      </c>
      <c r="AR1515" s="75">
        <v>1</v>
      </c>
      <c r="AS1515" s="95">
        <v>0.110069253262963</v>
      </c>
      <c r="AT1515" s="79">
        <v>0.1</v>
      </c>
      <c r="AU1515" s="79">
        <v>0.105263157894737</v>
      </c>
      <c r="AV1515" s="79">
        <v>0</v>
      </c>
      <c r="AW1515" s="79">
        <v>4.47761194029851E-2</v>
      </c>
      <c r="AX1515" s="56"/>
      <c r="AY1515" s="54"/>
    </row>
    <row r="1516" spans="1:51">
      <c r="A1516" s="53"/>
      <c r="B1516" s="56"/>
      <c r="C1516" s="90" t="s">
        <v>1448</v>
      </c>
      <c r="D1516" s="230" t="s">
        <v>1757</v>
      </c>
      <c r="E1516" s="68" t="s">
        <v>1449</v>
      </c>
      <c r="F1516" s="106" t="s">
        <v>1541</v>
      </c>
      <c r="G1516" s="106" t="s">
        <v>1541</v>
      </c>
      <c r="H1516" s="106" t="s">
        <v>1541</v>
      </c>
      <c r="I1516" s="106" t="s">
        <v>1541</v>
      </c>
      <c r="J1516" s="70">
        <v>0.9</v>
      </c>
      <c r="K1516" s="71">
        <v>1</v>
      </c>
      <c r="L1516" s="71">
        <v>1</v>
      </c>
      <c r="M1516" s="72">
        <v>0.94117647058823495</v>
      </c>
      <c r="N1516" s="71">
        <v>0.97487437185929604</v>
      </c>
      <c r="O1516" s="73">
        <v>0.9</v>
      </c>
      <c r="P1516" s="71">
        <v>0.99739752765126899</v>
      </c>
      <c r="Q1516" s="71">
        <v>0.98536585365853702</v>
      </c>
      <c r="R1516" s="71">
        <v>0.999382716049383</v>
      </c>
      <c r="S1516" s="71">
        <v>0.978012755958375</v>
      </c>
      <c r="T1516" s="73">
        <v>0.9</v>
      </c>
      <c r="U1516" s="71">
        <v>0.95185426154847097</v>
      </c>
      <c r="V1516" s="71">
        <v>0.96036585365853699</v>
      </c>
      <c r="W1516" s="71">
        <v>0.96419753086419802</v>
      </c>
      <c r="X1516" s="71">
        <v>0.94942374398567797</v>
      </c>
      <c r="Y1516" s="73">
        <v>0.92</v>
      </c>
      <c r="Z1516" s="73" t="s">
        <v>1710</v>
      </c>
      <c r="AA1516" s="73" t="s">
        <v>1710</v>
      </c>
      <c r="AB1516" s="73" t="s">
        <v>1710</v>
      </c>
      <c r="AC1516" s="73" t="s">
        <v>1710</v>
      </c>
      <c r="AD1516" s="73">
        <v>0.92</v>
      </c>
      <c r="AE1516" s="71">
        <v>1</v>
      </c>
      <c r="AF1516" s="71">
        <v>0.98571428571428599</v>
      </c>
      <c r="AG1516" s="71">
        <v>1</v>
      </c>
      <c r="AH1516" s="71">
        <v>0.98773006134969299</v>
      </c>
      <c r="AI1516" s="73">
        <v>0.92</v>
      </c>
      <c r="AJ1516" s="71">
        <v>0.97657774886141802</v>
      </c>
      <c r="AK1516" s="71">
        <v>0.98536585365853702</v>
      </c>
      <c r="AL1516" s="71">
        <v>0.99444444444444402</v>
      </c>
      <c r="AM1516" s="71">
        <v>0.98500615419044402</v>
      </c>
      <c r="AN1516" s="70">
        <v>0.99</v>
      </c>
      <c r="AO1516" s="75">
        <v>1</v>
      </c>
      <c r="AP1516" s="75">
        <v>1</v>
      </c>
      <c r="AQ1516" s="75">
        <v>1</v>
      </c>
      <c r="AR1516" s="75">
        <v>1</v>
      </c>
      <c r="AS1516" s="95">
        <v>0.110069253262963</v>
      </c>
      <c r="AT1516" s="79">
        <v>0.11764705882352899</v>
      </c>
      <c r="AU1516" s="79">
        <v>0</v>
      </c>
      <c r="AV1516" s="79">
        <v>0</v>
      </c>
      <c r="AW1516" s="79">
        <v>6.6666666666666693E-2</v>
      </c>
      <c r="AX1516" s="56"/>
      <c r="AY1516" s="54"/>
    </row>
    <row r="1517" spans="1:51">
      <c r="A1517" s="53"/>
      <c r="B1517" s="56"/>
      <c r="C1517" s="90" t="s">
        <v>1448</v>
      </c>
      <c r="D1517" s="230" t="s">
        <v>1757</v>
      </c>
      <c r="E1517" s="68" t="s">
        <v>1449</v>
      </c>
      <c r="F1517" s="106" t="s">
        <v>1542</v>
      </c>
      <c r="G1517" s="106" t="s">
        <v>1542</v>
      </c>
      <c r="H1517" s="106" t="s">
        <v>1542</v>
      </c>
      <c r="I1517" s="106" t="s">
        <v>1542</v>
      </c>
      <c r="J1517" s="70">
        <v>0.9</v>
      </c>
      <c r="K1517" s="71">
        <v>1</v>
      </c>
      <c r="L1517" s="71">
        <v>1</v>
      </c>
      <c r="M1517" s="72">
        <v>1</v>
      </c>
      <c r="N1517" s="71">
        <v>0.98816568047337305</v>
      </c>
      <c r="O1517" s="73">
        <v>0.9</v>
      </c>
      <c r="P1517" s="71">
        <v>0.96153846153846201</v>
      </c>
      <c r="Q1517" s="71">
        <v>0.93065693430656904</v>
      </c>
      <c r="R1517" s="71">
        <v>0.99505867819641802</v>
      </c>
      <c r="S1517" s="71">
        <v>0.96817486833908994</v>
      </c>
      <c r="T1517" s="73">
        <v>0.9</v>
      </c>
      <c r="U1517" s="71">
        <v>0.89878542510121495</v>
      </c>
      <c r="V1517" s="71">
        <v>0.82664233576642299</v>
      </c>
      <c r="W1517" s="71">
        <v>0.89314391599752896</v>
      </c>
      <c r="X1517" s="71">
        <v>0.86210997225210895</v>
      </c>
      <c r="Y1517" s="73">
        <v>0.92</v>
      </c>
      <c r="Z1517" s="73" t="s">
        <v>1710</v>
      </c>
      <c r="AA1517" s="73" t="s">
        <v>1710</v>
      </c>
      <c r="AB1517" s="73" t="s">
        <v>1710</v>
      </c>
      <c r="AC1517" s="73" t="s">
        <v>1710</v>
      </c>
      <c r="AD1517" s="73">
        <v>0.92</v>
      </c>
      <c r="AE1517" s="71">
        <v>1</v>
      </c>
      <c r="AF1517" s="71">
        <v>1</v>
      </c>
      <c r="AG1517" s="71">
        <v>1</v>
      </c>
      <c r="AH1517" s="71">
        <v>0.98430493273542596</v>
      </c>
      <c r="AI1517" s="73">
        <v>0.92</v>
      </c>
      <c r="AJ1517" s="71">
        <v>0.94331983805667996</v>
      </c>
      <c r="AK1517" s="71">
        <v>0.94228432563790998</v>
      </c>
      <c r="AL1517" s="71">
        <v>0.93823347745521901</v>
      </c>
      <c r="AM1517" s="71">
        <v>0.93774054788317895</v>
      </c>
      <c r="AN1517" s="70">
        <v>0.99</v>
      </c>
      <c r="AO1517" s="75">
        <v>1</v>
      </c>
      <c r="AP1517" s="75">
        <v>1</v>
      </c>
      <c r="AQ1517" s="75">
        <v>1</v>
      </c>
      <c r="AR1517" s="75">
        <v>1</v>
      </c>
      <c r="AS1517" s="95">
        <v>0.110069253262963</v>
      </c>
      <c r="AT1517" s="79">
        <v>7.69230769230769E-2</v>
      </c>
      <c r="AU1517" s="79">
        <v>0</v>
      </c>
      <c r="AV1517" s="79">
        <v>0</v>
      </c>
      <c r="AW1517" s="79">
        <v>5.1282051282051301E-2</v>
      </c>
      <c r="AX1517" s="56"/>
      <c r="AY1517" s="54"/>
    </row>
    <row r="1518" spans="1:51">
      <c r="A1518" s="53"/>
      <c r="B1518" s="56"/>
      <c r="C1518" s="90" t="s">
        <v>1448</v>
      </c>
      <c r="D1518" s="230" t="s">
        <v>1757</v>
      </c>
      <c r="E1518" s="68" t="s">
        <v>1449</v>
      </c>
      <c r="F1518" s="106" t="s">
        <v>1543</v>
      </c>
      <c r="G1518" s="106" t="s">
        <v>1543</v>
      </c>
      <c r="H1518" s="106" t="s">
        <v>1543</v>
      </c>
      <c r="I1518" s="106" t="s">
        <v>1543</v>
      </c>
      <c r="J1518" s="70">
        <v>0.9</v>
      </c>
      <c r="K1518" s="71">
        <v>1</v>
      </c>
      <c r="L1518" s="71">
        <v>1</v>
      </c>
      <c r="M1518" s="72">
        <v>1</v>
      </c>
      <c r="N1518" s="71">
        <v>1</v>
      </c>
      <c r="O1518" s="73">
        <v>0.9</v>
      </c>
      <c r="P1518" s="71">
        <v>0.99844660194174795</v>
      </c>
      <c r="Q1518" s="71">
        <v>0.99751758378154698</v>
      </c>
      <c r="R1518" s="71">
        <v>0.99328859060402697</v>
      </c>
      <c r="S1518" s="71">
        <v>0.98950256035113404</v>
      </c>
      <c r="T1518" s="73">
        <v>0.9</v>
      </c>
      <c r="U1518" s="71">
        <v>0.98446601941747602</v>
      </c>
      <c r="V1518" s="71">
        <v>0.98758791890773701</v>
      </c>
      <c r="W1518" s="71">
        <v>0.97986577181208101</v>
      </c>
      <c r="X1518" s="71">
        <v>0.98141916605705903</v>
      </c>
      <c r="Y1518" s="73">
        <v>0.92</v>
      </c>
      <c r="Z1518" s="73" t="s">
        <v>1710</v>
      </c>
      <c r="AA1518" s="73" t="s">
        <v>1710</v>
      </c>
      <c r="AB1518" s="73" t="s">
        <v>1710</v>
      </c>
      <c r="AC1518" s="73" t="s">
        <v>1710</v>
      </c>
      <c r="AD1518" s="73">
        <v>0.92</v>
      </c>
      <c r="AE1518" s="71">
        <v>1</v>
      </c>
      <c r="AF1518" s="71">
        <v>1</v>
      </c>
      <c r="AG1518" s="71">
        <v>0.952380952380952</v>
      </c>
      <c r="AH1518" s="71">
        <v>0.96254681647940099</v>
      </c>
      <c r="AI1518" s="73">
        <v>0.92</v>
      </c>
      <c r="AJ1518" s="71">
        <v>0.99378640776699001</v>
      </c>
      <c r="AK1518" s="71">
        <v>0.99420769549027699</v>
      </c>
      <c r="AL1518" s="71">
        <v>0.99552572706935105</v>
      </c>
      <c r="AM1518" s="71">
        <v>0.99316020482809098</v>
      </c>
      <c r="AN1518" s="70">
        <v>0.99</v>
      </c>
      <c r="AO1518" s="75">
        <v>1</v>
      </c>
      <c r="AP1518" s="75">
        <v>1</v>
      </c>
      <c r="AQ1518" s="75">
        <v>1</v>
      </c>
      <c r="AR1518" s="75">
        <v>1</v>
      </c>
      <c r="AS1518" s="95">
        <v>0.110069253262963</v>
      </c>
      <c r="AT1518" s="79">
        <v>0</v>
      </c>
      <c r="AU1518" s="79">
        <v>0</v>
      </c>
      <c r="AV1518" s="79">
        <v>0.266666666666667</v>
      </c>
      <c r="AW1518" s="79">
        <v>5.6603773584905703E-2</v>
      </c>
      <c r="AX1518" s="56"/>
      <c r="AY1518" s="54"/>
    </row>
    <row r="1519" spans="1:51">
      <c r="A1519" s="53"/>
      <c r="B1519" s="56"/>
      <c r="C1519" s="90" t="s">
        <v>1448</v>
      </c>
      <c r="D1519" s="230" t="s">
        <v>1757</v>
      </c>
      <c r="E1519" s="68" t="s">
        <v>1449</v>
      </c>
      <c r="F1519" s="106" t="s">
        <v>1544</v>
      </c>
      <c r="G1519" s="106" t="s">
        <v>1544</v>
      </c>
      <c r="H1519" s="106" t="s">
        <v>1544</v>
      </c>
      <c r="I1519" s="106" t="s">
        <v>1544</v>
      </c>
      <c r="J1519" s="70">
        <v>0.9</v>
      </c>
      <c r="K1519" s="71">
        <v>0.98</v>
      </c>
      <c r="L1519" s="71">
        <v>1</v>
      </c>
      <c r="M1519" s="72">
        <v>0.93023255813953498</v>
      </c>
      <c r="N1519" s="71">
        <v>0.98428290766208204</v>
      </c>
      <c r="O1519" s="73">
        <v>0.9</v>
      </c>
      <c r="P1519" s="71">
        <v>0.96456593267527202</v>
      </c>
      <c r="Q1519" s="71">
        <v>0.98958111843504104</v>
      </c>
      <c r="R1519" s="71">
        <v>0.95556067234630404</v>
      </c>
      <c r="S1519" s="71">
        <v>0.95989601176921102</v>
      </c>
      <c r="T1519" s="73">
        <v>0.9</v>
      </c>
      <c r="U1519" s="71">
        <v>0.95621361680587202</v>
      </c>
      <c r="V1519" s="71">
        <v>0.91962577078460594</v>
      </c>
      <c r="W1519" s="71">
        <v>0.93506792539719097</v>
      </c>
      <c r="X1519" s="71">
        <v>0.93954172628524202</v>
      </c>
      <c r="Y1519" s="73">
        <v>0.92</v>
      </c>
      <c r="Z1519" s="73" t="s">
        <v>1710</v>
      </c>
      <c r="AA1519" s="73" t="s">
        <v>1710</v>
      </c>
      <c r="AB1519" s="73" t="s">
        <v>1710</v>
      </c>
      <c r="AC1519" s="73">
        <v>0</v>
      </c>
      <c r="AD1519" s="73">
        <v>0.92</v>
      </c>
      <c r="AE1519" s="71">
        <v>0.74596774193548399</v>
      </c>
      <c r="AF1519" s="71">
        <v>0.87264150943396201</v>
      </c>
      <c r="AG1519" s="71">
        <v>0.87735849056603799</v>
      </c>
      <c r="AH1519" s="71">
        <v>0.870413376683697</v>
      </c>
      <c r="AI1519" s="73">
        <v>0.92</v>
      </c>
      <c r="AJ1519" s="71">
        <v>0.97848645912427201</v>
      </c>
      <c r="AK1519" s="71">
        <v>0.98192642993833701</v>
      </c>
      <c r="AL1519" s="71">
        <v>0.98342159797375095</v>
      </c>
      <c r="AM1519" s="71">
        <v>0.98339446213373105</v>
      </c>
      <c r="AN1519" s="70">
        <v>0.99</v>
      </c>
      <c r="AO1519" s="75">
        <v>1</v>
      </c>
      <c r="AP1519" s="75">
        <v>1</v>
      </c>
      <c r="AQ1519" s="75">
        <v>1</v>
      </c>
      <c r="AR1519" s="75">
        <v>1</v>
      </c>
      <c r="AS1519" s="95">
        <v>0.110069253262963</v>
      </c>
      <c r="AT1519" s="79">
        <v>6.8965517241379296E-2</v>
      </c>
      <c r="AU1519" s="79">
        <v>0</v>
      </c>
      <c r="AV1519" s="79">
        <v>6.6666666666666693E-2</v>
      </c>
      <c r="AW1519" s="79">
        <v>6.3670411985018702E-2</v>
      </c>
      <c r="AX1519" s="56"/>
      <c r="AY1519" s="54"/>
    </row>
    <row r="1520" spans="1:51">
      <c r="A1520" s="53"/>
      <c r="B1520" s="56"/>
      <c r="C1520" s="90" t="s">
        <v>1448</v>
      </c>
      <c r="D1520" s="230" t="s">
        <v>1757</v>
      </c>
      <c r="E1520" s="68" t="s">
        <v>1449</v>
      </c>
      <c r="F1520" s="106" t="s">
        <v>1545</v>
      </c>
      <c r="G1520" s="106" t="s">
        <v>1545</v>
      </c>
      <c r="H1520" s="106" t="s">
        <v>1545</v>
      </c>
      <c r="I1520" s="106" t="s">
        <v>1545</v>
      </c>
      <c r="J1520" s="70">
        <v>0.9</v>
      </c>
      <c r="K1520" s="71">
        <v>1</v>
      </c>
      <c r="L1520" s="71">
        <v>1</v>
      </c>
      <c r="M1520" s="72">
        <v>0.96428571428571397</v>
      </c>
      <c r="N1520" s="71">
        <v>0.99062499999999998</v>
      </c>
      <c r="O1520" s="73">
        <v>0.9</v>
      </c>
      <c r="P1520" s="71">
        <v>0.99716177861873201</v>
      </c>
      <c r="Q1520" s="71">
        <v>0.92477302204928702</v>
      </c>
      <c r="R1520" s="71">
        <v>0.98294647086688802</v>
      </c>
      <c r="S1520" s="71">
        <v>0.96452966834005405</v>
      </c>
      <c r="T1520" s="73">
        <v>0.9</v>
      </c>
      <c r="U1520" s="71">
        <v>0.94938505203405898</v>
      </c>
      <c r="V1520" s="71">
        <v>0.90229139645482104</v>
      </c>
      <c r="W1520" s="71">
        <v>0.94883941260066296</v>
      </c>
      <c r="X1520" s="71">
        <v>0.937824047403506</v>
      </c>
      <c r="Y1520" s="73">
        <v>0.92</v>
      </c>
      <c r="Z1520" s="73" t="s">
        <v>1710</v>
      </c>
      <c r="AA1520" s="73" t="s">
        <v>1710</v>
      </c>
      <c r="AB1520" s="73" t="s">
        <v>1710</v>
      </c>
      <c r="AC1520" s="73" t="s">
        <v>1710</v>
      </c>
      <c r="AD1520" s="73">
        <v>0.92</v>
      </c>
      <c r="AE1520" s="71">
        <v>0.98611111111111105</v>
      </c>
      <c r="AF1520" s="71">
        <v>1</v>
      </c>
      <c r="AG1520" s="71">
        <v>0.96825396825396803</v>
      </c>
      <c r="AH1520" s="71">
        <v>0.91600000000000004</v>
      </c>
      <c r="AI1520" s="73">
        <v>0.92</v>
      </c>
      <c r="AJ1520" s="71">
        <v>0.97019867549668903</v>
      </c>
      <c r="AK1520" s="71">
        <v>0.97535667963683503</v>
      </c>
      <c r="AL1520" s="71">
        <v>0.97584083372809105</v>
      </c>
      <c r="AM1520" s="71">
        <v>0.97827339313636696</v>
      </c>
      <c r="AN1520" s="70">
        <v>0.99</v>
      </c>
      <c r="AO1520" s="75">
        <v>1</v>
      </c>
      <c r="AP1520" s="75">
        <v>1</v>
      </c>
      <c r="AQ1520" s="75">
        <v>1</v>
      </c>
      <c r="AR1520" s="75">
        <v>1</v>
      </c>
      <c r="AS1520" s="95">
        <v>0.110069253262963</v>
      </c>
      <c r="AT1520" s="79">
        <v>5.5555555555555601E-2</v>
      </c>
      <c r="AU1520" s="79">
        <v>0</v>
      </c>
      <c r="AV1520" s="79">
        <v>0</v>
      </c>
      <c r="AW1520" s="79">
        <v>6.0606060606060601E-2</v>
      </c>
      <c r="AX1520" s="56"/>
      <c r="AY1520" s="54"/>
    </row>
    <row r="1521" spans="1:51">
      <c r="A1521" s="53"/>
      <c r="B1521" s="56"/>
      <c r="C1521" s="90" t="s">
        <v>1448</v>
      </c>
      <c r="D1521" s="230" t="s">
        <v>1757</v>
      </c>
      <c r="E1521" s="68" t="s">
        <v>1449</v>
      </c>
      <c r="F1521" s="106" t="s">
        <v>1546</v>
      </c>
      <c r="G1521" s="106" t="s">
        <v>1546</v>
      </c>
      <c r="H1521" s="106" t="s">
        <v>1546</v>
      </c>
      <c r="I1521" s="106" t="s">
        <v>1546</v>
      </c>
      <c r="J1521" s="70">
        <v>0.9</v>
      </c>
      <c r="K1521" s="71">
        <v>0.90909090909090895</v>
      </c>
      <c r="L1521" s="71">
        <v>1</v>
      </c>
      <c r="M1521" s="72">
        <v>0.95454545454545503</v>
      </c>
      <c r="N1521" s="71">
        <v>0.95744680851063801</v>
      </c>
      <c r="O1521" s="73">
        <v>0.9</v>
      </c>
      <c r="P1521" s="71">
        <v>0.97359735973597406</v>
      </c>
      <c r="Q1521" s="71">
        <v>0.92983271375464704</v>
      </c>
      <c r="R1521" s="71">
        <v>0.94429847609038398</v>
      </c>
      <c r="S1521" s="71">
        <v>0.92083009553412298</v>
      </c>
      <c r="T1521" s="73">
        <v>0.9</v>
      </c>
      <c r="U1521" s="71">
        <v>0.788778877887789</v>
      </c>
      <c r="V1521" s="71">
        <v>0.62639405204460996</v>
      </c>
      <c r="W1521" s="71">
        <v>0.74986862848134495</v>
      </c>
      <c r="X1521" s="71">
        <v>0.713397632216483</v>
      </c>
      <c r="Y1521" s="73">
        <v>0.92</v>
      </c>
      <c r="Z1521" s="73" t="s">
        <v>1710</v>
      </c>
      <c r="AA1521" s="73" t="s">
        <v>1710</v>
      </c>
      <c r="AB1521" s="73" t="s">
        <v>1710</v>
      </c>
      <c r="AC1521" s="73" t="s">
        <v>1710</v>
      </c>
      <c r="AD1521" s="73">
        <v>0.92</v>
      </c>
      <c r="AE1521" s="71">
        <v>1</v>
      </c>
      <c r="AF1521" s="71">
        <v>1</v>
      </c>
      <c r="AG1521" s="71">
        <v>1</v>
      </c>
      <c r="AH1521" s="71">
        <v>0.984615384615385</v>
      </c>
      <c r="AI1521" s="73">
        <v>0.92</v>
      </c>
      <c r="AJ1521" s="71">
        <v>0.947194719471947</v>
      </c>
      <c r="AK1521" s="71">
        <v>0.95678438661709997</v>
      </c>
      <c r="AL1521" s="71">
        <v>0.96584340514976397</v>
      </c>
      <c r="AM1521" s="71">
        <v>0.96041504776706099</v>
      </c>
      <c r="AN1521" s="70">
        <v>0.99</v>
      </c>
      <c r="AO1521" s="75" t="s">
        <v>1710</v>
      </c>
      <c r="AP1521" s="75" t="s">
        <v>1710</v>
      </c>
      <c r="AQ1521" s="75">
        <v>1</v>
      </c>
      <c r="AR1521" s="75">
        <v>1</v>
      </c>
      <c r="AS1521" s="95">
        <v>0.110069253262963</v>
      </c>
      <c r="AT1521" s="79">
        <v>0.11764705882352899</v>
      </c>
      <c r="AU1521" s="79">
        <v>7.69230769230769E-2</v>
      </c>
      <c r="AV1521" s="79">
        <v>9.5238095238095205E-2</v>
      </c>
      <c r="AW1521" s="79">
        <v>8.3682008368200805E-2</v>
      </c>
      <c r="AX1521" s="56"/>
      <c r="AY1521" s="54"/>
    </row>
    <row r="1522" spans="1:51">
      <c r="A1522" s="53"/>
      <c r="B1522" s="56"/>
      <c r="C1522" s="90" t="s">
        <v>1448</v>
      </c>
      <c r="D1522" s="230" t="s">
        <v>1757</v>
      </c>
      <c r="E1522" s="68" t="s">
        <v>1449</v>
      </c>
      <c r="F1522" s="106" t="s">
        <v>1547</v>
      </c>
      <c r="G1522" s="106" t="s">
        <v>1547</v>
      </c>
      <c r="H1522" s="106" t="s">
        <v>1547</v>
      </c>
      <c r="I1522" s="106" t="s">
        <v>1547</v>
      </c>
      <c r="J1522" s="70">
        <v>0.9</v>
      </c>
      <c r="K1522" s="71">
        <v>1</v>
      </c>
      <c r="L1522" s="71">
        <v>1</v>
      </c>
      <c r="M1522" s="72">
        <v>1</v>
      </c>
      <c r="N1522" s="71">
        <v>0.99537037037037002</v>
      </c>
      <c r="O1522" s="73">
        <v>0.9</v>
      </c>
      <c r="P1522" s="71">
        <v>0.96991497710922203</v>
      </c>
      <c r="Q1522" s="71">
        <v>0.93513818386914804</v>
      </c>
      <c r="R1522" s="71">
        <v>0.94800253646163601</v>
      </c>
      <c r="S1522" s="71">
        <v>0.96542398048470102</v>
      </c>
      <c r="T1522" s="73">
        <v>0.9</v>
      </c>
      <c r="U1522" s="71">
        <v>0.89666448659254405</v>
      </c>
      <c r="V1522" s="71">
        <v>0.93288212069938004</v>
      </c>
      <c r="W1522" s="71">
        <v>0.897273303741281</v>
      </c>
      <c r="X1522" s="71">
        <v>0.88884764278517303</v>
      </c>
      <c r="Y1522" s="73">
        <v>0.92</v>
      </c>
      <c r="Z1522" s="73" t="s">
        <v>1710</v>
      </c>
      <c r="AA1522" s="73" t="s">
        <v>1710</v>
      </c>
      <c r="AB1522" s="73" t="s">
        <v>1710</v>
      </c>
      <c r="AC1522" s="73" t="s">
        <v>1710</v>
      </c>
      <c r="AD1522" s="73">
        <v>0.92</v>
      </c>
      <c r="AE1522" s="71">
        <v>0.90697674418604601</v>
      </c>
      <c r="AF1522" s="71">
        <v>0.8</v>
      </c>
      <c r="AG1522" s="71">
        <v>0.97674418604651203</v>
      </c>
      <c r="AH1522" s="71">
        <v>0.86826347305389195</v>
      </c>
      <c r="AI1522" s="73">
        <v>0.92</v>
      </c>
      <c r="AJ1522" s="71">
        <v>0.96864794252122799</v>
      </c>
      <c r="AK1522" s="71">
        <v>0.97633802816901405</v>
      </c>
      <c r="AL1522" s="71">
        <v>0.97403419886003795</v>
      </c>
      <c r="AM1522" s="71">
        <v>0.98378464310317404</v>
      </c>
      <c r="AN1522" s="70">
        <v>0.99</v>
      </c>
      <c r="AO1522" s="75">
        <v>1</v>
      </c>
      <c r="AP1522" s="75">
        <v>1</v>
      </c>
      <c r="AQ1522" s="75">
        <v>1</v>
      </c>
      <c r="AR1522" s="75">
        <v>1</v>
      </c>
      <c r="AS1522" s="95">
        <v>0.110069253262963</v>
      </c>
      <c r="AT1522" s="79">
        <v>0</v>
      </c>
      <c r="AU1522" s="79">
        <v>0.3</v>
      </c>
      <c r="AV1522" s="79">
        <v>0</v>
      </c>
      <c r="AW1522" s="79">
        <v>5.0632911392405097E-2</v>
      </c>
      <c r="AX1522" s="56"/>
      <c r="AY1522" s="54"/>
    </row>
    <row r="1523" spans="1:51">
      <c r="A1523" s="53"/>
      <c r="B1523" s="56"/>
      <c r="C1523" s="90" t="s">
        <v>1448</v>
      </c>
      <c r="D1523" s="230" t="s">
        <v>1759</v>
      </c>
      <c r="E1523" s="68" t="s">
        <v>1449</v>
      </c>
      <c r="F1523" s="106" t="s">
        <v>1548</v>
      </c>
      <c r="G1523" s="106" t="s">
        <v>1548</v>
      </c>
      <c r="H1523" s="106" t="s">
        <v>1548</v>
      </c>
      <c r="I1523" s="106" t="s">
        <v>1548</v>
      </c>
      <c r="J1523" s="70">
        <v>0.9</v>
      </c>
      <c r="K1523" s="71" t="s">
        <v>1710</v>
      </c>
      <c r="L1523" s="71" t="s">
        <v>1710</v>
      </c>
      <c r="M1523" s="72" t="s">
        <v>1710</v>
      </c>
      <c r="N1523" s="71" t="s">
        <v>1710</v>
      </c>
      <c r="O1523" s="73">
        <v>0.9</v>
      </c>
      <c r="P1523" s="71" t="s">
        <v>1710</v>
      </c>
      <c r="Q1523" s="71" t="s">
        <v>1710</v>
      </c>
      <c r="R1523" s="71" t="s">
        <v>1710</v>
      </c>
      <c r="S1523" s="71" t="s">
        <v>1710</v>
      </c>
      <c r="T1523" s="73">
        <v>0.9</v>
      </c>
      <c r="U1523" s="71" t="s">
        <v>1710</v>
      </c>
      <c r="V1523" s="71" t="s">
        <v>1710</v>
      </c>
      <c r="W1523" s="71" t="s">
        <v>1710</v>
      </c>
      <c r="X1523" s="71" t="s">
        <v>1710</v>
      </c>
      <c r="Y1523" s="73">
        <v>0.92</v>
      </c>
      <c r="Z1523" s="73" t="s">
        <v>1710</v>
      </c>
      <c r="AA1523" s="73" t="s">
        <v>1710</v>
      </c>
      <c r="AB1523" s="73" t="s">
        <v>1710</v>
      </c>
      <c r="AC1523" s="73" t="s">
        <v>1710</v>
      </c>
      <c r="AD1523" s="73">
        <v>0.92</v>
      </c>
      <c r="AE1523" s="71">
        <v>1</v>
      </c>
      <c r="AF1523" s="71">
        <v>1</v>
      </c>
      <c r="AG1523" s="71">
        <v>1</v>
      </c>
      <c r="AH1523" s="71">
        <v>0.99656652360514997</v>
      </c>
      <c r="AI1523" s="73">
        <v>0.92</v>
      </c>
      <c r="AJ1523" s="71" t="s">
        <v>1710</v>
      </c>
      <c r="AK1523" s="71" t="s">
        <v>1710</v>
      </c>
      <c r="AL1523" s="71" t="s">
        <v>1710</v>
      </c>
      <c r="AM1523" s="71" t="s">
        <v>1710</v>
      </c>
      <c r="AN1523" s="70">
        <v>0.99</v>
      </c>
      <c r="AO1523" s="75" t="s">
        <v>1710</v>
      </c>
      <c r="AP1523" s="75" t="s">
        <v>1710</v>
      </c>
      <c r="AQ1523" s="75" t="s">
        <v>1710</v>
      </c>
      <c r="AR1523" s="75">
        <v>1</v>
      </c>
      <c r="AS1523" s="95">
        <v>0.110069253262963</v>
      </c>
      <c r="AT1523" s="79" t="s">
        <v>1710</v>
      </c>
      <c r="AU1523" s="79" t="s">
        <v>1710</v>
      </c>
      <c r="AV1523" s="79" t="s">
        <v>1710</v>
      </c>
      <c r="AW1523" s="79" t="s">
        <v>1710</v>
      </c>
      <c r="AX1523" s="56"/>
      <c r="AY1523" s="54"/>
    </row>
    <row r="1524" spans="1:51">
      <c r="A1524" s="53"/>
      <c r="B1524" s="56"/>
      <c r="C1524" s="90" t="s">
        <v>1448</v>
      </c>
      <c r="D1524" s="230" t="s">
        <v>1757</v>
      </c>
      <c r="E1524" s="68" t="s">
        <v>1449</v>
      </c>
      <c r="F1524" s="106" t="s">
        <v>1549</v>
      </c>
      <c r="G1524" s="106" t="s">
        <v>1549</v>
      </c>
      <c r="H1524" s="106" t="s">
        <v>1549</v>
      </c>
      <c r="I1524" s="106" t="s">
        <v>1549</v>
      </c>
      <c r="J1524" s="70">
        <v>0.9</v>
      </c>
      <c r="K1524" s="71">
        <v>1</v>
      </c>
      <c r="L1524" s="71">
        <v>1</v>
      </c>
      <c r="M1524" s="72">
        <v>0.97674418604651203</v>
      </c>
      <c r="N1524" s="71">
        <v>0.99393939393939401</v>
      </c>
      <c r="O1524" s="73">
        <v>0.9</v>
      </c>
      <c r="P1524" s="71">
        <v>0.99755152009793902</v>
      </c>
      <c r="Q1524" s="71">
        <v>0.99626268019220499</v>
      </c>
      <c r="R1524" s="71">
        <v>0.99566331559235199</v>
      </c>
      <c r="S1524" s="71">
        <v>0.99284828014062199</v>
      </c>
      <c r="T1524" s="73">
        <v>0.9</v>
      </c>
      <c r="U1524" s="71">
        <v>0.955723321771067</v>
      </c>
      <c r="V1524" s="71">
        <v>0.92952482648157997</v>
      </c>
      <c r="W1524" s="71">
        <v>0.93278139168145102</v>
      </c>
      <c r="X1524" s="71">
        <v>0.94216585096849803</v>
      </c>
      <c r="Y1524" s="73">
        <v>0.92</v>
      </c>
      <c r="Z1524" s="73" t="s">
        <v>1710</v>
      </c>
      <c r="AA1524" s="73" t="s">
        <v>1710</v>
      </c>
      <c r="AB1524" s="73" t="s">
        <v>1710</v>
      </c>
      <c r="AC1524" s="73" t="s">
        <v>1710</v>
      </c>
      <c r="AD1524" s="73">
        <v>0.92</v>
      </c>
      <c r="AE1524" s="71">
        <v>0.96178343949044598</v>
      </c>
      <c r="AF1524" s="71">
        <v>0.95705521472392596</v>
      </c>
      <c r="AG1524" s="71">
        <v>0.90476190476190499</v>
      </c>
      <c r="AH1524" s="71">
        <v>0.98005203816131803</v>
      </c>
      <c r="AI1524" s="73">
        <v>0.92</v>
      </c>
      <c r="AJ1524" s="71">
        <v>0.97531619747041998</v>
      </c>
      <c r="AK1524" s="71">
        <v>0.98113543335112996</v>
      </c>
      <c r="AL1524" s="71">
        <v>0.96668637886852005</v>
      </c>
      <c r="AM1524" s="71">
        <v>0.98030363081801097</v>
      </c>
      <c r="AN1524" s="70">
        <v>0.99</v>
      </c>
      <c r="AO1524" s="75">
        <v>1</v>
      </c>
      <c r="AP1524" s="75">
        <v>1</v>
      </c>
      <c r="AQ1524" s="75">
        <v>1</v>
      </c>
      <c r="AR1524" s="75">
        <v>1</v>
      </c>
      <c r="AS1524" s="95">
        <v>0.110069253262963</v>
      </c>
      <c r="AT1524" s="79">
        <v>7.8947368421052599E-2</v>
      </c>
      <c r="AU1524" s="79">
        <v>0.209302325581395</v>
      </c>
      <c r="AV1524" s="79">
        <v>5.8823529411764698E-2</v>
      </c>
      <c r="AW1524" s="79">
        <v>0.101419878296146</v>
      </c>
      <c r="AX1524" s="56"/>
      <c r="AY1524" s="54"/>
    </row>
    <row r="1525" spans="1:51">
      <c r="A1525" s="53"/>
      <c r="B1525" s="56"/>
      <c r="C1525" s="90" t="s">
        <v>1448</v>
      </c>
      <c r="D1525" s="230" t="s">
        <v>1757</v>
      </c>
      <c r="E1525" s="68" t="s">
        <v>1449</v>
      </c>
      <c r="F1525" s="106" t="s">
        <v>1550</v>
      </c>
      <c r="G1525" s="106" t="s">
        <v>1550</v>
      </c>
      <c r="H1525" s="106" t="s">
        <v>1550</v>
      </c>
      <c r="I1525" s="106" t="s">
        <v>1550</v>
      </c>
      <c r="J1525" s="70">
        <v>0.9</v>
      </c>
      <c r="K1525" s="71">
        <v>0.96</v>
      </c>
      <c r="L1525" s="71">
        <v>1</v>
      </c>
      <c r="M1525" s="72">
        <v>1</v>
      </c>
      <c r="N1525" s="71">
        <v>0.94799999999999995</v>
      </c>
      <c r="O1525" s="73">
        <v>0.9</v>
      </c>
      <c r="P1525" s="71">
        <v>0.96954314720812196</v>
      </c>
      <c r="Q1525" s="71">
        <v>0.94387546087669005</v>
      </c>
      <c r="R1525" s="71">
        <v>0.96100808368996704</v>
      </c>
      <c r="S1525" s="71">
        <v>0.87747504500081797</v>
      </c>
      <c r="T1525" s="73">
        <v>0.9</v>
      </c>
      <c r="U1525" s="71">
        <v>0.84633133364097801</v>
      </c>
      <c r="V1525" s="71">
        <v>0.857025809094633</v>
      </c>
      <c r="W1525" s="71">
        <v>0.792677127912506</v>
      </c>
      <c r="X1525" s="71">
        <v>0.78395516282114197</v>
      </c>
      <c r="Y1525" s="73">
        <v>0.92</v>
      </c>
      <c r="Z1525" s="73" t="s">
        <v>1710</v>
      </c>
      <c r="AA1525" s="73" t="s">
        <v>1710</v>
      </c>
      <c r="AB1525" s="73" t="s">
        <v>1710</v>
      </c>
      <c r="AC1525" s="73" t="s">
        <v>1710</v>
      </c>
      <c r="AD1525" s="73">
        <v>0.92</v>
      </c>
      <c r="AE1525" s="71">
        <v>1</v>
      </c>
      <c r="AF1525" s="71">
        <v>1</v>
      </c>
      <c r="AG1525" s="71">
        <v>1</v>
      </c>
      <c r="AH1525" s="71">
        <v>0.99466097170315004</v>
      </c>
      <c r="AI1525" s="73">
        <v>0.92</v>
      </c>
      <c r="AJ1525" s="71">
        <v>0.93216428241809002</v>
      </c>
      <c r="AK1525" s="71">
        <v>0.93568209750102405</v>
      </c>
      <c r="AL1525" s="71">
        <v>0.92772230147408496</v>
      </c>
      <c r="AM1525" s="71">
        <v>0.88717067583047005</v>
      </c>
      <c r="AN1525" s="70">
        <v>0.99</v>
      </c>
      <c r="AO1525" s="75">
        <v>1</v>
      </c>
      <c r="AP1525" s="75">
        <v>1</v>
      </c>
      <c r="AQ1525" s="75">
        <v>1</v>
      </c>
      <c r="AR1525" s="75">
        <v>1</v>
      </c>
      <c r="AS1525" s="95">
        <v>0.110069253262963</v>
      </c>
      <c r="AT1525" s="79">
        <v>0</v>
      </c>
      <c r="AU1525" s="79">
        <v>7.1428571428571397E-2</v>
      </c>
      <c r="AV1525" s="79">
        <v>6.8965517241379296E-2</v>
      </c>
      <c r="AW1525" s="79">
        <v>0.06</v>
      </c>
      <c r="AX1525" s="56"/>
      <c r="AY1525" s="54"/>
    </row>
    <row r="1526" spans="1:51">
      <c r="A1526" s="53"/>
      <c r="B1526" s="56"/>
      <c r="C1526" s="90" t="s">
        <v>1448</v>
      </c>
      <c r="D1526" s="230" t="s">
        <v>1757</v>
      </c>
      <c r="E1526" s="68" t="s">
        <v>1449</v>
      </c>
      <c r="F1526" s="106" t="s">
        <v>1551</v>
      </c>
      <c r="G1526" s="106" t="s">
        <v>1551</v>
      </c>
      <c r="H1526" s="106" t="s">
        <v>1551</v>
      </c>
      <c r="I1526" s="106" t="s">
        <v>1551</v>
      </c>
      <c r="J1526" s="70">
        <v>0.9</v>
      </c>
      <c r="K1526" s="71">
        <v>0.97297297297297303</v>
      </c>
      <c r="L1526" s="71">
        <v>1</v>
      </c>
      <c r="M1526" s="72">
        <v>1</v>
      </c>
      <c r="N1526" s="71">
        <v>0.98823529411764699</v>
      </c>
      <c r="O1526" s="73">
        <v>0.9</v>
      </c>
      <c r="P1526" s="71">
        <v>0.991518685396236</v>
      </c>
      <c r="Q1526" s="71">
        <v>0.99868800839674599</v>
      </c>
      <c r="R1526" s="71">
        <v>0.98679950186799503</v>
      </c>
      <c r="S1526" s="71">
        <v>0.97928160985325396</v>
      </c>
      <c r="T1526" s="73">
        <v>0.9</v>
      </c>
      <c r="U1526" s="71">
        <v>0.95997879671349096</v>
      </c>
      <c r="V1526" s="71">
        <v>0.95486748884807104</v>
      </c>
      <c r="W1526" s="71">
        <v>0.95267745952677496</v>
      </c>
      <c r="X1526" s="71">
        <v>0.95325198598933203</v>
      </c>
      <c r="Y1526" s="73">
        <v>0.92</v>
      </c>
      <c r="Z1526" s="73" t="s">
        <v>1710</v>
      </c>
      <c r="AA1526" s="73" t="s">
        <v>1710</v>
      </c>
      <c r="AB1526" s="73" t="s">
        <v>1710</v>
      </c>
      <c r="AC1526" s="73" t="s">
        <v>1710</v>
      </c>
      <c r="AD1526" s="73">
        <v>0.92</v>
      </c>
      <c r="AE1526" s="71">
        <v>0.97044334975369495</v>
      </c>
      <c r="AF1526" s="71">
        <v>0.99166666666666703</v>
      </c>
      <c r="AG1526" s="71">
        <v>0.99408284023668603</v>
      </c>
      <c r="AH1526" s="71">
        <v>0.97092754960775296</v>
      </c>
      <c r="AI1526" s="73">
        <v>0.92</v>
      </c>
      <c r="AJ1526" s="71">
        <v>0.97985687781606101</v>
      </c>
      <c r="AK1526" s="71">
        <v>0.98661768564681196</v>
      </c>
      <c r="AL1526" s="71">
        <v>0.97808219178082201</v>
      </c>
      <c r="AM1526" s="71">
        <v>0.98615053566523203</v>
      </c>
      <c r="AN1526" s="70">
        <v>0.99</v>
      </c>
      <c r="AO1526" s="75">
        <v>1</v>
      </c>
      <c r="AP1526" s="75">
        <v>1</v>
      </c>
      <c r="AQ1526" s="75">
        <v>1</v>
      </c>
      <c r="AR1526" s="75">
        <v>1</v>
      </c>
      <c r="AS1526" s="95">
        <v>0.110069253262963</v>
      </c>
      <c r="AT1526" s="79">
        <v>0.105263157894737</v>
      </c>
      <c r="AU1526" s="79">
        <v>4.5454545454545497E-2</v>
      </c>
      <c r="AV1526" s="79">
        <v>0.21052631578947401</v>
      </c>
      <c r="AW1526" s="79">
        <v>7.2961373390557901E-2</v>
      </c>
      <c r="AX1526" s="56"/>
      <c r="AY1526" s="54"/>
    </row>
    <row r="1527" spans="1:51">
      <c r="A1527" s="53"/>
      <c r="B1527" s="56"/>
      <c r="C1527" s="90" t="s">
        <v>1448</v>
      </c>
      <c r="D1527" s="230" t="s">
        <v>1757</v>
      </c>
      <c r="E1527" s="68" t="s">
        <v>1449</v>
      </c>
      <c r="F1527" s="106" t="s">
        <v>1552</v>
      </c>
      <c r="G1527" s="106" t="s">
        <v>1552</v>
      </c>
      <c r="H1527" s="106" t="s">
        <v>1552</v>
      </c>
      <c r="I1527" s="106" t="s">
        <v>1552</v>
      </c>
      <c r="J1527" s="70">
        <v>0.9</v>
      </c>
      <c r="K1527" s="71">
        <v>0.92682926829268297</v>
      </c>
      <c r="L1527" s="71">
        <v>0.97560975609756095</v>
      </c>
      <c r="M1527" s="72">
        <v>0.891891891891892</v>
      </c>
      <c r="N1527" s="71">
        <v>0.95089285714285698</v>
      </c>
      <c r="O1527" s="73">
        <v>0.9</v>
      </c>
      <c r="P1527" s="71">
        <v>0.91134903640257003</v>
      </c>
      <c r="Q1527" s="71">
        <v>0.87199848742673502</v>
      </c>
      <c r="R1527" s="71">
        <v>0.88271344040574795</v>
      </c>
      <c r="S1527" s="71">
        <v>0.92539087830535305</v>
      </c>
      <c r="T1527" s="73">
        <v>0.9</v>
      </c>
      <c r="U1527" s="71">
        <v>0.86723768736616702</v>
      </c>
      <c r="V1527" s="71">
        <v>0.81489884666288503</v>
      </c>
      <c r="W1527" s="71">
        <v>0.82290786136939997</v>
      </c>
      <c r="X1527" s="71">
        <v>0.87374810865336106</v>
      </c>
      <c r="Y1527" s="73">
        <v>0.92</v>
      </c>
      <c r="Z1527" s="73" t="s">
        <v>1710</v>
      </c>
      <c r="AA1527" s="73" t="s">
        <v>1710</v>
      </c>
      <c r="AB1527" s="73" t="s">
        <v>1710</v>
      </c>
      <c r="AC1527" s="73" t="s">
        <v>1710</v>
      </c>
      <c r="AD1527" s="73">
        <v>0.92</v>
      </c>
      <c r="AE1527" s="71">
        <v>0.99333333333333296</v>
      </c>
      <c r="AF1527" s="71">
        <v>1</v>
      </c>
      <c r="AG1527" s="71">
        <v>0.97707736389684796</v>
      </c>
      <c r="AH1527" s="71">
        <v>0.98802220274612895</v>
      </c>
      <c r="AI1527" s="73">
        <v>0.92</v>
      </c>
      <c r="AJ1527" s="71">
        <v>0.94603854389721598</v>
      </c>
      <c r="AK1527" s="71">
        <v>0.93609377954244699</v>
      </c>
      <c r="AL1527" s="71">
        <v>0.93892645815722697</v>
      </c>
      <c r="AM1527" s="71">
        <v>0.95885944845722904</v>
      </c>
      <c r="AN1527" s="70">
        <v>0.99</v>
      </c>
      <c r="AO1527" s="75">
        <v>1</v>
      </c>
      <c r="AP1527" s="75">
        <v>1</v>
      </c>
      <c r="AQ1527" s="75">
        <v>1</v>
      </c>
      <c r="AR1527" s="75">
        <v>1</v>
      </c>
      <c r="AS1527" s="95">
        <v>0.110069253262963</v>
      </c>
      <c r="AT1527" s="79">
        <v>0</v>
      </c>
      <c r="AU1527" s="79">
        <v>5.8823529411764698E-2</v>
      </c>
      <c r="AV1527" s="79">
        <v>0.14285714285714299</v>
      </c>
      <c r="AW1527" s="79">
        <v>7.9545454545454503E-2</v>
      </c>
      <c r="AX1527" s="56"/>
      <c r="AY1527" s="54"/>
    </row>
    <row r="1528" spans="1:51">
      <c r="A1528" s="53"/>
      <c r="B1528" s="56"/>
      <c r="C1528" s="90" t="s">
        <v>1448</v>
      </c>
      <c r="D1528" s="230" t="s">
        <v>1757</v>
      </c>
      <c r="E1528" s="68" t="s">
        <v>1449</v>
      </c>
      <c r="F1528" s="106" t="s">
        <v>1553</v>
      </c>
      <c r="G1528" s="106" t="s">
        <v>1553</v>
      </c>
      <c r="H1528" s="106" t="s">
        <v>1553</v>
      </c>
      <c r="I1528" s="106" t="s">
        <v>1553</v>
      </c>
      <c r="J1528" s="70">
        <v>0.9</v>
      </c>
      <c r="K1528" s="71">
        <v>0.94444444444444398</v>
      </c>
      <c r="L1528" s="71">
        <v>0.94444444444444398</v>
      </c>
      <c r="M1528" s="72">
        <v>0.94736842105263197</v>
      </c>
      <c r="N1528" s="71">
        <v>0.95145631067961201</v>
      </c>
      <c r="O1528" s="73">
        <v>0.9</v>
      </c>
      <c r="P1528" s="71">
        <v>0.99662325132658003</v>
      </c>
      <c r="Q1528" s="71">
        <v>0.99845679012345701</v>
      </c>
      <c r="R1528" s="71">
        <v>0.95425434583714597</v>
      </c>
      <c r="S1528" s="71">
        <v>0.98590528350515505</v>
      </c>
      <c r="T1528" s="73">
        <v>0.9</v>
      </c>
      <c r="U1528" s="71">
        <v>0.944042450554752</v>
      </c>
      <c r="V1528" s="71">
        <v>0.94598765432098797</v>
      </c>
      <c r="W1528" s="71">
        <v>0.89661482159194905</v>
      </c>
      <c r="X1528" s="71">
        <v>0.92888208762886604</v>
      </c>
      <c r="Y1528" s="73">
        <v>0.92</v>
      </c>
      <c r="Z1528" s="73" t="s">
        <v>1710</v>
      </c>
      <c r="AA1528" s="73" t="s">
        <v>1710</v>
      </c>
      <c r="AB1528" s="73" t="s">
        <v>1710</v>
      </c>
      <c r="AC1528" s="73" t="s">
        <v>1710</v>
      </c>
      <c r="AD1528" s="73">
        <v>0.92</v>
      </c>
      <c r="AE1528" s="71">
        <v>0.992307692307692</v>
      </c>
      <c r="AF1528" s="71">
        <v>1</v>
      </c>
      <c r="AG1528" s="71">
        <v>0.92105263157894701</v>
      </c>
      <c r="AH1528" s="71">
        <v>0.99201419698314097</v>
      </c>
      <c r="AI1528" s="73">
        <v>0.92</v>
      </c>
      <c r="AJ1528" s="71">
        <v>0.96816208393632397</v>
      </c>
      <c r="AK1528" s="71">
        <v>0.98148148148148195</v>
      </c>
      <c r="AL1528" s="71">
        <v>0.980329368709973</v>
      </c>
      <c r="AM1528" s="71">
        <v>0.97942171391752597</v>
      </c>
      <c r="AN1528" s="70">
        <v>0.99</v>
      </c>
      <c r="AO1528" s="75">
        <v>1</v>
      </c>
      <c r="AP1528" s="75">
        <v>1</v>
      </c>
      <c r="AQ1528" s="75">
        <v>1</v>
      </c>
      <c r="AR1528" s="75">
        <v>1</v>
      </c>
      <c r="AS1528" s="95">
        <v>0.110069253262963</v>
      </c>
      <c r="AT1528" s="79">
        <v>6.6666666666666693E-2</v>
      </c>
      <c r="AU1528" s="79">
        <v>0.105263157894737</v>
      </c>
      <c r="AV1528" s="79">
        <v>0.08</v>
      </c>
      <c r="AW1528" s="79">
        <v>0.135265700483092</v>
      </c>
      <c r="AX1528" s="56"/>
      <c r="AY1528" s="54"/>
    </row>
    <row r="1529" spans="1:51">
      <c r="A1529" s="53"/>
      <c r="B1529" s="56"/>
      <c r="C1529" s="90" t="s">
        <v>1448</v>
      </c>
      <c r="D1529" s="230" t="s">
        <v>1757</v>
      </c>
      <c r="E1529" s="68" t="s">
        <v>1449</v>
      </c>
      <c r="F1529" s="106" t="s">
        <v>1554</v>
      </c>
      <c r="G1529" s="106" t="s">
        <v>1554</v>
      </c>
      <c r="H1529" s="106" t="s">
        <v>1554</v>
      </c>
      <c r="I1529" s="106" t="s">
        <v>1554</v>
      </c>
      <c r="J1529" s="70">
        <v>0.9</v>
      </c>
      <c r="K1529" s="71">
        <v>0.85</v>
      </c>
      <c r="L1529" s="71">
        <v>0.95833333333333304</v>
      </c>
      <c r="M1529" s="72">
        <v>0.9</v>
      </c>
      <c r="N1529" s="71">
        <v>0.90495867768594995</v>
      </c>
      <c r="O1529" s="73">
        <v>0.9</v>
      </c>
      <c r="P1529" s="71">
        <v>0.93368320610686995</v>
      </c>
      <c r="Q1529" s="71">
        <v>0.88049713193116597</v>
      </c>
      <c r="R1529" s="71">
        <v>0.93309222423146498</v>
      </c>
      <c r="S1529" s="71">
        <v>0.93088204038257205</v>
      </c>
      <c r="T1529" s="73">
        <v>0.9</v>
      </c>
      <c r="U1529" s="71">
        <v>0.89503816793893098</v>
      </c>
      <c r="V1529" s="71">
        <v>0.84655831739961795</v>
      </c>
      <c r="W1529" s="71">
        <v>0.90235081374321902</v>
      </c>
      <c r="X1529" s="71">
        <v>0.91876726886291205</v>
      </c>
      <c r="Y1529" s="73">
        <v>0.92</v>
      </c>
      <c r="Z1529" s="73" t="s">
        <v>1710</v>
      </c>
      <c r="AA1529" s="73" t="s">
        <v>1710</v>
      </c>
      <c r="AB1529" s="73" t="s">
        <v>1710</v>
      </c>
      <c r="AC1529" s="73" t="s">
        <v>1710</v>
      </c>
      <c r="AD1529" s="73">
        <v>0.92</v>
      </c>
      <c r="AE1529" s="71">
        <v>0.98511166253101701</v>
      </c>
      <c r="AF1529" s="71">
        <v>0.92528735632183901</v>
      </c>
      <c r="AG1529" s="71">
        <v>0.97857142857142898</v>
      </c>
      <c r="AH1529" s="71">
        <v>0.98004987531172105</v>
      </c>
      <c r="AI1529" s="73">
        <v>0.92</v>
      </c>
      <c r="AJ1529" s="71">
        <v>0.92748091603053395</v>
      </c>
      <c r="AK1529" s="71">
        <v>0.9282982791587</v>
      </c>
      <c r="AL1529" s="71">
        <v>0.94665461121157302</v>
      </c>
      <c r="AM1529" s="71">
        <v>0.96093517534537698</v>
      </c>
      <c r="AN1529" s="70">
        <v>0.99</v>
      </c>
      <c r="AO1529" s="75">
        <v>1</v>
      </c>
      <c r="AP1529" s="75">
        <v>1</v>
      </c>
      <c r="AQ1529" s="75" t="s">
        <v>1710</v>
      </c>
      <c r="AR1529" s="75">
        <v>1</v>
      </c>
      <c r="AS1529" s="95">
        <v>0.110069253262963</v>
      </c>
      <c r="AT1529" s="79">
        <v>0.2</v>
      </c>
      <c r="AU1529" s="79">
        <v>0.15384615384615399</v>
      </c>
      <c r="AV1529" s="79">
        <v>0.1875</v>
      </c>
      <c r="AW1529" s="79">
        <v>0.15263157894736801</v>
      </c>
      <c r="AX1529" s="56"/>
      <c r="AY1529" s="54"/>
    </row>
    <row r="1530" spans="1:51">
      <c r="A1530" s="53"/>
      <c r="B1530" s="56"/>
      <c r="C1530" s="90" t="s">
        <v>1448</v>
      </c>
      <c r="D1530" s="230" t="s">
        <v>1757</v>
      </c>
      <c r="E1530" s="68" t="s">
        <v>1449</v>
      </c>
      <c r="F1530" s="106" t="s">
        <v>1555</v>
      </c>
      <c r="G1530" s="106" t="s">
        <v>1555</v>
      </c>
      <c r="H1530" s="106" t="s">
        <v>1555</v>
      </c>
      <c r="I1530" s="106" t="s">
        <v>1555</v>
      </c>
      <c r="J1530" s="70">
        <v>0.9</v>
      </c>
      <c r="K1530" s="71">
        <v>0.92307692307692302</v>
      </c>
      <c r="L1530" s="71">
        <v>0.95833333333333304</v>
      </c>
      <c r="M1530" s="72">
        <v>1</v>
      </c>
      <c r="N1530" s="71">
        <v>0.95522388059701502</v>
      </c>
      <c r="O1530" s="73">
        <v>0.9</v>
      </c>
      <c r="P1530" s="71">
        <v>0.98267074413863398</v>
      </c>
      <c r="Q1530" s="71">
        <v>0.98175182481751799</v>
      </c>
      <c r="R1530" s="71">
        <v>0.96289424860853401</v>
      </c>
      <c r="S1530" s="71">
        <v>0.97798966690469202</v>
      </c>
      <c r="T1530" s="73">
        <v>0.9</v>
      </c>
      <c r="U1530" s="71">
        <v>0.90163098878695203</v>
      </c>
      <c r="V1530" s="71">
        <v>0.88868613138686103</v>
      </c>
      <c r="W1530" s="71">
        <v>0.91604823747680897</v>
      </c>
      <c r="X1530" s="71">
        <v>0.91817532658461798</v>
      </c>
      <c r="Y1530" s="73">
        <v>0.92</v>
      </c>
      <c r="Z1530" s="73" t="s">
        <v>1710</v>
      </c>
      <c r="AA1530" s="73" t="s">
        <v>1710</v>
      </c>
      <c r="AB1530" s="73" t="s">
        <v>1710</v>
      </c>
      <c r="AC1530" s="73" t="s">
        <v>1710</v>
      </c>
      <c r="AD1530" s="73">
        <v>0.92</v>
      </c>
      <c r="AE1530" s="71">
        <v>0.85714285714285698</v>
      </c>
      <c r="AF1530" s="71">
        <v>0.85294117647058798</v>
      </c>
      <c r="AG1530" s="71">
        <v>0.84848484848484895</v>
      </c>
      <c r="AH1530" s="71">
        <v>0.79365079365079405</v>
      </c>
      <c r="AI1530" s="73">
        <v>0.92</v>
      </c>
      <c r="AJ1530" s="71">
        <v>0.96279306829765499</v>
      </c>
      <c r="AK1530" s="71">
        <v>0.97536496350364998</v>
      </c>
      <c r="AL1530" s="71">
        <v>0.97402597402597402</v>
      </c>
      <c r="AM1530" s="71">
        <v>0.97475532406435095</v>
      </c>
      <c r="AN1530" s="70">
        <v>0.99</v>
      </c>
      <c r="AO1530" s="75">
        <v>1</v>
      </c>
      <c r="AP1530" s="75">
        <v>1</v>
      </c>
      <c r="AQ1530" s="75">
        <v>1</v>
      </c>
      <c r="AR1530" s="75">
        <v>1</v>
      </c>
      <c r="AS1530" s="95">
        <v>0.110069253262963</v>
      </c>
      <c r="AT1530" s="79">
        <v>0.125</v>
      </c>
      <c r="AU1530" s="79">
        <v>0.18181818181818199</v>
      </c>
      <c r="AV1530" s="79">
        <v>5.8823529411764698E-2</v>
      </c>
      <c r="AW1530" s="79">
        <v>9.1549295774647904E-2</v>
      </c>
      <c r="AX1530" s="56"/>
      <c r="AY1530" s="54"/>
    </row>
    <row r="1531" spans="1:51">
      <c r="A1531" s="53"/>
      <c r="B1531" s="56"/>
      <c r="C1531" s="90" t="s">
        <v>1448</v>
      </c>
      <c r="D1531" s="230" t="s">
        <v>1757</v>
      </c>
      <c r="E1531" s="68" t="s">
        <v>1449</v>
      </c>
      <c r="F1531" s="106" t="s">
        <v>1556</v>
      </c>
      <c r="G1531" s="106" t="s">
        <v>1556</v>
      </c>
      <c r="H1531" s="106" t="s">
        <v>1556</v>
      </c>
      <c r="I1531" s="106" t="s">
        <v>1556</v>
      </c>
      <c r="J1531" s="70">
        <v>0.9</v>
      </c>
      <c r="K1531" s="71">
        <v>1</v>
      </c>
      <c r="L1531" s="71">
        <v>0.97142857142857097</v>
      </c>
      <c r="M1531" s="72">
        <v>1</v>
      </c>
      <c r="N1531" s="71">
        <v>0.98898071625344397</v>
      </c>
      <c r="O1531" s="73">
        <v>0.9</v>
      </c>
      <c r="P1531" s="71">
        <v>0.98341777982496503</v>
      </c>
      <c r="Q1531" s="71">
        <v>0.98367517789870196</v>
      </c>
      <c r="R1531" s="71">
        <v>0.974130240856378</v>
      </c>
      <c r="S1531" s="71">
        <v>0.96935656730044095</v>
      </c>
      <c r="T1531" s="73">
        <v>0.9</v>
      </c>
      <c r="U1531" s="71">
        <v>0.94933210502072796</v>
      </c>
      <c r="V1531" s="71">
        <v>0.93637505232314799</v>
      </c>
      <c r="W1531" s="71">
        <v>0.89250669045495101</v>
      </c>
      <c r="X1531" s="71">
        <v>0.92283570833167905</v>
      </c>
      <c r="Y1531" s="73">
        <v>0.92</v>
      </c>
      <c r="Z1531" s="73" t="s">
        <v>1710</v>
      </c>
      <c r="AA1531" s="73" t="s">
        <v>1710</v>
      </c>
      <c r="AB1531" s="73" t="s">
        <v>1710</v>
      </c>
      <c r="AC1531" s="73" t="s">
        <v>1710</v>
      </c>
      <c r="AD1531" s="73">
        <v>0.92</v>
      </c>
      <c r="AE1531" s="71">
        <v>0.92276422764227595</v>
      </c>
      <c r="AF1531" s="71">
        <v>0.85714285714285698</v>
      </c>
      <c r="AG1531" s="71">
        <v>0.92346938775510201</v>
      </c>
      <c r="AH1531" s="71">
        <v>0.94815059445178296</v>
      </c>
      <c r="AI1531" s="73">
        <v>0.92</v>
      </c>
      <c r="AJ1531" s="71">
        <v>0.96591432519576204</v>
      </c>
      <c r="AK1531" s="71">
        <v>0.97237337798241896</v>
      </c>
      <c r="AL1531" s="71">
        <v>0.96208742194469199</v>
      </c>
      <c r="AM1531" s="71">
        <v>0.96161632199420499</v>
      </c>
      <c r="AN1531" s="70">
        <v>0.99</v>
      </c>
      <c r="AO1531" s="75">
        <v>1</v>
      </c>
      <c r="AP1531" s="75">
        <v>1</v>
      </c>
      <c r="AQ1531" s="75">
        <v>1</v>
      </c>
      <c r="AR1531" s="75">
        <v>1</v>
      </c>
      <c r="AS1531" s="95">
        <v>0.110069253262963</v>
      </c>
      <c r="AT1531" s="79">
        <v>0</v>
      </c>
      <c r="AU1531" s="79">
        <v>6.6666666666666693E-2</v>
      </c>
      <c r="AV1531" s="79">
        <v>0.1</v>
      </c>
      <c r="AW1531" s="79">
        <v>6.2893081761006303E-2</v>
      </c>
      <c r="AX1531" s="56"/>
      <c r="AY1531" s="54"/>
    </row>
    <row r="1532" spans="1:51">
      <c r="A1532" s="53"/>
      <c r="B1532" s="56"/>
      <c r="C1532" s="90" t="s">
        <v>1448</v>
      </c>
      <c r="D1532" s="230" t="s">
        <v>1759</v>
      </c>
      <c r="E1532" s="68" t="s">
        <v>1449</v>
      </c>
      <c r="F1532" s="106" t="s">
        <v>1557</v>
      </c>
      <c r="G1532" s="106" t="s">
        <v>1557</v>
      </c>
      <c r="H1532" s="106" t="s">
        <v>1557</v>
      </c>
      <c r="I1532" s="106" t="s">
        <v>1557</v>
      </c>
      <c r="J1532" s="70">
        <v>0.9</v>
      </c>
      <c r="K1532" s="71" t="s">
        <v>1710</v>
      </c>
      <c r="L1532" s="71" t="s">
        <v>1710</v>
      </c>
      <c r="M1532" s="72" t="s">
        <v>1710</v>
      </c>
      <c r="N1532" s="71" t="s">
        <v>1710</v>
      </c>
      <c r="O1532" s="73">
        <v>0.9</v>
      </c>
      <c r="P1532" s="71" t="s">
        <v>1710</v>
      </c>
      <c r="Q1532" s="71" t="s">
        <v>1710</v>
      </c>
      <c r="R1532" s="71" t="s">
        <v>1710</v>
      </c>
      <c r="S1532" s="71" t="s">
        <v>1710</v>
      </c>
      <c r="T1532" s="73">
        <v>0.9</v>
      </c>
      <c r="U1532" s="71" t="s">
        <v>1710</v>
      </c>
      <c r="V1532" s="71" t="s">
        <v>1710</v>
      </c>
      <c r="W1532" s="71" t="s">
        <v>1710</v>
      </c>
      <c r="X1532" s="71" t="s">
        <v>1710</v>
      </c>
      <c r="Y1532" s="73">
        <v>0.92</v>
      </c>
      <c r="Z1532" s="73" t="s">
        <v>1710</v>
      </c>
      <c r="AA1532" s="73" t="s">
        <v>1710</v>
      </c>
      <c r="AB1532" s="73" t="s">
        <v>1710</v>
      </c>
      <c r="AC1532" s="73" t="s">
        <v>1710</v>
      </c>
      <c r="AD1532" s="73">
        <v>0.92</v>
      </c>
      <c r="AE1532" s="71">
        <v>0.99</v>
      </c>
      <c r="AF1532" s="71">
        <v>1</v>
      </c>
      <c r="AG1532" s="71">
        <v>1</v>
      </c>
      <c r="AH1532" s="71">
        <v>0.98789346246973397</v>
      </c>
      <c r="AI1532" s="73">
        <v>0.92</v>
      </c>
      <c r="AJ1532" s="71" t="s">
        <v>1710</v>
      </c>
      <c r="AK1532" s="71" t="s">
        <v>1710</v>
      </c>
      <c r="AL1532" s="71" t="s">
        <v>1710</v>
      </c>
      <c r="AM1532" s="71" t="s">
        <v>1710</v>
      </c>
      <c r="AN1532" s="70">
        <v>0.99</v>
      </c>
      <c r="AO1532" s="75">
        <v>1</v>
      </c>
      <c r="AP1532" s="75" t="s">
        <v>1710</v>
      </c>
      <c r="AQ1532" s="75" t="s">
        <v>1710</v>
      </c>
      <c r="AR1532" s="75">
        <v>1</v>
      </c>
      <c r="AS1532" s="95">
        <v>0.110069253262963</v>
      </c>
      <c r="AT1532" s="79" t="s">
        <v>1710</v>
      </c>
      <c r="AU1532" s="79" t="s">
        <v>1710</v>
      </c>
      <c r="AV1532" s="79" t="s">
        <v>1710</v>
      </c>
      <c r="AW1532" s="79" t="s">
        <v>1710</v>
      </c>
      <c r="AX1532" s="56"/>
      <c r="AY1532" s="54"/>
    </row>
    <row r="1533" spans="1:51">
      <c r="A1533" s="53"/>
      <c r="B1533" s="56"/>
      <c r="C1533" s="90" t="s">
        <v>1448</v>
      </c>
      <c r="D1533" s="230" t="s">
        <v>1757</v>
      </c>
      <c r="E1533" s="68" t="s">
        <v>1449</v>
      </c>
      <c r="F1533" s="106" t="s">
        <v>1558</v>
      </c>
      <c r="G1533" s="106" t="s">
        <v>1558</v>
      </c>
      <c r="H1533" s="106" t="s">
        <v>1558</v>
      </c>
      <c r="I1533" s="106" t="s">
        <v>1558</v>
      </c>
      <c r="J1533" s="70">
        <v>0.9</v>
      </c>
      <c r="K1533" s="71">
        <v>0.97014925373134298</v>
      </c>
      <c r="L1533" s="71">
        <v>0.97142857142857097</v>
      </c>
      <c r="M1533" s="72">
        <v>0.92727272727272703</v>
      </c>
      <c r="N1533" s="71">
        <v>0.95744680851063801</v>
      </c>
      <c r="O1533" s="73">
        <v>0.9</v>
      </c>
      <c r="P1533" s="71">
        <v>0.97076808351976096</v>
      </c>
      <c r="Q1533" s="71">
        <v>0.86383675525884895</v>
      </c>
      <c r="R1533" s="71">
        <v>0.94619479211624202</v>
      </c>
      <c r="S1533" s="71">
        <v>0.95517547923422697</v>
      </c>
      <c r="T1533" s="73">
        <v>0.9</v>
      </c>
      <c r="U1533" s="71">
        <v>0.89425801640566704</v>
      </c>
      <c r="V1533" s="71">
        <v>0.79997480791031605</v>
      </c>
      <c r="W1533" s="71">
        <v>0.86764494317364405</v>
      </c>
      <c r="X1533" s="71">
        <v>0.89671579000087598</v>
      </c>
      <c r="Y1533" s="73">
        <v>0.92</v>
      </c>
      <c r="Z1533" s="73" t="s">
        <v>1710</v>
      </c>
      <c r="AA1533" s="73" t="s">
        <v>1710</v>
      </c>
      <c r="AB1533" s="73" t="s">
        <v>1710</v>
      </c>
      <c r="AC1533" s="73" t="s">
        <v>1710</v>
      </c>
      <c r="AD1533" s="73">
        <v>0.92</v>
      </c>
      <c r="AE1533" s="71">
        <v>1</v>
      </c>
      <c r="AF1533" s="71">
        <v>0.96521739130434803</v>
      </c>
      <c r="AG1533" s="71">
        <v>0.87946428571428603</v>
      </c>
      <c r="AH1533" s="71">
        <v>0.98003742981908903</v>
      </c>
      <c r="AI1533" s="73">
        <v>0.92</v>
      </c>
      <c r="AJ1533" s="71">
        <v>0.95510812826249103</v>
      </c>
      <c r="AK1533" s="71">
        <v>0.948734097493387</v>
      </c>
      <c r="AL1533" s="71">
        <v>0.91699036109912202</v>
      </c>
      <c r="AM1533" s="71">
        <v>0.96421595632794099</v>
      </c>
      <c r="AN1533" s="70">
        <v>0.99</v>
      </c>
      <c r="AO1533" s="75">
        <v>1</v>
      </c>
      <c r="AP1533" s="75">
        <v>1</v>
      </c>
      <c r="AQ1533" s="75">
        <v>1</v>
      </c>
      <c r="AR1533" s="75">
        <v>1</v>
      </c>
      <c r="AS1533" s="95">
        <v>0.110069253262963</v>
      </c>
      <c r="AT1533" s="79">
        <v>3.3898305084745797E-2</v>
      </c>
      <c r="AU1533" s="79">
        <v>8.4337349397590397E-2</v>
      </c>
      <c r="AV1533" s="79">
        <v>8.6206896551724102E-2</v>
      </c>
      <c r="AW1533" s="79">
        <v>6.8870523415978005E-2</v>
      </c>
      <c r="AX1533" s="56"/>
      <c r="AY1533" s="54"/>
    </row>
    <row r="1534" spans="1:51">
      <c r="A1534" s="53"/>
      <c r="B1534" s="56"/>
      <c r="C1534" s="90" t="s">
        <v>1448</v>
      </c>
      <c r="D1534" s="230" t="s">
        <v>1757</v>
      </c>
      <c r="E1534" s="68" t="s">
        <v>1449</v>
      </c>
      <c r="F1534" s="106" t="s">
        <v>1559</v>
      </c>
      <c r="G1534" s="106" t="s">
        <v>1559</v>
      </c>
      <c r="H1534" s="106" t="s">
        <v>1559</v>
      </c>
      <c r="I1534" s="106" t="s">
        <v>1559</v>
      </c>
      <c r="J1534" s="70">
        <v>0.9</v>
      </c>
      <c r="K1534" s="71">
        <v>1</v>
      </c>
      <c r="L1534" s="71">
        <v>1</v>
      </c>
      <c r="M1534" s="72">
        <v>0.86666666666666703</v>
      </c>
      <c r="N1534" s="71">
        <v>0.97058823529411797</v>
      </c>
      <c r="O1534" s="73">
        <v>0.9</v>
      </c>
      <c r="P1534" s="71">
        <v>0.98869143780290802</v>
      </c>
      <c r="Q1534" s="71">
        <v>0.99503897944720099</v>
      </c>
      <c r="R1534" s="71">
        <v>0.99583680266444596</v>
      </c>
      <c r="S1534" s="71">
        <v>0.99432404540763697</v>
      </c>
      <c r="T1534" s="73">
        <v>0.9</v>
      </c>
      <c r="U1534" s="71">
        <v>0.93376413570274597</v>
      </c>
      <c r="V1534" s="71">
        <v>0.95109851169383397</v>
      </c>
      <c r="W1534" s="71">
        <v>0.94421315570358</v>
      </c>
      <c r="X1534" s="71">
        <v>0.94500958278048097</v>
      </c>
      <c r="Y1534" s="73">
        <v>0.92</v>
      </c>
      <c r="Z1534" s="73" t="s">
        <v>1710</v>
      </c>
      <c r="AA1534" s="73" t="s">
        <v>1710</v>
      </c>
      <c r="AB1534" s="73" t="s">
        <v>1710</v>
      </c>
      <c r="AC1534" s="73" t="s">
        <v>1710</v>
      </c>
      <c r="AD1534" s="73">
        <v>0.92</v>
      </c>
      <c r="AE1534" s="71">
        <v>1</v>
      </c>
      <c r="AF1534" s="71">
        <v>1</v>
      </c>
      <c r="AG1534" s="71">
        <v>1</v>
      </c>
      <c r="AH1534" s="71">
        <v>1</v>
      </c>
      <c r="AI1534" s="73">
        <v>0.92</v>
      </c>
      <c r="AJ1534" s="71">
        <v>0.97253634894991903</v>
      </c>
      <c r="AK1534" s="71">
        <v>0.97732104890148797</v>
      </c>
      <c r="AL1534" s="71">
        <v>0.98251457119067398</v>
      </c>
      <c r="AM1534" s="71">
        <v>0.98422526905498997</v>
      </c>
      <c r="AN1534" s="70">
        <v>0.99</v>
      </c>
      <c r="AO1534" s="75">
        <v>1</v>
      </c>
      <c r="AP1534" s="75">
        <v>1</v>
      </c>
      <c r="AQ1534" s="75">
        <v>1</v>
      </c>
      <c r="AR1534" s="75">
        <v>1</v>
      </c>
      <c r="AS1534" s="95">
        <v>0.110069253262963</v>
      </c>
      <c r="AT1534" s="79">
        <v>0.15384615384615399</v>
      </c>
      <c r="AU1534" s="79">
        <v>0.114285714285714</v>
      </c>
      <c r="AV1534" s="79">
        <v>0</v>
      </c>
      <c r="AW1534" s="79">
        <v>4.0133779264213999E-2</v>
      </c>
      <c r="AX1534" s="56"/>
      <c r="AY1534" s="54"/>
    </row>
    <row r="1535" spans="1:51">
      <c r="A1535" s="53"/>
      <c r="B1535" s="56"/>
      <c r="C1535" s="90" t="s">
        <v>1448</v>
      </c>
      <c r="D1535" s="230" t="s">
        <v>1757</v>
      </c>
      <c r="E1535" s="68" t="s">
        <v>1449</v>
      </c>
      <c r="F1535" s="106" t="s">
        <v>1560</v>
      </c>
      <c r="G1535" s="106" t="s">
        <v>1560</v>
      </c>
      <c r="H1535" s="106" t="s">
        <v>1560</v>
      </c>
      <c r="I1535" s="106" t="s">
        <v>1560</v>
      </c>
      <c r="J1535" s="70">
        <v>0.9</v>
      </c>
      <c r="K1535" s="71">
        <v>1</v>
      </c>
      <c r="L1535" s="71">
        <v>1</v>
      </c>
      <c r="M1535" s="72">
        <v>0.88888888888888895</v>
      </c>
      <c r="N1535" s="71">
        <v>0.94495412844036697</v>
      </c>
      <c r="O1535" s="73">
        <v>0.9</v>
      </c>
      <c r="P1535" s="71">
        <v>0.99717673630717096</v>
      </c>
      <c r="Q1535" s="71">
        <v>0.97096941420425098</v>
      </c>
      <c r="R1535" s="71">
        <v>0.97045454545454501</v>
      </c>
      <c r="S1535" s="71">
        <v>0.97273551751502096</v>
      </c>
      <c r="T1535" s="73">
        <v>0.9</v>
      </c>
      <c r="U1535" s="71">
        <v>0.72783738001129294</v>
      </c>
      <c r="V1535" s="71">
        <v>0.63400725764644905</v>
      </c>
      <c r="W1535" s="71">
        <v>0.75511363636363604</v>
      </c>
      <c r="X1535" s="71">
        <v>0.76295204625325896</v>
      </c>
      <c r="Y1535" s="73">
        <v>0.92</v>
      </c>
      <c r="Z1535" s="73" t="s">
        <v>1710</v>
      </c>
      <c r="AA1535" s="73" t="s">
        <v>1710</v>
      </c>
      <c r="AB1535" s="73" t="s">
        <v>1710</v>
      </c>
      <c r="AC1535" s="73" t="s">
        <v>1710</v>
      </c>
      <c r="AD1535" s="73">
        <v>0.92</v>
      </c>
      <c r="AE1535" s="71">
        <v>1</v>
      </c>
      <c r="AF1535" s="71">
        <v>1</v>
      </c>
      <c r="AG1535" s="71">
        <v>1</v>
      </c>
      <c r="AH1535" s="71">
        <v>0.99792960662525898</v>
      </c>
      <c r="AI1535" s="73">
        <v>0.92</v>
      </c>
      <c r="AJ1535" s="71">
        <v>0.79446640316205497</v>
      </c>
      <c r="AK1535" s="71">
        <v>0.78641783307413204</v>
      </c>
      <c r="AL1535" s="71">
        <v>0.85795454545454497</v>
      </c>
      <c r="AM1535" s="71">
        <v>0.87359709783471295</v>
      </c>
      <c r="AN1535" s="70">
        <v>0.99</v>
      </c>
      <c r="AO1535" s="75" t="s">
        <v>1710</v>
      </c>
      <c r="AP1535" s="75">
        <v>1</v>
      </c>
      <c r="AQ1535" s="75">
        <v>1</v>
      </c>
      <c r="AR1535" s="75">
        <v>1</v>
      </c>
      <c r="AS1535" s="95">
        <v>0.110069253262963</v>
      </c>
      <c r="AT1535" s="79">
        <v>4.3478260869565202E-2</v>
      </c>
      <c r="AU1535" s="79">
        <v>0.10344827586206901</v>
      </c>
      <c r="AV1535" s="79">
        <v>3.125E-2</v>
      </c>
      <c r="AW1535" s="79">
        <v>6.4935064935064901E-2</v>
      </c>
      <c r="AX1535" s="56"/>
      <c r="AY1535" s="54"/>
    </row>
    <row r="1536" spans="1:51">
      <c r="A1536" s="53"/>
      <c r="B1536" s="56"/>
      <c r="C1536" s="90" t="s">
        <v>1448</v>
      </c>
      <c r="D1536" s="230" t="s">
        <v>1757</v>
      </c>
      <c r="E1536" s="68" t="s">
        <v>1449</v>
      </c>
      <c r="F1536" s="106" t="s">
        <v>1561</v>
      </c>
      <c r="G1536" s="106" t="s">
        <v>1561</v>
      </c>
      <c r="H1536" s="106" t="s">
        <v>1561</v>
      </c>
      <c r="I1536" s="106" t="s">
        <v>1561</v>
      </c>
      <c r="J1536" s="70">
        <v>0.9</v>
      </c>
      <c r="K1536" s="71">
        <v>1</v>
      </c>
      <c r="L1536" s="71">
        <v>1</v>
      </c>
      <c r="M1536" s="72">
        <v>1</v>
      </c>
      <c r="N1536" s="71">
        <v>0.99723756906077299</v>
      </c>
      <c r="O1536" s="73">
        <v>0.9</v>
      </c>
      <c r="P1536" s="71">
        <v>0.99700897308075798</v>
      </c>
      <c r="Q1536" s="71">
        <v>0.988118811881188</v>
      </c>
      <c r="R1536" s="71">
        <v>0.93629505448449302</v>
      </c>
      <c r="S1536" s="71">
        <v>0.97065305648996603</v>
      </c>
      <c r="T1536" s="73">
        <v>0.9</v>
      </c>
      <c r="U1536" s="71">
        <v>0.95413758723828501</v>
      </c>
      <c r="V1536" s="71">
        <v>0.83247524752475199</v>
      </c>
      <c r="W1536" s="71">
        <v>0.927493713327745</v>
      </c>
      <c r="X1536" s="71">
        <v>0.92889455979584701</v>
      </c>
      <c r="Y1536" s="73">
        <v>0.92</v>
      </c>
      <c r="Z1536" s="73" t="s">
        <v>1710</v>
      </c>
      <c r="AA1536" s="73" t="s">
        <v>1710</v>
      </c>
      <c r="AB1536" s="73" t="s">
        <v>1710</v>
      </c>
      <c r="AC1536" s="73" t="s">
        <v>1710</v>
      </c>
      <c r="AD1536" s="73">
        <v>0.92</v>
      </c>
      <c r="AE1536" s="71">
        <v>1</v>
      </c>
      <c r="AF1536" s="71">
        <v>1</v>
      </c>
      <c r="AG1536" s="71">
        <v>1</v>
      </c>
      <c r="AH1536" s="71">
        <v>0.99629629629629601</v>
      </c>
      <c r="AI1536" s="73">
        <v>0.92</v>
      </c>
      <c r="AJ1536" s="71">
        <v>0.97856430707876396</v>
      </c>
      <c r="AK1536" s="71">
        <v>0.95009900990099005</v>
      </c>
      <c r="AL1536" s="71">
        <v>0.97024308466052001</v>
      </c>
      <c r="AM1536" s="71">
        <v>0.97455824923636103</v>
      </c>
      <c r="AN1536" s="70">
        <v>0.99</v>
      </c>
      <c r="AO1536" s="75">
        <v>1</v>
      </c>
      <c r="AP1536" s="75">
        <v>1</v>
      </c>
      <c r="AQ1536" s="75">
        <v>1</v>
      </c>
      <c r="AR1536" s="75">
        <v>1</v>
      </c>
      <c r="AS1536" s="95">
        <v>0.110069253262963</v>
      </c>
      <c r="AT1536" s="79">
        <v>4.7619047619047603E-2</v>
      </c>
      <c r="AU1536" s="79">
        <v>3.5714285714285698E-2</v>
      </c>
      <c r="AV1536" s="79">
        <v>0</v>
      </c>
      <c r="AW1536" s="79">
        <v>5.5555555555555601E-2</v>
      </c>
      <c r="AX1536" s="56"/>
      <c r="AY1536" s="54"/>
    </row>
    <row r="1537" spans="1:51">
      <c r="A1537" s="53"/>
      <c r="B1537" s="56"/>
      <c r="C1537" s="90" t="s">
        <v>1448</v>
      </c>
      <c r="D1537" s="230" t="s">
        <v>1757</v>
      </c>
      <c r="E1537" s="68" t="s">
        <v>1449</v>
      </c>
      <c r="F1537" s="106" t="s">
        <v>1562</v>
      </c>
      <c r="G1537" s="106" t="s">
        <v>1562</v>
      </c>
      <c r="H1537" s="106" t="s">
        <v>1562</v>
      </c>
      <c r="I1537" s="106" t="s">
        <v>1562</v>
      </c>
      <c r="J1537" s="70">
        <v>0.9</v>
      </c>
      <c r="K1537" s="71">
        <v>0.91666666666666696</v>
      </c>
      <c r="L1537" s="71">
        <v>0.97297297297297303</v>
      </c>
      <c r="M1537" s="72">
        <v>0.97058823529411797</v>
      </c>
      <c r="N1537" s="71">
        <v>0.95802469135802504</v>
      </c>
      <c r="O1537" s="73">
        <v>0.9</v>
      </c>
      <c r="P1537" s="71">
        <v>0.99420429847862801</v>
      </c>
      <c r="Q1537" s="71">
        <v>0.99796057104010905</v>
      </c>
      <c r="R1537" s="71">
        <v>0.98984034833091405</v>
      </c>
      <c r="S1537" s="71">
        <v>0.98910194810867502</v>
      </c>
      <c r="T1537" s="73">
        <v>0.9</v>
      </c>
      <c r="U1537" s="71">
        <v>0.96957256701279904</v>
      </c>
      <c r="V1537" s="71">
        <v>0.93519147971901195</v>
      </c>
      <c r="W1537" s="71">
        <v>0.96226415094339601</v>
      </c>
      <c r="X1537" s="71">
        <v>0.95138464226434905</v>
      </c>
      <c r="Y1537" s="73">
        <v>0.92</v>
      </c>
      <c r="Z1537" s="73" t="s">
        <v>1710</v>
      </c>
      <c r="AA1537" s="73" t="s">
        <v>1710</v>
      </c>
      <c r="AB1537" s="73" t="s">
        <v>1710</v>
      </c>
      <c r="AC1537" s="73" t="s">
        <v>1710</v>
      </c>
      <c r="AD1537" s="73">
        <v>0.92</v>
      </c>
      <c r="AE1537" s="71">
        <v>0.95940959409594095</v>
      </c>
      <c r="AF1537" s="71">
        <v>0.91411042944785303</v>
      </c>
      <c r="AG1537" s="71">
        <v>0.95402298850574696</v>
      </c>
      <c r="AH1537" s="71">
        <v>0.96771340114993398</v>
      </c>
      <c r="AI1537" s="73">
        <v>0.92</v>
      </c>
      <c r="AJ1537" s="71">
        <v>0.98575223375996102</v>
      </c>
      <c r="AK1537" s="71">
        <v>0.98277815544980696</v>
      </c>
      <c r="AL1537" s="71">
        <v>0.986453797774552</v>
      </c>
      <c r="AM1537" s="71">
        <v>0.98757370604935601</v>
      </c>
      <c r="AN1537" s="70">
        <v>0.99</v>
      </c>
      <c r="AO1537" s="75">
        <v>1</v>
      </c>
      <c r="AP1537" s="75">
        <v>1</v>
      </c>
      <c r="AQ1537" s="75">
        <v>1</v>
      </c>
      <c r="AR1537" s="75">
        <v>1</v>
      </c>
      <c r="AS1537" s="95">
        <v>0.110069253262963</v>
      </c>
      <c r="AT1537" s="79">
        <v>0.157894736842105</v>
      </c>
      <c r="AU1537" s="79">
        <v>9.0909090909090898E-2</v>
      </c>
      <c r="AV1537" s="79">
        <v>0</v>
      </c>
      <c r="AW1537" s="79">
        <v>7.8431372549019607E-2</v>
      </c>
      <c r="AX1537" s="56"/>
      <c r="AY1537" s="54"/>
    </row>
    <row r="1538" spans="1:51">
      <c r="A1538" s="53"/>
      <c r="B1538" s="56"/>
      <c r="C1538" s="90" t="s">
        <v>1448</v>
      </c>
      <c r="D1538" s="230" t="s">
        <v>1757</v>
      </c>
      <c r="E1538" s="68" t="s">
        <v>1449</v>
      </c>
      <c r="F1538" s="106" t="s">
        <v>1563</v>
      </c>
      <c r="G1538" s="106" t="s">
        <v>1563</v>
      </c>
      <c r="H1538" s="106" t="s">
        <v>1563</v>
      </c>
      <c r="I1538" s="106" t="s">
        <v>1563</v>
      </c>
      <c r="J1538" s="70">
        <v>0.9</v>
      </c>
      <c r="K1538" s="71">
        <v>0.88571428571428601</v>
      </c>
      <c r="L1538" s="71">
        <v>0.97058823529411797</v>
      </c>
      <c r="M1538" s="72">
        <v>1</v>
      </c>
      <c r="N1538" s="71">
        <v>0.9375</v>
      </c>
      <c r="O1538" s="73">
        <v>0.9</v>
      </c>
      <c r="P1538" s="71">
        <v>0.96536095823891199</v>
      </c>
      <c r="Q1538" s="71">
        <v>0.84979617434932597</v>
      </c>
      <c r="R1538" s="71">
        <v>0.66144708423326104</v>
      </c>
      <c r="S1538" s="71">
        <v>0.89131119156304095</v>
      </c>
      <c r="T1538" s="73">
        <v>0.9</v>
      </c>
      <c r="U1538" s="71">
        <v>0.39333117513758498</v>
      </c>
      <c r="V1538" s="71">
        <v>0.25964252116650999</v>
      </c>
      <c r="W1538" s="71">
        <v>0.181695464362851</v>
      </c>
      <c r="X1538" s="71">
        <v>0.32627629991080298</v>
      </c>
      <c r="Y1538" s="73">
        <v>0.92</v>
      </c>
      <c r="Z1538" s="73" t="s">
        <v>1710</v>
      </c>
      <c r="AA1538" s="73" t="s">
        <v>1710</v>
      </c>
      <c r="AB1538" s="73" t="s">
        <v>1710</v>
      </c>
      <c r="AC1538" s="73" t="s">
        <v>1710</v>
      </c>
      <c r="AD1538" s="73">
        <v>0.92</v>
      </c>
      <c r="AE1538" s="71">
        <v>1</v>
      </c>
      <c r="AF1538" s="71">
        <v>1</v>
      </c>
      <c r="AG1538" s="71">
        <v>0.98290598290598297</v>
      </c>
      <c r="AH1538" s="71">
        <v>0.98289902280130304</v>
      </c>
      <c r="AI1538" s="73">
        <v>0.92</v>
      </c>
      <c r="AJ1538" s="71">
        <v>0.83489802525088996</v>
      </c>
      <c r="AK1538" s="71">
        <v>0.85512699905926604</v>
      </c>
      <c r="AL1538" s="71">
        <v>0.83369330453563695</v>
      </c>
      <c r="AM1538" s="71">
        <v>0.86101054619864603</v>
      </c>
      <c r="AN1538" s="70">
        <v>0.99</v>
      </c>
      <c r="AO1538" s="75">
        <v>1</v>
      </c>
      <c r="AP1538" s="75">
        <v>1</v>
      </c>
      <c r="AQ1538" s="75">
        <v>1</v>
      </c>
      <c r="AR1538" s="75">
        <v>1</v>
      </c>
      <c r="AS1538" s="95">
        <v>0.110069253262963</v>
      </c>
      <c r="AT1538" s="79">
        <v>0.14705882352941199</v>
      </c>
      <c r="AU1538" s="79">
        <v>0.157894736842105</v>
      </c>
      <c r="AV1538" s="79">
        <v>8.3333333333333301E-2</v>
      </c>
      <c r="AW1538" s="79">
        <v>0.116336633663366</v>
      </c>
      <c r="AX1538" s="56"/>
      <c r="AY1538" s="54"/>
    </row>
    <row r="1539" spans="1:51">
      <c r="A1539" s="53"/>
      <c r="B1539" s="56"/>
      <c r="C1539" s="90" t="s">
        <v>1448</v>
      </c>
      <c r="D1539" s="230" t="s">
        <v>1757</v>
      </c>
      <c r="E1539" s="68" t="s">
        <v>1449</v>
      </c>
      <c r="F1539" s="106" t="s">
        <v>1564</v>
      </c>
      <c r="G1539" s="106" t="s">
        <v>1564</v>
      </c>
      <c r="H1539" s="106" t="s">
        <v>1564</v>
      </c>
      <c r="I1539" s="106" t="s">
        <v>1564</v>
      </c>
      <c r="J1539" s="70">
        <v>0.9</v>
      </c>
      <c r="K1539" s="71">
        <v>1</v>
      </c>
      <c r="L1539" s="71">
        <v>1</v>
      </c>
      <c r="M1539" s="72">
        <v>1</v>
      </c>
      <c r="N1539" s="71">
        <v>0.986175115207373</v>
      </c>
      <c r="O1539" s="73">
        <v>0.9</v>
      </c>
      <c r="P1539" s="71">
        <v>0.98652694610778402</v>
      </c>
      <c r="Q1539" s="71">
        <v>0.91490810074880902</v>
      </c>
      <c r="R1539" s="71">
        <v>0.91064314171883898</v>
      </c>
      <c r="S1539" s="71">
        <v>0.93895671476137599</v>
      </c>
      <c r="T1539" s="73">
        <v>0.9</v>
      </c>
      <c r="U1539" s="71">
        <v>0.85778443113772496</v>
      </c>
      <c r="V1539" s="71">
        <v>0.55956432947583401</v>
      </c>
      <c r="W1539" s="71">
        <v>0.48548662492885603</v>
      </c>
      <c r="X1539" s="71">
        <v>0.68707284303989702</v>
      </c>
      <c r="Y1539" s="73">
        <v>0.92</v>
      </c>
      <c r="Z1539" s="73" t="s">
        <v>1710</v>
      </c>
      <c r="AA1539" s="73" t="s">
        <v>1710</v>
      </c>
      <c r="AB1539" s="73" t="s">
        <v>1710</v>
      </c>
      <c r="AC1539" s="73" t="s">
        <v>1710</v>
      </c>
      <c r="AD1539" s="73">
        <v>0.92</v>
      </c>
      <c r="AE1539" s="71">
        <v>0.92537313432835799</v>
      </c>
      <c r="AF1539" s="71">
        <v>1</v>
      </c>
      <c r="AG1539" s="71">
        <v>1</v>
      </c>
      <c r="AH1539" s="71">
        <v>0.98404255319148903</v>
      </c>
      <c r="AI1539" s="73">
        <v>0.92</v>
      </c>
      <c r="AJ1539" s="71">
        <v>0.95134730538922196</v>
      </c>
      <c r="AK1539" s="71">
        <v>0.93192648059904704</v>
      </c>
      <c r="AL1539" s="71">
        <v>0.93454752418895803</v>
      </c>
      <c r="AM1539" s="71">
        <v>0.93755476371283397</v>
      </c>
      <c r="AN1539" s="70">
        <v>0.99</v>
      </c>
      <c r="AO1539" s="75">
        <v>1</v>
      </c>
      <c r="AP1539" s="75">
        <v>1</v>
      </c>
      <c r="AQ1539" s="75">
        <v>1</v>
      </c>
      <c r="AR1539" s="75">
        <v>1</v>
      </c>
      <c r="AS1539" s="95">
        <v>0.110069253262963</v>
      </c>
      <c r="AT1539" s="79">
        <v>7.1428571428571397E-2</v>
      </c>
      <c r="AU1539" s="79">
        <v>0</v>
      </c>
      <c r="AV1539" s="79">
        <v>0</v>
      </c>
      <c r="AW1539" s="79">
        <v>6.25E-2</v>
      </c>
      <c r="AX1539" s="56"/>
      <c r="AY1539" s="54"/>
    </row>
    <row r="1540" spans="1:51">
      <c r="A1540" s="53"/>
      <c r="B1540" s="56"/>
      <c r="C1540" s="90" t="s">
        <v>1448</v>
      </c>
      <c r="D1540" s="230" t="s">
        <v>1757</v>
      </c>
      <c r="E1540" s="68" t="s">
        <v>1449</v>
      </c>
      <c r="F1540" s="106" t="s">
        <v>1565</v>
      </c>
      <c r="G1540" s="106" t="s">
        <v>1565</v>
      </c>
      <c r="H1540" s="106" t="s">
        <v>1565</v>
      </c>
      <c r="I1540" s="106" t="s">
        <v>1565</v>
      </c>
      <c r="J1540" s="70">
        <v>0.9</v>
      </c>
      <c r="K1540" s="71">
        <v>0.88571428571428601</v>
      </c>
      <c r="L1540" s="71">
        <v>0.83870967741935498</v>
      </c>
      <c r="M1540" s="72">
        <v>0.92857142857142905</v>
      </c>
      <c r="N1540" s="71">
        <v>0.83733333333333304</v>
      </c>
      <c r="O1540" s="73">
        <v>0.9</v>
      </c>
      <c r="P1540" s="71">
        <v>0.74968006142820598</v>
      </c>
      <c r="Q1540" s="71">
        <v>0.76462585034013597</v>
      </c>
      <c r="R1540" s="71">
        <v>0.94290744466800802</v>
      </c>
      <c r="S1540" s="71">
        <v>0.83620889422570499</v>
      </c>
      <c r="T1540" s="73">
        <v>0.9</v>
      </c>
      <c r="U1540" s="71">
        <v>0.67596621448681804</v>
      </c>
      <c r="V1540" s="71">
        <v>0.67369614512471698</v>
      </c>
      <c r="W1540" s="71">
        <v>0.84532193158953695</v>
      </c>
      <c r="X1540" s="71">
        <v>0.74633971644652297</v>
      </c>
      <c r="Y1540" s="73">
        <v>0.92</v>
      </c>
      <c r="Z1540" s="73">
        <v>0.33333333333333298</v>
      </c>
      <c r="AA1540" s="73">
        <v>0.2</v>
      </c>
      <c r="AB1540" s="73">
        <v>1</v>
      </c>
      <c r="AC1540" s="73">
        <v>0.12195121951219499</v>
      </c>
      <c r="AD1540" s="73">
        <v>0.92</v>
      </c>
      <c r="AE1540" s="71">
        <v>0.8125</v>
      </c>
      <c r="AF1540" s="71">
        <v>0</v>
      </c>
      <c r="AG1540" s="71">
        <v>0.57142857142857095</v>
      </c>
      <c r="AH1540" s="71">
        <v>0.68941176470588195</v>
      </c>
      <c r="AI1540" s="73">
        <v>0.92</v>
      </c>
      <c r="AJ1540" s="71">
        <v>0.85396419437340199</v>
      </c>
      <c r="AK1540" s="71">
        <v>0.835560588901472</v>
      </c>
      <c r="AL1540" s="71">
        <v>0.90950226244343901</v>
      </c>
      <c r="AM1540" s="71">
        <v>0.86343927594190695</v>
      </c>
      <c r="AN1540" s="70">
        <v>0.99</v>
      </c>
      <c r="AO1540" s="75">
        <v>1</v>
      </c>
      <c r="AP1540" s="75">
        <v>1</v>
      </c>
      <c r="AQ1540" s="75">
        <v>1</v>
      </c>
      <c r="AR1540" s="75">
        <v>1</v>
      </c>
      <c r="AS1540" s="95">
        <v>0.110069253262963</v>
      </c>
      <c r="AT1540" s="79">
        <v>4.5454545454545497E-2</v>
      </c>
      <c r="AU1540" s="79">
        <v>7.69230769230769E-2</v>
      </c>
      <c r="AV1540" s="79">
        <v>0.14285714285714299</v>
      </c>
      <c r="AW1540" s="79">
        <v>0.11284046692607</v>
      </c>
      <c r="AX1540" s="56"/>
      <c r="AY1540" s="54"/>
    </row>
    <row r="1541" spans="1:51">
      <c r="A1541" s="53"/>
      <c r="B1541" s="56"/>
      <c r="C1541" s="90" t="s">
        <v>1448</v>
      </c>
      <c r="D1541" s="230" t="s">
        <v>1759</v>
      </c>
      <c r="E1541" s="68" t="s">
        <v>1449</v>
      </c>
      <c r="F1541" s="106" t="s">
        <v>1566</v>
      </c>
      <c r="G1541" s="106" t="s">
        <v>1566</v>
      </c>
      <c r="H1541" s="106" t="s">
        <v>1566</v>
      </c>
      <c r="I1541" s="106" t="s">
        <v>1566</v>
      </c>
      <c r="J1541" s="70">
        <v>0.9</v>
      </c>
      <c r="K1541" s="71" t="s">
        <v>1710</v>
      </c>
      <c r="L1541" s="71" t="s">
        <v>1710</v>
      </c>
      <c r="M1541" s="72" t="s">
        <v>1710</v>
      </c>
      <c r="N1541" s="71" t="s">
        <v>1710</v>
      </c>
      <c r="O1541" s="73">
        <v>0.9</v>
      </c>
      <c r="P1541" s="71">
        <v>0</v>
      </c>
      <c r="Q1541" s="71">
        <v>0</v>
      </c>
      <c r="R1541" s="71" t="s">
        <v>1710</v>
      </c>
      <c r="S1541" s="71">
        <v>0</v>
      </c>
      <c r="T1541" s="73">
        <v>0.9</v>
      </c>
      <c r="U1541" s="71">
        <v>1</v>
      </c>
      <c r="V1541" s="71">
        <v>1</v>
      </c>
      <c r="W1541" s="71" t="s">
        <v>1710</v>
      </c>
      <c r="X1541" s="71">
        <v>0.71428571428571397</v>
      </c>
      <c r="Y1541" s="73">
        <v>0.92</v>
      </c>
      <c r="Z1541" s="73" t="s">
        <v>1710</v>
      </c>
      <c r="AA1541" s="73" t="s">
        <v>1710</v>
      </c>
      <c r="AB1541" s="73">
        <v>1</v>
      </c>
      <c r="AC1541" s="73">
        <v>1</v>
      </c>
      <c r="AD1541" s="73">
        <v>0.92</v>
      </c>
      <c r="AE1541" s="71">
        <v>0.97417840375586895</v>
      </c>
      <c r="AF1541" s="71">
        <v>0.54</v>
      </c>
      <c r="AG1541" s="71">
        <v>0.997899159663866</v>
      </c>
      <c r="AH1541" s="71">
        <v>0.93654822335025401</v>
      </c>
      <c r="AI1541" s="73">
        <v>0.92</v>
      </c>
      <c r="AJ1541" s="71">
        <v>1</v>
      </c>
      <c r="AK1541" s="71">
        <v>1</v>
      </c>
      <c r="AL1541" s="71">
        <v>1</v>
      </c>
      <c r="AM1541" s="71">
        <v>0.83333333333333304</v>
      </c>
      <c r="AN1541" s="70">
        <v>0.99</v>
      </c>
      <c r="AO1541" s="75">
        <v>1</v>
      </c>
      <c r="AP1541" s="75">
        <v>1</v>
      </c>
      <c r="AQ1541" s="75">
        <v>1</v>
      </c>
      <c r="AR1541" s="75">
        <v>1</v>
      </c>
      <c r="AS1541" s="95">
        <v>0.110069253262963</v>
      </c>
      <c r="AT1541" s="79" t="s">
        <v>1710</v>
      </c>
      <c r="AU1541" s="79" t="s">
        <v>1710</v>
      </c>
      <c r="AV1541" s="79" t="s">
        <v>1710</v>
      </c>
      <c r="AW1541" s="79" t="s">
        <v>1710</v>
      </c>
      <c r="AX1541" s="56"/>
      <c r="AY1541" s="54"/>
    </row>
    <row r="1542" spans="1:51">
      <c r="A1542" s="53"/>
      <c r="B1542" s="56"/>
      <c r="C1542" s="90" t="s">
        <v>1448</v>
      </c>
      <c r="D1542" s="230" t="s">
        <v>1759</v>
      </c>
      <c r="E1542" s="68" t="s">
        <v>1449</v>
      </c>
      <c r="F1542" s="106" t="s">
        <v>1567</v>
      </c>
      <c r="G1542" s="106" t="s">
        <v>1567</v>
      </c>
      <c r="H1542" s="106" t="s">
        <v>1567</v>
      </c>
      <c r="I1542" s="106" t="s">
        <v>1567</v>
      </c>
      <c r="J1542" s="70">
        <v>0.9</v>
      </c>
      <c r="K1542" s="71" t="s">
        <v>1710</v>
      </c>
      <c r="L1542" s="71" t="s">
        <v>1710</v>
      </c>
      <c r="M1542" s="72" t="s">
        <v>1710</v>
      </c>
      <c r="N1542" s="71" t="s">
        <v>1710</v>
      </c>
      <c r="O1542" s="73">
        <v>0.9</v>
      </c>
      <c r="P1542" s="71" t="s">
        <v>1710</v>
      </c>
      <c r="Q1542" s="71">
        <v>0</v>
      </c>
      <c r="R1542" s="71" t="s">
        <v>1710</v>
      </c>
      <c r="S1542" s="71">
        <v>0</v>
      </c>
      <c r="T1542" s="73">
        <v>0.9</v>
      </c>
      <c r="U1542" s="71" t="s">
        <v>1710</v>
      </c>
      <c r="V1542" s="71">
        <v>0</v>
      </c>
      <c r="W1542" s="71" t="s">
        <v>1710</v>
      </c>
      <c r="X1542" s="71">
        <v>0.5</v>
      </c>
      <c r="Y1542" s="73">
        <v>0.92</v>
      </c>
      <c r="Z1542" s="73" t="s">
        <v>1710</v>
      </c>
      <c r="AA1542" s="73" t="s">
        <v>1710</v>
      </c>
      <c r="AB1542" s="73" t="s">
        <v>1710</v>
      </c>
      <c r="AC1542" s="73" t="s">
        <v>1710</v>
      </c>
      <c r="AD1542" s="73">
        <v>0.92</v>
      </c>
      <c r="AE1542" s="71">
        <v>1</v>
      </c>
      <c r="AF1542" s="71">
        <v>0.92469879518072295</v>
      </c>
      <c r="AG1542" s="71">
        <v>0.98041958041957999</v>
      </c>
      <c r="AH1542" s="71">
        <v>0.98208905256109802</v>
      </c>
      <c r="AI1542" s="73">
        <v>0.92</v>
      </c>
      <c r="AJ1542" s="71" t="s">
        <v>1710</v>
      </c>
      <c r="AK1542" s="71">
        <v>0</v>
      </c>
      <c r="AL1542" s="71" t="s">
        <v>1710</v>
      </c>
      <c r="AM1542" s="71">
        <v>0.5</v>
      </c>
      <c r="AN1542" s="70">
        <v>0.99</v>
      </c>
      <c r="AO1542" s="75">
        <v>1</v>
      </c>
      <c r="AP1542" s="75">
        <v>1</v>
      </c>
      <c r="AQ1542" s="75">
        <v>1</v>
      </c>
      <c r="AR1542" s="75">
        <v>1</v>
      </c>
      <c r="AS1542" s="95">
        <v>0.110069253262963</v>
      </c>
      <c r="AT1542" s="79" t="s">
        <v>1710</v>
      </c>
      <c r="AU1542" s="79" t="s">
        <v>1710</v>
      </c>
      <c r="AV1542" s="79" t="s">
        <v>1710</v>
      </c>
      <c r="AW1542" s="79" t="s">
        <v>1710</v>
      </c>
      <c r="AX1542" s="56"/>
      <c r="AY1542" s="54"/>
    </row>
    <row r="1543" spans="1:51">
      <c r="A1543" s="53"/>
      <c r="B1543" s="56"/>
      <c r="C1543" s="90" t="s">
        <v>1448</v>
      </c>
      <c r="D1543" s="230" t="s">
        <v>1759</v>
      </c>
      <c r="E1543" s="68" t="s">
        <v>1449</v>
      </c>
      <c r="F1543" s="106" t="s">
        <v>1568</v>
      </c>
      <c r="G1543" s="106" t="s">
        <v>1568</v>
      </c>
      <c r="H1543" s="106" t="s">
        <v>1568</v>
      </c>
      <c r="I1543" s="106" t="s">
        <v>1568</v>
      </c>
      <c r="J1543" s="70">
        <v>0.9</v>
      </c>
      <c r="K1543" s="71" t="s">
        <v>1710</v>
      </c>
      <c r="L1543" s="71" t="s">
        <v>1710</v>
      </c>
      <c r="M1543" s="72" t="s">
        <v>1710</v>
      </c>
      <c r="N1543" s="71" t="s">
        <v>1710</v>
      </c>
      <c r="O1543" s="73">
        <v>0.9</v>
      </c>
      <c r="P1543" s="71" t="s">
        <v>1710</v>
      </c>
      <c r="Q1543" s="71" t="s">
        <v>1710</v>
      </c>
      <c r="R1543" s="71" t="s">
        <v>1710</v>
      </c>
      <c r="S1543" s="71" t="s">
        <v>1710</v>
      </c>
      <c r="T1543" s="73">
        <v>0.9</v>
      </c>
      <c r="U1543" s="71" t="s">
        <v>1710</v>
      </c>
      <c r="V1543" s="71" t="s">
        <v>1710</v>
      </c>
      <c r="W1543" s="71" t="s">
        <v>1710</v>
      </c>
      <c r="X1543" s="71" t="s">
        <v>1710</v>
      </c>
      <c r="Y1543" s="73">
        <v>0.92</v>
      </c>
      <c r="Z1543" s="73" t="s">
        <v>1710</v>
      </c>
      <c r="AA1543" s="73" t="s">
        <v>1710</v>
      </c>
      <c r="AB1543" s="73" t="s">
        <v>1710</v>
      </c>
      <c r="AC1543" s="73" t="s">
        <v>1710</v>
      </c>
      <c r="AD1543" s="73">
        <v>0.92</v>
      </c>
      <c r="AE1543" s="71">
        <v>1</v>
      </c>
      <c r="AF1543" s="71">
        <v>1</v>
      </c>
      <c r="AG1543" s="71">
        <v>0.98958333333333304</v>
      </c>
      <c r="AH1543" s="71">
        <v>0.98001249219237996</v>
      </c>
      <c r="AI1543" s="73">
        <v>0.92</v>
      </c>
      <c r="AJ1543" s="71" t="s">
        <v>1710</v>
      </c>
      <c r="AK1543" s="71" t="s">
        <v>1710</v>
      </c>
      <c r="AL1543" s="71" t="s">
        <v>1710</v>
      </c>
      <c r="AM1543" s="71" t="s">
        <v>1710</v>
      </c>
      <c r="AN1543" s="70">
        <v>0.99</v>
      </c>
      <c r="AO1543" s="75">
        <v>1</v>
      </c>
      <c r="AP1543" s="75">
        <v>1</v>
      </c>
      <c r="AQ1543" s="75" t="s">
        <v>1710</v>
      </c>
      <c r="AR1543" s="75">
        <v>1</v>
      </c>
      <c r="AS1543" s="95">
        <v>0.110069253262963</v>
      </c>
      <c r="AT1543" s="79" t="s">
        <v>1710</v>
      </c>
      <c r="AU1543" s="79" t="s">
        <v>1710</v>
      </c>
      <c r="AV1543" s="79" t="s">
        <v>1710</v>
      </c>
      <c r="AW1543" s="79" t="s">
        <v>1710</v>
      </c>
      <c r="AX1543" s="56"/>
      <c r="AY1543" s="54"/>
    </row>
    <row r="1544" spans="1:51">
      <c r="A1544" s="53"/>
      <c r="B1544" s="56"/>
      <c r="C1544" s="90" t="s">
        <v>1448</v>
      </c>
      <c r="D1544" s="230" t="s">
        <v>1757</v>
      </c>
      <c r="E1544" s="68" t="s">
        <v>1449</v>
      </c>
      <c r="F1544" s="106" t="s">
        <v>1569</v>
      </c>
      <c r="G1544" s="106" t="s">
        <v>1569</v>
      </c>
      <c r="H1544" s="106" t="s">
        <v>1569</v>
      </c>
      <c r="I1544" s="106" t="s">
        <v>1569</v>
      </c>
      <c r="J1544" s="70">
        <v>0.9</v>
      </c>
      <c r="K1544" s="71">
        <v>0.90625</v>
      </c>
      <c r="L1544" s="71">
        <v>0.90909090909090895</v>
      </c>
      <c r="M1544" s="72">
        <v>0.90909090909090895</v>
      </c>
      <c r="N1544" s="71">
        <v>0.92134831460674205</v>
      </c>
      <c r="O1544" s="73">
        <v>0.9</v>
      </c>
      <c r="P1544" s="71">
        <v>0.96113495469718602</v>
      </c>
      <c r="Q1544" s="71">
        <v>0.94503298021187299</v>
      </c>
      <c r="R1544" s="71">
        <v>0.94492254733218595</v>
      </c>
      <c r="S1544" s="71">
        <v>0.95228925973470302</v>
      </c>
      <c r="T1544" s="73">
        <v>0.9</v>
      </c>
      <c r="U1544" s="71">
        <v>0.83762517882689602</v>
      </c>
      <c r="V1544" s="71">
        <v>0.81391165300819501</v>
      </c>
      <c r="W1544" s="71">
        <v>0.81002581755593805</v>
      </c>
      <c r="X1544" s="71">
        <v>0.86067997043606803</v>
      </c>
      <c r="Y1544" s="73">
        <v>0.92</v>
      </c>
      <c r="Z1544" s="73" t="s">
        <v>1710</v>
      </c>
      <c r="AA1544" s="73" t="s">
        <v>1710</v>
      </c>
      <c r="AB1544" s="73" t="s">
        <v>1710</v>
      </c>
      <c r="AC1544" s="73">
        <v>0.33333333333333298</v>
      </c>
      <c r="AD1544" s="73">
        <v>0.92</v>
      </c>
      <c r="AE1544" s="71">
        <v>1</v>
      </c>
      <c r="AF1544" s="71">
        <v>0.95833333333333304</v>
      </c>
      <c r="AG1544" s="71">
        <v>0.97916666666666696</v>
      </c>
      <c r="AH1544" s="71">
        <v>0.88665447897623395</v>
      </c>
      <c r="AI1544" s="73">
        <v>0.92</v>
      </c>
      <c r="AJ1544" s="71">
        <v>0.89079637577491699</v>
      </c>
      <c r="AK1544" s="71">
        <v>0.88446931840895504</v>
      </c>
      <c r="AL1544" s="71">
        <v>0.89264199655765897</v>
      </c>
      <c r="AM1544" s="71">
        <v>0.91938620716480601</v>
      </c>
      <c r="AN1544" s="70">
        <v>0.99</v>
      </c>
      <c r="AO1544" s="75" t="s">
        <v>1710</v>
      </c>
      <c r="AP1544" s="75" t="s">
        <v>1710</v>
      </c>
      <c r="AQ1544" s="75" t="s">
        <v>1710</v>
      </c>
      <c r="AR1544" s="75">
        <v>1</v>
      </c>
      <c r="AS1544" s="95">
        <v>0.110069253262963</v>
      </c>
      <c r="AT1544" s="79">
        <v>4.8780487804878099E-2</v>
      </c>
      <c r="AU1544" s="79">
        <v>0</v>
      </c>
      <c r="AV1544" s="79">
        <v>0.17499999999999999</v>
      </c>
      <c r="AW1544" s="79">
        <v>6.6059225512528505E-2</v>
      </c>
      <c r="AX1544" s="56"/>
      <c r="AY1544" s="54"/>
    </row>
    <row r="1545" spans="1:51">
      <c r="A1545" s="53"/>
      <c r="B1545" s="56"/>
      <c r="C1545" s="90" t="s">
        <v>1448</v>
      </c>
      <c r="D1545" s="230" t="s">
        <v>1757</v>
      </c>
      <c r="E1545" s="68" t="s">
        <v>1449</v>
      </c>
      <c r="F1545" s="106" t="s">
        <v>1570</v>
      </c>
      <c r="G1545" s="106" t="s">
        <v>1570</v>
      </c>
      <c r="H1545" s="106" t="s">
        <v>1570</v>
      </c>
      <c r="I1545" s="106" t="s">
        <v>1570</v>
      </c>
      <c r="J1545" s="70">
        <v>0.9</v>
      </c>
      <c r="K1545" s="71">
        <v>0.85714285714285698</v>
      </c>
      <c r="L1545" s="71">
        <v>0.90322580645161299</v>
      </c>
      <c r="M1545" s="72">
        <v>0.78571428571428603</v>
      </c>
      <c r="N1545" s="71">
        <v>0.88</v>
      </c>
      <c r="O1545" s="73">
        <v>0.9</v>
      </c>
      <c r="P1545" s="71">
        <v>0.93357740585774096</v>
      </c>
      <c r="Q1545" s="71">
        <v>0.85925593904078901</v>
      </c>
      <c r="R1545" s="71">
        <v>0.92065795839380704</v>
      </c>
      <c r="S1545" s="71">
        <v>0.90257856887440902</v>
      </c>
      <c r="T1545" s="73">
        <v>0.9</v>
      </c>
      <c r="U1545" s="71">
        <v>0.89905857740585804</v>
      </c>
      <c r="V1545" s="71">
        <v>0.87942626624831899</v>
      </c>
      <c r="W1545" s="71">
        <v>0.92549588776003899</v>
      </c>
      <c r="X1545" s="71">
        <v>0.90158528348365097</v>
      </c>
      <c r="Y1545" s="73">
        <v>0.92</v>
      </c>
      <c r="Z1545" s="73">
        <v>0.94713930348258701</v>
      </c>
      <c r="AA1545" s="73">
        <v>0.93066157760814205</v>
      </c>
      <c r="AB1545" s="73">
        <v>0.78602409638554205</v>
      </c>
      <c r="AC1545" s="73">
        <v>0.91216464535097397</v>
      </c>
      <c r="AD1545" s="73">
        <v>0.92</v>
      </c>
      <c r="AE1545" s="71">
        <v>0.91452991452991494</v>
      </c>
      <c r="AF1545" s="71">
        <v>0.72727272727272696</v>
      </c>
      <c r="AG1545" s="71">
        <v>0.95049504950495001</v>
      </c>
      <c r="AH1545" s="71">
        <v>0.91836734693877597</v>
      </c>
      <c r="AI1545" s="73">
        <v>0.92</v>
      </c>
      <c r="AJ1545" s="71">
        <v>0.94715909090909101</v>
      </c>
      <c r="AK1545" s="71">
        <v>0.95661320010518003</v>
      </c>
      <c r="AL1545" s="71">
        <v>0.88073394495412805</v>
      </c>
      <c r="AM1545" s="71">
        <v>0.94895859246025505</v>
      </c>
      <c r="AN1545" s="70">
        <v>0.99</v>
      </c>
      <c r="AO1545" s="75">
        <v>1</v>
      </c>
      <c r="AP1545" s="75">
        <v>1</v>
      </c>
      <c r="AQ1545" s="75">
        <v>1</v>
      </c>
      <c r="AR1545" s="75">
        <v>1</v>
      </c>
      <c r="AS1545" s="95">
        <v>0.110069253262963</v>
      </c>
      <c r="AT1545" s="79">
        <v>0</v>
      </c>
      <c r="AU1545" s="79">
        <v>0.1</v>
      </c>
      <c r="AV1545" s="79">
        <v>0</v>
      </c>
      <c r="AW1545" s="79">
        <v>8.1730769230769204E-2</v>
      </c>
      <c r="AX1545" s="56"/>
      <c r="AY1545" s="54"/>
    </row>
    <row r="1546" spans="1:51">
      <c r="A1546" s="53"/>
      <c r="B1546" s="56"/>
      <c r="C1546" s="90" t="s">
        <v>1448</v>
      </c>
      <c r="D1546" s="230" t="s">
        <v>1757</v>
      </c>
      <c r="E1546" s="68" t="s">
        <v>1449</v>
      </c>
      <c r="F1546" s="106" t="s">
        <v>1571</v>
      </c>
      <c r="G1546" s="106" t="s">
        <v>1571</v>
      </c>
      <c r="H1546" s="106" t="s">
        <v>1571</v>
      </c>
      <c r="I1546" s="106" t="s">
        <v>1571</v>
      </c>
      <c r="J1546" s="70">
        <v>0.9</v>
      </c>
      <c r="K1546" s="71">
        <v>1</v>
      </c>
      <c r="L1546" s="71">
        <v>1</v>
      </c>
      <c r="M1546" s="72">
        <v>1</v>
      </c>
      <c r="N1546" s="71">
        <v>1</v>
      </c>
      <c r="O1546" s="73">
        <v>0.9</v>
      </c>
      <c r="P1546" s="71">
        <v>0.99620596205962098</v>
      </c>
      <c r="Q1546" s="71">
        <v>0.99615137908915996</v>
      </c>
      <c r="R1546" s="71">
        <v>0.99793708096957201</v>
      </c>
      <c r="S1546" s="71">
        <v>0.98888469217072295</v>
      </c>
      <c r="T1546" s="73">
        <v>0.9</v>
      </c>
      <c r="U1546" s="71">
        <v>0.96314363143631399</v>
      </c>
      <c r="V1546" s="71">
        <v>0.95509942270686299</v>
      </c>
      <c r="W1546" s="71">
        <v>0.97215059308922103</v>
      </c>
      <c r="X1546" s="71">
        <v>0.964981384557276</v>
      </c>
      <c r="Y1546" s="73">
        <v>0.92</v>
      </c>
      <c r="Z1546" s="73" t="s">
        <v>1710</v>
      </c>
      <c r="AA1546" s="73" t="s">
        <v>1710</v>
      </c>
      <c r="AB1546" s="73" t="s">
        <v>1710</v>
      </c>
      <c r="AC1546" s="73" t="s">
        <v>1710</v>
      </c>
      <c r="AD1546" s="73">
        <v>0.92</v>
      </c>
      <c r="AE1546" s="71">
        <v>0.99689440993788803</v>
      </c>
      <c r="AF1546" s="71">
        <v>0.99212598425196896</v>
      </c>
      <c r="AG1546" s="71">
        <v>1</v>
      </c>
      <c r="AH1546" s="71">
        <v>0.99475409836065598</v>
      </c>
      <c r="AI1546" s="73">
        <v>0.92</v>
      </c>
      <c r="AJ1546" s="71">
        <v>0.97831978319783197</v>
      </c>
      <c r="AK1546" s="71">
        <v>0.98652982681205903</v>
      </c>
      <c r="AL1546" s="71">
        <v>0.98143372872614798</v>
      </c>
      <c r="AM1546" s="71">
        <v>0.98451410996600697</v>
      </c>
      <c r="AN1546" s="70">
        <v>0.99</v>
      </c>
      <c r="AO1546" s="75">
        <v>1</v>
      </c>
      <c r="AP1546" s="75">
        <v>1</v>
      </c>
      <c r="AQ1546" s="75">
        <v>1</v>
      </c>
      <c r="AR1546" s="75">
        <v>1</v>
      </c>
      <c r="AS1546" s="95">
        <v>0.110069253262963</v>
      </c>
      <c r="AT1546" s="79">
        <v>0.266666666666667</v>
      </c>
      <c r="AU1546" s="79">
        <v>7.1428571428571397E-2</v>
      </c>
      <c r="AV1546" s="79">
        <v>0</v>
      </c>
      <c r="AW1546" s="79">
        <v>0.100917431192661</v>
      </c>
      <c r="AX1546" s="56"/>
      <c r="AY1546" s="54"/>
    </row>
    <row r="1547" spans="1:51">
      <c r="A1547" s="53"/>
      <c r="B1547" s="56"/>
      <c r="C1547" s="90" t="s">
        <v>1448</v>
      </c>
      <c r="D1547" s="230" t="s">
        <v>1757</v>
      </c>
      <c r="E1547" s="68" t="s">
        <v>1449</v>
      </c>
      <c r="F1547" s="106" t="s">
        <v>1572</v>
      </c>
      <c r="G1547" s="106" t="s">
        <v>1572</v>
      </c>
      <c r="H1547" s="106" t="s">
        <v>1572</v>
      </c>
      <c r="I1547" s="106" t="s">
        <v>1572</v>
      </c>
      <c r="J1547" s="70">
        <v>0.9</v>
      </c>
      <c r="K1547" s="71">
        <v>0.96</v>
      </c>
      <c r="L1547" s="71">
        <v>0.95833333333333304</v>
      </c>
      <c r="M1547" s="72">
        <v>0.95652173913043503</v>
      </c>
      <c r="N1547" s="71">
        <v>0.93283582089552197</v>
      </c>
      <c r="O1547" s="73">
        <v>0.9</v>
      </c>
      <c r="P1547" s="71">
        <v>0.96189024390243905</v>
      </c>
      <c r="Q1547" s="71">
        <v>0.99508254302774801</v>
      </c>
      <c r="R1547" s="71">
        <v>0.99827784156142396</v>
      </c>
      <c r="S1547" s="71">
        <v>0.99094693448652105</v>
      </c>
      <c r="T1547" s="73">
        <v>0.9</v>
      </c>
      <c r="U1547" s="71">
        <v>0.79039634146341498</v>
      </c>
      <c r="V1547" s="71">
        <v>0.76993326308394805</v>
      </c>
      <c r="W1547" s="71">
        <v>0.85648679678530404</v>
      </c>
      <c r="X1547" s="71">
        <v>0.84185426181142098</v>
      </c>
      <c r="Y1547" s="73">
        <v>0.92</v>
      </c>
      <c r="Z1547" s="73" t="s">
        <v>1710</v>
      </c>
      <c r="AA1547" s="73" t="s">
        <v>1710</v>
      </c>
      <c r="AB1547" s="73" t="s">
        <v>1710</v>
      </c>
      <c r="AC1547" s="73" t="s">
        <v>1710</v>
      </c>
      <c r="AD1547" s="73">
        <v>0.92</v>
      </c>
      <c r="AE1547" s="71">
        <v>1</v>
      </c>
      <c r="AF1547" s="71">
        <v>0.90909090909090895</v>
      </c>
      <c r="AG1547" s="71">
        <v>0.8</v>
      </c>
      <c r="AH1547" s="71">
        <v>0.93283582089552197</v>
      </c>
      <c r="AI1547" s="73">
        <v>0.92</v>
      </c>
      <c r="AJ1547" s="71">
        <v>0.90967987804878003</v>
      </c>
      <c r="AK1547" s="71">
        <v>0.91710572532490298</v>
      </c>
      <c r="AL1547" s="71">
        <v>0.93857634902411002</v>
      </c>
      <c r="AM1547" s="71">
        <v>0.94240795376470099</v>
      </c>
      <c r="AN1547" s="70">
        <v>0.99</v>
      </c>
      <c r="AO1547" s="75">
        <v>1</v>
      </c>
      <c r="AP1547" s="75">
        <v>1</v>
      </c>
      <c r="AQ1547" s="75">
        <v>1</v>
      </c>
      <c r="AR1547" s="75">
        <v>1</v>
      </c>
      <c r="AS1547" s="95">
        <v>0.110069253262963</v>
      </c>
      <c r="AT1547" s="79">
        <v>4.1666666666666699E-2</v>
      </c>
      <c r="AU1547" s="79">
        <v>5.8823529411764698E-2</v>
      </c>
      <c r="AV1547" s="79">
        <v>5.5555555555555601E-2</v>
      </c>
      <c r="AW1547" s="79">
        <v>7.8817733990147798E-2</v>
      </c>
      <c r="AX1547" s="56"/>
      <c r="AY1547" s="54"/>
    </row>
    <row r="1548" spans="1:51">
      <c r="A1548" s="53"/>
      <c r="B1548" s="56"/>
      <c r="C1548" s="90" t="s">
        <v>1448</v>
      </c>
      <c r="D1548" s="230" t="s">
        <v>1757</v>
      </c>
      <c r="E1548" s="68" t="s">
        <v>1449</v>
      </c>
      <c r="F1548" s="106" t="s">
        <v>1573</v>
      </c>
      <c r="G1548" s="106" t="s">
        <v>1573</v>
      </c>
      <c r="H1548" s="106" t="s">
        <v>1573</v>
      </c>
      <c r="I1548" s="106" t="s">
        <v>1573</v>
      </c>
      <c r="J1548" s="70">
        <v>0.9</v>
      </c>
      <c r="K1548" s="71">
        <v>1</v>
      </c>
      <c r="L1548" s="71">
        <v>0.88888888888888895</v>
      </c>
      <c r="M1548" s="72">
        <v>0.96551724137931005</v>
      </c>
      <c r="N1548" s="71">
        <v>0.98083067092651799</v>
      </c>
      <c r="O1548" s="73">
        <v>0.9</v>
      </c>
      <c r="P1548" s="71">
        <v>0.94628099173553704</v>
      </c>
      <c r="Q1548" s="71">
        <v>0.96856810244470304</v>
      </c>
      <c r="R1548" s="71">
        <v>0.94282136894824697</v>
      </c>
      <c r="S1548" s="71">
        <v>0.94684631329582503</v>
      </c>
      <c r="T1548" s="73">
        <v>0.9</v>
      </c>
      <c r="U1548" s="71">
        <v>0.90771349862258999</v>
      </c>
      <c r="V1548" s="71">
        <v>0.93403181994567297</v>
      </c>
      <c r="W1548" s="71">
        <v>0.91193656093489195</v>
      </c>
      <c r="X1548" s="71">
        <v>0.93470535978679303</v>
      </c>
      <c r="Y1548" s="73">
        <v>0.92</v>
      </c>
      <c r="Z1548" s="73" t="s">
        <v>1710</v>
      </c>
      <c r="AA1548" s="73" t="s">
        <v>1710</v>
      </c>
      <c r="AB1548" s="73" t="s">
        <v>1710</v>
      </c>
      <c r="AC1548" s="73" t="s">
        <v>1710</v>
      </c>
      <c r="AD1548" s="73">
        <v>0.92</v>
      </c>
      <c r="AE1548" s="71">
        <v>1</v>
      </c>
      <c r="AF1548" s="71">
        <v>0.98529411764705899</v>
      </c>
      <c r="AG1548" s="71">
        <v>0.98507462686567204</v>
      </c>
      <c r="AH1548" s="71">
        <v>0.98552338530066796</v>
      </c>
      <c r="AI1548" s="73">
        <v>0.92</v>
      </c>
      <c r="AJ1548" s="71">
        <v>0.95684113865932097</v>
      </c>
      <c r="AK1548" s="71">
        <v>0.96507566938300304</v>
      </c>
      <c r="AL1548" s="71">
        <v>0.97078464106844697</v>
      </c>
      <c r="AM1548" s="71">
        <v>0.97616227420787705</v>
      </c>
      <c r="AN1548" s="70">
        <v>0.99</v>
      </c>
      <c r="AO1548" s="75">
        <v>1</v>
      </c>
      <c r="AP1548" s="75">
        <v>1</v>
      </c>
      <c r="AQ1548" s="75">
        <v>1</v>
      </c>
      <c r="AR1548" s="75">
        <v>1</v>
      </c>
      <c r="AS1548" s="95">
        <v>0.110069253262963</v>
      </c>
      <c r="AT1548" s="79">
        <v>0</v>
      </c>
      <c r="AU1548" s="79">
        <v>0</v>
      </c>
      <c r="AV1548" s="79">
        <v>0.13043478260869601</v>
      </c>
      <c r="AW1548" s="79">
        <v>6.7073170731707293E-2</v>
      </c>
      <c r="AX1548" s="56"/>
      <c r="AY1548" s="54"/>
    </row>
    <row r="1549" spans="1:51">
      <c r="A1549" s="53"/>
      <c r="B1549" s="56"/>
      <c r="C1549" s="90" t="s">
        <v>1448</v>
      </c>
      <c r="D1549" s="230" t="s">
        <v>1757</v>
      </c>
      <c r="E1549" s="68" t="s">
        <v>1449</v>
      </c>
      <c r="F1549" s="106" t="s">
        <v>1574</v>
      </c>
      <c r="G1549" s="106" t="s">
        <v>1574</v>
      </c>
      <c r="H1549" s="106" t="s">
        <v>1574</v>
      </c>
      <c r="I1549" s="106" t="s">
        <v>1574</v>
      </c>
      <c r="J1549" s="70">
        <v>0.9</v>
      </c>
      <c r="K1549" s="71">
        <v>1</v>
      </c>
      <c r="L1549" s="71">
        <v>1</v>
      </c>
      <c r="M1549" s="72">
        <v>1</v>
      </c>
      <c r="N1549" s="71">
        <v>1</v>
      </c>
      <c r="O1549" s="73">
        <v>0.9</v>
      </c>
      <c r="P1549" s="71">
        <v>0.96529459241323601</v>
      </c>
      <c r="Q1549" s="71">
        <v>0.95939086294416198</v>
      </c>
      <c r="R1549" s="71">
        <v>0.972667855020796</v>
      </c>
      <c r="S1549" s="71">
        <v>0.93287500000000001</v>
      </c>
      <c r="T1549" s="73">
        <v>0.9</v>
      </c>
      <c r="U1549" s="71">
        <v>0.84180790960452001</v>
      </c>
      <c r="V1549" s="71">
        <v>0.67875271936185599</v>
      </c>
      <c r="W1549" s="71">
        <v>0.38621509209744498</v>
      </c>
      <c r="X1549" s="71">
        <v>0.64781250000000001</v>
      </c>
      <c r="Y1549" s="73">
        <v>0.92</v>
      </c>
      <c r="Z1549" s="73" t="s">
        <v>1710</v>
      </c>
      <c r="AA1549" s="73" t="s">
        <v>1710</v>
      </c>
      <c r="AB1549" s="73" t="s">
        <v>1710</v>
      </c>
      <c r="AC1549" s="73" t="s">
        <v>1710</v>
      </c>
      <c r="AD1549" s="73">
        <v>0.92</v>
      </c>
      <c r="AE1549" s="71">
        <v>0.99173553719008301</v>
      </c>
      <c r="AF1549" s="71">
        <v>1</v>
      </c>
      <c r="AG1549" s="71">
        <v>1</v>
      </c>
      <c r="AH1549" s="71">
        <v>0.99878197320341</v>
      </c>
      <c r="AI1549" s="73">
        <v>0.92</v>
      </c>
      <c r="AJ1549" s="71">
        <v>0.93301049233252598</v>
      </c>
      <c r="AK1549" s="71">
        <v>0.95721537345902796</v>
      </c>
      <c r="AL1549" s="71">
        <v>0.946524064171123</v>
      </c>
      <c r="AM1549" s="71">
        <v>0.92993749999999997</v>
      </c>
      <c r="AN1549" s="70">
        <v>0.99</v>
      </c>
      <c r="AO1549" s="75">
        <v>1</v>
      </c>
      <c r="AP1549" s="75">
        <v>1</v>
      </c>
      <c r="AQ1549" s="75">
        <v>1</v>
      </c>
      <c r="AR1549" s="75">
        <v>1</v>
      </c>
      <c r="AS1549" s="95">
        <v>0.110069253262963</v>
      </c>
      <c r="AT1549" s="79">
        <v>0.125</v>
      </c>
      <c r="AU1549" s="79">
        <v>0</v>
      </c>
      <c r="AV1549" s="79">
        <v>0.125</v>
      </c>
      <c r="AW1549" s="79">
        <v>7.3170731707317097E-2</v>
      </c>
      <c r="AX1549" s="56"/>
      <c r="AY1549" s="54"/>
    </row>
    <row r="1550" spans="1:51">
      <c r="A1550" s="53"/>
      <c r="B1550" s="56"/>
      <c r="C1550" s="90" t="s">
        <v>1448</v>
      </c>
      <c r="D1550" s="230" t="s">
        <v>1757</v>
      </c>
      <c r="E1550" s="68" t="s">
        <v>1449</v>
      </c>
      <c r="F1550" s="106" t="s">
        <v>1575</v>
      </c>
      <c r="G1550" s="106" t="s">
        <v>1575</v>
      </c>
      <c r="H1550" s="106" t="s">
        <v>1575</v>
      </c>
      <c r="I1550" s="106" t="s">
        <v>1575</v>
      </c>
      <c r="J1550" s="70">
        <v>0.9</v>
      </c>
      <c r="K1550" s="71">
        <v>0.92</v>
      </c>
      <c r="L1550" s="71">
        <v>0.88461538461538503</v>
      </c>
      <c r="M1550" s="72">
        <v>0.88461538461538503</v>
      </c>
      <c r="N1550" s="71">
        <v>0.88927335640138405</v>
      </c>
      <c r="O1550" s="73">
        <v>0.9</v>
      </c>
      <c r="P1550" s="71">
        <v>0.94106813996316796</v>
      </c>
      <c r="Q1550" s="71">
        <v>0.701901975128018</v>
      </c>
      <c r="R1550" s="71">
        <v>0.66016150740242296</v>
      </c>
      <c r="S1550" s="71">
        <v>0.83267030452385105</v>
      </c>
      <c r="T1550" s="73">
        <v>0.9</v>
      </c>
      <c r="U1550" s="71">
        <v>0.59392265193370197</v>
      </c>
      <c r="V1550" s="71">
        <v>0.44586686174103901</v>
      </c>
      <c r="W1550" s="71">
        <v>0.43876177658142701</v>
      </c>
      <c r="X1550" s="71">
        <v>0.50688259109311695</v>
      </c>
      <c r="Y1550" s="73">
        <v>0.92</v>
      </c>
      <c r="Z1550" s="73" t="s">
        <v>1710</v>
      </c>
      <c r="AA1550" s="73" t="s">
        <v>1710</v>
      </c>
      <c r="AB1550" s="73" t="s">
        <v>1710</v>
      </c>
      <c r="AC1550" s="73" t="s">
        <v>1710</v>
      </c>
      <c r="AD1550" s="73">
        <v>0.92</v>
      </c>
      <c r="AE1550" s="71">
        <v>0.98366013071895397</v>
      </c>
      <c r="AF1550" s="71">
        <v>0.86206896551724099</v>
      </c>
      <c r="AG1550" s="71">
        <v>1</v>
      </c>
      <c r="AH1550" s="71">
        <v>0.98774795799299897</v>
      </c>
      <c r="AI1550" s="73">
        <v>0.92</v>
      </c>
      <c r="AJ1550" s="71">
        <v>0.84346224677716397</v>
      </c>
      <c r="AK1550" s="71">
        <v>0.857717629846379</v>
      </c>
      <c r="AL1550" s="71">
        <v>0.83580080753701202</v>
      </c>
      <c r="AM1550" s="71">
        <v>0.86132723112128196</v>
      </c>
      <c r="AN1550" s="70">
        <v>0.99</v>
      </c>
      <c r="AO1550" s="75">
        <v>1</v>
      </c>
      <c r="AP1550" s="75">
        <v>1</v>
      </c>
      <c r="AQ1550" s="75">
        <v>1</v>
      </c>
      <c r="AR1550" s="75">
        <v>1</v>
      </c>
      <c r="AS1550" s="95">
        <v>0.110069253262963</v>
      </c>
      <c r="AT1550" s="79">
        <v>5.8823529411764698E-2</v>
      </c>
      <c r="AU1550" s="79">
        <v>1.6260162601626001E-2</v>
      </c>
      <c r="AV1550" s="79">
        <v>0.09</v>
      </c>
      <c r="AW1550" s="79">
        <v>5.0493962678375401E-2</v>
      </c>
      <c r="AX1550" s="56"/>
      <c r="AY1550" s="54"/>
    </row>
    <row r="1551" spans="1:51">
      <c r="A1551" s="53"/>
      <c r="B1551" s="56"/>
      <c r="C1551" s="90" t="s">
        <v>1448</v>
      </c>
      <c r="D1551" s="230" t="s">
        <v>1757</v>
      </c>
      <c r="E1551" s="68" t="s">
        <v>1449</v>
      </c>
      <c r="F1551" s="106" t="s">
        <v>1576</v>
      </c>
      <c r="G1551" s="106" t="s">
        <v>1576</v>
      </c>
      <c r="H1551" s="106" t="s">
        <v>1576</v>
      </c>
      <c r="I1551" s="106" t="s">
        <v>1576</v>
      </c>
      <c r="J1551" s="70">
        <v>0.9</v>
      </c>
      <c r="K1551" s="71">
        <v>0.94444444444444398</v>
      </c>
      <c r="L1551" s="71">
        <v>0.93333333333333302</v>
      </c>
      <c r="M1551" s="72">
        <v>1</v>
      </c>
      <c r="N1551" s="71">
        <v>0.931707317073171</v>
      </c>
      <c r="O1551" s="73">
        <v>0.9</v>
      </c>
      <c r="P1551" s="71" t="s">
        <v>1710</v>
      </c>
      <c r="Q1551" s="71" t="s">
        <v>1710</v>
      </c>
      <c r="R1551" s="71" t="s">
        <v>1710</v>
      </c>
      <c r="S1551" s="71">
        <v>0</v>
      </c>
      <c r="T1551" s="73">
        <v>0.9</v>
      </c>
      <c r="U1551" s="71" t="s">
        <v>1710</v>
      </c>
      <c r="V1551" s="71" t="s">
        <v>1710</v>
      </c>
      <c r="W1551" s="71" t="s">
        <v>1710</v>
      </c>
      <c r="X1551" s="71">
        <v>0</v>
      </c>
      <c r="Y1551" s="73">
        <v>0.92</v>
      </c>
      <c r="Z1551" s="73" t="s">
        <v>1710</v>
      </c>
      <c r="AA1551" s="73" t="s">
        <v>1710</v>
      </c>
      <c r="AB1551" s="73" t="s">
        <v>1710</v>
      </c>
      <c r="AC1551" s="73" t="s">
        <v>1710</v>
      </c>
      <c r="AD1551" s="73">
        <v>0.92</v>
      </c>
      <c r="AE1551" s="71">
        <v>0.565217391304348</v>
      </c>
      <c r="AF1551" s="71">
        <v>0.76923076923076905</v>
      </c>
      <c r="AG1551" s="71">
        <v>0.72222222222222199</v>
      </c>
      <c r="AH1551" s="71">
        <v>0.78205128205128205</v>
      </c>
      <c r="AI1551" s="73">
        <v>0.92</v>
      </c>
      <c r="AJ1551" s="71">
        <v>0.93260393873085301</v>
      </c>
      <c r="AK1551" s="71">
        <v>0.96101764464505501</v>
      </c>
      <c r="AL1551" s="71">
        <v>0.96656298600310997</v>
      </c>
      <c r="AM1551" s="71">
        <v>0.970900673748605</v>
      </c>
      <c r="AN1551" s="70">
        <v>0.99</v>
      </c>
      <c r="AO1551" s="75">
        <v>1</v>
      </c>
      <c r="AP1551" s="75">
        <v>1</v>
      </c>
      <c r="AQ1551" s="75">
        <v>1</v>
      </c>
      <c r="AR1551" s="75">
        <v>1</v>
      </c>
      <c r="AS1551" s="95">
        <v>0.110069253262963</v>
      </c>
      <c r="AT1551" s="79">
        <v>0.1875</v>
      </c>
      <c r="AU1551" s="79">
        <v>0.125</v>
      </c>
      <c r="AV1551" s="79">
        <v>0.125</v>
      </c>
      <c r="AW1551" s="79">
        <v>8.7557603686635899E-2</v>
      </c>
      <c r="AX1551" s="56"/>
      <c r="AY1551" s="54"/>
    </row>
    <row r="1552" spans="1:51">
      <c r="A1552" s="53"/>
      <c r="B1552" s="56"/>
      <c r="C1552" s="90" t="s">
        <v>1448</v>
      </c>
      <c r="D1552" s="230" t="s">
        <v>1757</v>
      </c>
      <c r="E1552" s="68" t="s">
        <v>1449</v>
      </c>
      <c r="F1552" s="106" t="s">
        <v>1577</v>
      </c>
      <c r="G1552" s="106" t="s">
        <v>1577</v>
      </c>
      <c r="H1552" s="106" t="s">
        <v>1577</v>
      </c>
      <c r="I1552" s="106" t="s">
        <v>1577</v>
      </c>
      <c r="J1552" s="70">
        <v>0.9</v>
      </c>
      <c r="K1552" s="71">
        <v>1</v>
      </c>
      <c r="L1552" s="71">
        <v>1</v>
      </c>
      <c r="M1552" s="72">
        <v>1</v>
      </c>
      <c r="N1552" s="71">
        <v>0.96675191815856798</v>
      </c>
      <c r="O1552" s="73">
        <v>0.9</v>
      </c>
      <c r="P1552" s="71">
        <v>0.98949162169838101</v>
      </c>
      <c r="Q1552" s="71">
        <v>0.92705382436260597</v>
      </c>
      <c r="R1552" s="71">
        <v>0.99058171745152401</v>
      </c>
      <c r="S1552" s="71">
        <v>0.96854578096947896</v>
      </c>
      <c r="T1552" s="73">
        <v>0.9</v>
      </c>
      <c r="U1552" s="71">
        <v>0.88895200227208204</v>
      </c>
      <c r="V1552" s="71">
        <v>0.79957507082153001</v>
      </c>
      <c r="W1552" s="71">
        <v>0.87700831024930703</v>
      </c>
      <c r="X1552" s="71">
        <v>0.86970676241771405</v>
      </c>
      <c r="Y1552" s="73">
        <v>0.92</v>
      </c>
      <c r="Z1552" s="73" t="s">
        <v>1710</v>
      </c>
      <c r="AA1552" s="73" t="s">
        <v>1710</v>
      </c>
      <c r="AB1552" s="73" t="s">
        <v>1710</v>
      </c>
      <c r="AC1552" s="73" t="s">
        <v>1710</v>
      </c>
      <c r="AD1552" s="73">
        <v>0.92</v>
      </c>
      <c r="AE1552" s="71">
        <v>1</v>
      </c>
      <c r="AF1552" s="71">
        <v>1</v>
      </c>
      <c r="AG1552" s="71">
        <v>1</v>
      </c>
      <c r="AH1552" s="71">
        <v>0.99665551839464905</v>
      </c>
      <c r="AI1552" s="73">
        <v>0.92</v>
      </c>
      <c r="AJ1552" s="71">
        <v>0.95995455836410104</v>
      </c>
      <c r="AK1552" s="71">
        <v>0.940745986779981</v>
      </c>
      <c r="AL1552" s="71">
        <v>0.934349030470914</v>
      </c>
      <c r="AM1552" s="71">
        <v>0.96375909613175004</v>
      </c>
      <c r="AN1552" s="70">
        <v>0.99</v>
      </c>
      <c r="AO1552" s="75">
        <v>1</v>
      </c>
      <c r="AP1552" s="75">
        <v>1</v>
      </c>
      <c r="AQ1552" s="75">
        <v>1</v>
      </c>
      <c r="AR1552" s="75">
        <v>1</v>
      </c>
      <c r="AS1552" s="95">
        <v>0.110069253262963</v>
      </c>
      <c r="AT1552" s="79">
        <v>8.6419753086419707E-2</v>
      </c>
      <c r="AU1552" s="79">
        <v>2.0547945205479499E-2</v>
      </c>
      <c r="AV1552" s="79">
        <v>8.2474226804123696E-2</v>
      </c>
      <c r="AW1552" s="79">
        <v>4.9225159525979903E-2</v>
      </c>
      <c r="AX1552" s="56"/>
      <c r="AY1552" s="54"/>
    </row>
    <row r="1553" spans="1:51">
      <c r="A1553" s="53"/>
      <c r="B1553" s="56"/>
      <c r="C1553" s="90" t="s">
        <v>1448</v>
      </c>
      <c r="D1553" s="230" t="s">
        <v>1760</v>
      </c>
      <c r="E1553" s="68" t="s">
        <v>1449</v>
      </c>
      <c r="F1553" s="106" t="s">
        <v>1578</v>
      </c>
      <c r="G1553" s="106" t="s">
        <v>1578</v>
      </c>
      <c r="H1553" s="106" t="s">
        <v>1578</v>
      </c>
      <c r="I1553" s="106" t="s">
        <v>1578</v>
      </c>
      <c r="J1553" s="70">
        <v>0.9</v>
      </c>
      <c r="K1553" s="71" t="s">
        <v>1710</v>
      </c>
      <c r="L1553" s="71" t="s">
        <v>1710</v>
      </c>
      <c r="M1553" s="72" t="s">
        <v>1710</v>
      </c>
      <c r="N1553" s="71" t="s">
        <v>1710</v>
      </c>
      <c r="O1553" s="73">
        <v>0.9</v>
      </c>
      <c r="P1553" s="71" t="s">
        <v>1710</v>
      </c>
      <c r="Q1553" s="71" t="s">
        <v>1710</v>
      </c>
      <c r="R1553" s="71" t="s">
        <v>1710</v>
      </c>
      <c r="S1553" s="71" t="s">
        <v>1710</v>
      </c>
      <c r="T1553" s="73">
        <v>0.9</v>
      </c>
      <c r="U1553" s="71" t="s">
        <v>1710</v>
      </c>
      <c r="V1553" s="71" t="s">
        <v>1710</v>
      </c>
      <c r="W1553" s="71" t="s">
        <v>1710</v>
      </c>
      <c r="X1553" s="71" t="s">
        <v>1710</v>
      </c>
      <c r="Y1553" s="73">
        <v>0.92</v>
      </c>
      <c r="Z1553" s="73" t="s">
        <v>1710</v>
      </c>
      <c r="AA1553" s="73" t="s">
        <v>1710</v>
      </c>
      <c r="AB1553" s="73" t="s">
        <v>1710</v>
      </c>
      <c r="AC1553" s="73" t="s">
        <v>1710</v>
      </c>
      <c r="AD1553" s="73">
        <v>0.92</v>
      </c>
      <c r="AE1553" s="71" t="s">
        <v>1710</v>
      </c>
      <c r="AF1553" s="71" t="s">
        <v>1710</v>
      </c>
      <c r="AG1553" s="71" t="s">
        <v>1710</v>
      </c>
      <c r="AH1553" s="71" t="s">
        <v>1710</v>
      </c>
      <c r="AI1553" s="73">
        <v>0.92</v>
      </c>
      <c r="AJ1553" s="71" t="s">
        <v>1710</v>
      </c>
      <c r="AK1553" s="71" t="s">
        <v>1710</v>
      </c>
      <c r="AL1553" s="71" t="s">
        <v>1710</v>
      </c>
      <c r="AM1553" s="71" t="s">
        <v>1710</v>
      </c>
      <c r="AN1553" s="70">
        <v>0.99</v>
      </c>
      <c r="AO1553" s="75" t="s">
        <v>1710</v>
      </c>
      <c r="AP1553" s="75" t="s">
        <v>1710</v>
      </c>
      <c r="AQ1553" s="75" t="s">
        <v>1710</v>
      </c>
      <c r="AR1553" s="75" t="s">
        <v>1710</v>
      </c>
      <c r="AS1553" s="95">
        <v>0.110069253262963</v>
      </c>
      <c r="AT1553" s="79" t="s">
        <v>1710</v>
      </c>
      <c r="AU1553" s="79" t="s">
        <v>1710</v>
      </c>
      <c r="AV1553" s="79" t="s">
        <v>1710</v>
      </c>
      <c r="AW1553" s="79" t="s">
        <v>1710</v>
      </c>
      <c r="AX1553" s="56"/>
      <c r="AY1553" s="54"/>
    </row>
    <row r="1554" spans="1:51">
      <c r="A1554" s="53"/>
      <c r="B1554" s="56"/>
      <c r="C1554" s="90" t="s">
        <v>1448</v>
      </c>
      <c r="D1554" s="230" t="s">
        <v>1757</v>
      </c>
      <c r="E1554" s="68" t="s">
        <v>1449</v>
      </c>
      <c r="F1554" s="106" t="s">
        <v>1579</v>
      </c>
      <c r="G1554" s="106" t="s">
        <v>1579</v>
      </c>
      <c r="H1554" s="106" t="s">
        <v>1579</v>
      </c>
      <c r="I1554" s="106" t="s">
        <v>1579</v>
      </c>
      <c r="J1554" s="70">
        <v>0.9</v>
      </c>
      <c r="K1554" s="71">
        <v>0.88235294117647101</v>
      </c>
      <c r="L1554" s="71">
        <v>1</v>
      </c>
      <c r="M1554" s="72">
        <v>0.95</v>
      </c>
      <c r="N1554" s="71">
        <v>0.96464646464646497</v>
      </c>
      <c r="O1554" s="73">
        <v>0.9</v>
      </c>
      <c r="P1554" s="71">
        <v>0.95741626794258405</v>
      </c>
      <c r="Q1554" s="71">
        <v>0.96138996138996102</v>
      </c>
      <c r="R1554" s="71">
        <v>0.96143122676579895</v>
      </c>
      <c r="S1554" s="71">
        <v>0.96670411602492101</v>
      </c>
      <c r="T1554" s="73">
        <v>0.9</v>
      </c>
      <c r="U1554" s="71">
        <v>0.39330143540669898</v>
      </c>
      <c r="V1554" s="71">
        <v>0.35859073359073401</v>
      </c>
      <c r="W1554" s="71">
        <v>0.43262081784386602</v>
      </c>
      <c r="X1554" s="71">
        <v>0.482841384945358</v>
      </c>
      <c r="Y1554" s="73">
        <v>0.92</v>
      </c>
      <c r="Z1554" s="73" t="s">
        <v>1710</v>
      </c>
      <c r="AA1554" s="73" t="s">
        <v>1710</v>
      </c>
      <c r="AB1554" s="73" t="s">
        <v>1710</v>
      </c>
      <c r="AC1554" s="73">
        <v>0</v>
      </c>
      <c r="AD1554" s="73">
        <v>0.92</v>
      </c>
      <c r="AE1554" s="71">
        <v>1</v>
      </c>
      <c r="AF1554" s="71">
        <v>1</v>
      </c>
      <c r="AG1554" s="71">
        <v>1</v>
      </c>
      <c r="AH1554" s="71">
        <v>0.98421052631578898</v>
      </c>
      <c r="AI1554" s="73">
        <v>0.92</v>
      </c>
      <c r="AJ1554" s="71">
        <v>0.88803827751196196</v>
      </c>
      <c r="AK1554" s="71">
        <v>0.87934362934362897</v>
      </c>
      <c r="AL1554" s="71">
        <v>0.88522304832713705</v>
      </c>
      <c r="AM1554" s="71">
        <v>0.90307920134810804</v>
      </c>
      <c r="AN1554" s="70">
        <v>0.99</v>
      </c>
      <c r="AO1554" s="75">
        <v>1</v>
      </c>
      <c r="AP1554" s="75">
        <v>1</v>
      </c>
      <c r="AQ1554" s="75">
        <v>1</v>
      </c>
      <c r="AR1554" s="75">
        <v>1</v>
      </c>
      <c r="AS1554" s="95">
        <v>0.110069253262963</v>
      </c>
      <c r="AT1554" s="79">
        <v>0</v>
      </c>
      <c r="AU1554" s="79">
        <v>0</v>
      </c>
      <c r="AV1554" s="79">
        <v>7.69230769230769E-2</v>
      </c>
      <c r="AW1554" s="79">
        <v>5.0847457627118599E-2</v>
      </c>
      <c r="AX1554" s="56"/>
      <c r="AY1554" s="54"/>
    </row>
    <row r="1555" spans="1:51">
      <c r="A1555" s="53"/>
      <c r="B1555" s="56"/>
      <c r="C1555" s="90" t="s">
        <v>1448</v>
      </c>
      <c r="D1555" s="230" t="s">
        <v>1757</v>
      </c>
      <c r="E1555" s="68" t="s">
        <v>1449</v>
      </c>
      <c r="F1555" s="106" t="s">
        <v>1580</v>
      </c>
      <c r="G1555" s="106" t="s">
        <v>1580</v>
      </c>
      <c r="H1555" s="106" t="s">
        <v>1580</v>
      </c>
      <c r="I1555" s="106" t="s">
        <v>1580</v>
      </c>
      <c r="J1555" s="70">
        <v>0.9</v>
      </c>
      <c r="K1555" s="71">
        <v>1</v>
      </c>
      <c r="L1555" s="71">
        <v>1</v>
      </c>
      <c r="M1555" s="72">
        <v>1</v>
      </c>
      <c r="N1555" s="71">
        <v>0.96078431372549</v>
      </c>
      <c r="O1555" s="73">
        <v>0.9</v>
      </c>
      <c r="P1555" s="71" t="s">
        <v>1710</v>
      </c>
      <c r="Q1555" s="71" t="s">
        <v>1710</v>
      </c>
      <c r="R1555" s="71" t="s">
        <v>1710</v>
      </c>
      <c r="S1555" s="71" t="s">
        <v>1710</v>
      </c>
      <c r="T1555" s="73">
        <v>0.9</v>
      </c>
      <c r="U1555" s="71" t="s">
        <v>1710</v>
      </c>
      <c r="V1555" s="71" t="s">
        <v>1710</v>
      </c>
      <c r="W1555" s="71" t="s">
        <v>1710</v>
      </c>
      <c r="X1555" s="71" t="s">
        <v>1710</v>
      </c>
      <c r="Y1555" s="73">
        <v>0.92</v>
      </c>
      <c r="Z1555" s="73" t="s">
        <v>1710</v>
      </c>
      <c r="AA1555" s="73" t="s">
        <v>1710</v>
      </c>
      <c r="AB1555" s="73" t="s">
        <v>1710</v>
      </c>
      <c r="AC1555" s="73" t="s">
        <v>1710</v>
      </c>
      <c r="AD1555" s="73">
        <v>0.92</v>
      </c>
      <c r="AE1555" s="71">
        <v>0</v>
      </c>
      <c r="AF1555" s="71">
        <v>0</v>
      </c>
      <c r="AG1555" s="71" t="s">
        <v>1710</v>
      </c>
      <c r="AH1555" s="71">
        <v>0.3</v>
      </c>
      <c r="AI1555" s="73">
        <v>0.92</v>
      </c>
      <c r="AJ1555" s="71">
        <v>0.815483870967742</v>
      </c>
      <c r="AK1555" s="71">
        <v>0.82724458204334395</v>
      </c>
      <c r="AL1555" s="71">
        <v>0.88115715402658301</v>
      </c>
      <c r="AM1555" s="71">
        <v>0.86483532497814097</v>
      </c>
      <c r="AN1555" s="70">
        <v>0.99</v>
      </c>
      <c r="AO1555" s="75" t="s">
        <v>1710</v>
      </c>
      <c r="AP1555" s="75" t="s">
        <v>1710</v>
      </c>
      <c r="AQ1555" s="75" t="s">
        <v>1710</v>
      </c>
      <c r="AR1555" s="75">
        <v>1</v>
      </c>
      <c r="AS1555" s="95">
        <v>0.110069253262963</v>
      </c>
      <c r="AT1555" s="79">
        <v>7.1428571428571397E-2</v>
      </c>
      <c r="AU1555" s="79">
        <v>0.38095238095238099</v>
      </c>
      <c r="AV1555" s="79">
        <v>0.28571428571428598</v>
      </c>
      <c r="AW1555" s="79">
        <v>0.180515759312321</v>
      </c>
      <c r="AX1555" s="56"/>
      <c r="AY1555" s="54"/>
    </row>
    <row r="1556" spans="1:51">
      <c r="A1556" s="53"/>
      <c r="B1556" s="56"/>
      <c r="C1556" s="90" t="s">
        <v>1448</v>
      </c>
      <c r="D1556" s="230" t="s">
        <v>1757</v>
      </c>
      <c r="E1556" s="68" t="s">
        <v>1449</v>
      </c>
      <c r="F1556" s="106" t="s">
        <v>1581</v>
      </c>
      <c r="G1556" s="106" t="s">
        <v>1581</v>
      </c>
      <c r="H1556" s="106" t="s">
        <v>1581</v>
      </c>
      <c r="I1556" s="106" t="s">
        <v>1581</v>
      </c>
      <c r="J1556" s="70">
        <v>0.9</v>
      </c>
      <c r="K1556" s="71">
        <v>0.91891891891891897</v>
      </c>
      <c r="L1556" s="71">
        <v>0.91428571428571404</v>
      </c>
      <c r="M1556" s="72">
        <v>0.91176470588235303</v>
      </c>
      <c r="N1556" s="71">
        <v>0.91906005221932097</v>
      </c>
      <c r="O1556" s="73">
        <v>0.9</v>
      </c>
      <c r="P1556" s="71">
        <v>0.98998044965786902</v>
      </c>
      <c r="Q1556" s="71">
        <v>0.98792985652470999</v>
      </c>
      <c r="R1556" s="71">
        <v>0.99510660608179002</v>
      </c>
      <c r="S1556" s="71">
        <v>0.98795574553683696</v>
      </c>
      <c r="T1556" s="73">
        <v>0.9</v>
      </c>
      <c r="U1556" s="71">
        <v>0.84946236559139798</v>
      </c>
      <c r="V1556" s="71">
        <v>0.83215668412662303</v>
      </c>
      <c r="W1556" s="71">
        <v>0.91331702202027298</v>
      </c>
      <c r="X1556" s="71">
        <v>0.88116670857430202</v>
      </c>
      <c r="Y1556" s="73">
        <v>0.92</v>
      </c>
      <c r="Z1556" s="73" t="s">
        <v>1710</v>
      </c>
      <c r="AA1556" s="73" t="s">
        <v>1710</v>
      </c>
      <c r="AB1556" s="73" t="s">
        <v>1710</v>
      </c>
      <c r="AC1556" s="73" t="s">
        <v>1710</v>
      </c>
      <c r="AD1556" s="73">
        <v>0.92</v>
      </c>
      <c r="AE1556" s="71">
        <v>0.81481481481481499</v>
      </c>
      <c r="AF1556" s="71">
        <v>0.29411764705882398</v>
      </c>
      <c r="AG1556" s="71">
        <v>1</v>
      </c>
      <c r="AH1556" s="71">
        <v>0.73271889400921697</v>
      </c>
      <c r="AI1556" s="73">
        <v>0.92</v>
      </c>
      <c r="AJ1556" s="71">
        <v>0.93841642228738997</v>
      </c>
      <c r="AK1556" s="71">
        <v>0.96105670690047795</v>
      </c>
      <c r="AL1556" s="71">
        <v>0.96960167714884704</v>
      </c>
      <c r="AM1556" s="71">
        <v>0.96877278555804203</v>
      </c>
      <c r="AN1556" s="70">
        <v>0.99</v>
      </c>
      <c r="AO1556" s="75">
        <v>1</v>
      </c>
      <c r="AP1556" s="75">
        <v>1</v>
      </c>
      <c r="AQ1556" s="75">
        <v>1</v>
      </c>
      <c r="AR1556" s="75">
        <v>1</v>
      </c>
      <c r="AS1556" s="95">
        <v>0.110069253262963</v>
      </c>
      <c r="AT1556" s="79">
        <v>0.05</v>
      </c>
      <c r="AU1556" s="79">
        <v>0.15625</v>
      </c>
      <c r="AV1556" s="79">
        <v>0.125</v>
      </c>
      <c r="AW1556" s="79">
        <v>0.14159292035398199</v>
      </c>
      <c r="AX1556" s="56"/>
      <c r="AY1556" s="54"/>
    </row>
    <row r="1557" spans="1:51">
      <c r="A1557" s="53"/>
      <c r="B1557" s="56"/>
      <c r="C1557" s="90" t="s">
        <v>1448</v>
      </c>
      <c r="D1557" s="230" t="s">
        <v>1757</v>
      </c>
      <c r="E1557" s="68" t="s">
        <v>1449</v>
      </c>
      <c r="F1557" s="106" t="s">
        <v>1582</v>
      </c>
      <c r="G1557" s="106" t="s">
        <v>1582</v>
      </c>
      <c r="H1557" s="106" t="s">
        <v>1582</v>
      </c>
      <c r="I1557" s="106" t="s">
        <v>1582</v>
      </c>
      <c r="J1557" s="70">
        <v>0.9</v>
      </c>
      <c r="K1557" s="71">
        <v>0.875</v>
      </c>
      <c r="L1557" s="71">
        <v>0.78571428571428603</v>
      </c>
      <c r="M1557" s="72">
        <v>0.875</v>
      </c>
      <c r="N1557" s="71">
        <v>0.860068259385666</v>
      </c>
      <c r="O1557" s="73">
        <v>0.9</v>
      </c>
      <c r="P1557" s="71">
        <v>0.98023396530859197</v>
      </c>
      <c r="Q1557" s="71">
        <v>0.89807280513918597</v>
      </c>
      <c r="R1557" s="71">
        <v>0.96080760095011897</v>
      </c>
      <c r="S1557" s="71">
        <v>0.96850899742930596</v>
      </c>
      <c r="T1557" s="73">
        <v>0.9</v>
      </c>
      <c r="U1557" s="71">
        <v>0.89834610730133102</v>
      </c>
      <c r="V1557" s="71">
        <v>0.82526766595289103</v>
      </c>
      <c r="W1557" s="71">
        <v>0.90320665083135399</v>
      </c>
      <c r="X1557" s="71">
        <v>0.91020932794711695</v>
      </c>
      <c r="Y1557" s="73">
        <v>0.92</v>
      </c>
      <c r="Z1557" s="73" t="s">
        <v>1710</v>
      </c>
      <c r="AA1557" s="73" t="s">
        <v>1710</v>
      </c>
      <c r="AB1557" s="73" t="s">
        <v>1710</v>
      </c>
      <c r="AC1557" s="73" t="s">
        <v>1710</v>
      </c>
      <c r="AD1557" s="73">
        <v>0.92</v>
      </c>
      <c r="AE1557" s="71">
        <v>0.40909090909090901</v>
      </c>
      <c r="AF1557" s="71">
        <v>0.5</v>
      </c>
      <c r="AG1557" s="71">
        <v>0.46666666666666701</v>
      </c>
      <c r="AH1557" s="71">
        <v>0.58974358974358998</v>
      </c>
      <c r="AI1557" s="73">
        <v>0.92</v>
      </c>
      <c r="AJ1557" s="71">
        <v>0.96450181524808398</v>
      </c>
      <c r="AK1557" s="71">
        <v>0.94989293361884397</v>
      </c>
      <c r="AL1557" s="71">
        <v>0.95724465558194805</v>
      </c>
      <c r="AM1557" s="71">
        <v>0.96823648214449598</v>
      </c>
      <c r="AN1557" s="70">
        <v>0.99</v>
      </c>
      <c r="AO1557" s="75">
        <v>1</v>
      </c>
      <c r="AP1557" s="75">
        <v>1</v>
      </c>
      <c r="AQ1557" s="75">
        <v>1</v>
      </c>
      <c r="AR1557" s="75">
        <v>1</v>
      </c>
      <c r="AS1557" s="95">
        <v>0.110069253262963</v>
      </c>
      <c r="AT1557" s="79">
        <v>0.27777777777777801</v>
      </c>
      <c r="AU1557" s="79">
        <v>0.15384615384615399</v>
      </c>
      <c r="AV1557" s="79">
        <v>0</v>
      </c>
      <c r="AW1557" s="79">
        <v>0.20175438596491199</v>
      </c>
      <c r="AX1557" s="56"/>
      <c r="AY1557" s="54"/>
    </row>
    <row r="1558" spans="1:51">
      <c r="A1558" s="53"/>
      <c r="B1558" s="56"/>
      <c r="C1558" s="90" t="s">
        <v>1448</v>
      </c>
      <c r="D1558" s="230" t="s">
        <v>1757</v>
      </c>
      <c r="E1558" s="68" t="s">
        <v>1449</v>
      </c>
      <c r="F1558" s="106" t="s">
        <v>1583</v>
      </c>
      <c r="G1558" s="106" t="s">
        <v>1583</v>
      </c>
      <c r="H1558" s="106" t="s">
        <v>1583</v>
      </c>
      <c r="I1558" s="106" t="s">
        <v>1583</v>
      </c>
      <c r="J1558" s="70">
        <v>0.9</v>
      </c>
      <c r="K1558" s="71">
        <v>1</v>
      </c>
      <c r="L1558" s="71">
        <v>0.9375</v>
      </c>
      <c r="M1558" s="72">
        <v>1</v>
      </c>
      <c r="N1558" s="71">
        <v>0.98757763975155299</v>
      </c>
      <c r="O1558" s="73">
        <v>0.9</v>
      </c>
      <c r="P1558" s="71">
        <v>0.93267023718439201</v>
      </c>
      <c r="Q1558" s="71">
        <v>0.986784140969163</v>
      </c>
      <c r="R1558" s="71">
        <v>0.94539877300613495</v>
      </c>
      <c r="S1558" s="71">
        <v>0.88674594861051204</v>
      </c>
      <c r="T1558" s="73">
        <v>0.9</v>
      </c>
      <c r="U1558" s="71">
        <v>0.70543228768171395</v>
      </c>
      <c r="V1558" s="71">
        <v>0.58149779735682805</v>
      </c>
      <c r="W1558" s="71">
        <v>0.41472392638036798</v>
      </c>
      <c r="X1558" s="71">
        <v>0.458500215663319</v>
      </c>
      <c r="Y1558" s="73">
        <v>0.92</v>
      </c>
      <c r="Z1558" s="73" t="s">
        <v>1710</v>
      </c>
      <c r="AA1558" s="73" t="s">
        <v>1710</v>
      </c>
      <c r="AB1558" s="73" t="s">
        <v>1710</v>
      </c>
      <c r="AC1558" s="73" t="s">
        <v>1710</v>
      </c>
      <c r="AD1558" s="73">
        <v>0.92</v>
      </c>
      <c r="AE1558" s="71">
        <v>0.99621212121212099</v>
      </c>
      <c r="AF1558" s="71">
        <v>0.99115044247787598</v>
      </c>
      <c r="AG1558" s="71">
        <v>1</v>
      </c>
      <c r="AH1558" s="71">
        <v>0.99805825242718404</v>
      </c>
      <c r="AI1558" s="73">
        <v>0.92</v>
      </c>
      <c r="AJ1558" s="71">
        <v>0.90742157612853902</v>
      </c>
      <c r="AK1558" s="71">
        <v>0.92070484581497802</v>
      </c>
      <c r="AL1558" s="71">
        <v>0.89447852760736202</v>
      </c>
      <c r="AM1558" s="71">
        <v>0.874175858031918</v>
      </c>
      <c r="AN1558" s="70">
        <v>0.99</v>
      </c>
      <c r="AO1558" s="75" t="s">
        <v>1710</v>
      </c>
      <c r="AP1558" s="75">
        <v>1</v>
      </c>
      <c r="AQ1558" s="75" t="s">
        <v>1710</v>
      </c>
      <c r="AR1558" s="75">
        <v>1</v>
      </c>
      <c r="AS1558" s="95">
        <v>0.110069253262963</v>
      </c>
      <c r="AT1558" s="79">
        <v>0.11111111111111099</v>
      </c>
      <c r="AU1558" s="79">
        <v>0.18181818181818199</v>
      </c>
      <c r="AV1558" s="79">
        <v>0</v>
      </c>
      <c r="AW1558" s="79">
        <v>6.2015503875968998E-2</v>
      </c>
      <c r="AX1558" s="56"/>
      <c r="AY1558" s="54"/>
    </row>
    <row r="1559" spans="1:51">
      <c r="A1559" s="53"/>
      <c r="B1559" s="56"/>
      <c r="C1559" s="90" t="s">
        <v>1448</v>
      </c>
      <c r="D1559" s="230" t="s">
        <v>1757</v>
      </c>
      <c r="E1559" s="68" t="s">
        <v>1449</v>
      </c>
      <c r="F1559" s="106" t="s">
        <v>1584</v>
      </c>
      <c r="G1559" s="106" t="s">
        <v>1584</v>
      </c>
      <c r="H1559" s="106" t="s">
        <v>1584</v>
      </c>
      <c r="I1559" s="106" t="s">
        <v>1584</v>
      </c>
      <c r="J1559" s="70">
        <v>0.9</v>
      </c>
      <c r="K1559" s="71">
        <v>0.9</v>
      </c>
      <c r="L1559" s="71">
        <v>0.8</v>
      </c>
      <c r="M1559" s="72">
        <v>0.63636363636363602</v>
      </c>
      <c r="N1559" s="71">
        <v>0.71666666666666701</v>
      </c>
      <c r="O1559" s="73">
        <v>0.9</v>
      </c>
      <c r="P1559" s="71" t="s">
        <v>1710</v>
      </c>
      <c r="Q1559" s="71" t="s">
        <v>1710</v>
      </c>
      <c r="R1559" s="71">
        <v>1</v>
      </c>
      <c r="S1559" s="71">
        <v>0.28571428571428598</v>
      </c>
      <c r="T1559" s="73">
        <v>0.9</v>
      </c>
      <c r="U1559" s="71" t="s">
        <v>1710</v>
      </c>
      <c r="V1559" s="71" t="s">
        <v>1710</v>
      </c>
      <c r="W1559" s="71">
        <v>1</v>
      </c>
      <c r="X1559" s="71">
        <v>0.42857142857142899</v>
      </c>
      <c r="Y1559" s="73">
        <v>0.92</v>
      </c>
      <c r="Z1559" s="73" t="s">
        <v>1710</v>
      </c>
      <c r="AA1559" s="73" t="s">
        <v>1710</v>
      </c>
      <c r="AB1559" s="73" t="s">
        <v>1710</v>
      </c>
      <c r="AC1559" s="73" t="s">
        <v>1710</v>
      </c>
      <c r="AD1559" s="73">
        <v>0.92</v>
      </c>
      <c r="AE1559" s="71">
        <v>1</v>
      </c>
      <c r="AF1559" s="71">
        <v>1</v>
      </c>
      <c r="AG1559" s="71">
        <v>0.2</v>
      </c>
      <c r="AH1559" s="71">
        <v>0.873417721518987</v>
      </c>
      <c r="AI1559" s="73">
        <v>0.92</v>
      </c>
      <c r="AJ1559" s="71">
        <v>0.60920770877944297</v>
      </c>
      <c r="AK1559" s="71">
        <v>0.74321503131524003</v>
      </c>
      <c r="AL1559" s="71">
        <v>0.85058697972251895</v>
      </c>
      <c r="AM1559" s="71">
        <v>0.70376712328767099</v>
      </c>
      <c r="AN1559" s="70">
        <v>0.99</v>
      </c>
      <c r="AO1559" s="75">
        <v>1</v>
      </c>
      <c r="AP1559" s="75">
        <v>1</v>
      </c>
      <c r="AQ1559" s="75" t="s">
        <v>1710</v>
      </c>
      <c r="AR1559" s="75">
        <v>1</v>
      </c>
      <c r="AS1559" s="95">
        <v>0.110069253262963</v>
      </c>
      <c r="AT1559" s="79">
        <v>9.0909090909090898E-2</v>
      </c>
      <c r="AU1559" s="79">
        <v>0.14285714285714299</v>
      </c>
      <c r="AV1559" s="79">
        <v>0.214285714285714</v>
      </c>
      <c r="AW1559" s="79">
        <v>0.188524590163934</v>
      </c>
      <c r="AX1559" s="56"/>
      <c r="AY1559" s="54"/>
    </row>
    <row r="1560" spans="1:51">
      <c r="A1560" s="53"/>
      <c r="B1560" s="56"/>
      <c r="C1560" s="90" t="s">
        <v>1448</v>
      </c>
      <c r="D1560" s="230" t="s">
        <v>1757</v>
      </c>
      <c r="E1560" s="68" t="s">
        <v>1449</v>
      </c>
      <c r="F1560" s="106" t="s">
        <v>1585</v>
      </c>
      <c r="G1560" s="106" t="s">
        <v>1585</v>
      </c>
      <c r="H1560" s="106" t="s">
        <v>1585</v>
      </c>
      <c r="I1560" s="106" t="s">
        <v>1585</v>
      </c>
      <c r="J1560" s="70">
        <v>0.9</v>
      </c>
      <c r="K1560" s="71">
        <v>1</v>
      </c>
      <c r="L1560" s="71">
        <v>0.94444444444444398</v>
      </c>
      <c r="M1560" s="72">
        <v>0.84210526315789502</v>
      </c>
      <c r="N1560" s="71">
        <v>0.92195121951219505</v>
      </c>
      <c r="O1560" s="73">
        <v>0.9</v>
      </c>
      <c r="P1560" s="71">
        <v>0.5</v>
      </c>
      <c r="Q1560" s="71" t="s">
        <v>1710</v>
      </c>
      <c r="R1560" s="71" t="s">
        <v>1710</v>
      </c>
      <c r="S1560" s="71">
        <v>0.25</v>
      </c>
      <c r="T1560" s="73">
        <v>0.9</v>
      </c>
      <c r="U1560" s="71">
        <v>1</v>
      </c>
      <c r="V1560" s="71" t="s">
        <v>1710</v>
      </c>
      <c r="W1560" s="71" t="s">
        <v>1710</v>
      </c>
      <c r="X1560" s="71">
        <v>0.5</v>
      </c>
      <c r="Y1560" s="73">
        <v>0.92</v>
      </c>
      <c r="Z1560" s="73" t="s">
        <v>1710</v>
      </c>
      <c r="AA1560" s="73" t="s">
        <v>1710</v>
      </c>
      <c r="AB1560" s="73" t="s">
        <v>1710</v>
      </c>
      <c r="AC1560" s="73" t="s">
        <v>1710</v>
      </c>
      <c r="AD1560" s="73">
        <v>0.92</v>
      </c>
      <c r="AE1560" s="71">
        <v>0</v>
      </c>
      <c r="AF1560" s="71">
        <v>0.66666666666666696</v>
      </c>
      <c r="AG1560" s="71">
        <v>0</v>
      </c>
      <c r="AH1560" s="71">
        <v>0.160714285714286</v>
      </c>
      <c r="AI1560" s="73">
        <v>0.92</v>
      </c>
      <c r="AJ1560" s="71">
        <v>0.67142129393784999</v>
      </c>
      <c r="AK1560" s="71">
        <v>0.67682363804247503</v>
      </c>
      <c r="AL1560" s="71">
        <v>0.70552147239263796</v>
      </c>
      <c r="AM1560" s="71">
        <v>0.73190363305584605</v>
      </c>
      <c r="AN1560" s="70">
        <v>0.99</v>
      </c>
      <c r="AO1560" s="75">
        <v>1</v>
      </c>
      <c r="AP1560" s="75" t="s">
        <v>1710</v>
      </c>
      <c r="AQ1560" s="75" t="s">
        <v>1710</v>
      </c>
      <c r="AR1560" s="75">
        <v>1</v>
      </c>
      <c r="AS1560" s="95">
        <v>0.110069253262963</v>
      </c>
      <c r="AT1560" s="79">
        <v>0.133333333333333</v>
      </c>
      <c r="AU1560" s="79">
        <v>0.10638297872340401</v>
      </c>
      <c r="AV1560" s="79">
        <v>9.0909090909090898E-2</v>
      </c>
      <c r="AW1560" s="79">
        <v>8.3503054989816694E-2</v>
      </c>
      <c r="AX1560" s="56"/>
      <c r="AY1560" s="54"/>
    </row>
    <row r="1561" spans="1:51">
      <c r="A1561" s="53"/>
      <c r="B1561" s="56"/>
      <c r="C1561" s="90" t="s">
        <v>1448</v>
      </c>
      <c r="D1561" s="230" t="s">
        <v>1757</v>
      </c>
      <c r="E1561" s="68" t="s">
        <v>1449</v>
      </c>
      <c r="F1561" s="106" t="s">
        <v>1586</v>
      </c>
      <c r="G1561" s="106" t="s">
        <v>1586</v>
      </c>
      <c r="H1561" s="106" t="s">
        <v>1586</v>
      </c>
      <c r="I1561" s="106" t="s">
        <v>1586</v>
      </c>
      <c r="J1561" s="70">
        <v>0.9</v>
      </c>
      <c r="K1561" s="71">
        <v>0.91666666666666696</v>
      </c>
      <c r="L1561" s="71">
        <v>1</v>
      </c>
      <c r="M1561" s="72">
        <v>1</v>
      </c>
      <c r="N1561" s="71">
        <v>0.98373983739837401</v>
      </c>
      <c r="O1561" s="73">
        <v>0.9</v>
      </c>
      <c r="P1561" s="71" t="s">
        <v>1710</v>
      </c>
      <c r="Q1561" s="71" t="s">
        <v>1710</v>
      </c>
      <c r="R1561" s="71">
        <v>1</v>
      </c>
      <c r="S1561" s="71">
        <v>0.5</v>
      </c>
      <c r="T1561" s="73">
        <v>0.9</v>
      </c>
      <c r="U1561" s="71" t="s">
        <v>1710</v>
      </c>
      <c r="V1561" s="71" t="s">
        <v>1710</v>
      </c>
      <c r="W1561" s="71">
        <v>0</v>
      </c>
      <c r="X1561" s="71">
        <v>0</v>
      </c>
      <c r="Y1561" s="73">
        <v>0.92</v>
      </c>
      <c r="Z1561" s="73" t="s">
        <v>1710</v>
      </c>
      <c r="AA1561" s="73" t="s">
        <v>1710</v>
      </c>
      <c r="AB1561" s="73" t="s">
        <v>1710</v>
      </c>
      <c r="AC1561" s="73" t="s">
        <v>1710</v>
      </c>
      <c r="AD1561" s="73">
        <v>0.92</v>
      </c>
      <c r="AE1561" s="71">
        <v>0</v>
      </c>
      <c r="AF1561" s="71">
        <v>0</v>
      </c>
      <c r="AG1561" s="71">
        <v>0</v>
      </c>
      <c r="AH1561" s="71">
        <v>5.1282051282051301E-2</v>
      </c>
      <c r="AI1561" s="73">
        <v>0.92</v>
      </c>
      <c r="AJ1561" s="71">
        <v>0.88277268093781902</v>
      </c>
      <c r="AK1561" s="71">
        <v>0.90513833992094905</v>
      </c>
      <c r="AL1561" s="71">
        <v>0.87539432176656196</v>
      </c>
      <c r="AM1561" s="71">
        <v>0.88114053823152505</v>
      </c>
      <c r="AN1561" s="70">
        <v>0.99</v>
      </c>
      <c r="AO1561" s="75" t="s">
        <v>1710</v>
      </c>
      <c r="AP1561" s="75" t="s">
        <v>1710</v>
      </c>
      <c r="AQ1561" s="75" t="s">
        <v>1710</v>
      </c>
      <c r="AR1561" s="75" t="s">
        <v>1710</v>
      </c>
      <c r="AS1561" s="95">
        <v>0.110069253262963</v>
      </c>
      <c r="AT1561" s="79">
        <v>0</v>
      </c>
      <c r="AU1561" s="79">
        <v>8.3333333333333301E-2</v>
      </c>
      <c r="AV1561" s="79">
        <v>0</v>
      </c>
      <c r="AW1561" s="79">
        <v>5.8823529411764698E-2</v>
      </c>
      <c r="AX1561" s="56"/>
      <c r="AY1561" s="54"/>
    </row>
    <row r="1562" spans="1:51">
      <c r="A1562" s="53"/>
      <c r="B1562" s="56"/>
      <c r="C1562" s="90" t="s">
        <v>1448</v>
      </c>
      <c r="D1562" s="230" t="s">
        <v>1757</v>
      </c>
      <c r="E1562" s="68" t="s">
        <v>1449</v>
      </c>
      <c r="F1562" s="106" t="s">
        <v>1587</v>
      </c>
      <c r="G1562" s="106" t="s">
        <v>1587</v>
      </c>
      <c r="H1562" s="106" t="s">
        <v>1587</v>
      </c>
      <c r="I1562" s="106" t="s">
        <v>1587</v>
      </c>
      <c r="J1562" s="70">
        <v>0.9</v>
      </c>
      <c r="K1562" s="71">
        <v>0.84615384615384603</v>
      </c>
      <c r="L1562" s="71">
        <v>0.91666666666666696</v>
      </c>
      <c r="M1562" s="72">
        <v>0.83333333333333304</v>
      </c>
      <c r="N1562" s="71">
        <v>0.83464566929133899</v>
      </c>
      <c r="O1562" s="73">
        <v>0.9</v>
      </c>
      <c r="P1562" s="71" t="s">
        <v>1710</v>
      </c>
      <c r="Q1562" s="71" t="s">
        <v>1710</v>
      </c>
      <c r="R1562" s="71" t="s">
        <v>1710</v>
      </c>
      <c r="S1562" s="71">
        <v>0.5</v>
      </c>
      <c r="T1562" s="73">
        <v>0.9</v>
      </c>
      <c r="U1562" s="71" t="s">
        <v>1710</v>
      </c>
      <c r="V1562" s="71" t="s">
        <v>1710</v>
      </c>
      <c r="W1562" s="71" t="s">
        <v>1710</v>
      </c>
      <c r="X1562" s="71">
        <v>0.5</v>
      </c>
      <c r="Y1562" s="73">
        <v>0.92</v>
      </c>
      <c r="Z1562" s="73" t="s">
        <v>1710</v>
      </c>
      <c r="AA1562" s="73" t="s">
        <v>1710</v>
      </c>
      <c r="AB1562" s="73" t="s">
        <v>1710</v>
      </c>
      <c r="AC1562" s="73" t="s">
        <v>1710</v>
      </c>
      <c r="AD1562" s="73">
        <v>0.92</v>
      </c>
      <c r="AE1562" s="71">
        <v>0</v>
      </c>
      <c r="AF1562" s="71">
        <v>0</v>
      </c>
      <c r="AG1562" s="71">
        <v>0</v>
      </c>
      <c r="AH1562" s="71">
        <v>0.35714285714285698</v>
      </c>
      <c r="AI1562" s="73">
        <v>0.92</v>
      </c>
      <c r="AJ1562" s="71">
        <v>0.96096654275092896</v>
      </c>
      <c r="AK1562" s="71">
        <v>0.99354838709677396</v>
      </c>
      <c r="AL1562" s="71">
        <v>0.99374021909233201</v>
      </c>
      <c r="AM1562" s="71">
        <v>0.99306625577812002</v>
      </c>
      <c r="AN1562" s="70">
        <v>0.99</v>
      </c>
      <c r="AO1562" s="75">
        <v>1</v>
      </c>
      <c r="AP1562" s="75">
        <v>1</v>
      </c>
      <c r="AQ1562" s="75">
        <v>1</v>
      </c>
      <c r="AR1562" s="75">
        <v>1</v>
      </c>
      <c r="AS1562" s="95">
        <v>0.110069253262963</v>
      </c>
      <c r="AT1562" s="79">
        <v>0.1</v>
      </c>
      <c r="AU1562" s="79">
        <v>0.18181818181818199</v>
      </c>
      <c r="AV1562" s="79">
        <v>0</v>
      </c>
      <c r="AW1562" s="79">
        <v>0.10828025477707</v>
      </c>
      <c r="AX1562" s="56"/>
      <c r="AY1562" s="54"/>
    </row>
    <row r="1563" spans="1:51">
      <c r="A1563" s="53"/>
      <c r="B1563" s="56"/>
      <c r="C1563" s="90" t="s">
        <v>1448</v>
      </c>
      <c r="D1563" s="230" t="s">
        <v>1757</v>
      </c>
      <c r="E1563" s="68" t="s">
        <v>1449</v>
      </c>
      <c r="F1563" s="106" t="s">
        <v>1588</v>
      </c>
      <c r="G1563" s="106" t="s">
        <v>1588</v>
      </c>
      <c r="H1563" s="106" t="s">
        <v>1588</v>
      </c>
      <c r="I1563" s="106" t="s">
        <v>1588</v>
      </c>
      <c r="J1563" s="70">
        <v>0.9</v>
      </c>
      <c r="K1563" s="71">
        <v>0.86666666666666703</v>
      </c>
      <c r="L1563" s="71">
        <v>0.8</v>
      </c>
      <c r="M1563" s="72">
        <v>0.85714285714285698</v>
      </c>
      <c r="N1563" s="71">
        <v>0.83229813664596297</v>
      </c>
      <c r="O1563" s="73">
        <v>0.9</v>
      </c>
      <c r="P1563" s="71" t="s">
        <v>1710</v>
      </c>
      <c r="Q1563" s="71" t="s">
        <v>1710</v>
      </c>
      <c r="R1563" s="71" t="s">
        <v>1710</v>
      </c>
      <c r="S1563" s="71">
        <v>0</v>
      </c>
      <c r="T1563" s="73">
        <v>0.9</v>
      </c>
      <c r="U1563" s="71" t="s">
        <v>1710</v>
      </c>
      <c r="V1563" s="71" t="s">
        <v>1710</v>
      </c>
      <c r="W1563" s="71" t="s">
        <v>1710</v>
      </c>
      <c r="X1563" s="71">
        <v>0.33333333333333298</v>
      </c>
      <c r="Y1563" s="73">
        <v>0.92</v>
      </c>
      <c r="Z1563" s="73" t="s">
        <v>1710</v>
      </c>
      <c r="AA1563" s="73" t="s">
        <v>1710</v>
      </c>
      <c r="AB1563" s="73" t="s">
        <v>1710</v>
      </c>
      <c r="AC1563" s="73" t="s">
        <v>1710</v>
      </c>
      <c r="AD1563" s="73">
        <v>0.92</v>
      </c>
      <c r="AE1563" s="71">
        <v>1</v>
      </c>
      <c r="AF1563" s="71">
        <v>1</v>
      </c>
      <c r="AG1563" s="71">
        <v>1</v>
      </c>
      <c r="AH1563" s="71">
        <v>0.952191235059761</v>
      </c>
      <c r="AI1563" s="73">
        <v>0.92</v>
      </c>
      <c r="AJ1563" s="71">
        <v>0.77190635451504996</v>
      </c>
      <c r="AK1563" s="71">
        <v>0.74367509986684399</v>
      </c>
      <c r="AL1563" s="71">
        <v>0.68175853018372701</v>
      </c>
      <c r="AM1563" s="71">
        <v>0.73590423723049703</v>
      </c>
      <c r="AN1563" s="70">
        <v>0.99</v>
      </c>
      <c r="AO1563" s="75">
        <v>1</v>
      </c>
      <c r="AP1563" s="75">
        <v>1</v>
      </c>
      <c r="AQ1563" s="75">
        <v>1</v>
      </c>
      <c r="AR1563" s="75">
        <v>1</v>
      </c>
      <c r="AS1563" s="95">
        <v>0.110069253262963</v>
      </c>
      <c r="AT1563" s="79">
        <v>5.2631578947368397E-2</v>
      </c>
      <c r="AU1563" s="79">
        <v>0.2</v>
      </c>
      <c r="AV1563" s="79">
        <v>0.11111111111111099</v>
      </c>
      <c r="AW1563" s="79">
        <v>0.112426035502959</v>
      </c>
      <c r="AX1563" s="56"/>
      <c r="AY1563" s="54"/>
    </row>
    <row r="1564" spans="1:51">
      <c r="A1564" s="53"/>
      <c r="B1564" s="56"/>
      <c r="C1564" s="90" t="s">
        <v>1448</v>
      </c>
      <c r="D1564" s="230" t="s">
        <v>1757</v>
      </c>
      <c r="E1564" s="68" t="s">
        <v>1449</v>
      </c>
      <c r="F1564" s="106" t="s">
        <v>1589</v>
      </c>
      <c r="G1564" s="106" t="s">
        <v>1589</v>
      </c>
      <c r="H1564" s="106" t="s">
        <v>1589</v>
      </c>
      <c r="I1564" s="106" t="s">
        <v>1589</v>
      </c>
      <c r="J1564" s="70">
        <v>0.9</v>
      </c>
      <c r="K1564" s="71">
        <v>0.95833333333333304</v>
      </c>
      <c r="L1564" s="71">
        <v>0.95833333333333304</v>
      </c>
      <c r="M1564" s="72">
        <v>0.96153846153846201</v>
      </c>
      <c r="N1564" s="71">
        <v>0.94890510948905105</v>
      </c>
      <c r="O1564" s="73">
        <v>0.9</v>
      </c>
      <c r="P1564" s="71">
        <v>0.98931799506984397</v>
      </c>
      <c r="Q1564" s="71">
        <v>0.993311036789298</v>
      </c>
      <c r="R1564" s="71">
        <v>0.99581089168162795</v>
      </c>
      <c r="S1564" s="71">
        <v>0.995240823161327</v>
      </c>
      <c r="T1564" s="73">
        <v>0.9</v>
      </c>
      <c r="U1564" s="71">
        <v>0.93015612161051797</v>
      </c>
      <c r="V1564" s="71">
        <v>0.96237458193979897</v>
      </c>
      <c r="W1564" s="71">
        <v>0.97247157390784</v>
      </c>
      <c r="X1564" s="71">
        <v>0.95302516194421205</v>
      </c>
      <c r="Y1564" s="73">
        <v>0.92</v>
      </c>
      <c r="Z1564" s="73" t="s">
        <v>1710</v>
      </c>
      <c r="AA1564" s="73" t="s">
        <v>1710</v>
      </c>
      <c r="AB1564" s="73" t="s">
        <v>1710</v>
      </c>
      <c r="AC1564" s="73">
        <v>1</v>
      </c>
      <c r="AD1564" s="73">
        <v>0.92</v>
      </c>
      <c r="AE1564" s="71">
        <v>0.79166666666666696</v>
      </c>
      <c r="AF1564" s="71">
        <v>0.52631578947368396</v>
      </c>
      <c r="AG1564" s="71">
        <v>0.95454545454545503</v>
      </c>
      <c r="AH1564" s="71">
        <v>0.860759493670886</v>
      </c>
      <c r="AI1564" s="73">
        <v>0.92</v>
      </c>
      <c r="AJ1564" s="71">
        <v>0.970829909613804</v>
      </c>
      <c r="AK1564" s="71">
        <v>0.98369565217391297</v>
      </c>
      <c r="AL1564" s="71">
        <v>0.99341711549970102</v>
      </c>
      <c r="AM1564" s="71">
        <v>0.98303516347933395</v>
      </c>
      <c r="AN1564" s="70">
        <v>0.99</v>
      </c>
      <c r="AO1564" s="75">
        <v>1</v>
      </c>
      <c r="AP1564" s="75">
        <v>1</v>
      </c>
      <c r="AQ1564" s="75">
        <v>1</v>
      </c>
      <c r="AR1564" s="75">
        <v>1</v>
      </c>
      <c r="AS1564" s="95">
        <v>0.110069253262963</v>
      </c>
      <c r="AT1564" s="79">
        <v>0</v>
      </c>
      <c r="AU1564" s="79">
        <v>0</v>
      </c>
      <c r="AV1564" s="79">
        <v>0</v>
      </c>
      <c r="AW1564" s="79">
        <v>5.31914893617021E-2</v>
      </c>
      <c r="AX1564" s="56"/>
      <c r="AY1564" s="54"/>
    </row>
    <row r="1565" spans="1:51">
      <c r="A1565" s="53"/>
      <c r="B1565" s="56"/>
      <c r="C1565" s="90" t="s">
        <v>1448</v>
      </c>
      <c r="D1565" s="230" t="s">
        <v>1757</v>
      </c>
      <c r="E1565" s="68" t="s">
        <v>1449</v>
      </c>
      <c r="F1565" s="106" t="s">
        <v>1590</v>
      </c>
      <c r="G1565" s="106" t="s">
        <v>1590</v>
      </c>
      <c r="H1565" s="106" t="s">
        <v>1590</v>
      </c>
      <c r="I1565" s="106" t="s">
        <v>1590</v>
      </c>
      <c r="J1565" s="70">
        <v>0.9</v>
      </c>
      <c r="K1565" s="71">
        <v>1</v>
      </c>
      <c r="L1565" s="71">
        <v>1</v>
      </c>
      <c r="M1565" s="72">
        <v>1</v>
      </c>
      <c r="N1565" s="71">
        <v>0.98477157360406098</v>
      </c>
      <c r="O1565" s="73">
        <v>0.9</v>
      </c>
      <c r="P1565" s="71">
        <v>0.99944690265486702</v>
      </c>
      <c r="Q1565" s="71">
        <v>0.99146981627296604</v>
      </c>
      <c r="R1565" s="71">
        <v>0.99887514060742399</v>
      </c>
      <c r="S1565" s="71">
        <v>0.99215442795055597</v>
      </c>
      <c r="T1565" s="73">
        <v>0.9</v>
      </c>
      <c r="U1565" s="71">
        <v>0.95243362831858402</v>
      </c>
      <c r="V1565" s="71">
        <v>0.91994750656168001</v>
      </c>
      <c r="W1565" s="71">
        <v>0.94769403824521903</v>
      </c>
      <c r="X1565" s="71">
        <v>0.90923971326974096</v>
      </c>
      <c r="Y1565" s="73">
        <v>0.92</v>
      </c>
      <c r="Z1565" s="73" t="s">
        <v>1710</v>
      </c>
      <c r="AA1565" s="73" t="s">
        <v>1710</v>
      </c>
      <c r="AB1565" s="73" t="s">
        <v>1710</v>
      </c>
      <c r="AC1565" s="73" t="s">
        <v>1710</v>
      </c>
      <c r="AD1565" s="73">
        <v>0.92</v>
      </c>
      <c r="AE1565" s="71">
        <v>1</v>
      </c>
      <c r="AF1565" s="71">
        <v>1</v>
      </c>
      <c r="AG1565" s="71">
        <v>0.98113207547169801</v>
      </c>
      <c r="AH1565" s="71">
        <v>0.94129979035639399</v>
      </c>
      <c r="AI1565" s="73">
        <v>0.92</v>
      </c>
      <c r="AJ1565" s="71">
        <v>0.97345132743362806</v>
      </c>
      <c r="AK1565" s="71">
        <v>0.96391076115485597</v>
      </c>
      <c r="AL1565" s="71">
        <v>0.97300337457817798</v>
      </c>
      <c r="AM1565" s="71">
        <v>0.97031100073375898</v>
      </c>
      <c r="AN1565" s="70">
        <v>0.99</v>
      </c>
      <c r="AO1565" s="75" t="s">
        <v>1710</v>
      </c>
      <c r="AP1565" s="75">
        <v>1</v>
      </c>
      <c r="AQ1565" s="75">
        <v>1</v>
      </c>
      <c r="AR1565" s="75">
        <v>1</v>
      </c>
      <c r="AS1565" s="95">
        <v>0.110069253262963</v>
      </c>
      <c r="AT1565" s="79">
        <v>0.125</v>
      </c>
      <c r="AU1565" s="79">
        <v>0</v>
      </c>
      <c r="AV1565" s="79">
        <v>0</v>
      </c>
      <c r="AW1565" s="79">
        <v>2.4844720496894401E-2</v>
      </c>
      <c r="AX1565" s="56"/>
      <c r="AY1565" s="54"/>
    </row>
    <row r="1566" spans="1:51">
      <c r="A1566" s="53"/>
      <c r="B1566" s="56"/>
      <c r="C1566" s="90" t="s">
        <v>1448</v>
      </c>
      <c r="D1566" s="230" t="s">
        <v>1757</v>
      </c>
      <c r="E1566" s="68" t="s">
        <v>1449</v>
      </c>
      <c r="F1566" s="106" t="s">
        <v>1591</v>
      </c>
      <c r="G1566" s="106" t="s">
        <v>1591</v>
      </c>
      <c r="H1566" s="106" t="s">
        <v>1591</v>
      </c>
      <c r="I1566" s="106" t="s">
        <v>1591</v>
      </c>
      <c r="J1566" s="70">
        <v>0.9</v>
      </c>
      <c r="K1566" s="71">
        <v>0.8</v>
      </c>
      <c r="L1566" s="71">
        <v>0.66666666666666696</v>
      </c>
      <c r="M1566" s="72">
        <v>0.875</v>
      </c>
      <c r="N1566" s="71">
        <v>0.82653061224489799</v>
      </c>
      <c r="O1566" s="73">
        <v>0.9</v>
      </c>
      <c r="P1566" s="71" t="s">
        <v>1710</v>
      </c>
      <c r="Q1566" s="71" t="s">
        <v>1710</v>
      </c>
      <c r="R1566" s="71" t="s">
        <v>1710</v>
      </c>
      <c r="S1566" s="71" t="s">
        <v>1710</v>
      </c>
      <c r="T1566" s="73">
        <v>0.9</v>
      </c>
      <c r="U1566" s="71" t="s">
        <v>1710</v>
      </c>
      <c r="V1566" s="71" t="s">
        <v>1710</v>
      </c>
      <c r="W1566" s="71" t="s">
        <v>1710</v>
      </c>
      <c r="X1566" s="71" t="s">
        <v>1710</v>
      </c>
      <c r="Y1566" s="73">
        <v>0.92</v>
      </c>
      <c r="Z1566" s="73" t="s">
        <v>1710</v>
      </c>
      <c r="AA1566" s="73" t="s">
        <v>1710</v>
      </c>
      <c r="AB1566" s="73" t="s">
        <v>1710</v>
      </c>
      <c r="AC1566" s="73" t="s">
        <v>1710</v>
      </c>
      <c r="AD1566" s="73">
        <v>0.92</v>
      </c>
      <c r="AE1566" s="71">
        <v>0</v>
      </c>
      <c r="AF1566" s="71">
        <v>0</v>
      </c>
      <c r="AG1566" s="71">
        <v>0.11111111111111099</v>
      </c>
      <c r="AH1566" s="71">
        <v>0.13008130081300801</v>
      </c>
      <c r="AI1566" s="73">
        <v>0.92</v>
      </c>
      <c r="AJ1566" s="71">
        <v>0.90094339622641495</v>
      </c>
      <c r="AK1566" s="71">
        <v>0.90981644054269795</v>
      </c>
      <c r="AL1566" s="71">
        <v>0.94972067039106101</v>
      </c>
      <c r="AM1566" s="71">
        <v>0.95192660550458696</v>
      </c>
      <c r="AN1566" s="70">
        <v>0.99</v>
      </c>
      <c r="AO1566" s="75">
        <v>1</v>
      </c>
      <c r="AP1566" s="75" t="s">
        <v>1710</v>
      </c>
      <c r="AQ1566" s="75" t="s">
        <v>1710</v>
      </c>
      <c r="AR1566" s="75">
        <v>1</v>
      </c>
      <c r="AS1566" s="95">
        <v>0.110069253262963</v>
      </c>
      <c r="AT1566" s="79">
        <v>7.69230769230769E-2</v>
      </c>
      <c r="AU1566" s="79">
        <v>0.1</v>
      </c>
      <c r="AV1566" s="79">
        <v>0</v>
      </c>
      <c r="AW1566" s="79">
        <v>7.6335877862595394E-2</v>
      </c>
      <c r="AX1566" s="56"/>
      <c r="AY1566" s="54"/>
    </row>
    <row r="1567" spans="1:51">
      <c r="A1567" s="53"/>
      <c r="B1567" s="56"/>
      <c r="C1567" s="90" t="s">
        <v>1448</v>
      </c>
      <c r="D1567" s="230" t="s">
        <v>1757</v>
      </c>
      <c r="E1567" s="68" t="s">
        <v>1449</v>
      </c>
      <c r="F1567" s="106" t="s">
        <v>1592</v>
      </c>
      <c r="G1567" s="106" t="s">
        <v>1592</v>
      </c>
      <c r="H1567" s="106" t="s">
        <v>1592</v>
      </c>
      <c r="I1567" s="106" t="s">
        <v>1592</v>
      </c>
      <c r="J1567" s="70">
        <v>0.9</v>
      </c>
      <c r="K1567" s="71">
        <v>1</v>
      </c>
      <c r="L1567" s="71">
        <v>0.90909090909090895</v>
      </c>
      <c r="M1567" s="72">
        <v>0.94736842105263197</v>
      </c>
      <c r="N1567" s="71">
        <v>0.94736842105263197</v>
      </c>
      <c r="O1567" s="73">
        <v>0.9</v>
      </c>
      <c r="P1567" s="71" t="s">
        <v>1710</v>
      </c>
      <c r="Q1567" s="71" t="s">
        <v>1710</v>
      </c>
      <c r="R1567" s="71" t="s">
        <v>1710</v>
      </c>
      <c r="S1567" s="71" t="s">
        <v>1710</v>
      </c>
      <c r="T1567" s="73">
        <v>0.9</v>
      </c>
      <c r="U1567" s="71" t="s">
        <v>1710</v>
      </c>
      <c r="V1567" s="71" t="s">
        <v>1710</v>
      </c>
      <c r="W1567" s="71" t="s">
        <v>1710</v>
      </c>
      <c r="X1567" s="71" t="s">
        <v>1710</v>
      </c>
      <c r="Y1567" s="73">
        <v>0.92</v>
      </c>
      <c r="Z1567" s="73" t="s">
        <v>1710</v>
      </c>
      <c r="AA1567" s="73" t="s">
        <v>1710</v>
      </c>
      <c r="AB1567" s="73" t="s">
        <v>1710</v>
      </c>
      <c r="AC1567" s="73" t="s">
        <v>1710</v>
      </c>
      <c r="AD1567" s="73">
        <v>0.92</v>
      </c>
      <c r="AE1567" s="71">
        <v>0</v>
      </c>
      <c r="AF1567" s="71">
        <v>0</v>
      </c>
      <c r="AG1567" s="71">
        <v>0.375</v>
      </c>
      <c r="AH1567" s="71">
        <v>0.314285714285714</v>
      </c>
      <c r="AI1567" s="73">
        <v>0.92</v>
      </c>
      <c r="AJ1567" s="71">
        <v>0.84674556213017704</v>
      </c>
      <c r="AK1567" s="71">
        <v>0.88584831899921801</v>
      </c>
      <c r="AL1567" s="71">
        <v>0.85828166519043403</v>
      </c>
      <c r="AM1567" s="71">
        <v>0.88424503175578795</v>
      </c>
      <c r="AN1567" s="70">
        <v>0.99</v>
      </c>
      <c r="AO1567" s="75" t="s">
        <v>1710</v>
      </c>
      <c r="AP1567" s="75">
        <v>1</v>
      </c>
      <c r="AQ1567" s="75">
        <v>1</v>
      </c>
      <c r="AR1567" s="75">
        <v>1</v>
      </c>
      <c r="AS1567" s="95">
        <v>0.110069253262963</v>
      </c>
      <c r="AT1567" s="79">
        <v>9.0909090909090898E-2</v>
      </c>
      <c r="AU1567" s="79">
        <v>5.8823529411764698E-2</v>
      </c>
      <c r="AV1567" s="79">
        <v>0</v>
      </c>
      <c r="AW1567" s="79">
        <v>9.5890410958904104E-2</v>
      </c>
      <c r="AX1567" s="56"/>
      <c r="AY1567" s="54"/>
    </row>
    <row r="1568" spans="1:51">
      <c r="A1568" s="53"/>
      <c r="B1568" s="56"/>
      <c r="C1568" s="90" t="s">
        <v>1448</v>
      </c>
      <c r="D1568" s="230" t="s">
        <v>1757</v>
      </c>
      <c r="E1568" s="68" t="s">
        <v>1449</v>
      </c>
      <c r="F1568" s="106" t="s">
        <v>1593</v>
      </c>
      <c r="G1568" s="106" t="s">
        <v>1593</v>
      </c>
      <c r="H1568" s="106" t="s">
        <v>1593</v>
      </c>
      <c r="I1568" s="106" t="s">
        <v>1593</v>
      </c>
      <c r="J1568" s="70">
        <v>0.9</v>
      </c>
      <c r="K1568" s="71">
        <v>1</v>
      </c>
      <c r="L1568" s="71">
        <v>1</v>
      </c>
      <c r="M1568" s="72">
        <v>0.95652173913043503</v>
      </c>
      <c r="N1568" s="71">
        <v>0.97674418604651203</v>
      </c>
      <c r="O1568" s="73">
        <v>0.9</v>
      </c>
      <c r="P1568" s="71">
        <v>0.97989210397253601</v>
      </c>
      <c r="Q1568" s="71">
        <v>0.84913353720693197</v>
      </c>
      <c r="R1568" s="71">
        <v>0.91290172333488595</v>
      </c>
      <c r="S1568" s="71">
        <v>0.94486148346738197</v>
      </c>
      <c r="T1568" s="73">
        <v>0.9</v>
      </c>
      <c r="U1568" s="71">
        <v>0.95586071603727296</v>
      </c>
      <c r="V1568" s="71">
        <v>0.81498470948012203</v>
      </c>
      <c r="W1568" s="71">
        <v>0.90964136003726104</v>
      </c>
      <c r="X1568" s="71">
        <v>0.91957104557640701</v>
      </c>
      <c r="Y1568" s="73">
        <v>0.92</v>
      </c>
      <c r="Z1568" s="73" t="s">
        <v>1710</v>
      </c>
      <c r="AA1568" s="73" t="s">
        <v>1710</v>
      </c>
      <c r="AB1568" s="73" t="s">
        <v>1710</v>
      </c>
      <c r="AC1568" s="73" t="s">
        <v>1710</v>
      </c>
      <c r="AD1568" s="73">
        <v>0.92</v>
      </c>
      <c r="AE1568" s="71">
        <v>0</v>
      </c>
      <c r="AF1568" s="71">
        <v>0.14285714285714299</v>
      </c>
      <c r="AG1568" s="71">
        <v>1</v>
      </c>
      <c r="AH1568" s="71">
        <v>0.65384615384615397</v>
      </c>
      <c r="AI1568" s="73">
        <v>0.92</v>
      </c>
      <c r="AJ1568" s="71">
        <v>0.96615988229524297</v>
      </c>
      <c r="AK1568" s="71">
        <v>0.93296089385474901</v>
      </c>
      <c r="AL1568" s="71">
        <v>0.96420269642027001</v>
      </c>
      <c r="AM1568" s="71">
        <v>0.96230202989069802</v>
      </c>
      <c r="AN1568" s="70">
        <v>0.99</v>
      </c>
      <c r="AO1568" s="75">
        <v>1</v>
      </c>
      <c r="AP1568" s="75">
        <v>1</v>
      </c>
      <c r="AQ1568" s="75">
        <v>1</v>
      </c>
      <c r="AR1568" s="75">
        <v>1</v>
      </c>
      <c r="AS1568" s="95">
        <v>0.110069253262963</v>
      </c>
      <c r="AT1568" s="79">
        <v>0</v>
      </c>
      <c r="AU1568" s="79">
        <v>0</v>
      </c>
      <c r="AV1568" s="79">
        <v>0</v>
      </c>
      <c r="AW1568" s="79">
        <v>3.7313432835820899E-2</v>
      </c>
      <c r="AX1568" s="56"/>
      <c r="AY1568" s="54"/>
    </row>
    <row r="1569" spans="1:51">
      <c r="A1569" s="53"/>
      <c r="B1569" s="56"/>
      <c r="C1569" s="90" t="s">
        <v>1448</v>
      </c>
      <c r="D1569" s="230" t="s">
        <v>1757</v>
      </c>
      <c r="E1569" s="68" t="s">
        <v>1449</v>
      </c>
      <c r="F1569" s="106" t="s">
        <v>1594</v>
      </c>
      <c r="G1569" s="106" t="s">
        <v>1594</v>
      </c>
      <c r="H1569" s="106" t="s">
        <v>1594</v>
      </c>
      <c r="I1569" s="106" t="s">
        <v>1594</v>
      </c>
      <c r="J1569" s="70">
        <v>0.9</v>
      </c>
      <c r="K1569" s="71">
        <v>1</v>
      </c>
      <c r="L1569" s="71">
        <v>1</v>
      </c>
      <c r="M1569" s="72">
        <v>0.96</v>
      </c>
      <c r="N1569" s="71">
        <v>0.99090909090909096</v>
      </c>
      <c r="O1569" s="73">
        <v>0.9</v>
      </c>
      <c r="P1569" s="71">
        <v>0.99318720379146896</v>
      </c>
      <c r="Q1569" s="71">
        <v>0.99774330042313097</v>
      </c>
      <c r="R1569" s="71">
        <v>0.99461158509205205</v>
      </c>
      <c r="S1569" s="71">
        <v>0.996215037208109</v>
      </c>
      <c r="T1569" s="73">
        <v>0.9</v>
      </c>
      <c r="U1569" s="71">
        <v>0.86492890995260696</v>
      </c>
      <c r="V1569" s="71">
        <v>0.79520451339915399</v>
      </c>
      <c r="W1569" s="71">
        <v>0.89312977099236601</v>
      </c>
      <c r="X1569" s="71">
        <v>0.90694765204003103</v>
      </c>
      <c r="Y1569" s="73">
        <v>0.92</v>
      </c>
      <c r="Z1569" s="73">
        <v>1</v>
      </c>
      <c r="AA1569" s="73" t="s">
        <v>1710</v>
      </c>
      <c r="AB1569" s="73" t="s">
        <v>1710</v>
      </c>
      <c r="AC1569" s="73">
        <v>1</v>
      </c>
      <c r="AD1569" s="73">
        <v>0.92</v>
      </c>
      <c r="AE1569" s="71">
        <v>0.48</v>
      </c>
      <c r="AF1569" s="71">
        <v>0.75757575757575801</v>
      </c>
      <c r="AG1569" s="71">
        <v>0.26315789473684198</v>
      </c>
      <c r="AH1569" s="71">
        <v>0.55161290322580603</v>
      </c>
      <c r="AI1569" s="73">
        <v>0.92</v>
      </c>
      <c r="AJ1569" s="71">
        <v>0.96653834764583901</v>
      </c>
      <c r="AK1569" s="71">
        <v>0.94895657078398199</v>
      </c>
      <c r="AL1569" s="71">
        <v>0.969465648854962</v>
      </c>
      <c r="AM1569" s="71">
        <v>0.97555968952466499</v>
      </c>
      <c r="AN1569" s="70">
        <v>0.99</v>
      </c>
      <c r="AO1569" s="75">
        <v>1</v>
      </c>
      <c r="AP1569" s="75">
        <v>1</v>
      </c>
      <c r="AQ1569" s="75">
        <v>1</v>
      </c>
      <c r="AR1569" s="75">
        <v>1</v>
      </c>
      <c r="AS1569" s="95">
        <v>0.110069253262963</v>
      </c>
      <c r="AT1569" s="79">
        <v>0.15</v>
      </c>
      <c r="AU1569" s="79">
        <v>0</v>
      </c>
      <c r="AV1569" s="79">
        <v>0</v>
      </c>
      <c r="AW1569" s="79">
        <v>0.08</v>
      </c>
      <c r="AX1569" s="56"/>
      <c r="AY1569" s="54"/>
    </row>
    <row r="1570" spans="1:51">
      <c r="A1570" s="53"/>
      <c r="B1570" s="56"/>
      <c r="C1570" s="90" t="s">
        <v>1448</v>
      </c>
      <c r="D1570" s="230" t="s">
        <v>1757</v>
      </c>
      <c r="E1570" s="68" t="s">
        <v>1449</v>
      </c>
      <c r="F1570" s="106" t="s">
        <v>1595</v>
      </c>
      <c r="G1570" s="106" t="s">
        <v>1595</v>
      </c>
      <c r="H1570" s="106" t="s">
        <v>1595</v>
      </c>
      <c r="I1570" s="106" t="s">
        <v>1595</v>
      </c>
      <c r="J1570" s="70">
        <v>0.9</v>
      </c>
      <c r="K1570" s="71">
        <v>0.94736842105263197</v>
      </c>
      <c r="L1570" s="71">
        <v>1</v>
      </c>
      <c r="M1570" s="72">
        <v>0.95454545454545503</v>
      </c>
      <c r="N1570" s="71">
        <v>0.95798319327731096</v>
      </c>
      <c r="O1570" s="73">
        <v>0.9</v>
      </c>
      <c r="P1570" s="71">
        <v>0.87524084778419997</v>
      </c>
      <c r="Q1570" s="71">
        <v>0.840816326530612</v>
      </c>
      <c r="R1570" s="71">
        <v>0.85773840541948898</v>
      </c>
      <c r="S1570" s="71">
        <v>0.87787065956274102</v>
      </c>
      <c r="T1570" s="73">
        <v>0.9</v>
      </c>
      <c r="U1570" s="71">
        <v>0.67292870905587698</v>
      </c>
      <c r="V1570" s="71">
        <v>0.76054421768707503</v>
      </c>
      <c r="W1570" s="71">
        <v>0.76915059927045304</v>
      </c>
      <c r="X1570" s="71">
        <v>0.73442954253169201</v>
      </c>
      <c r="Y1570" s="73">
        <v>0.92</v>
      </c>
      <c r="Z1570" s="73">
        <v>0</v>
      </c>
      <c r="AA1570" s="73" t="s">
        <v>1710</v>
      </c>
      <c r="AB1570" s="73" t="s">
        <v>1710</v>
      </c>
      <c r="AC1570" s="73">
        <v>0</v>
      </c>
      <c r="AD1570" s="73">
        <v>0.92</v>
      </c>
      <c r="AE1570" s="71">
        <v>0.99655172413793103</v>
      </c>
      <c r="AF1570" s="71">
        <v>0.97435897435897401</v>
      </c>
      <c r="AG1570" s="71">
        <v>0.98993288590604001</v>
      </c>
      <c r="AH1570" s="71">
        <v>0.99668474984930699</v>
      </c>
      <c r="AI1570" s="73">
        <v>0.92</v>
      </c>
      <c r="AJ1570" s="71">
        <v>0.77948964853153602</v>
      </c>
      <c r="AK1570" s="71">
        <v>0.84897959183673499</v>
      </c>
      <c r="AL1570" s="71">
        <v>0.88327253778009396</v>
      </c>
      <c r="AM1570" s="71">
        <v>0.850181417351766</v>
      </c>
      <c r="AN1570" s="70">
        <v>0.99</v>
      </c>
      <c r="AO1570" s="75">
        <v>1</v>
      </c>
      <c r="AP1570" s="75">
        <v>1</v>
      </c>
      <c r="AQ1570" s="75">
        <v>1</v>
      </c>
      <c r="AR1570" s="75">
        <v>1</v>
      </c>
      <c r="AS1570" s="95">
        <v>0.110069253262963</v>
      </c>
      <c r="AT1570" s="79">
        <v>0.3</v>
      </c>
      <c r="AU1570" s="79">
        <v>8.5106382978723402E-2</v>
      </c>
      <c r="AV1570" s="79">
        <v>0.119047619047619</v>
      </c>
      <c r="AW1570" s="79">
        <v>0.110481586402266</v>
      </c>
      <c r="AX1570" s="56"/>
      <c r="AY1570" s="54"/>
    </row>
    <row r="1571" spans="1:51">
      <c r="A1571" s="53"/>
      <c r="B1571" s="56"/>
      <c r="C1571" s="90" t="s">
        <v>1448</v>
      </c>
      <c r="D1571" s="230" t="s">
        <v>1757</v>
      </c>
      <c r="E1571" s="68" t="s">
        <v>1449</v>
      </c>
      <c r="F1571" s="106" t="s">
        <v>1596</v>
      </c>
      <c r="G1571" s="106" t="s">
        <v>1596</v>
      </c>
      <c r="H1571" s="106" t="s">
        <v>1596</v>
      </c>
      <c r="I1571" s="106" t="s">
        <v>1596</v>
      </c>
      <c r="J1571" s="70">
        <v>0.9</v>
      </c>
      <c r="K1571" s="71">
        <v>0.90625</v>
      </c>
      <c r="L1571" s="71">
        <v>0.82352941176470595</v>
      </c>
      <c r="M1571" s="72">
        <v>0.87096774193548399</v>
      </c>
      <c r="N1571" s="71">
        <v>0.85635359116022103</v>
      </c>
      <c r="O1571" s="73">
        <v>0.9</v>
      </c>
      <c r="P1571" s="71">
        <v>0.99730458221024298</v>
      </c>
      <c r="Q1571" s="71">
        <v>0.12601078167115901</v>
      </c>
      <c r="R1571" s="71">
        <v>9.3892433910665499E-2</v>
      </c>
      <c r="S1571" s="71">
        <v>6.8629589240276304E-2</v>
      </c>
      <c r="T1571" s="73">
        <v>0.9</v>
      </c>
      <c r="U1571" s="71">
        <v>0.97035040431266895</v>
      </c>
      <c r="V1571" s="71">
        <v>0.14723719676549901</v>
      </c>
      <c r="W1571" s="71">
        <v>0.148587055606199</v>
      </c>
      <c r="X1571" s="71">
        <v>9.2838967648127907E-2</v>
      </c>
      <c r="Y1571" s="73">
        <v>0.92</v>
      </c>
      <c r="Z1571" s="73" t="s">
        <v>1710</v>
      </c>
      <c r="AA1571" s="73" t="s">
        <v>1710</v>
      </c>
      <c r="AB1571" s="73" t="s">
        <v>1710</v>
      </c>
      <c r="AC1571" s="73" t="s">
        <v>1710</v>
      </c>
      <c r="AD1571" s="73">
        <v>0.92</v>
      </c>
      <c r="AE1571" s="71">
        <v>0.2</v>
      </c>
      <c r="AF1571" s="71">
        <v>0.238095238095238</v>
      </c>
      <c r="AG1571" s="71">
        <v>1</v>
      </c>
      <c r="AH1571" s="71">
        <v>0.52747252747252704</v>
      </c>
      <c r="AI1571" s="73">
        <v>0.92</v>
      </c>
      <c r="AJ1571" s="71">
        <v>0.99732620320855603</v>
      </c>
      <c r="AK1571" s="71">
        <v>0.74595687331536398</v>
      </c>
      <c r="AL1571" s="71">
        <v>0.67545454545454497</v>
      </c>
      <c r="AM1571" s="71">
        <v>0.70802919708029199</v>
      </c>
      <c r="AN1571" s="70">
        <v>0.99</v>
      </c>
      <c r="AO1571" s="75" t="s">
        <v>1710</v>
      </c>
      <c r="AP1571" s="75" t="s">
        <v>1710</v>
      </c>
      <c r="AQ1571" s="75" t="s">
        <v>1710</v>
      </c>
      <c r="AR1571" s="75">
        <v>1</v>
      </c>
      <c r="AS1571" s="95">
        <v>0.110069253262963</v>
      </c>
      <c r="AT1571" s="79">
        <v>0</v>
      </c>
      <c r="AU1571" s="79">
        <v>0.35714285714285698</v>
      </c>
      <c r="AV1571" s="79">
        <v>0.1</v>
      </c>
      <c r="AW1571" s="79">
        <v>0.14925373134328401</v>
      </c>
      <c r="AX1571" s="56"/>
      <c r="AY1571" s="54"/>
    </row>
    <row r="1572" spans="1:51">
      <c r="A1572" s="53"/>
      <c r="B1572" s="56"/>
      <c r="C1572" s="90" t="s">
        <v>1448</v>
      </c>
      <c r="D1572" s="230" t="s">
        <v>1757</v>
      </c>
      <c r="E1572" s="68" t="s">
        <v>1449</v>
      </c>
      <c r="F1572" s="106" t="s">
        <v>1597</v>
      </c>
      <c r="G1572" s="106" t="s">
        <v>1597</v>
      </c>
      <c r="H1572" s="106" t="s">
        <v>1597</v>
      </c>
      <c r="I1572" s="106" t="s">
        <v>1597</v>
      </c>
      <c r="J1572" s="70">
        <v>0.9</v>
      </c>
      <c r="K1572" s="71">
        <v>0.92857142857142905</v>
      </c>
      <c r="L1572" s="71">
        <v>0.93333333333333302</v>
      </c>
      <c r="M1572" s="72">
        <v>1</v>
      </c>
      <c r="N1572" s="71">
        <v>0.96453900709219897</v>
      </c>
      <c r="O1572" s="73">
        <v>0.9</v>
      </c>
      <c r="P1572" s="71" t="s">
        <v>1710</v>
      </c>
      <c r="Q1572" s="71" t="s">
        <v>1710</v>
      </c>
      <c r="R1572" s="71" t="s">
        <v>1710</v>
      </c>
      <c r="S1572" s="71" t="s">
        <v>1710</v>
      </c>
      <c r="T1572" s="73">
        <v>0.9</v>
      </c>
      <c r="U1572" s="71" t="s">
        <v>1710</v>
      </c>
      <c r="V1572" s="71" t="s">
        <v>1710</v>
      </c>
      <c r="W1572" s="71" t="s">
        <v>1710</v>
      </c>
      <c r="X1572" s="71" t="s">
        <v>1710</v>
      </c>
      <c r="Y1572" s="73">
        <v>0.92</v>
      </c>
      <c r="Z1572" s="73" t="s">
        <v>1710</v>
      </c>
      <c r="AA1572" s="73" t="s">
        <v>1710</v>
      </c>
      <c r="AB1572" s="73" t="s">
        <v>1710</v>
      </c>
      <c r="AC1572" s="73" t="s">
        <v>1710</v>
      </c>
      <c r="AD1572" s="73">
        <v>0.92</v>
      </c>
      <c r="AE1572" s="71">
        <v>0</v>
      </c>
      <c r="AF1572" s="71">
        <v>0</v>
      </c>
      <c r="AG1572" s="71">
        <v>0</v>
      </c>
      <c r="AH1572" s="71">
        <v>4.6153846153846198E-2</v>
      </c>
      <c r="AI1572" s="73">
        <v>0.92</v>
      </c>
      <c r="AJ1572" s="71">
        <v>0.99302865995352396</v>
      </c>
      <c r="AK1572" s="71">
        <v>0.99532273152479001</v>
      </c>
      <c r="AL1572" s="71">
        <v>0.99737876802097003</v>
      </c>
      <c r="AM1572" s="71">
        <v>0.99504638386021804</v>
      </c>
      <c r="AN1572" s="70">
        <v>0.99</v>
      </c>
      <c r="AO1572" s="75" t="s">
        <v>1710</v>
      </c>
      <c r="AP1572" s="75" t="s">
        <v>1710</v>
      </c>
      <c r="AQ1572" s="75" t="s">
        <v>1710</v>
      </c>
      <c r="AR1572" s="75">
        <v>1</v>
      </c>
      <c r="AS1572" s="95">
        <v>0.110069253262963</v>
      </c>
      <c r="AT1572" s="79">
        <v>0.05</v>
      </c>
      <c r="AU1572" s="79">
        <v>0</v>
      </c>
      <c r="AV1572" s="79">
        <v>0.6</v>
      </c>
      <c r="AW1572" s="79">
        <v>0.115646258503401</v>
      </c>
      <c r="AX1572" s="56"/>
      <c r="AY1572" s="54"/>
    </row>
    <row r="1573" spans="1:51">
      <c r="A1573" s="53"/>
      <c r="B1573" s="56"/>
      <c r="C1573" s="90" t="s">
        <v>1448</v>
      </c>
      <c r="D1573" s="230" t="s">
        <v>1757</v>
      </c>
      <c r="E1573" s="68" t="s">
        <v>1449</v>
      </c>
      <c r="F1573" s="106" t="s">
        <v>1598</v>
      </c>
      <c r="G1573" s="106" t="s">
        <v>1598</v>
      </c>
      <c r="H1573" s="106" t="s">
        <v>1598</v>
      </c>
      <c r="I1573" s="106" t="s">
        <v>1598</v>
      </c>
      <c r="J1573" s="70">
        <v>0.9</v>
      </c>
      <c r="K1573" s="71">
        <v>0.91891891891891897</v>
      </c>
      <c r="L1573" s="71">
        <v>0.94871794871794901</v>
      </c>
      <c r="M1573" s="72">
        <v>0.96875</v>
      </c>
      <c r="N1573" s="71">
        <v>0.94403892944038903</v>
      </c>
      <c r="O1573" s="73">
        <v>0.9</v>
      </c>
      <c r="P1573" s="71">
        <v>0.99024390243902405</v>
      </c>
      <c r="Q1573" s="71">
        <v>0.99787685774946899</v>
      </c>
      <c r="R1573" s="71">
        <v>0.98087431693989102</v>
      </c>
      <c r="S1573" s="71">
        <v>0.99229056021929096</v>
      </c>
      <c r="T1573" s="73">
        <v>0.9</v>
      </c>
      <c r="U1573" s="71">
        <v>0.94227642276422796</v>
      </c>
      <c r="V1573" s="71">
        <v>0.89915074309978804</v>
      </c>
      <c r="W1573" s="71">
        <v>0.941061670569867</v>
      </c>
      <c r="X1573" s="71">
        <v>0.94617668893838203</v>
      </c>
      <c r="Y1573" s="73">
        <v>0.92</v>
      </c>
      <c r="Z1573" s="73" t="s">
        <v>1710</v>
      </c>
      <c r="AA1573" s="73" t="s">
        <v>1710</v>
      </c>
      <c r="AB1573" s="73">
        <v>1</v>
      </c>
      <c r="AC1573" s="73">
        <v>1</v>
      </c>
      <c r="AD1573" s="73">
        <v>0.92</v>
      </c>
      <c r="AE1573" s="71">
        <v>1</v>
      </c>
      <c r="AF1573" s="71">
        <v>0.96666666666666701</v>
      </c>
      <c r="AG1573" s="71">
        <v>0.81132075471698095</v>
      </c>
      <c r="AH1573" s="71">
        <v>0.93765586034912696</v>
      </c>
      <c r="AI1573" s="73">
        <v>0.92</v>
      </c>
      <c r="AJ1573" s="71">
        <v>0.96937669376693802</v>
      </c>
      <c r="AK1573" s="71">
        <v>0.97558386411889597</v>
      </c>
      <c r="AL1573" s="71">
        <v>0.96605540382364397</v>
      </c>
      <c r="AM1573" s="71">
        <v>0.98121234617251496</v>
      </c>
      <c r="AN1573" s="70">
        <v>0.99</v>
      </c>
      <c r="AO1573" s="75">
        <v>1</v>
      </c>
      <c r="AP1573" s="75">
        <v>1</v>
      </c>
      <c r="AQ1573" s="75">
        <v>1</v>
      </c>
      <c r="AR1573" s="75">
        <v>1</v>
      </c>
      <c r="AS1573" s="95">
        <v>0.110069253262963</v>
      </c>
      <c r="AT1573" s="79">
        <v>5.2631578947368397E-2</v>
      </c>
      <c r="AU1573" s="79">
        <v>0</v>
      </c>
      <c r="AV1573" s="79">
        <v>0</v>
      </c>
      <c r="AW1573" s="79">
        <v>5.7692307692307702E-2</v>
      </c>
      <c r="AX1573" s="56"/>
      <c r="AY1573" s="54"/>
    </row>
    <row r="1574" spans="1:51">
      <c r="A1574" s="53"/>
      <c r="B1574" s="56"/>
      <c r="C1574" s="90" t="s">
        <v>1448</v>
      </c>
      <c r="D1574" s="230" t="s">
        <v>1757</v>
      </c>
      <c r="E1574" s="68" t="s">
        <v>1449</v>
      </c>
      <c r="F1574" s="106" t="s">
        <v>1599</v>
      </c>
      <c r="G1574" s="106" t="s">
        <v>1599</v>
      </c>
      <c r="H1574" s="106" t="s">
        <v>1599</v>
      </c>
      <c r="I1574" s="106" t="s">
        <v>1599</v>
      </c>
      <c r="J1574" s="70">
        <v>0.9</v>
      </c>
      <c r="K1574" s="71">
        <v>0.76923076923076905</v>
      </c>
      <c r="L1574" s="71">
        <v>0.69230769230769196</v>
      </c>
      <c r="M1574" s="72">
        <v>0.75</v>
      </c>
      <c r="N1574" s="71">
        <v>0.80921052631578905</v>
      </c>
      <c r="O1574" s="73">
        <v>0.9</v>
      </c>
      <c r="P1574" s="71" t="s">
        <v>1710</v>
      </c>
      <c r="Q1574" s="71">
        <v>0.5</v>
      </c>
      <c r="R1574" s="71">
        <v>0</v>
      </c>
      <c r="S1574" s="71">
        <v>0.2</v>
      </c>
      <c r="T1574" s="73">
        <v>0.9</v>
      </c>
      <c r="U1574" s="71" t="s">
        <v>1710</v>
      </c>
      <c r="V1574" s="71">
        <v>0.5</v>
      </c>
      <c r="W1574" s="71">
        <v>0</v>
      </c>
      <c r="X1574" s="71">
        <v>0.2</v>
      </c>
      <c r="Y1574" s="73">
        <v>0.92</v>
      </c>
      <c r="Z1574" s="73" t="s">
        <v>1710</v>
      </c>
      <c r="AA1574" s="73" t="s">
        <v>1710</v>
      </c>
      <c r="AB1574" s="73" t="s">
        <v>1710</v>
      </c>
      <c r="AC1574" s="73" t="s">
        <v>1710</v>
      </c>
      <c r="AD1574" s="73">
        <v>0.92</v>
      </c>
      <c r="AE1574" s="71">
        <v>0</v>
      </c>
      <c r="AF1574" s="71">
        <v>0.5</v>
      </c>
      <c r="AG1574" s="71">
        <v>0</v>
      </c>
      <c r="AH1574" s="71">
        <v>0.214285714285714</v>
      </c>
      <c r="AI1574" s="73">
        <v>0.92</v>
      </c>
      <c r="AJ1574" s="71">
        <v>0.66975512905360701</v>
      </c>
      <c r="AK1574" s="71">
        <v>0.75882352941176501</v>
      </c>
      <c r="AL1574" s="71">
        <v>0.64256756756756805</v>
      </c>
      <c r="AM1574" s="71">
        <v>0.73754532026319297</v>
      </c>
      <c r="AN1574" s="70">
        <v>0.99</v>
      </c>
      <c r="AO1574" s="75" t="s">
        <v>1710</v>
      </c>
      <c r="AP1574" s="75" t="s">
        <v>1710</v>
      </c>
      <c r="AQ1574" s="75" t="s">
        <v>1710</v>
      </c>
      <c r="AR1574" s="75" t="s">
        <v>1710</v>
      </c>
      <c r="AS1574" s="95">
        <v>0.110069253262963</v>
      </c>
      <c r="AT1574" s="79">
        <v>0.31818181818181801</v>
      </c>
      <c r="AU1574" s="79">
        <v>0.25</v>
      </c>
      <c r="AV1574" s="79">
        <v>0</v>
      </c>
      <c r="AW1574" s="79">
        <v>0.13450292397660801</v>
      </c>
      <c r="AX1574" s="56"/>
      <c r="AY1574" s="54"/>
    </row>
    <row r="1575" spans="1:51">
      <c r="A1575" s="53"/>
      <c r="B1575" s="56"/>
      <c r="C1575" s="90" t="s">
        <v>1448</v>
      </c>
      <c r="D1575" s="230" t="s">
        <v>1757</v>
      </c>
      <c r="E1575" s="68" t="s">
        <v>1449</v>
      </c>
      <c r="F1575" s="106" t="s">
        <v>1600</v>
      </c>
      <c r="G1575" s="106" t="s">
        <v>1600</v>
      </c>
      <c r="H1575" s="106" t="s">
        <v>1600</v>
      </c>
      <c r="I1575" s="106" t="s">
        <v>1600</v>
      </c>
      <c r="J1575" s="70">
        <v>0.9</v>
      </c>
      <c r="K1575" s="71">
        <v>0.81818181818181801</v>
      </c>
      <c r="L1575" s="71">
        <v>0.72727272727272696</v>
      </c>
      <c r="M1575" s="72">
        <v>0.83333333333333304</v>
      </c>
      <c r="N1575" s="71">
        <v>0.59471365638766505</v>
      </c>
      <c r="O1575" s="73">
        <v>0.9</v>
      </c>
      <c r="P1575" s="71" t="s">
        <v>1710</v>
      </c>
      <c r="Q1575" s="71" t="s">
        <v>1710</v>
      </c>
      <c r="R1575" s="71" t="s">
        <v>1710</v>
      </c>
      <c r="S1575" s="71" t="s">
        <v>1710</v>
      </c>
      <c r="T1575" s="73">
        <v>0.9</v>
      </c>
      <c r="U1575" s="71" t="s">
        <v>1710</v>
      </c>
      <c r="V1575" s="71" t="s">
        <v>1710</v>
      </c>
      <c r="W1575" s="71" t="s">
        <v>1710</v>
      </c>
      <c r="X1575" s="71" t="s">
        <v>1710</v>
      </c>
      <c r="Y1575" s="73">
        <v>0.92</v>
      </c>
      <c r="Z1575" s="73" t="s">
        <v>1710</v>
      </c>
      <c r="AA1575" s="73" t="s">
        <v>1710</v>
      </c>
      <c r="AB1575" s="73" t="s">
        <v>1710</v>
      </c>
      <c r="AC1575" s="73" t="s">
        <v>1710</v>
      </c>
      <c r="AD1575" s="73">
        <v>0.92</v>
      </c>
      <c r="AE1575" s="71">
        <v>0</v>
      </c>
      <c r="AF1575" s="71">
        <v>0</v>
      </c>
      <c r="AG1575" s="71">
        <v>0</v>
      </c>
      <c r="AH1575" s="71">
        <v>6.0606060606060601E-2</v>
      </c>
      <c r="AI1575" s="73">
        <v>0.92</v>
      </c>
      <c r="AJ1575" s="71">
        <v>0.80504587155963303</v>
      </c>
      <c r="AK1575" s="71">
        <v>0.809344030202926</v>
      </c>
      <c r="AL1575" s="71">
        <v>0.82220795892169496</v>
      </c>
      <c r="AM1575" s="71">
        <v>0.76501013117201699</v>
      </c>
      <c r="AN1575" s="70">
        <v>0.99</v>
      </c>
      <c r="AO1575" s="75" t="s">
        <v>1710</v>
      </c>
      <c r="AP1575" s="75" t="s">
        <v>1710</v>
      </c>
      <c r="AQ1575" s="75" t="s">
        <v>1710</v>
      </c>
      <c r="AR1575" s="75">
        <v>1</v>
      </c>
      <c r="AS1575" s="95">
        <v>0.110069253262963</v>
      </c>
      <c r="AT1575" s="79">
        <v>9.6774193548387094E-2</v>
      </c>
      <c r="AU1575" s="79">
        <v>0.19047619047618999</v>
      </c>
      <c r="AV1575" s="79">
        <v>6.25E-2</v>
      </c>
      <c r="AW1575" s="79">
        <v>9.8823529411764699E-2</v>
      </c>
      <c r="AX1575" s="56"/>
      <c r="AY1575" s="54"/>
    </row>
    <row r="1576" spans="1:51">
      <c r="A1576" s="53"/>
      <c r="B1576" s="56"/>
      <c r="C1576" s="90" t="s">
        <v>1448</v>
      </c>
      <c r="D1576" s="230" t="s">
        <v>1757</v>
      </c>
      <c r="E1576" s="68" t="s">
        <v>1449</v>
      </c>
      <c r="F1576" s="106" t="s">
        <v>1601</v>
      </c>
      <c r="G1576" s="106" t="s">
        <v>1601</v>
      </c>
      <c r="H1576" s="106" t="s">
        <v>1601</v>
      </c>
      <c r="I1576" s="106" t="s">
        <v>1601</v>
      </c>
      <c r="J1576" s="70">
        <v>0.9</v>
      </c>
      <c r="K1576" s="71">
        <v>0.4</v>
      </c>
      <c r="L1576" s="71">
        <v>0.3</v>
      </c>
      <c r="M1576" s="72">
        <v>0.5</v>
      </c>
      <c r="N1576" s="71">
        <v>0.4</v>
      </c>
      <c r="O1576" s="73">
        <v>0.9</v>
      </c>
      <c r="P1576" s="71" t="s">
        <v>1710</v>
      </c>
      <c r="Q1576" s="71" t="s">
        <v>1710</v>
      </c>
      <c r="R1576" s="71" t="s">
        <v>1710</v>
      </c>
      <c r="S1576" s="71">
        <v>0</v>
      </c>
      <c r="T1576" s="73">
        <v>0.9</v>
      </c>
      <c r="U1576" s="71" t="s">
        <v>1710</v>
      </c>
      <c r="V1576" s="71" t="s">
        <v>1710</v>
      </c>
      <c r="W1576" s="71" t="s">
        <v>1710</v>
      </c>
      <c r="X1576" s="71">
        <v>0</v>
      </c>
      <c r="Y1576" s="73">
        <v>0.92</v>
      </c>
      <c r="Z1576" s="73" t="s">
        <v>1710</v>
      </c>
      <c r="AA1576" s="73" t="s">
        <v>1710</v>
      </c>
      <c r="AB1576" s="73" t="s">
        <v>1710</v>
      </c>
      <c r="AC1576" s="73" t="s">
        <v>1710</v>
      </c>
      <c r="AD1576" s="73">
        <v>0.92</v>
      </c>
      <c r="AE1576" s="71">
        <v>0.22222222222222199</v>
      </c>
      <c r="AF1576" s="71">
        <v>1</v>
      </c>
      <c r="AG1576" s="71">
        <v>0.33333333333333298</v>
      </c>
      <c r="AH1576" s="71">
        <v>0.37313432835820898</v>
      </c>
      <c r="AI1576" s="73">
        <v>0.92</v>
      </c>
      <c r="AJ1576" s="71">
        <v>0.80837004405286295</v>
      </c>
      <c r="AK1576" s="71">
        <v>0.87053140096618398</v>
      </c>
      <c r="AL1576" s="71">
        <v>0.87935323383084596</v>
      </c>
      <c r="AM1576" s="71">
        <v>0.88885041551246502</v>
      </c>
      <c r="AN1576" s="70">
        <v>0.99</v>
      </c>
      <c r="AO1576" s="75">
        <v>1</v>
      </c>
      <c r="AP1576" s="75">
        <v>1</v>
      </c>
      <c r="AQ1576" s="75" t="s">
        <v>1710</v>
      </c>
      <c r="AR1576" s="75">
        <v>1</v>
      </c>
      <c r="AS1576" s="95">
        <v>0.110069253262963</v>
      </c>
      <c r="AT1576" s="79">
        <v>0</v>
      </c>
      <c r="AU1576" s="79">
        <v>0.1</v>
      </c>
      <c r="AV1576" s="79">
        <v>0</v>
      </c>
      <c r="AW1576" s="79">
        <v>7.5268817204301106E-2</v>
      </c>
      <c r="AX1576" s="56"/>
      <c r="AY1576" s="54"/>
    </row>
    <row r="1577" spans="1:51">
      <c r="A1577" s="53"/>
      <c r="B1577" s="56"/>
      <c r="C1577" s="90" t="s">
        <v>1448</v>
      </c>
      <c r="D1577" s="230" t="s">
        <v>1757</v>
      </c>
      <c r="E1577" s="68" t="s">
        <v>1449</v>
      </c>
      <c r="F1577" s="106" t="s">
        <v>1602</v>
      </c>
      <c r="G1577" s="106" t="s">
        <v>1602</v>
      </c>
      <c r="H1577" s="106" t="s">
        <v>1602</v>
      </c>
      <c r="I1577" s="106" t="s">
        <v>1602</v>
      </c>
      <c r="J1577" s="70">
        <v>0.9</v>
      </c>
      <c r="K1577" s="71">
        <v>0.8</v>
      </c>
      <c r="L1577" s="71">
        <v>0.92857142857142905</v>
      </c>
      <c r="M1577" s="72">
        <v>0.875</v>
      </c>
      <c r="N1577" s="71">
        <v>0.89375000000000004</v>
      </c>
      <c r="O1577" s="73">
        <v>0.9</v>
      </c>
      <c r="P1577" s="71" t="s">
        <v>1710</v>
      </c>
      <c r="Q1577" s="71" t="s">
        <v>1710</v>
      </c>
      <c r="R1577" s="71" t="s">
        <v>1710</v>
      </c>
      <c r="S1577" s="71" t="s">
        <v>1710</v>
      </c>
      <c r="T1577" s="73">
        <v>0.9</v>
      </c>
      <c r="U1577" s="71" t="s">
        <v>1710</v>
      </c>
      <c r="V1577" s="71" t="s">
        <v>1710</v>
      </c>
      <c r="W1577" s="71" t="s">
        <v>1710</v>
      </c>
      <c r="X1577" s="71" t="s">
        <v>1710</v>
      </c>
      <c r="Y1577" s="73">
        <v>0.92</v>
      </c>
      <c r="Z1577" s="73" t="s">
        <v>1710</v>
      </c>
      <c r="AA1577" s="73" t="s">
        <v>1710</v>
      </c>
      <c r="AB1577" s="73" t="s">
        <v>1710</v>
      </c>
      <c r="AC1577" s="73" t="s">
        <v>1710</v>
      </c>
      <c r="AD1577" s="73">
        <v>0.92</v>
      </c>
      <c r="AE1577" s="71">
        <v>1</v>
      </c>
      <c r="AF1577" s="71">
        <v>0</v>
      </c>
      <c r="AG1577" s="71">
        <v>0.85714285714285698</v>
      </c>
      <c r="AH1577" s="71">
        <v>0.84</v>
      </c>
      <c r="AI1577" s="73">
        <v>0.92</v>
      </c>
      <c r="AJ1577" s="71">
        <v>0.83468208092485596</v>
      </c>
      <c r="AK1577" s="71">
        <v>0.91462113127001099</v>
      </c>
      <c r="AL1577" s="71">
        <v>0.95300751879699297</v>
      </c>
      <c r="AM1577" s="71">
        <v>0.93795902589872404</v>
      </c>
      <c r="AN1577" s="70">
        <v>0.99</v>
      </c>
      <c r="AO1577" s="75">
        <v>1</v>
      </c>
      <c r="AP1577" s="75" t="s">
        <v>1710</v>
      </c>
      <c r="AQ1577" s="75" t="s">
        <v>1710</v>
      </c>
      <c r="AR1577" s="75">
        <v>1</v>
      </c>
      <c r="AS1577" s="95">
        <v>0.110069253262963</v>
      </c>
      <c r="AT1577" s="79">
        <v>0</v>
      </c>
      <c r="AU1577" s="79">
        <v>0.230769230769231</v>
      </c>
      <c r="AV1577" s="79">
        <v>0.11111111111111099</v>
      </c>
      <c r="AW1577" s="79">
        <v>0.11764705882352899</v>
      </c>
      <c r="AX1577" s="56"/>
      <c r="AY1577" s="54"/>
    </row>
    <row r="1578" spans="1:51">
      <c r="A1578" s="53"/>
      <c r="B1578" s="56"/>
      <c r="C1578" s="90" t="s">
        <v>1448</v>
      </c>
      <c r="D1578" s="230" t="s">
        <v>1757</v>
      </c>
      <c r="E1578" s="68" t="s">
        <v>1449</v>
      </c>
      <c r="F1578" s="106" t="s">
        <v>1603</v>
      </c>
      <c r="G1578" s="106" t="s">
        <v>1603</v>
      </c>
      <c r="H1578" s="106" t="s">
        <v>1603</v>
      </c>
      <c r="I1578" s="106" t="s">
        <v>1603</v>
      </c>
      <c r="J1578" s="70">
        <v>0.9</v>
      </c>
      <c r="K1578" s="71">
        <v>0.70588235294117696</v>
      </c>
      <c r="L1578" s="71">
        <v>0.78947368421052599</v>
      </c>
      <c r="M1578" s="72">
        <v>0.64285714285714302</v>
      </c>
      <c r="N1578" s="71">
        <v>0.64397905759162299</v>
      </c>
      <c r="O1578" s="73">
        <v>0.9</v>
      </c>
      <c r="P1578" s="71">
        <v>0</v>
      </c>
      <c r="Q1578" s="71" t="s">
        <v>1710</v>
      </c>
      <c r="R1578" s="71" t="s">
        <v>1710</v>
      </c>
      <c r="S1578" s="71">
        <v>0</v>
      </c>
      <c r="T1578" s="73">
        <v>0.9</v>
      </c>
      <c r="U1578" s="71">
        <v>0</v>
      </c>
      <c r="V1578" s="71" t="s">
        <v>1710</v>
      </c>
      <c r="W1578" s="71" t="s">
        <v>1710</v>
      </c>
      <c r="X1578" s="71">
        <v>0</v>
      </c>
      <c r="Y1578" s="73">
        <v>0.92</v>
      </c>
      <c r="Z1578" s="73" t="s">
        <v>1710</v>
      </c>
      <c r="AA1578" s="73" t="s">
        <v>1710</v>
      </c>
      <c r="AB1578" s="73" t="s">
        <v>1710</v>
      </c>
      <c r="AC1578" s="73" t="s">
        <v>1710</v>
      </c>
      <c r="AD1578" s="73">
        <v>0.92</v>
      </c>
      <c r="AE1578" s="71">
        <v>0</v>
      </c>
      <c r="AF1578" s="71">
        <v>0.125</v>
      </c>
      <c r="AG1578" s="71">
        <v>0.75</v>
      </c>
      <c r="AH1578" s="71">
        <v>0.11764705882352899</v>
      </c>
      <c r="AI1578" s="73">
        <v>0.92</v>
      </c>
      <c r="AJ1578" s="71">
        <v>0.91442155309033302</v>
      </c>
      <c r="AK1578" s="71">
        <v>0.91748366013071903</v>
      </c>
      <c r="AL1578" s="71">
        <v>0.94424131627056695</v>
      </c>
      <c r="AM1578" s="71">
        <v>0.95582277667031101</v>
      </c>
      <c r="AN1578" s="70">
        <v>0.99</v>
      </c>
      <c r="AO1578" s="75" t="s">
        <v>1710</v>
      </c>
      <c r="AP1578" s="75" t="s">
        <v>1710</v>
      </c>
      <c r="AQ1578" s="75" t="s">
        <v>1710</v>
      </c>
      <c r="AR1578" s="75">
        <v>1</v>
      </c>
      <c r="AS1578" s="95">
        <v>0.110069253262963</v>
      </c>
      <c r="AT1578" s="79">
        <v>6.25E-2</v>
      </c>
      <c r="AU1578" s="79">
        <v>0.22222222222222199</v>
      </c>
      <c r="AV1578" s="79">
        <v>0</v>
      </c>
      <c r="AW1578" s="79">
        <v>8.5201793721973104E-2</v>
      </c>
      <c r="AX1578" s="56"/>
      <c r="AY1578" s="54"/>
    </row>
    <row r="1579" spans="1:51">
      <c r="A1579" s="53"/>
      <c r="B1579" s="56"/>
      <c r="C1579" s="90" t="s">
        <v>1448</v>
      </c>
      <c r="D1579" s="230" t="s">
        <v>1757</v>
      </c>
      <c r="E1579" s="68" t="s">
        <v>1449</v>
      </c>
      <c r="F1579" s="106" t="s">
        <v>1604</v>
      </c>
      <c r="G1579" s="106" t="s">
        <v>1604</v>
      </c>
      <c r="H1579" s="106" t="s">
        <v>1604</v>
      </c>
      <c r="I1579" s="106" t="s">
        <v>1604</v>
      </c>
      <c r="J1579" s="70">
        <v>0.9</v>
      </c>
      <c r="K1579" s="71">
        <v>0.85714285714285698</v>
      </c>
      <c r="L1579" s="71">
        <v>0.96551724137931005</v>
      </c>
      <c r="M1579" s="72">
        <v>0.96428571428571397</v>
      </c>
      <c r="N1579" s="71">
        <v>0.94444444444444398</v>
      </c>
      <c r="O1579" s="73">
        <v>0.9</v>
      </c>
      <c r="P1579" s="71">
        <v>0.97558459422283395</v>
      </c>
      <c r="Q1579" s="71">
        <v>0.95246296934205998</v>
      </c>
      <c r="R1579" s="71">
        <v>0.969962453066333</v>
      </c>
      <c r="S1579" s="71">
        <v>0.96223098995695799</v>
      </c>
      <c r="T1579" s="73">
        <v>0.9</v>
      </c>
      <c r="U1579" s="71">
        <v>0.45804676753782703</v>
      </c>
      <c r="V1579" s="71">
        <v>0.42438856355494298</v>
      </c>
      <c r="W1579" s="71">
        <v>0.37703379224029998</v>
      </c>
      <c r="X1579" s="71">
        <v>0.50577474892396002</v>
      </c>
      <c r="Y1579" s="73">
        <v>0.92</v>
      </c>
      <c r="Z1579" s="73" t="s">
        <v>1710</v>
      </c>
      <c r="AA1579" s="73">
        <v>0</v>
      </c>
      <c r="AB1579" s="73" t="s">
        <v>1710</v>
      </c>
      <c r="AC1579" s="73">
        <v>0</v>
      </c>
      <c r="AD1579" s="73">
        <v>0.92</v>
      </c>
      <c r="AE1579" s="71">
        <v>1</v>
      </c>
      <c r="AF1579" s="71">
        <v>1</v>
      </c>
      <c r="AG1579" s="71">
        <v>0.92307692307692302</v>
      </c>
      <c r="AH1579" s="71">
        <v>0.94581280788177302</v>
      </c>
      <c r="AI1579" s="73">
        <v>0.92</v>
      </c>
      <c r="AJ1579" s="71">
        <v>0.83975240715268196</v>
      </c>
      <c r="AK1579" s="71">
        <v>0.83230027548209395</v>
      </c>
      <c r="AL1579" s="71">
        <v>0.828222778473091</v>
      </c>
      <c r="AM1579" s="71">
        <v>0.85589269062477602</v>
      </c>
      <c r="AN1579" s="70">
        <v>0.99</v>
      </c>
      <c r="AO1579" s="75">
        <v>1</v>
      </c>
      <c r="AP1579" s="75">
        <v>1</v>
      </c>
      <c r="AQ1579" s="75">
        <v>1</v>
      </c>
      <c r="AR1579" s="75">
        <v>1</v>
      </c>
      <c r="AS1579" s="95">
        <v>0.110069253262963</v>
      </c>
      <c r="AT1579" s="79">
        <v>4.7619047619047603E-2</v>
      </c>
      <c r="AU1579" s="79">
        <v>0</v>
      </c>
      <c r="AV1579" s="79">
        <v>8.3333333333333301E-2</v>
      </c>
      <c r="AW1579" s="79">
        <v>6.9230769230769207E-2</v>
      </c>
      <c r="AX1579" s="56"/>
      <c r="AY1579" s="54"/>
    </row>
    <row r="1580" spans="1:51">
      <c r="A1580" s="53"/>
      <c r="B1580" s="56"/>
      <c r="C1580" s="90" t="s">
        <v>1448</v>
      </c>
      <c r="D1580" s="230" t="s">
        <v>1757</v>
      </c>
      <c r="E1580" s="68" t="s">
        <v>1449</v>
      </c>
      <c r="F1580" s="106" t="s">
        <v>1605</v>
      </c>
      <c r="G1580" s="106" t="s">
        <v>1605</v>
      </c>
      <c r="H1580" s="106" t="s">
        <v>1605</v>
      </c>
      <c r="I1580" s="106" t="s">
        <v>1605</v>
      </c>
      <c r="J1580" s="70">
        <v>0.9</v>
      </c>
      <c r="K1580" s="71">
        <v>1</v>
      </c>
      <c r="L1580" s="71">
        <v>0.92500000000000004</v>
      </c>
      <c r="M1580" s="72">
        <v>0.97560975609756095</v>
      </c>
      <c r="N1580" s="71">
        <v>0.96171171171171199</v>
      </c>
      <c r="O1580" s="73">
        <v>0.9</v>
      </c>
      <c r="P1580" s="71">
        <v>0.93685249136655202</v>
      </c>
      <c r="Q1580" s="71">
        <v>0.92577104025091494</v>
      </c>
      <c r="R1580" s="71">
        <v>0.91349124613800203</v>
      </c>
      <c r="S1580" s="71">
        <v>0.89524546837876096</v>
      </c>
      <c r="T1580" s="73">
        <v>0.9</v>
      </c>
      <c r="U1580" s="71">
        <v>0.229896398618648</v>
      </c>
      <c r="V1580" s="71">
        <v>0.22791427077888099</v>
      </c>
      <c r="W1580" s="71">
        <v>0.29685890834191597</v>
      </c>
      <c r="X1580" s="71">
        <v>0.33583384500387098</v>
      </c>
      <c r="Y1580" s="73">
        <v>0.92</v>
      </c>
      <c r="Z1580" s="73" t="s">
        <v>1710</v>
      </c>
      <c r="AA1580" s="73" t="s">
        <v>1710</v>
      </c>
      <c r="AB1580" s="73" t="s">
        <v>1710</v>
      </c>
      <c r="AC1580" s="73" t="s">
        <v>1710</v>
      </c>
      <c r="AD1580" s="73">
        <v>0.92</v>
      </c>
      <c r="AE1580" s="71">
        <v>0.75</v>
      </c>
      <c r="AF1580" s="71">
        <v>0.47887323943662002</v>
      </c>
      <c r="AG1580" s="71">
        <v>0.44444444444444398</v>
      </c>
      <c r="AH1580" s="71">
        <v>0.79797979797979801</v>
      </c>
      <c r="AI1580" s="73">
        <v>0.92</v>
      </c>
      <c r="AJ1580" s="71">
        <v>0.90305870744943295</v>
      </c>
      <c r="AK1580" s="71">
        <v>0.89754312598013597</v>
      </c>
      <c r="AL1580" s="71">
        <v>0.90962924819773405</v>
      </c>
      <c r="AM1580" s="71">
        <v>0.88293867962305495</v>
      </c>
      <c r="AN1580" s="70">
        <v>0.99</v>
      </c>
      <c r="AO1580" s="75">
        <v>1</v>
      </c>
      <c r="AP1580" s="75">
        <v>1</v>
      </c>
      <c r="AQ1580" s="75">
        <v>1</v>
      </c>
      <c r="AR1580" s="75">
        <v>1</v>
      </c>
      <c r="AS1580" s="95">
        <v>0.110069253262963</v>
      </c>
      <c r="AT1580" s="79">
        <v>0.1</v>
      </c>
      <c r="AU1580" s="79">
        <v>0</v>
      </c>
      <c r="AV1580" s="79">
        <v>3.8461538461538498E-2</v>
      </c>
      <c r="AW1580" s="79">
        <v>7.0754716981132101E-2</v>
      </c>
      <c r="AX1580" s="56"/>
      <c r="AY1580" s="54"/>
    </row>
    <row r="1581" spans="1:51">
      <c r="A1581" s="53"/>
      <c r="B1581" s="56"/>
      <c r="C1581" s="90" t="s">
        <v>1448</v>
      </c>
      <c r="D1581" s="230" t="s">
        <v>1757</v>
      </c>
      <c r="E1581" s="68" t="s">
        <v>1449</v>
      </c>
      <c r="F1581" s="106" t="s">
        <v>1606</v>
      </c>
      <c r="G1581" s="106" t="s">
        <v>1606</v>
      </c>
      <c r="H1581" s="106" t="s">
        <v>1606</v>
      </c>
      <c r="I1581" s="106" t="s">
        <v>1606</v>
      </c>
      <c r="J1581" s="70">
        <v>0.9</v>
      </c>
      <c r="K1581" s="71">
        <v>1</v>
      </c>
      <c r="L1581" s="71">
        <v>0.97872340425531901</v>
      </c>
      <c r="M1581" s="72">
        <v>1</v>
      </c>
      <c r="N1581" s="71">
        <v>0.99032882011605405</v>
      </c>
      <c r="O1581" s="73">
        <v>0.9</v>
      </c>
      <c r="P1581" s="71">
        <v>0.98294051627385004</v>
      </c>
      <c r="Q1581" s="71">
        <v>0.97985675917636506</v>
      </c>
      <c r="R1581" s="71">
        <v>0.95888729801595396</v>
      </c>
      <c r="S1581" s="71">
        <v>0.97740264980832603</v>
      </c>
      <c r="T1581" s="73">
        <v>0.9</v>
      </c>
      <c r="U1581" s="71">
        <v>0.67250280583613897</v>
      </c>
      <c r="V1581" s="71">
        <v>0.68397493285586397</v>
      </c>
      <c r="W1581" s="71">
        <v>0.62446308038453702</v>
      </c>
      <c r="X1581" s="71">
        <v>0.725289752729392</v>
      </c>
      <c r="Y1581" s="73">
        <v>0.92</v>
      </c>
      <c r="Z1581" s="73">
        <v>1</v>
      </c>
      <c r="AA1581" s="73" t="s">
        <v>1710</v>
      </c>
      <c r="AB1581" s="73" t="s">
        <v>1710</v>
      </c>
      <c r="AC1581" s="73">
        <v>0.25</v>
      </c>
      <c r="AD1581" s="73">
        <v>0.92</v>
      </c>
      <c r="AE1581" s="71">
        <v>0.86666666666666703</v>
      </c>
      <c r="AF1581" s="71">
        <v>1</v>
      </c>
      <c r="AG1581" s="71">
        <v>1</v>
      </c>
      <c r="AH1581" s="71">
        <v>0.934782608695652</v>
      </c>
      <c r="AI1581" s="73">
        <v>0.92</v>
      </c>
      <c r="AJ1581" s="71">
        <v>0.92818671454219004</v>
      </c>
      <c r="AK1581" s="71">
        <v>0.93913627209666595</v>
      </c>
      <c r="AL1581" s="71">
        <v>0.93066066680302695</v>
      </c>
      <c r="AM1581" s="71">
        <v>0.94319913924504595</v>
      </c>
      <c r="AN1581" s="70">
        <v>0.99</v>
      </c>
      <c r="AO1581" s="75">
        <v>1</v>
      </c>
      <c r="AP1581" s="75">
        <v>1</v>
      </c>
      <c r="AQ1581" s="75">
        <v>1</v>
      </c>
      <c r="AR1581" s="75">
        <v>1</v>
      </c>
      <c r="AS1581" s="95">
        <v>0.110069253262963</v>
      </c>
      <c r="AT1581" s="79">
        <v>0.15</v>
      </c>
      <c r="AU1581" s="79">
        <v>0.1875</v>
      </c>
      <c r="AV1581" s="79">
        <v>0.08</v>
      </c>
      <c r="AW1581" s="79">
        <v>0.127962085308057</v>
      </c>
      <c r="AX1581" s="56"/>
      <c r="AY1581" s="54"/>
    </row>
    <row r="1582" spans="1:51">
      <c r="A1582" s="53"/>
      <c r="B1582" s="56"/>
      <c r="C1582" s="90" t="s">
        <v>1448</v>
      </c>
      <c r="D1582" s="230" t="s">
        <v>1757</v>
      </c>
      <c r="E1582" s="68" t="s">
        <v>1449</v>
      </c>
      <c r="F1582" s="106" t="s">
        <v>1607</v>
      </c>
      <c r="G1582" s="106" t="s">
        <v>1607</v>
      </c>
      <c r="H1582" s="106" t="s">
        <v>1607</v>
      </c>
      <c r="I1582" s="106" t="s">
        <v>1607</v>
      </c>
      <c r="J1582" s="70">
        <v>0.9</v>
      </c>
      <c r="K1582" s="71">
        <v>0.91891891891891897</v>
      </c>
      <c r="L1582" s="71">
        <v>0.95</v>
      </c>
      <c r="M1582" s="72">
        <v>1</v>
      </c>
      <c r="N1582" s="71">
        <v>0.97846889952153104</v>
      </c>
      <c r="O1582" s="73">
        <v>0.9</v>
      </c>
      <c r="P1582" s="71">
        <v>0.99880696731090401</v>
      </c>
      <c r="Q1582" s="71">
        <v>0.99635949943117197</v>
      </c>
      <c r="R1582" s="71">
        <v>0.99738415545590398</v>
      </c>
      <c r="S1582" s="71">
        <v>0.99789260068685603</v>
      </c>
      <c r="T1582" s="73">
        <v>0.9</v>
      </c>
      <c r="U1582" s="71">
        <v>0.93915533285611996</v>
      </c>
      <c r="V1582" s="71">
        <v>0.93174061433447097</v>
      </c>
      <c r="W1582" s="71">
        <v>0.94394618834080701</v>
      </c>
      <c r="X1582" s="71">
        <v>0.94507753148090301</v>
      </c>
      <c r="Y1582" s="73">
        <v>0.92</v>
      </c>
      <c r="Z1582" s="73" t="s">
        <v>1710</v>
      </c>
      <c r="AA1582" s="73" t="s">
        <v>1710</v>
      </c>
      <c r="AB1582" s="73" t="s">
        <v>1710</v>
      </c>
      <c r="AC1582" s="73" t="s">
        <v>1710</v>
      </c>
      <c r="AD1582" s="73">
        <v>0.92</v>
      </c>
      <c r="AE1582" s="71">
        <v>1</v>
      </c>
      <c r="AF1582" s="71">
        <v>1</v>
      </c>
      <c r="AG1582" s="71">
        <v>1</v>
      </c>
      <c r="AH1582" s="71">
        <v>0.99776286353467603</v>
      </c>
      <c r="AI1582" s="73">
        <v>0.92</v>
      </c>
      <c r="AJ1582" s="71">
        <v>0.974469100453352</v>
      </c>
      <c r="AK1582" s="71">
        <v>0.98612059158134202</v>
      </c>
      <c r="AL1582" s="71">
        <v>0.98281016442451397</v>
      </c>
      <c r="AM1582" s="71">
        <v>0.98444166926839405</v>
      </c>
      <c r="AN1582" s="70">
        <v>0.99</v>
      </c>
      <c r="AO1582" s="75">
        <v>1</v>
      </c>
      <c r="AP1582" s="75">
        <v>1</v>
      </c>
      <c r="AQ1582" s="75">
        <v>1</v>
      </c>
      <c r="AR1582" s="75">
        <v>1</v>
      </c>
      <c r="AS1582" s="95">
        <v>0.110069253262963</v>
      </c>
      <c r="AT1582" s="79">
        <v>0.1875</v>
      </c>
      <c r="AU1582" s="79">
        <v>0</v>
      </c>
      <c r="AV1582" s="79">
        <v>0.11111111111111099</v>
      </c>
      <c r="AW1582" s="79">
        <v>8.6092715231788103E-2</v>
      </c>
      <c r="AX1582" s="56"/>
      <c r="AY1582" s="54"/>
    </row>
    <row r="1583" spans="1:51">
      <c r="A1583" s="53"/>
      <c r="B1583" s="56"/>
      <c r="C1583" s="90" t="s">
        <v>1448</v>
      </c>
      <c r="D1583" s="230" t="s">
        <v>1757</v>
      </c>
      <c r="E1583" s="68" t="s">
        <v>1449</v>
      </c>
      <c r="F1583" s="106" t="s">
        <v>1608</v>
      </c>
      <c r="G1583" s="106" t="s">
        <v>1608</v>
      </c>
      <c r="H1583" s="106" t="s">
        <v>1608</v>
      </c>
      <c r="I1583" s="106" t="s">
        <v>1608</v>
      </c>
      <c r="J1583" s="70">
        <v>0.9</v>
      </c>
      <c r="K1583" s="71">
        <v>0.84</v>
      </c>
      <c r="L1583" s="71">
        <v>0.92</v>
      </c>
      <c r="M1583" s="72">
        <v>1</v>
      </c>
      <c r="N1583" s="71">
        <v>0.92083333333333295</v>
      </c>
      <c r="O1583" s="73">
        <v>0.9</v>
      </c>
      <c r="P1583" s="71">
        <v>0.99665411961522399</v>
      </c>
      <c r="Q1583" s="71">
        <v>0.98980948161275994</v>
      </c>
      <c r="R1583" s="71">
        <v>0.92198142414860695</v>
      </c>
      <c r="S1583" s="71">
        <v>0.98556500607533404</v>
      </c>
      <c r="T1583" s="73">
        <v>0.9</v>
      </c>
      <c r="U1583" s="71">
        <v>0.69803429527394401</v>
      </c>
      <c r="V1583" s="71">
        <v>0.64864864864864902</v>
      </c>
      <c r="W1583" s="71">
        <v>0.65944272445820395</v>
      </c>
      <c r="X1583" s="71">
        <v>0.69302551640340204</v>
      </c>
      <c r="Y1583" s="73">
        <v>0.92</v>
      </c>
      <c r="Z1583" s="73" t="s">
        <v>1710</v>
      </c>
      <c r="AA1583" s="73" t="s">
        <v>1710</v>
      </c>
      <c r="AB1583" s="73" t="s">
        <v>1710</v>
      </c>
      <c r="AC1583" s="73" t="s">
        <v>1710</v>
      </c>
      <c r="AD1583" s="73">
        <v>0.92</v>
      </c>
      <c r="AE1583" s="71">
        <v>1</v>
      </c>
      <c r="AF1583" s="71">
        <v>1</v>
      </c>
      <c r="AG1583" s="71">
        <v>1</v>
      </c>
      <c r="AH1583" s="71">
        <v>0.98507462686567204</v>
      </c>
      <c r="AI1583" s="73">
        <v>0.92</v>
      </c>
      <c r="AJ1583" s="71">
        <v>0.77373483897950601</v>
      </c>
      <c r="AK1583" s="71">
        <v>0.79264510412051403</v>
      </c>
      <c r="AL1583" s="71">
        <v>0.80681114551083599</v>
      </c>
      <c r="AM1583" s="71">
        <v>0.80379100850546803</v>
      </c>
      <c r="AN1583" s="70">
        <v>0.99</v>
      </c>
      <c r="AO1583" s="75">
        <v>1</v>
      </c>
      <c r="AP1583" s="75">
        <v>1</v>
      </c>
      <c r="AQ1583" s="75" t="s">
        <v>1710</v>
      </c>
      <c r="AR1583" s="75">
        <v>1</v>
      </c>
      <c r="AS1583" s="95">
        <v>0.110069253262963</v>
      </c>
      <c r="AT1583" s="79">
        <v>0.1</v>
      </c>
      <c r="AU1583" s="79">
        <v>7.69230769230769E-2</v>
      </c>
      <c r="AV1583" s="79">
        <v>0</v>
      </c>
      <c r="AW1583" s="79">
        <v>0.11336032388664</v>
      </c>
      <c r="AX1583" s="56"/>
      <c r="AY1583" s="54"/>
    </row>
    <row r="1584" spans="1:51">
      <c r="A1584" s="53"/>
      <c r="B1584" s="56"/>
      <c r="C1584" s="90" t="s">
        <v>1448</v>
      </c>
      <c r="D1584" s="230" t="s">
        <v>1757</v>
      </c>
      <c r="E1584" s="68" t="s">
        <v>1449</v>
      </c>
      <c r="F1584" s="106" t="s">
        <v>1609</v>
      </c>
      <c r="G1584" s="106" t="s">
        <v>1609</v>
      </c>
      <c r="H1584" s="106" t="s">
        <v>1609</v>
      </c>
      <c r="I1584" s="106" t="s">
        <v>1609</v>
      </c>
      <c r="J1584" s="70">
        <v>0.9</v>
      </c>
      <c r="K1584" s="71">
        <v>0.95652173913043503</v>
      </c>
      <c r="L1584" s="71">
        <v>1</v>
      </c>
      <c r="M1584" s="72">
        <v>1</v>
      </c>
      <c r="N1584" s="71">
        <v>0.99270072992700698</v>
      </c>
      <c r="O1584" s="73">
        <v>0.9</v>
      </c>
      <c r="P1584" s="71">
        <v>0.95918367346938804</v>
      </c>
      <c r="Q1584" s="71">
        <v>0.97491289198606301</v>
      </c>
      <c r="R1584" s="71">
        <v>0.98144823459006603</v>
      </c>
      <c r="S1584" s="71">
        <v>0.96760973030142805</v>
      </c>
      <c r="T1584" s="73">
        <v>0.9</v>
      </c>
      <c r="U1584" s="71">
        <v>0.77130852340936396</v>
      </c>
      <c r="V1584" s="71">
        <v>0.78675958188153305</v>
      </c>
      <c r="W1584" s="71">
        <v>0.67624177139437502</v>
      </c>
      <c r="X1584" s="71">
        <v>0.76791380222104699</v>
      </c>
      <c r="Y1584" s="73">
        <v>0.92</v>
      </c>
      <c r="Z1584" s="73">
        <v>0.84705882352941197</v>
      </c>
      <c r="AA1584" s="73">
        <v>0.90588235294117603</v>
      </c>
      <c r="AB1584" s="73">
        <v>0.76425531914893596</v>
      </c>
      <c r="AC1584" s="73">
        <v>0.86751491053677898</v>
      </c>
      <c r="AD1584" s="73">
        <v>0.92</v>
      </c>
      <c r="AE1584" s="71">
        <v>0.97260273972602695</v>
      </c>
      <c r="AF1584" s="71">
        <v>0.97826086956521696</v>
      </c>
      <c r="AG1584" s="71">
        <v>0.6</v>
      </c>
      <c r="AH1584" s="71">
        <v>0.91194029850746305</v>
      </c>
      <c r="AI1584" s="73">
        <v>0.92</v>
      </c>
      <c r="AJ1584" s="71">
        <v>0.89061467283542595</v>
      </c>
      <c r="AK1584" s="71">
        <v>0.93866666666666698</v>
      </c>
      <c r="AL1584" s="71">
        <v>0.814827828531272</v>
      </c>
      <c r="AM1584" s="71">
        <v>0.90312218011189305</v>
      </c>
      <c r="AN1584" s="70">
        <v>0.99</v>
      </c>
      <c r="AO1584" s="75">
        <v>1</v>
      </c>
      <c r="AP1584" s="75">
        <v>1</v>
      </c>
      <c r="AQ1584" s="75">
        <v>1</v>
      </c>
      <c r="AR1584" s="75">
        <v>1</v>
      </c>
      <c r="AS1584" s="95">
        <v>0.110069253262963</v>
      </c>
      <c r="AT1584" s="79">
        <v>0</v>
      </c>
      <c r="AU1584" s="79">
        <v>0.28571428571428598</v>
      </c>
      <c r="AV1584" s="79">
        <v>0</v>
      </c>
      <c r="AW1584" s="79">
        <v>5.7142857142857099E-2</v>
      </c>
      <c r="AX1584" s="56"/>
      <c r="AY1584" s="54"/>
    </row>
    <row r="1585" spans="1:51">
      <c r="A1585" s="53"/>
      <c r="B1585" s="56"/>
      <c r="C1585" s="90" t="s">
        <v>1448</v>
      </c>
      <c r="D1585" s="230" t="s">
        <v>1757</v>
      </c>
      <c r="E1585" s="68" t="s">
        <v>1449</v>
      </c>
      <c r="F1585" s="106" t="s">
        <v>1610</v>
      </c>
      <c r="G1585" s="106" t="s">
        <v>1610</v>
      </c>
      <c r="H1585" s="106" t="s">
        <v>1610</v>
      </c>
      <c r="I1585" s="106" t="s">
        <v>1610</v>
      </c>
      <c r="J1585" s="70">
        <v>0.9</v>
      </c>
      <c r="K1585" s="71">
        <v>0.565217391304348</v>
      </c>
      <c r="L1585" s="71">
        <v>0.565217391304348</v>
      </c>
      <c r="M1585" s="72">
        <v>0.8</v>
      </c>
      <c r="N1585" s="71">
        <v>0.65492957746478897</v>
      </c>
      <c r="O1585" s="73">
        <v>0.9</v>
      </c>
      <c r="P1585" s="71" t="s">
        <v>1710</v>
      </c>
      <c r="Q1585" s="71">
        <v>0</v>
      </c>
      <c r="R1585" s="71">
        <v>0</v>
      </c>
      <c r="S1585" s="71">
        <v>0</v>
      </c>
      <c r="T1585" s="73">
        <v>0.9</v>
      </c>
      <c r="U1585" s="71" t="s">
        <v>1710</v>
      </c>
      <c r="V1585" s="71">
        <v>0</v>
      </c>
      <c r="W1585" s="71">
        <v>0</v>
      </c>
      <c r="X1585" s="71">
        <v>0</v>
      </c>
      <c r="Y1585" s="73">
        <v>0.92</v>
      </c>
      <c r="Z1585" s="73" t="s">
        <v>1710</v>
      </c>
      <c r="AA1585" s="73" t="s">
        <v>1710</v>
      </c>
      <c r="AB1585" s="73" t="s">
        <v>1710</v>
      </c>
      <c r="AC1585" s="73" t="s">
        <v>1710</v>
      </c>
      <c r="AD1585" s="73">
        <v>0.92</v>
      </c>
      <c r="AE1585" s="71">
        <v>0</v>
      </c>
      <c r="AF1585" s="71">
        <v>0</v>
      </c>
      <c r="AG1585" s="71">
        <v>0</v>
      </c>
      <c r="AH1585" s="71">
        <v>8.6956521739130405E-2</v>
      </c>
      <c r="AI1585" s="73">
        <v>0.92</v>
      </c>
      <c r="AJ1585" s="71">
        <v>0.84339457567803999</v>
      </c>
      <c r="AK1585" s="71">
        <v>0.87937131630648302</v>
      </c>
      <c r="AL1585" s="71">
        <v>0.90652173913043499</v>
      </c>
      <c r="AM1585" s="71">
        <v>0.90855245445571198</v>
      </c>
      <c r="AN1585" s="70">
        <v>0.99</v>
      </c>
      <c r="AO1585" s="75">
        <v>1</v>
      </c>
      <c r="AP1585" s="75">
        <v>1</v>
      </c>
      <c r="AQ1585" s="75" t="s">
        <v>1710</v>
      </c>
      <c r="AR1585" s="75">
        <v>1</v>
      </c>
      <c r="AS1585" s="95">
        <v>0.110069253262963</v>
      </c>
      <c r="AT1585" s="79">
        <v>9.5238095238095205E-2</v>
      </c>
      <c r="AU1585" s="79">
        <v>9.0909090909090898E-2</v>
      </c>
      <c r="AV1585" s="79">
        <v>0.11764705882352899</v>
      </c>
      <c r="AW1585" s="79">
        <v>0.182608695652174</v>
      </c>
      <c r="AX1585" s="56"/>
      <c r="AY1585" s="54"/>
    </row>
    <row r="1586" spans="1:51">
      <c r="A1586" s="53"/>
      <c r="B1586" s="56"/>
      <c r="C1586" s="90" t="s">
        <v>1448</v>
      </c>
      <c r="D1586" s="230" t="s">
        <v>1757</v>
      </c>
      <c r="E1586" s="68" t="s">
        <v>1449</v>
      </c>
      <c r="F1586" s="106" t="s">
        <v>1611</v>
      </c>
      <c r="G1586" s="106" t="s">
        <v>1611</v>
      </c>
      <c r="H1586" s="106" t="s">
        <v>1611</v>
      </c>
      <c r="I1586" s="106" t="s">
        <v>1611</v>
      </c>
      <c r="J1586" s="70">
        <v>0.9</v>
      </c>
      <c r="K1586" s="71">
        <v>1</v>
      </c>
      <c r="L1586" s="71">
        <v>1</v>
      </c>
      <c r="M1586" s="72">
        <v>0.94444444444444398</v>
      </c>
      <c r="N1586" s="71">
        <v>0.97326203208556195</v>
      </c>
      <c r="O1586" s="73">
        <v>0.9</v>
      </c>
      <c r="P1586" s="71">
        <v>0.99939024390243902</v>
      </c>
      <c r="Q1586" s="71">
        <v>0.997949769349052</v>
      </c>
      <c r="R1586" s="71">
        <v>0.99418604651162801</v>
      </c>
      <c r="S1586" s="71">
        <v>0.99534883720930201</v>
      </c>
      <c r="T1586" s="73">
        <v>0.9</v>
      </c>
      <c r="U1586" s="71">
        <v>0.94817073170731703</v>
      </c>
      <c r="V1586" s="71">
        <v>0.95540748334187597</v>
      </c>
      <c r="W1586" s="71">
        <v>0.872674418604651</v>
      </c>
      <c r="X1586" s="71">
        <v>0.93270980788675395</v>
      </c>
      <c r="Y1586" s="73">
        <v>0.92</v>
      </c>
      <c r="Z1586" s="73" t="s">
        <v>1710</v>
      </c>
      <c r="AA1586" s="73" t="s">
        <v>1710</v>
      </c>
      <c r="AB1586" s="73" t="s">
        <v>1710</v>
      </c>
      <c r="AC1586" s="73" t="s">
        <v>1710</v>
      </c>
      <c r="AD1586" s="73">
        <v>0.92</v>
      </c>
      <c r="AE1586" s="71">
        <v>0.34567901234567899</v>
      </c>
      <c r="AF1586" s="71">
        <v>0.42857142857142899</v>
      </c>
      <c r="AG1586" s="71">
        <v>0.24</v>
      </c>
      <c r="AH1586" s="71">
        <v>0.34295415959253001</v>
      </c>
      <c r="AI1586" s="73">
        <v>0.92</v>
      </c>
      <c r="AJ1586" s="71">
        <v>0.97378048780487803</v>
      </c>
      <c r="AK1586" s="71">
        <v>0.99231163505894404</v>
      </c>
      <c r="AL1586" s="71">
        <v>0.97499999999999998</v>
      </c>
      <c r="AM1586" s="71">
        <v>0.98336787826702399</v>
      </c>
      <c r="AN1586" s="70">
        <v>0.99</v>
      </c>
      <c r="AO1586" s="75">
        <v>1</v>
      </c>
      <c r="AP1586" s="75">
        <v>1</v>
      </c>
      <c r="AQ1586" s="75">
        <v>1</v>
      </c>
      <c r="AR1586" s="75">
        <v>1</v>
      </c>
      <c r="AS1586" s="95">
        <v>0.110069253262963</v>
      </c>
      <c r="AT1586" s="79">
        <v>0.11111111111111099</v>
      </c>
      <c r="AU1586" s="79">
        <v>0.11111111111111099</v>
      </c>
      <c r="AV1586" s="79">
        <v>0</v>
      </c>
      <c r="AW1586" s="79">
        <v>4.08163265306122E-2</v>
      </c>
      <c r="AX1586" s="56"/>
      <c r="AY1586" s="54"/>
    </row>
    <row r="1587" spans="1:51">
      <c r="A1587" s="53"/>
      <c r="B1587" s="56"/>
      <c r="C1587" s="90" t="s">
        <v>1448</v>
      </c>
      <c r="D1587" s="230" t="s">
        <v>1757</v>
      </c>
      <c r="E1587" s="68" t="s">
        <v>1449</v>
      </c>
      <c r="F1587" s="106" t="s">
        <v>1612</v>
      </c>
      <c r="G1587" s="106" t="s">
        <v>1612</v>
      </c>
      <c r="H1587" s="106" t="s">
        <v>1612</v>
      </c>
      <c r="I1587" s="106" t="s">
        <v>1612</v>
      </c>
      <c r="J1587" s="70">
        <v>0.9</v>
      </c>
      <c r="K1587" s="71">
        <v>0.41666666666666702</v>
      </c>
      <c r="L1587" s="71">
        <v>0.5</v>
      </c>
      <c r="M1587" s="72">
        <v>0.34285714285714303</v>
      </c>
      <c r="N1587" s="71">
        <v>0.408415841584158</v>
      </c>
      <c r="O1587" s="73">
        <v>0.9</v>
      </c>
      <c r="P1587" s="71">
        <v>0.96466942148760304</v>
      </c>
      <c r="Q1587" s="71">
        <v>0.95490158608828601</v>
      </c>
      <c r="R1587" s="71">
        <v>0.98868778280543002</v>
      </c>
      <c r="S1587" s="71">
        <v>0.97457285982646003</v>
      </c>
      <c r="T1587" s="73">
        <v>0.9</v>
      </c>
      <c r="U1587" s="71">
        <v>0.80516528925619801</v>
      </c>
      <c r="V1587" s="71">
        <v>0.81234473533346097</v>
      </c>
      <c r="W1587" s="71">
        <v>0.91693600517129903</v>
      </c>
      <c r="X1587" s="71">
        <v>0.88634940513462701</v>
      </c>
      <c r="Y1587" s="73">
        <v>0.92</v>
      </c>
      <c r="Z1587" s="73" t="s">
        <v>1710</v>
      </c>
      <c r="AA1587" s="73" t="s">
        <v>1710</v>
      </c>
      <c r="AB1587" s="73" t="s">
        <v>1710</v>
      </c>
      <c r="AC1587" s="73">
        <v>0</v>
      </c>
      <c r="AD1587" s="73">
        <v>0.92</v>
      </c>
      <c r="AE1587" s="71">
        <v>0.97590361445783103</v>
      </c>
      <c r="AF1587" s="71">
        <v>1</v>
      </c>
      <c r="AG1587" s="71">
        <v>0.99183673469387801</v>
      </c>
      <c r="AH1587" s="71">
        <v>0.958968347010551</v>
      </c>
      <c r="AI1587" s="73">
        <v>0.92</v>
      </c>
      <c r="AJ1587" s="71">
        <v>0.90433884297520695</v>
      </c>
      <c r="AK1587" s="71">
        <v>0.92241544047391599</v>
      </c>
      <c r="AL1587" s="71">
        <v>0.95151906916612805</v>
      </c>
      <c r="AM1587" s="71">
        <v>0.95690773290397602</v>
      </c>
      <c r="AN1587" s="70">
        <v>0.99</v>
      </c>
      <c r="AO1587" s="75">
        <v>1</v>
      </c>
      <c r="AP1587" s="75">
        <v>1</v>
      </c>
      <c r="AQ1587" s="75">
        <v>1</v>
      </c>
      <c r="AR1587" s="75">
        <v>1</v>
      </c>
      <c r="AS1587" s="95">
        <v>0.110069253262963</v>
      </c>
      <c r="AT1587" s="79">
        <v>0.19230769230769201</v>
      </c>
      <c r="AU1587" s="79">
        <v>0.125</v>
      </c>
      <c r="AV1587" s="79">
        <v>5.7142857142857099E-2</v>
      </c>
      <c r="AW1587" s="79">
        <v>0.11683848797250899</v>
      </c>
      <c r="AX1587" s="56"/>
      <c r="AY1587" s="54"/>
    </row>
    <row r="1588" spans="1:51">
      <c r="A1588" s="53"/>
      <c r="B1588" s="56"/>
      <c r="C1588" s="90" t="s">
        <v>1448</v>
      </c>
      <c r="D1588" s="230" t="s">
        <v>1757</v>
      </c>
      <c r="E1588" s="68" t="s">
        <v>1449</v>
      </c>
      <c r="F1588" s="106" t="s">
        <v>1613</v>
      </c>
      <c r="G1588" s="106" t="s">
        <v>1613</v>
      </c>
      <c r="H1588" s="106" t="s">
        <v>1613</v>
      </c>
      <c r="I1588" s="106" t="s">
        <v>1613</v>
      </c>
      <c r="J1588" s="70">
        <v>0.9</v>
      </c>
      <c r="K1588" s="71">
        <v>0.78947368421052599</v>
      </c>
      <c r="L1588" s="71">
        <v>0.84210526315789502</v>
      </c>
      <c r="M1588" s="72">
        <v>0.65</v>
      </c>
      <c r="N1588" s="71">
        <v>0.74654377880184297</v>
      </c>
      <c r="O1588" s="73">
        <v>0.9</v>
      </c>
      <c r="P1588" s="71" t="s">
        <v>1710</v>
      </c>
      <c r="Q1588" s="71" t="s">
        <v>1710</v>
      </c>
      <c r="R1588" s="71" t="s">
        <v>1710</v>
      </c>
      <c r="S1588" s="71" t="s">
        <v>1710</v>
      </c>
      <c r="T1588" s="73">
        <v>0.9</v>
      </c>
      <c r="U1588" s="71" t="s">
        <v>1710</v>
      </c>
      <c r="V1588" s="71" t="s">
        <v>1710</v>
      </c>
      <c r="W1588" s="71" t="s">
        <v>1710</v>
      </c>
      <c r="X1588" s="71" t="s">
        <v>1710</v>
      </c>
      <c r="Y1588" s="73">
        <v>0.92</v>
      </c>
      <c r="Z1588" s="73" t="s">
        <v>1710</v>
      </c>
      <c r="AA1588" s="73" t="s">
        <v>1710</v>
      </c>
      <c r="AB1588" s="73" t="s">
        <v>1710</v>
      </c>
      <c r="AC1588" s="73" t="s">
        <v>1710</v>
      </c>
      <c r="AD1588" s="73">
        <v>0.92</v>
      </c>
      <c r="AE1588" s="71">
        <v>0</v>
      </c>
      <c r="AF1588" s="71">
        <v>0</v>
      </c>
      <c r="AG1588" s="71">
        <v>0.2</v>
      </c>
      <c r="AH1588" s="71">
        <v>0.19672131147541</v>
      </c>
      <c r="AI1588" s="73">
        <v>0.92</v>
      </c>
      <c r="AJ1588" s="71">
        <v>0.94752623688155901</v>
      </c>
      <c r="AK1588" s="71">
        <v>0.94308405029781595</v>
      </c>
      <c r="AL1588" s="71">
        <v>0.975103734439834</v>
      </c>
      <c r="AM1588" s="71">
        <v>0.96841155234656995</v>
      </c>
      <c r="AN1588" s="70">
        <v>0.99</v>
      </c>
      <c r="AO1588" s="75">
        <v>1</v>
      </c>
      <c r="AP1588" s="75">
        <v>1</v>
      </c>
      <c r="AQ1588" s="75">
        <v>1</v>
      </c>
      <c r="AR1588" s="75">
        <v>1</v>
      </c>
      <c r="AS1588" s="95">
        <v>0.110069253262963</v>
      </c>
      <c r="AT1588" s="79">
        <v>0</v>
      </c>
      <c r="AU1588" s="79">
        <v>0.1875</v>
      </c>
      <c r="AV1588" s="79">
        <v>0</v>
      </c>
      <c r="AW1588" s="79">
        <v>6.8292682926829301E-2</v>
      </c>
      <c r="AX1588" s="56"/>
      <c r="AY1588" s="54"/>
    </row>
    <row r="1589" spans="1:51">
      <c r="A1589" s="53"/>
      <c r="B1589" s="56"/>
      <c r="C1589" s="90" t="s">
        <v>1448</v>
      </c>
      <c r="D1589" s="230" t="s">
        <v>1757</v>
      </c>
      <c r="E1589" s="68" t="s">
        <v>1449</v>
      </c>
      <c r="F1589" s="106" t="s">
        <v>1614</v>
      </c>
      <c r="G1589" s="106" t="s">
        <v>1614</v>
      </c>
      <c r="H1589" s="106" t="s">
        <v>1614</v>
      </c>
      <c r="I1589" s="106" t="s">
        <v>1614</v>
      </c>
      <c r="J1589" s="70">
        <v>0.9</v>
      </c>
      <c r="K1589" s="71">
        <v>0.52631578947368396</v>
      </c>
      <c r="L1589" s="71">
        <v>0.72222222222222199</v>
      </c>
      <c r="M1589" s="72">
        <v>0.66666666666666696</v>
      </c>
      <c r="N1589" s="71">
        <v>0.657407407407407</v>
      </c>
      <c r="O1589" s="73">
        <v>0.9</v>
      </c>
      <c r="P1589" s="71" t="s">
        <v>1710</v>
      </c>
      <c r="Q1589" s="71">
        <v>0</v>
      </c>
      <c r="R1589" s="71" t="s">
        <v>1710</v>
      </c>
      <c r="S1589" s="71">
        <v>0</v>
      </c>
      <c r="T1589" s="73">
        <v>0.9</v>
      </c>
      <c r="U1589" s="71" t="s">
        <v>1710</v>
      </c>
      <c r="V1589" s="71">
        <v>0</v>
      </c>
      <c r="W1589" s="71" t="s">
        <v>1710</v>
      </c>
      <c r="X1589" s="71">
        <v>0</v>
      </c>
      <c r="Y1589" s="73">
        <v>0.92</v>
      </c>
      <c r="Z1589" s="73" t="s">
        <v>1710</v>
      </c>
      <c r="AA1589" s="73" t="s">
        <v>1710</v>
      </c>
      <c r="AB1589" s="73" t="s">
        <v>1710</v>
      </c>
      <c r="AC1589" s="73" t="s">
        <v>1710</v>
      </c>
      <c r="AD1589" s="73">
        <v>0.92</v>
      </c>
      <c r="AE1589" s="71">
        <v>1</v>
      </c>
      <c r="AF1589" s="71">
        <v>0.2</v>
      </c>
      <c r="AG1589" s="71">
        <v>0</v>
      </c>
      <c r="AH1589" s="71">
        <v>0.22368421052631601</v>
      </c>
      <c r="AI1589" s="73">
        <v>0.92</v>
      </c>
      <c r="AJ1589" s="71">
        <v>0.71504761904761904</v>
      </c>
      <c r="AK1589" s="71">
        <v>0.64290962527553297</v>
      </c>
      <c r="AL1589" s="71">
        <v>0.69222689075630295</v>
      </c>
      <c r="AM1589" s="71">
        <v>0.72467151086179005</v>
      </c>
      <c r="AN1589" s="70">
        <v>0.99</v>
      </c>
      <c r="AO1589" s="75" t="s">
        <v>1710</v>
      </c>
      <c r="AP1589" s="75">
        <v>1</v>
      </c>
      <c r="AQ1589" s="75" t="s">
        <v>1710</v>
      </c>
      <c r="AR1589" s="75">
        <v>1</v>
      </c>
      <c r="AS1589" s="95">
        <v>0.110069253262963</v>
      </c>
      <c r="AT1589" s="79">
        <v>9.6774193548387094E-2</v>
      </c>
      <c r="AU1589" s="79">
        <v>0.1</v>
      </c>
      <c r="AV1589" s="79">
        <v>0.11111111111111099</v>
      </c>
      <c r="AW1589" s="79">
        <v>8.7248322147651006E-2</v>
      </c>
      <c r="AX1589" s="56"/>
      <c r="AY1589" s="54"/>
    </row>
    <row r="1590" spans="1:51">
      <c r="A1590" s="53"/>
      <c r="B1590" s="56"/>
      <c r="C1590" s="90" t="s">
        <v>1448</v>
      </c>
      <c r="D1590" s="230" t="s">
        <v>1757</v>
      </c>
      <c r="E1590" s="68" t="s">
        <v>1449</v>
      </c>
      <c r="F1590" s="106" t="s">
        <v>1615</v>
      </c>
      <c r="G1590" s="106" t="s">
        <v>1615</v>
      </c>
      <c r="H1590" s="106" t="s">
        <v>1615</v>
      </c>
      <c r="I1590" s="106" t="s">
        <v>1615</v>
      </c>
      <c r="J1590" s="70">
        <v>0.9</v>
      </c>
      <c r="K1590" s="71">
        <v>1</v>
      </c>
      <c r="L1590" s="71">
        <v>1</v>
      </c>
      <c r="M1590" s="72">
        <v>1</v>
      </c>
      <c r="N1590" s="71">
        <v>0.99724517906336096</v>
      </c>
      <c r="O1590" s="73">
        <v>0.9</v>
      </c>
      <c r="P1590" s="71">
        <v>0.99807938540332897</v>
      </c>
      <c r="Q1590" s="71">
        <v>0.99634626194491305</v>
      </c>
      <c r="R1590" s="71">
        <v>0.99906249999999996</v>
      </c>
      <c r="S1590" s="71">
        <v>0.99569334474641602</v>
      </c>
      <c r="T1590" s="73">
        <v>0.9</v>
      </c>
      <c r="U1590" s="71">
        <v>0.94622279129321396</v>
      </c>
      <c r="V1590" s="71">
        <v>0.89825744800449703</v>
      </c>
      <c r="W1590" s="71">
        <v>0.91874999999999996</v>
      </c>
      <c r="X1590" s="71">
        <v>0.92210571367429905</v>
      </c>
      <c r="Y1590" s="73">
        <v>0.92</v>
      </c>
      <c r="Z1590" s="73" t="s">
        <v>1710</v>
      </c>
      <c r="AA1590" s="73" t="s">
        <v>1710</v>
      </c>
      <c r="AB1590" s="73" t="s">
        <v>1710</v>
      </c>
      <c r="AC1590" s="73" t="s">
        <v>1710</v>
      </c>
      <c r="AD1590" s="73">
        <v>0.92</v>
      </c>
      <c r="AE1590" s="71">
        <v>0.99381443298969097</v>
      </c>
      <c r="AF1590" s="71">
        <v>0.99393939393939401</v>
      </c>
      <c r="AG1590" s="71">
        <v>1</v>
      </c>
      <c r="AH1590" s="71">
        <v>0.99559633027522898</v>
      </c>
      <c r="AI1590" s="73">
        <v>0.92</v>
      </c>
      <c r="AJ1590" s="71">
        <v>0.971830985915493</v>
      </c>
      <c r="AK1590" s="71">
        <v>0.97358066329398496</v>
      </c>
      <c r="AL1590" s="71">
        <v>0.97343749999999996</v>
      </c>
      <c r="AM1590" s="71">
        <v>0.97734385448709404</v>
      </c>
      <c r="AN1590" s="70">
        <v>0.99</v>
      </c>
      <c r="AO1590" s="75">
        <v>1</v>
      </c>
      <c r="AP1590" s="75">
        <v>1</v>
      </c>
      <c r="AQ1590" s="75">
        <v>1</v>
      </c>
      <c r="AR1590" s="75">
        <v>1</v>
      </c>
      <c r="AS1590" s="95">
        <v>0.110069253262963</v>
      </c>
      <c r="AT1590" s="79">
        <v>0.16666666666666699</v>
      </c>
      <c r="AU1590" s="79">
        <v>0.11111111111111099</v>
      </c>
      <c r="AV1590" s="79">
        <v>5.7142857142857099E-2</v>
      </c>
      <c r="AW1590" s="79">
        <v>8.8685015290519906E-2</v>
      </c>
      <c r="AX1590" s="56"/>
      <c r="AY1590" s="54"/>
    </row>
    <row r="1591" spans="1:51">
      <c r="A1591" s="53"/>
      <c r="B1591" s="56"/>
      <c r="C1591" s="90" t="s">
        <v>1448</v>
      </c>
      <c r="D1591" s="230" t="s">
        <v>1757</v>
      </c>
      <c r="E1591" s="68" t="s">
        <v>1449</v>
      </c>
      <c r="F1591" s="106" t="s">
        <v>1616</v>
      </c>
      <c r="G1591" s="106" t="s">
        <v>1616</v>
      </c>
      <c r="H1591" s="106" t="s">
        <v>1616</v>
      </c>
      <c r="I1591" s="106" t="s">
        <v>1616</v>
      </c>
      <c r="J1591" s="70">
        <v>0.9</v>
      </c>
      <c r="K1591" s="71">
        <v>0.95833333333333304</v>
      </c>
      <c r="L1591" s="71">
        <v>0.95833333333333304</v>
      </c>
      <c r="M1591" s="72">
        <v>0.95</v>
      </c>
      <c r="N1591" s="71">
        <v>0.96850393700787396</v>
      </c>
      <c r="O1591" s="73">
        <v>0.9</v>
      </c>
      <c r="P1591" s="71">
        <v>0.99043659043659005</v>
      </c>
      <c r="Q1591" s="71">
        <v>0.97843478260869599</v>
      </c>
      <c r="R1591" s="71">
        <v>0.93436754176611003</v>
      </c>
      <c r="S1591" s="71">
        <v>0.980488299743</v>
      </c>
      <c r="T1591" s="73">
        <v>0.9</v>
      </c>
      <c r="U1591" s="71">
        <v>0.91143451143451104</v>
      </c>
      <c r="V1591" s="71">
        <v>0.88660869565217404</v>
      </c>
      <c r="W1591" s="71">
        <v>0.86634844868735095</v>
      </c>
      <c r="X1591" s="71">
        <v>0.90453807655890694</v>
      </c>
      <c r="Y1591" s="73">
        <v>0.92</v>
      </c>
      <c r="Z1591" s="73" t="s">
        <v>1710</v>
      </c>
      <c r="AA1591" s="73" t="s">
        <v>1710</v>
      </c>
      <c r="AB1591" s="73" t="s">
        <v>1710</v>
      </c>
      <c r="AC1591" s="73" t="s">
        <v>1710</v>
      </c>
      <c r="AD1591" s="73">
        <v>0.92</v>
      </c>
      <c r="AE1591" s="71">
        <v>1</v>
      </c>
      <c r="AF1591" s="71">
        <v>0.68360277136258696</v>
      </c>
      <c r="AG1591" s="71">
        <v>0.21590909090909099</v>
      </c>
      <c r="AH1591" s="71">
        <v>0.88956916099773198</v>
      </c>
      <c r="AI1591" s="73">
        <v>0.92</v>
      </c>
      <c r="AJ1591" s="71">
        <v>0.95675675675675698</v>
      </c>
      <c r="AK1591" s="71">
        <v>0.97286956521739099</v>
      </c>
      <c r="AL1591" s="71">
        <v>0.94988066825775697</v>
      </c>
      <c r="AM1591" s="71">
        <v>0.96757067496280302</v>
      </c>
      <c r="AN1591" s="70">
        <v>0.99</v>
      </c>
      <c r="AO1591" s="75">
        <v>1</v>
      </c>
      <c r="AP1591" s="75">
        <v>1</v>
      </c>
      <c r="AQ1591" s="75">
        <v>1</v>
      </c>
      <c r="AR1591" s="75">
        <v>1</v>
      </c>
      <c r="AS1591" s="95">
        <v>0.110069253262963</v>
      </c>
      <c r="AT1591" s="79">
        <v>0</v>
      </c>
      <c r="AU1591" s="79">
        <v>7.1428571428571397E-2</v>
      </c>
      <c r="AV1591" s="79">
        <v>0.05</v>
      </c>
      <c r="AW1591" s="79">
        <v>5.7915057915057903E-2</v>
      </c>
      <c r="AX1591" s="56"/>
      <c r="AY1591" s="54"/>
    </row>
    <row r="1592" spans="1:51">
      <c r="A1592" s="53"/>
      <c r="B1592" s="56"/>
      <c r="C1592" s="90" t="s">
        <v>1448</v>
      </c>
      <c r="D1592" s="230" t="s">
        <v>1757</v>
      </c>
      <c r="E1592" s="68" t="s">
        <v>1449</v>
      </c>
      <c r="F1592" s="106" t="s">
        <v>1617</v>
      </c>
      <c r="G1592" s="106" t="s">
        <v>1617</v>
      </c>
      <c r="H1592" s="106" t="s">
        <v>1617</v>
      </c>
      <c r="I1592" s="106" t="s">
        <v>1617</v>
      </c>
      <c r="J1592" s="70">
        <v>0.9</v>
      </c>
      <c r="K1592" s="71">
        <v>0.98076923076923095</v>
      </c>
      <c r="L1592" s="71">
        <v>1</v>
      </c>
      <c r="M1592" s="72">
        <v>0.97777777777777797</v>
      </c>
      <c r="N1592" s="71">
        <v>0.98481973434535097</v>
      </c>
      <c r="O1592" s="73">
        <v>0.9</v>
      </c>
      <c r="P1592" s="71">
        <v>0.96840390879478799</v>
      </c>
      <c r="Q1592" s="71">
        <v>0.97048677654273696</v>
      </c>
      <c r="R1592" s="71">
        <v>0.96718797914750099</v>
      </c>
      <c r="S1592" s="71">
        <v>0.97074771689497696</v>
      </c>
      <c r="T1592" s="73">
        <v>0.9</v>
      </c>
      <c r="U1592" s="71">
        <v>0.79055374592833905</v>
      </c>
      <c r="V1592" s="71">
        <v>0.73706400919892701</v>
      </c>
      <c r="W1592" s="71">
        <v>0.70407850352652601</v>
      </c>
      <c r="X1592" s="71">
        <v>0.75795519406392697</v>
      </c>
      <c r="Y1592" s="73">
        <v>0.92</v>
      </c>
      <c r="Z1592" s="73">
        <v>0.87959442332065896</v>
      </c>
      <c r="AA1592" s="73">
        <v>0.88671128107074604</v>
      </c>
      <c r="AB1592" s="73">
        <v>0.84348218313035594</v>
      </c>
      <c r="AC1592" s="73">
        <v>0.90125705148136603</v>
      </c>
      <c r="AD1592" s="73">
        <v>0.92</v>
      </c>
      <c r="AE1592" s="71">
        <v>0.662971175166297</v>
      </c>
      <c r="AF1592" s="71">
        <v>1</v>
      </c>
      <c r="AG1592" s="71">
        <v>1</v>
      </c>
      <c r="AH1592" s="71">
        <v>0.914299706170421</v>
      </c>
      <c r="AI1592" s="73">
        <v>0.92</v>
      </c>
      <c r="AJ1592" s="71">
        <v>0.91870516829133697</v>
      </c>
      <c r="AK1592" s="71">
        <v>0.91578051892811596</v>
      </c>
      <c r="AL1592" s="71">
        <v>0.88994342033217699</v>
      </c>
      <c r="AM1592" s="71">
        <v>0.92629080118694396</v>
      </c>
      <c r="AN1592" s="70">
        <v>0.99</v>
      </c>
      <c r="AO1592" s="75">
        <v>1</v>
      </c>
      <c r="AP1592" s="75">
        <v>1</v>
      </c>
      <c r="AQ1592" s="75">
        <v>1</v>
      </c>
      <c r="AR1592" s="75">
        <v>1</v>
      </c>
      <c r="AS1592" s="95">
        <v>0.110069253262963</v>
      </c>
      <c r="AT1592" s="79">
        <v>9.0909090909090898E-2</v>
      </c>
      <c r="AU1592" s="79">
        <v>5.2631578947368397E-2</v>
      </c>
      <c r="AV1592" s="79">
        <v>0.11764705882352899</v>
      </c>
      <c r="AW1592" s="79">
        <v>8.0568720379146905E-2</v>
      </c>
      <c r="AX1592" s="56"/>
      <c r="AY1592" s="54"/>
    </row>
    <row r="1593" spans="1:51">
      <c r="A1593" s="53"/>
      <c r="B1593" s="56"/>
      <c r="C1593" s="90" t="s">
        <v>1448</v>
      </c>
      <c r="D1593" s="230" t="s">
        <v>1757</v>
      </c>
      <c r="E1593" s="68" t="s">
        <v>1449</v>
      </c>
      <c r="F1593" s="106" t="s">
        <v>1618</v>
      </c>
      <c r="G1593" s="106" t="s">
        <v>1618</v>
      </c>
      <c r="H1593" s="106" t="s">
        <v>1618</v>
      </c>
      <c r="I1593" s="106" t="s">
        <v>1618</v>
      </c>
      <c r="J1593" s="70">
        <v>0.9</v>
      </c>
      <c r="K1593" s="71">
        <v>0.95652173913043503</v>
      </c>
      <c r="L1593" s="71">
        <v>1</v>
      </c>
      <c r="M1593" s="72">
        <v>1</v>
      </c>
      <c r="N1593" s="71">
        <v>0.977443609022556</v>
      </c>
      <c r="O1593" s="73">
        <v>0.9</v>
      </c>
      <c r="P1593" s="71">
        <v>0.95121951219512202</v>
      </c>
      <c r="Q1593" s="71">
        <v>0.94649313087491005</v>
      </c>
      <c r="R1593" s="71">
        <v>0.89113149847094797</v>
      </c>
      <c r="S1593" s="71">
        <v>0.95561052703909799</v>
      </c>
      <c r="T1593" s="73">
        <v>0.9</v>
      </c>
      <c r="U1593" s="71">
        <v>0.70801393728223005</v>
      </c>
      <c r="V1593" s="71">
        <v>0.72089660159074498</v>
      </c>
      <c r="W1593" s="71">
        <v>0.61712538226299696</v>
      </c>
      <c r="X1593" s="71">
        <v>0.71717171717171702</v>
      </c>
      <c r="Y1593" s="73">
        <v>0.92</v>
      </c>
      <c r="Z1593" s="73">
        <v>0.84873949579831898</v>
      </c>
      <c r="AA1593" s="73">
        <v>0.91228070175438603</v>
      </c>
      <c r="AB1593" s="73">
        <v>0.79759704251386299</v>
      </c>
      <c r="AC1593" s="73">
        <v>0.88121451918114602</v>
      </c>
      <c r="AD1593" s="73">
        <v>0.92</v>
      </c>
      <c r="AE1593" s="71">
        <v>1</v>
      </c>
      <c r="AF1593" s="71">
        <v>1</v>
      </c>
      <c r="AG1593" s="71">
        <v>8.8607594936708903E-2</v>
      </c>
      <c r="AH1593" s="71">
        <v>0.92767598842815802</v>
      </c>
      <c r="AI1593" s="73">
        <v>0.92</v>
      </c>
      <c r="AJ1593" s="71">
        <v>0.88495238095238105</v>
      </c>
      <c r="AK1593" s="71">
        <v>0.92984542211652799</v>
      </c>
      <c r="AL1593" s="71">
        <v>0.85020242914979804</v>
      </c>
      <c r="AM1593" s="71">
        <v>0.91142769841876103</v>
      </c>
      <c r="AN1593" s="70">
        <v>0.99</v>
      </c>
      <c r="AO1593" s="75">
        <v>1</v>
      </c>
      <c r="AP1593" s="75">
        <v>1</v>
      </c>
      <c r="AQ1593" s="75">
        <v>1</v>
      </c>
      <c r="AR1593" s="75">
        <v>1</v>
      </c>
      <c r="AS1593" s="95">
        <v>0.110069253262963</v>
      </c>
      <c r="AT1593" s="79">
        <v>0.125</v>
      </c>
      <c r="AU1593" s="79">
        <v>0.133333333333333</v>
      </c>
      <c r="AV1593" s="79">
        <v>5.5555555555555601E-2</v>
      </c>
      <c r="AW1593" s="79">
        <v>6.5420560747663503E-2</v>
      </c>
      <c r="AX1593" s="56"/>
      <c r="AY1593" s="54"/>
    </row>
    <row r="1594" spans="1:51">
      <c r="A1594" s="53"/>
      <c r="B1594" s="56"/>
      <c r="C1594" s="90" t="s">
        <v>1448</v>
      </c>
      <c r="D1594" s="230" t="s">
        <v>1757</v>
      </c>
      <c r="E1594" s="68" t="s">
        <v>1449</v>
      </c>
      <c r="F1594" s="106" t="s">
        <v>1619</v>
      </c>
      <c r="G1594" s="106" t="s">
        <v>1619</v>
      </c>
      <c r="H1594" s="106" t="s">
        <v>1619</v>
      </c>
      <c r="I1594" s="106" t="s">
        <v>1619</v>
      </c>
      <c r="J1594" s="70">
        <v>0.9</v>
      </c>
      <c r="K1594" s="71">
        <v>0.9375</v>
      </c>
      <c r="L1594" s="71">
        <v>0.9375</v>
      </c>
      <c r="M1594" s="72">
        <v>0.85185185185185197</v>
      </c>
      <c r="N1594" s="71">
        <v>0.89442815249266905</v>
      </c>
      <c r="O1594" s="73">
        <v>0.9</v>
      </c>
      <c r="P1594" s="71">
        <v>0.691829484902309</v>
      </c>
      <c r="Q1594" s="71">
        <v>0.72969264544456602</v>
      </c>
      <c r="R1594" s="71">
        <v>0.58499630450850004</v>
      </c>
      <c r="S1594" s="71">
        <v>0.70898491718330703</v>
      </c>
      <c r="T1594" s="73">
        <v>0.9</v>
      </c>
      <c r="U1594" s="71">
        <v>0.61663706335109503</v>
      </c>
      <c r="V1594" s="71">
        <v>0.64626783754116401</v>
      </c>
      <c r="W1594" s="71">
        <v>0.58536585365853699</v>
      </c>
      <c r="X1594" s="71">
        <v>0.68643780265877097</v>
      </c>
      <c r="Y1594" s="73">
        <v>0.92</v>
      </c>
      <c r="Z1594" s="73" t="s">
        <v>1710</v>
      </c>
      <c r="AA1594" s="73" t="s">
        <v>1710</v>
      </c>
      <c r="AB1594" s="73" t="s">
        <v>1710</v>
      </c>
      <c r="AC1594" s="73">
        <v>0</v>
      </c>
      <c r="AD1594" s="73">
        <v>0.92</v>
      </c>
      <c r="AE1594" s="71">
        <v>0.97222222222222199</v>
      </c>
      <c r="AF1594" s="71">
        <v>0.94736842105263197</v>
      </c>
      <c r="AG1594" s="71">
        <v>0.95833333333333304</v>
      </c>
      <c r="AH1594" s="71">
        <v>0.95751633986928097</v>
      </c>
      <c r="AI1594" s="73">
        <v>0.92</v>
      </c>
      <c r="AJ1594" s="71">
        <v>0.92628774422735305</v>
      </c>
      <c r="AK1594" s="71">
        <v>0.92508232711306304</v>
      </c>
      <c r="AL1594" s="71">
        <v>0.89135254988913504</v>
      </c>
      <c r="AM1594" s="71">
        <v>0.944362200838885</v>
      </c>
      <c r="AN1594" s="70">
        <v>0.99</v>
      </c>
      <c r="AO1594" s="75">
        <v>1</v>
      </c>
      <c r="AP1594" s="75">
        <v>1</v>
      </c>
      <c r="AQ1594" s="75">
        <v>1</v>
      </c>
      <c r="AR1594" s="75">
        <v>1</v>
      </c>
      <c r="AS1594" s="95">
        <v>0.110069253262963</v>
      </c>
      <c r="AT1594" s="79">
        <v>4.1666666666666699E-2</v>
      </c>
      <c r="AU1594" s="79">
        <v>0.19047619047618999</v>
      </c>
      <c r="AV1594" s="79">
        <v>0</v>
      </c>
      <c r="AW1594" s="79">
        <v>6.7307692307692304E-2</v>
      </c>
      <c r="AX1594" s="56"/>
      <c r="AY1594" s="54"/>
    </row>
    <row r="1595" spans="1:51">
      <c r="A1595" s="53"/>
      <c r="B1595" s="56"/>
      <c r="C1595" s="90" t="s">
        <v>1448</v>
      </c>
      <c r="D1595" s="230" t="s">
        <v>1757</v>
      </c>
      <c r="E1595" s="68" t="s">
        <v>1449</v>
      </c>
      <c r="F1595" s="106" t="s">
        <v>1620</v>
      </c>
      <c r="G1595" s="106" t="s">
        <v>1620</v>
      </c>
      <c r="H1595" s="106" t="s">
        <v>1620</v>
      </c>
      <c r="I1595" s="106" t="s">
        <v>1620</v>
      </c>
      <c r="J1595" s="70">
        <v>0.9</v>
      </c>
      <c r="K1595" s="71">
        <v>1</v>
      </c>
      <c r="L1595" s="71">
        <v>1</v>
      </c>
      <c r="M1595" s="72">
        <v>1</v>
      </c>
      <c r="N1595" s="71">
        <v>1</v>
      </c>
      <c r="O1595" s="73">
        <v>0.9</v>
      </c>
      <c r="P1595" s="71">
        <v>0.99786019971469297</v>
      </c>
      <c r="Q1595" s="71">
        <v>0.99755501222493903</v>
      </c>
      <c r="R1595" s="71">
        <v>1</v>
      </c>
      <c r="S1595" s="71">
        <v>0.99916845679440103</v>
      </c>
      <c r="T1595" s="73">
        <v>0.9</v>
      </c>
      <c r="U1595" s="71">
        <v>0.94650499286733203</v>
      </c>
      <c r="V1595" s="71">
        <v>0.96740016299918496</v>
      </c>
      <c r="W1595" s="71">
        <v>0.96334012219959297</v>
      </c>
      <c r="X1595" s="71">
        <v>0.95752200124731501</v>
      </c>
      <c r="Y1595" s="73">
        <v>0.92</v>
      </c>
      <c r="Z1595" s="73" t="s">
        <v>1710</v>
      </c>
      <c r="AA1595" s="73" t="s">
        <v>1710</v>
      </c>
      <c r="AB1595" s="73" t="s">
        <v>1710</v>
      </c>
      <c r="AC1595" s="73" t="s">
        <v>1710</v>
      </c>
      <c r="AD1595" s="73">
        <v>0.92</v>
      </c>
      <c r="AE1595" s="71">
        <v>1</v>
      </c>
      <c r="AF1595" s="71">
        <v>1</v>
      </c>
      <c r="AG1595" s="71">
        <v>0.98387096774193505</v>
      </c>
      <c r="AH1595" s="71">
        <v>0.99552906110283201</v>
      </c>
      <c r="AI1595" s="73">
        <v>0.92</v>
      </c>
      <c r="AJ1595" s="71">
        <v>0.96576319543509304</v>
      </c>
      <c r="AK1595" s="71">
        <v>0.98125509372453101</v>
      </c>
      <c r="AL1595" s="71">
        <v>0.98167006109979604</v>
      </c>
      <c r="AM1595" s="71">
        <v>0.97837987665442405</v>
      </c>
      <c r="AN1595" s="70">
        <v>0.99</v>
      </c>
      <c r="AO1595" s="75">
        <v>1</v>
      </c>
      <c r="AP1595" s="75">
        <v>1</v>
      </c>
      <c r="AQ1595" s="75">
        <v>1</v>
      </c>
      <c r="AR1595" s="75">
        <v>1</v>
      </c>
      <c r="AS1595" s="95">
        <v>0.110069253262963</v>
      </c>
      <c r="AT1595" s="79">
        <v>0</v>
      </c>
      <c r="AU1595" s="79">
        <v>0</v>
      </c>
      <c r="AV1595" s="79">
        <v>0</v>
      </c>
      <c r="AW1595" s="79">
        <v>6.25E-2</v>
      </c>
      <c r="AX1595" s="56"/>
      <c r="AY1595" s="54"/>
    </row>
    <row r="1596" spans="1:51">
      <c r="A1596" s="53"/>
      <c r="B1596" s="56"/>
      <c r="C1596" s="90" t="s">
        <v>1448</v>
      </c>
      <c r="D1596" s="230" t="s">
        <v>1757</v>
      </c>
      <c r="E1596" s="68" t="s">
        <v>1449</v>
      </c>
      <c r="F1596" s="106" t="s">
        <v>1621</v>
      </c>
      <c r="G1596" s="106" t="s">
        <v>1621</v>
      </c>
      <c r="H1596" s="106" t="s">
        <v>1621</v>
      </c>
      <c r="I1596" s="106" t="s">
        <v>1621</v>
      </c>
      <c r="J1596" s="70">
        <v>0.9</v>
      </c>
      <c r="K1596" s="71">
        <v>0.91666666666666696</v>
      </c>
      <c r="L1596" s="71">
        <v>1</v>
      </c>
      <c r="M1596" s="72">
        <v>0.9</v>
      </c>
      <c r="N1596" s="71">
        <v>0.88888888888888895</v>
      </c>
      <c r="O1596" s="73">
        <v>0.9</v>
      </c>
      <c r="P1596" s="71">
        <v>0.91685912240184797</v>
      </c>
      <c r="Q1596" s="71">
        <v>0.89262187088274003</v>
      </c>
      <c r="R1596" s="71">
        <v>0.90578734858680998</v>
      </c>
      <c r="S1596" s="71">
        <v>0.89958182640144702</v>
      </c>
      <c r="T1596" s="73">
        <v>0.9</v>
      </c>
      <c r="U1596" s="71">
        <v>0.860662047729022</v>
      </c>
      <c r="V1596" s="71">
        <v>0.83596837944664004</v>
      </c>
      <c r="W1596" s="71">
        <v>0.88021534320323003</v>
      </c>
      <c r="X1596" s="71">
        <v>0.87573462929475598</v>
      </c>
      <c r="Y1596" s="73">
        <v>0.92</v>
      </c>
      <c r="Z1596" s="73">
        <v>0.91036632891660196</v>
      </c>
      <c r="AA1596" s="73">
        <v>0.89727126805778501</v>
      </c>
      <c r="AB1596" s="73">
        <v>0.927640156453716</v>
      </c>
      <c r="AC1596" s="73">
        <v>0.93624631785664203</v>
      </c>
      <c r="AD1596" s="73">
        <v>0.92</v>
      </c>
      <c r="AE1596" s="71">
        <v>0.64736842105263204</v>
      </c>
      <c r="AF1596" s="71">
        <v>0.96666666666666701</v>
      </c>
      <c r="AG1596" s="71">
        <v>0.97478991596638698</v>
      </c>
      <c r="AH1596" s="71">
        <v>0.90954460386774805</v>
      </c>
      <c r="AI1596" s="73">
        <v>0.92</v>
      </c>
      <c r="AJ1596" s="71">
        <v>0.91324554608830399</v>
      </c>
      <c r="AK1596" s="71">
        <v>0.90777576853526198</v>
      </c>
      <c r="AL1596" s="71">
        <v>0.94072847682119198</v>
      </c>
      <c r="AM1596" s="71">
        <v>0.94861684816622904</v>
      </c>
      <c r="AN1596" s="70">
        <v>0.99</v>
      </c>
      <c r="AO1596" s="75">
        <v>1</v>
      </c>
      <c r="AP1596" s="75">
        <v>1</v>
      </c>
      <c r="AQ1596" s="75">
        <v>1</v>
      </c>
      <c r="AR1596" s="75">
        <v>1</v>
      </c>
      <c r="AS1596" s="95">
        <v>0.110069253262963</v>
      </c>
      <c r="AT1596" s="79">
        <v>0</v>
      </c>
      <c r="AU1596" s="79">
        <v>0.14285714285714299</v>
      </c>
      <c r="AV1596" s="79">
        <v>8.3333333333333301E-2</v>
      </c>
      <c r="AW1596" s="79">
        <v>0.103896103896104</v>
      </c>
      <c r="AX1596" s="56"/>
      <c r="AY1596" s="54"/>
    </row>
    <row r="1597" spans="1:51">
      <c r="A1597" s="53"/>
      <c r="B1597" s="56"/>
      <c r="C1597" s="90" t="s">
        <v>1448</v>
      </c>
      <c r="D1597" s="230" t="s">
        <v>1757</v>
      </c>
      <c r="E1597" s="68" t="s">
        <v>1449</v>
      </c>
      <c r="F1597" s="106" t="s">
        <v>1622</v>
      </c>
      <c r="G1597" s="106" t="s">
        <v>1622</v>
      </c>
      <c r="H1597" s="106" t="s">
        <v>1622</v>
      </c>
      <c r="I1597" s="106" t="s">
        <v>1622</v>
      </c>
      <c r="J1597" s="70">
        <v>0.9</v>
      </c>
      <c r="K1597" s="71">
        <v>1</v>
      </c>
      <c r="L1597" s="71">
        <v>0.96078431372549</v>
      </c>
      <c r="M1597" s="72">
        <v>0.95348837209302295</v>
      </c>
      <c r="N1597" s="71">
        <v>0.960893854748603</v>
      </c>
      <c r="O1597" s="73">
        <v>0.9</v>
      </c>
      <c r="P1597" s="71">
        <v>0.96053879719218405</v>
      </c>
      <c r="Q1597" s="71">
        <v>0.93723363037582297</v>
      </c>
      <c r="R1597" s="71">
        <v>0.92466565092263397</v>
      </c>
      <c r="S1597" s="71">
        <v>0.92794254738804705</v>
      </c>
      <c r="T1597" s="73">
        <v>0.9</v>
      </c>
      <c r="U1597" s="71">
        <v>0.94365395560614695</v>
      </c>
      <c r="V1597" s="71">
        <v>0.90895001937233599</v>
      </c>
      <c r="W1597" s="71">
        <v>0.94227188081936697</v>
      </c>
      <c r="X1597" s="71">
        <v>0.93455443151607198</v>
      </c>
      <c r="Y1597" s="73">
        <v>0.92</v>
      </c>
      <c r="Z1597" s="73" t="s">
        <v>1710</v>
      </c>
      <c r="AA1597" s="73">
        <v>0</v>
      </c>
      <c r="AB1597" s="73">
        <v>0</v>
      </c>
      <c r="AC1597" s="73">
        <v>0.105263157894737</v>
      </c>
      <c r="AD1597" s="73">
        <v>0.92</v>
      </c>
      <c r="AE1597" s="71">
        <v>0.96683673469387799</v>
      </c>
      <c r="AF1597" s="71">
        <v>0.66422900125365603</v>
      </c>
      <c r="AG1597" s="71">
        <v>0.99438202247190999</v>
      </c>
      <c r="AH1597" s="71">
        <v>0.76422372227579605</v>
      </c>
      <c r="AI1597" s="73">
        <v>0.92</v>
      </c>
      <c r="AJ1597" s="71">
        <v>0.96490229557958596</v>
      </c>
      <c r="AK1597" s="71">
        <v>0.96887084300077297</v>
      </c>
      <c r="AL1597" s="71">
        <v>0.95719844357976702</v>
      </c>
      <c r="AM1597" s="71">
        <v>0.96690078865169904</v>
      </c>
      <c r="AN1597" s="70">
        <v>0.99</v>
      </c>
      <c r="AO1597" s="75" t="s">
        <v>1710</v>
      </c>
      <c r="AP1597" s="75">
        <v>1</v>
      </c>
      <c r="AQ1597" s="75">
        <v>1</v>
      </c>
      <c r="AR1597" s="75">
        <v>1</v>
      </c>
      <c r="AS1597" s="95">
        <v>0.110069253262963</v>
      </c>
      <c r="AT1597" s="79">
        <v>0.11111111111111099</v>
      </c>
      <c r="AU1597" s="79">
        <v>0.17857142857142899</v>
      </c>
      <c r="AV1597" s="79">
        <v>9.7560975609756101E-2</v>
      </c>
      <c r="AW1597" s="79">
        <v>7.3369565217391297E-2</v>
      </c>
      <c r="AX1597" s="56"/>
      <c r="AY1597" s="54"/>
    </row>
    <row r="1598" spans="1:51">
      <c r="A1598" s="53"/>
      <c r="B1598" s="56"/>
      <c r="C1598" s="90" t="s">
        <v>1448</v>
      </c>
      <c r="D1598" s="230" t="s">
        <v>1757</v>
      </c>
      <c r="E1598" s="68" t="s">
        <v>1449</v>
      </c>
      <c r="F1598" s="106" t="s">
        <v>1623</v>
      </c>
      <c r="G1598" s="106" t="s">
        <v>1623</v>
      </c>
      <c r="H1598" s="106" t="s">
        <v>1623</v>
      </c>
      <c r="I1598" s="106" t="s">
        <v>1623</v>
      </c>
      <c r="J1598" s="70">
        <v>0.9</v>
      </c>
      <c r="K1598" s="71">
        <v>0.74074074074074103</v>
      </c>
      <c r="L1598" s="71">
        <v>0.72</v>
      </c>
      <c r="M1598" s="72">
        <v>0.72</v>
      </c>
      <c r="N1598" s="71">
        <v>0.73648648648648696</v>
      </c>
      <c r="O1598" s="73">
        <v>0.9</v>
      </c>
      <c r="P1598" s="71">
        <v>0.556392931392931</v>
      </c>
      <c r="Q1598" s="71">
        <v>0.56443444006752996</v>
      </c>
      <c r="R1598" s="71">
        <v>0.57009137508357499</v>
      </c>
      <c r="S1598" s="71">
        <v>0.61511996981333095</v>
      </c>
      <c r="T1598" s="73">
        <v>0.9</v>
      </c>
      <c r="U1598" s="71">
        <v>0.60758835758835805</v>
      </c>
      <c r="V1598" s="71">
        <v>0.48086662915025302</v>
      </c>
      <c r="W1598" s="71">
        <v>0.44127479384889701</v>
      </c>
      <c r="X1598" s="71">
        <v>0.53636827736221804</v>
      </c>
      <c r="Y1598" s="73">
        <v>0.92</v>
      </c>
      <c r="Z1598" s="73" t="s">
        <v>1710</v>
      </c>
      <c r="AA1598" s="73">
        <v>0</v>
      </c>
      <c r="AB1598" s="73">
        <v>0</v>
      </c>
      <c r="AC1598" s="73">
        <v>0.5</v>
      </c>
      <c r="AD1598" s="73">
        <v>0.92</v>
      </c>
      <c r="AE1598" s="71">
        <v>1</v>
      </c>
      <c r="AF1598" s="71">
        <v>0.76666666666666705</v>
      </c>
      <c r="AG1598" s="71">
        <v>0.98571428571428599</v>
      </c>
      <c r="AH1598" s="71">
        <v>0.95744680851063801</v>
      </c>
      <c r="AI1598" s="73">
        <v>0.92</v>
      </c>
      <c r="AJ1598" s="71">
        <v>0.83939708939708901</v>
      </c>
      <c r="AK1598" s="71">
        <v>0.83853727144866397</v>
      </c>
      <c r="AL1598" s="71">
        <v>0.81176208509690395</v>
      </c>
      <c r="AM1598" s="71">
        <v>0.87485852511040596</v>
      </c>
      <c r="AN1598" s="70">
        <v>0.99</v>
      </c>
      <c r="AO1598" s="75">
        <v>1</v>
      </c>
      <c r="AP1598" s="75" t="s">
        <v>1710</v>
      </c>
      <c r="AQ1598" s="75" t="s">
        <v>1710</v>
      </c>
      <c r="AR1598" s="75">
        <v>1</v>
      </c>
      <c r="AS1598" s="95">
        <v>0.110069253262963</v>
      </c>
      <c r="AT1598" s="79">
        <v>9.0909090909090898E-2</v>
      </c>
      <c r="AU1598" s="79">
        <v>0</v>
      </c>
      <c r="AV1598" s="79">
        <v>0.05</v>
      </c>
      <c r="AW1598" s="79">
        <v>7.69230769230769E-2</v>
      </c>
      <c r="AX1598" s="56"/>
      <c r="AY1598" s="54"/>
    </row>
    <row r="1599" spans="1:51">
      <c r="A1599" s="53"/>
      <c r="B1599" s="56"/>
      <c r="C1599" s="90" t="s">
        <v>1448</v>
      </c>
      <c r="D1599" s="230" t="s">
        <v>1759</v>
      </c>
      <c r="E1599" s="68" t="s">
        <v>1449</v>
      </c>
      <c r="F1599" s="106" t="s">
        <v>1624</v>
      </c>
      <c r="G1599" s="106" t="s">
        <v>1624</v>
      </c>
      <c r="H1599" s="106" t="s">
        <v>1624</v>
      </c>
      <c r="I1599" s="106" t="s">
        <v>1624</v>
      </c>
      <c r="J1599" s="70">
        <v>0.9</v>
      </c>
      <c r="K1599" s="71" t="s">
        <v>1710</v>
      </c>
      <c r="L1599" s="71" t="s">
        <v>1710</v>
      </c>
      <c r="M1599" s="72" t="s">
        <v>1710</v>
      </c>
      <c r="N1599" s="71" t="s">
        <v>1710</v>
      </c>
      <c r="O1599" s="73">
        <v>0.9</v>
      </c>
      <c r="P1599" s="71" t="s">
        <v>1710</v>
      </c>
      <c r="Q1599" s="71" t="s">
        <v>1710</v>
      </c>
      <c r="R1599" s="71" t="s">
        <v>1710</v>
      </c>
      <c r="S1599" s="71" t="s">
        <v>1710</v>
      </c>
      <c r="T1599" s="73">
        <v>0.9</v>
      </c>
      <c r="U1599" s="71" t="s">
        <v>1710</v>
      </c>
      <c r="V1599" s="71" t="s">
        <v>1710</v>
      </c>
      <c r="W1599" s="71" t="s">
        <v>1710</v>
      </c>
      <c r="X1599" s="71" t="s">
        <v>1710</v>
      </c>
      <c r="Y1599" s="73">
        <v>0.92</v>
      </c>
      <c r="Z1599" s="73" t="s">
        <v>1710</v>
      </c>
      <c r="AA1599" s="73" t="s">
        <v>1710</v>
      </c>
      <c r="AB1599" s="73" t="s">
        <v>1710</v>
      </c>
      <c r="AC1599" s="73" t="s">
        <v>1710</v>
      </c>
      <c r="AD1599" s="73">
        <v>0.92</v>
      </c>
      <c r="AE1599" s="71">
        <v>0.99375000000000002</v>
      </c>
      <c r="AF1599" s="71">
        <v>0.53043478260869603</v>
      </c>
      <c r="AG1599" s="71">
        <v>1</v>
      </c>
      <c r="AH1599" s="71">
        <v>0.78931095406360396</v>
      </c>
      <c r="AI1599" s="73">
        <v>0.92</v>
      </c>
      <c r="AJ1599" s="71" t="s">
        <v>1710</v>
      </c>
      <c r="AK1599" s="71" t="s">
        <v>1710</v>
      </c>
      <c r="AL1599" s="71" t="s">
        <v>1710</v>
      </c>
      <c r="AM1599" s="71" t="s">
        <v>1710</v>
      </c>
      <c r="AN1599" s="70">
        <v>0.99</v>
      </c>
      <c r="AO1599" s="75">
        <v>1</v>
      </c>
      <c r="AP1599" s="75">
        <v>1</v>
      </c>
      <c r="AQ1599" s="75" t="s">
        <v>1710</v>
      </c>
      <c r="AR1599" s="75">
        <v>1</v>
      </c>
      <c r="AS1599" s="95">
        <v>0.110069253262963</v>
      </c>
      <c r="AT1599" s="79" t="s">
        <v>1710</v>
      </c>
      <c r="AU1599" s="79" t="s">
        <v>1710</v>
      </c>
      <c r="AV1599" s="79" t="s">
        <v>1710</v>
      </c>
      <c r="AW1599" s="79" t="s">
        <v>1710</v>
      </c>
      <c r="AX1599" s="56"/>
      <c r="AY1599" s="54"/>
    </row>
    <row r="1600" spans="1:51">
      <c r="A1600" s="53"/>
      <c r="B1600" s="56"/>
      <c r="C1600" s="90" t="s">
        <v>1448</v>
      </c>
      <c r="D1600" s="230" t="s">
        <v>1759</v>
      </c>
      <c r="E1600" s="68" t="s">
        <v>1449</v>
      </c>
      <c r="F1600" s="106" t="s">
        <v>1625</v>
      </c>
      <c r="G1600" s="106" t="s">
        <v>1625</v>
      </c>
      <c r="H1600" s="106" t="s">
        <v>1625</v>
      </c>
      <c r="I1600" s="106" t="s">
        <v>1625</v>
      </c>
      <c r="J1600" s="70">
        <v>0.9</v>
      </c>
      <c r="K1600" s="71" t="s">
        <v>1710</v>
      </c>
      <c r="L1600" s="71" t="s">
        <v>1710</v>
      </c>
      <c r="M1600" s="72" t="s">
        <v>1710</v>
      </c>
      <c r="N1600" s="71" t="s">
        <v>1710</v>
      </c>
      <c r="O1600" s="73">
        <v>0.9</v>
      </c>
      <c r="P1600" s="71" t="s">
        <v>1710</v>
      </c>
      <c r="Q1600" s="71" t="s">
        <v>1710</v>
      </c>
      <c r="R1600" s="71" t="s">
        <v>1710</v>
      </c>
      <c r="S1600" s="71">
        <v>0</v>
      </c>
      <c r="T1600" s="73">
        <v>0.9</v>
      </c>
      <c r="U1600" s="71" t="s">
        <v>1710</v>
      </c>
      <c r="V1600" s="71" t="s">
        <v>1710</v>
      </c>
      <c r="W1600" s="71" t="s">
        <v>1710</v>
      </c>
      <c r="X1600" s="71">
        <v>0</v>
      </c>
      <c r="Y1600" s="73">
        <v>0.92</v>
      </c>
      <c r="Z1600" s="73" t="s">
        <v>1710</v>
      </c>
      <c r="AA1600" s="73" t="s">
        <v>1710</v>
      </c>
      <c r="AB1600" s="73" t="s">
        <v>1710</v>
      </c>
      <c r="AC1600" s="73" t="s">
        <v>1710</v>
      </c>
      <c r="AD1600" s="73">
        <v>0.92</v>
      </c>
      <c r="AE1600" s="71">
        <v>0.91015169194865797</v>
      </c>
      <c r="AF1600" s="71">
        <v>1</v>
      </c>
      <c r="AG1600" s="71">
        <v>1</v>
      </c>
      <c r="AH1600" s="71">
        <v>0.963099088503381</v>
      </c>
      <c r="AI1600" s="73">
        <v>0.92</v>
      </c>
      <c r="AJ1600" s="71" t="s">
        <v>1710</v>
      </c>
      <c r="AK1600" s="71" t="s">
        <v>1710</v>
      </c>
      <c r="AL1600" s="71" t="s">
        <v>1710</v>
      </c>
      <c r="AM1600" s="71">
        <v>0.5</v>
      </c>
      <c r="AN1600" s="70">
        <v>0.99</v>
      </c>
      <c r="AO1600" s="75">
        <v>1</v>
      </c>
      <c r="AP1600" s="75">
        <v>1</v>
      </c>
      <c r="AQ1600" s="75">
        <v>1</v>
      </c>
      <c r="AR1600" s="75">
        <v>1</v>
      </c>
      <c r="AS1600" s="95">
        <v>0.110069253262963</v>
      </c>
      <c r="AT1600" s="79" t="s">
        <v>1710</v>
      </c>
      <c r="AU1600" s="79" t="s">
        <v>1710</v>
      </c>
      <c r="AV1600" s="79" t="s">
        <v>1710</v>
      </c>
      <c r="AW1600" s="79" t="s">
        <v>1710</v>
      </c>
      <c r="AX1600" s="56"/>
      <c r="AY1600" s="54"/>
    </row>
    <row r="1601" spans="1:51">
      <c r="A1601" s="53"/>
      <c r="B1601" s="56"/>
      <c r="C1601" s="90" t="s">
        <v>1448</v>
      </c>
      <c r="D1601" s="230" t="s">
        <v>1759</v>
      </c>
      <c r="E1601" s="68" t="s">
        <v>1449</v>
      </c>
      <c r="F1601" s="106" t="s">
        <v>1626</v>
      </c>
      <c r="G1601" s="106" t="s">
        <v>1626</v>
      </c>
      <c r="H1601" s="106" t="s">
        <v>1626</v>
      </c>
      <c r="I1601" s="106" t="s">
        <v>1626</v>
      </c>
      <c r="J1601" s="70">
        <v>0.9</v>
      </c>
      <c r="K1601" s="71" t="s">
        <v>1710</v>
      </c>
      <c r="L1601" s="71" t="s">
        <v>1710</v>
      </c>
      <c r="M1601" s="72" t="s">
        <v>1710</v>
      </c>
      <c r="N1601" s="71" t="s">
        <v>1710</v>
      </c>
      <c r="O1601" s="73">
        <v>0.9</v>
      </c>
      <c r="P1601" s="71" t="s">
        <v>1710</v>
      </c>
      <c r="Q1601" s="71" t="s">
        <v>1710</v>
      </c>
      <c r="R1601" s="71" t="s">
        <v>1710</v>
      </c>
      <c r="S1601" s="71" t="s">
        <v>1710</v>
      </c>
      <c r="T1601" s="73">
        <v>0.9</v>
      </c>
      <c r="U1601" s="71" t="s">
        <v>1710</v>
      </c>
      <c r="V1601" s="71" t="s">
        <v>1710</v>
      </c>
      <c r="W1601" s="71" t="s">
        <v>1710</v>
      </c>
      <c r="X1601" s="71" t="s">
        <v>1710</v>
      </c>
      <c r="Y1601" s="73">
        <v>0.92</v>
      </c>
      <c r="Z1601" s="73" t="s">
        <v>1710</v>
      </c>
      <c r="AA1601" s="73" t="s">
        <v>1710</v>
      </c>
      <c r="AB1601" s="73" t="s">
        <v>1710</v>
      </c>
      <c r="AC1601" s="73" t="s">
        <v>1710</v>
      </c>
      <c r="AD1601" s="73">
        <v>0.92</v>
      </c>
      <c r="AE1601" s="71">
        <v>0.99061032863849796</v>
      </c>
      <c r="AF1601" s="71">
        <v>0.64478764478764505</v>
      </c>
      <c r="AG1601" s="71">
        <v>0.99664429530201304</v>
      </c>
      <c r="AH1601" s="71">
        <v>0.82279385494819601</v>
      </c>
      <c r="AI1601" s="73">
        <v>0.92</v>
      </c>
      <c r="AJ1601" s="71" t="s">
        <v>1710</v>
      </c>
      <c r="AK1601" s="71" t="s">
        <v>1710</v>
      </c>
      <c r="AL1601" s="71" t="s">
        <v>1710</v>
      </c>
      <c r="AM1601" s="71" t="s">
        <v>1710</v>
      </c>
      <c r="AN1601" s="70">
        <v>0.99</v>
      </c>
      <c r="AO1601" s="75">
        <v>1</v>
      </c>
      <c r="AP1601" s="75">
        <v>1</v>
      </c>
      <c r="AQ1601" s="75" t="s">
        <v>1710</v>
      </c>
      <c r="AR1601" s="75">
        <v>1</v>
      </c>
      <c r="AS1601" s="95">
        <v>0.110069253262963</v>
      </c>
      <c r="AT1601" s="79" t="s">
        <v>1710</v>
      </c>
      <c r="AU1601" s="79" t="s">
        <v>1710</v>
      </c>
      <c r="AV1601" s="79" t="s">
        <v>1710</v>
      </c>
      <c r="AW1601" s="79" t="s">
        <v>1710</v>
      </c>
      <c r="AX1601" s="56"/>
      <c r="AY1601" s="54"/>
    </row>
    <row r="1602" spans="1:51">
      <c r="A1602" s="53"/>
      <c r="B1602" s="56"/>
      <c r="C1602" s="90" t="s">
        <v>1448</v>
      </c>
      <c r="D1602" s="230" t="s">
        <v>1759</v>
      </c>
      <c r="E1602" s="68" t="s">
        <v>1449</v>
      </c>
      <c r="F1602" s="106" t="s">
        <v>1627</v>
      </c>
      <c r="G1602" s="106" t="s">
        <v>1627</v>
      </c>
      <c r="H1602" s="106" t="s">
        <v>1627</v>
      </c>
      <c r="I1602" s="106" t="s">
        <v>1627</v>
      </c>
      <c r="J1602" s="70">
        <v>0.9</v>
      </c>
      <c r="K1602" s="71" t="s">
        <v>1710</v>
      </c>
      <c r="L1602" s="71" t="s">
        <v>1710</v>
      </c>
      <c r="M1602" s="72" t="s">
        <v>1710</v>
      </c>
      <c r="N1602" s="71" t="s">
        <v>1710</v>
      </c>
      <c r="O1602" s="73">
        <v>0.9</v>
      </c>
      <c r="P1602" s="71">
        <v>0</v>
      </c>
      <c r="Q1602" s="71" t="s">
        <v>1710</v>
      </c>
      <c r="R1602" s="71" t="s">
        <v>1710</v>
      </c>
      <c r="S1602" s="71">
        <v>0</v>
      </c>
      <c r="T1602" s="73">
        <v>0.9</v>
      </c>
      <c r="U1602" s="71">
        <v>0</v>
      </c>
      <c r="V1602" s="71" t="s">
        <v>1710</v>
      </c>
      <c r="W1602" s="71" t="s">
        <v>1710</v>
      </c>
      <c r="X1602" s="71">
        <v>0.5</v>
      </c>
      <c r="Y1602" s="73">
        <v>0.92</v>
      </c>
      <c r="Z1602" s="73" t="s">
        <v>1710</v>
      </c>
      <c r="AA1602" s="73" t="s">
        <v>1710</v>
      </c>
      <c r="AB1602" s="73" t="s">
        <v>1710</v>
      </c>
      <c r="AC1602" s="73" t="s">
        <v>1710</v>
      </c>
      <c r="AD1602" s="73">
        <v>0.92</v>
      </c>
      <c r="AE1602" s="71">
        <v>1</v>
      </c>
      <c r="AF1602" s="71">
        <v>0.98566308243727596</v>
      </c>
      <c r="AG1602" s="71">
        <v>1</v>
      </c>
      <c r="AH1602" s="71">
        <v>0.97873368777186998</v>
      </c>
      <c r="AI1602" s="73">
        <v>0.92</v>
      </c>
      <c r="AJ1602" s="71">
        <v>0</v>
      </c>
      <c r="AK1602" s="71" t="s">
        <v>1710</v>
      </c>
      <c r="AL1602" s="71" t="s">
        <v>1710</v>
      </c>
      <c r="AM1602" s="71">
        <v>0.5</v>
      </c>
      <c r="AN1602" s="70">
        <v>0.99</v>
      </c>
      <c r="AO1602" s="75">
        <v>1</v>
      </c>
      <c r="AP1602" s="75" t="s">
        <v>1710</v>
      </c>
      <c r="AQ1602" s="75">
        <v>1</v>
      </c>
      <c r="AR1602" s="75">
        <v>1</v>
      </c>
      <c r="AS1602" s="95">
        <v>0.110069253262963</v>
      </c>
      <c r="AT1602" s="79" t="s">
        <v>1710</v>
      </c>
      <c r="AU1602" s="79" t="s">
        <v>1710</v>
      </c>
      <c r="AV1602" s="79" t="s">
        <v>1710</v>
      </c>
      <c r="AW1602" s="79" t="s">
        <v>1710</v>
      </c>
      <c r="AX1602" s="56"/>
      <c r="AY1602" s="54"/>
    </row>
    <row r="1603" spans="1:51">
      <c r="A1603" s="53"/>
      <c r="B1603" s="56"/>
      <c r="C1603" s="90" t="s">
        <v>1448</v>
      </c>
      <c r="D1603" s="230" t="s">
        <v>1757</v>
      </c>
      <c r="E1603" s="68" t="s">
        <v>1449</v>
      </c>
      <c r="F1603" s="106" t="s">
        <v>1628</v>
      </c>
      <c r="G1603" s="106" t="s">
        <v>1628</v>
      </c>
      <c r="H1603" s="106" t="s">
        <v>1628</v>
      </c>
      <c r="I1603" s="106" t="s">
        <v>1628</v>
      </c>
      <c r="J1603" s="70">
        <v>0.9</v>
      </c>
      <c r="K1603" s="71">
        <v>1</v>
      </c>
      <c r="L1603" s="71">
        <v>1</v>
      </c>
      <c r="M1603" s="72">
        <v>0.94736842105263197</v>
      </c>
      <c r="N1603" s="71">
        <v>0.98325358851674605</v>
      </c>
      <c r="O1603" s="73">
        <v>0.9</v>
      </c>
      <c r="P1603" s="71">
        <v>0.98589837101872102</v>
      </c>
      <c r="Q1603" s="71">
        <v>0.945873081708835</v>
      </c>
      <c r="R1603" s="71">
        <v>0.98488608166027503</v>
      </c>
      <c r="S1603" s="71">
        <v>0.97506645202351105</v>
      </c>
      <c r="T1603" s="73">
        <v>0.9</v>
      </c>
      <c r="U1603" s="71">
        <v>0.96085582300024297</v>
      </c>
      <c r="V1603" s="71">
        <v>0.97511406055578598</v>
      </c>
      <c r="W1603" s="71">
        <v>0.969095420708324</v>
      </c>
      <c r="X1603" s="71">
        <v>0.97182808580734503</v>
      </c>
      <c r="Y1603" s="73">
        <v>0.92</v>
      </c>
      <c r="Z1603" s="73" t="s">
        <v>1710</v>
      </c>
      <c r="AA1603" s="73">
        <v>0</v>
      </c>
      <c r="AB1603" s="73">
        <v>0</v>
      </c>
      <c r="AC1603" s="73">
        <v>0.16</v>
      </c>
      <c r="AD1603" s="73">
        <v>0.92</v>
      </c>
      <c r="AE1603" s="71">
        <v>0.98684210526315796</v>
      </c>
      <c r="AF1603" s="71">
        <v>0.949367088607595</v>
      </c>
      <c r="AG1603" s="71">
        <v>1</v>
      </c>
      <c r="AH1603" s="71">
        <v>0.92343934040047104</v>
      </c>
      <c r="AI1603" s="73">
        <v>0.92</v>
      </c>
      <c r="AJ1603" s="71">
        <v>0.97422805737904195</v>
      </c>
      <c r="AK1603" s="71">
        <v>0.98777202072538905</v>
      </c>
      <c r="AL1603" s="71">
        <v>0.98535706240144205</v>
      </c>
      <c r="AM1603" s="71">
        <v>0.98584358753786905</v>
      </c>
      <c r="AN1603" s="70">
        <v>0.99</v>
      </c>
      <c r="AO1603" s="75">
        <v>1</v>
      </c>
      <c r="AP1603" s="75">
        <v>1</v>
      </c>
      <c r="AQ1603" s="75">
        <v>1</v>
      </c>
      <c r="AR1603" s="75">
        <v>1</v>
      </c>
      <c r="AS1603" s="95">
        <v>0.110069253262963</v>
      </c>
      <c r="AT1603" s="79">
        <v>3.8461538461538498E-2</v>
      </c>
      <c r="AU1603" s="79">
        <v>9.5238095238095205E-2</v>
      </c>
      <c r="AV1603" s="79">
        <v>0</v>
      </c>
      <c r="AW1603" s="79">
        <v>4.2307692307692303E-2</v>
      </c>
      <c r="AX1603" s="56"/>
      <c r="AY1603" s="54"/>
    </row>
    <row r="1604" spans="1:51">
      <c r="A1604" s="53"/>
      <c r="B1604" s="56"/>
      <c r="C1604" s="90" t="s">
        <v>1448</v>
      </c>
      <c r="D1604" s="230" t="s">
        <v>1759</v>
      </c>
      <c r="E1604" s="68" t="s">
        <v>1449</v>
      </c>
      <c r="F1604" s="106" t="s">
        <v>1629</v>
      </c>
      <c r="G1604" s="106" t="s">
        <v>1629</v>
      </c>
      <c r="H1604" s="106" t="s">
        <v>1629</v>
      </c>
      <c r="I1604" s="106" t="s">
        <v>1629</v>
      </c>
      <c r="J1604" s="70">
        <v>0.9</v>
      </c>
      <c r="K1604" s="71" t="s">
        <v>1710</v>
      </c>
      <c r="L1604" s="71" t="s">
        <v>1710</v>
      </c>
      <c r="M1604" s="72" t="s">
        <v>1710</v>
      </c>
      <c r="N1604" s="71" t="s">
        <v>1710</v>
      </c>
      <c r="O1604" s="73">
        <v>0.9</v>
      </c>
      <c r="P1604" s="71" t="s">
        <v>1710</v>
      </c>
      <c r="Q1604" s="71" t="s">
        <v>1710</v>
      </c>
      <c r="R1604" s="71" t="s">
        <v>1710</v>
      </c>
      <c r="S1604" s="71" t="s">
        <v>1710</v>
      </c>
      <c r="T1604" s="73">
        <v>0.9</v>
      </c>
      <c r="U1604" s="71" t="s">
        <v>1710</v>
      </c>
      <c r="V1604" s="71" t="s">
        <v>1710</v>
      </c>
      <c r="W1604" s="71" t="s">
        <v>1710</v>
      </c>
      <c r="X1604" s="71" t="s">
        <v>1710</v>
      </c>
      <c r="Y1604" s="73">
        <v>0.92</v>
      </c>
      <c r="Z1604" s="73" t="s">
        <v>1710</v>
      </c>
      <c r="AA1604" s="73" t="s">
        <v>1710</v>
      </c>
      <c r="AB1604" s="73" t="s">
        <v>1710</v>
      </c>
      <c r="AC1604" s="73" t="s">
        <v>1710</v>
      </c>
      <c r="AD1604" s="73">
        <v>0.92</v>
      </c>
      <c r="AE1604" s="71">
        <v>1</v>
      </c>
      <c r="AF1604" s="71">
        <v>1</v>
      </c>
      <c r="AG1604" s="71">
        <v>1</v>
      </c>
      <c r="AH1604" s="71">
        <v>0.95021186440677996</v>
      </c>
      <c r="AI1604" s="73">
        <v>0.92</v>
      </c>
      <c r="AJ1604" s="71" t="s">
        <v>1710</v>
      </c>
      <c r="AK1604" s="71" t="s">
        <v>1710</v>
      </c>
      <c r="AL1604" s="71" t="s">
        <v>1710</v>
      </c>
      <c r="AM1604" s="71" t="s">
        <v>1710</v>
      </c>
      <c r="AN1604" s="70">
        <v>0.99</v>
      </c>
      <c r="AO1604" s="75" t="s">
        <v>1710</v>
      </c>
      <c r="AP1604" s="75" t="s">
        <v>1710</v>
      </c>
      <c r="AQ1604" s="75" t="s">
        <v>1710</v>
      </c>
      <c r="AR1604" s="75">
        <v>1</v>
      </c>
      <c r="AS1604" s="95">
        <v>0.110069253262963</v>
      </c>
      <c r="AT1604" s="79" t="s">
        <v>1710</v>
      </c>
      <c r="AU1604" s="79" t="s">
        <v>1710</v>
      </c>
      <c r="AV1604" s="79" t="s">
        <v>1710</v>
      </c>
      <c r="AW1604" s="79" t="s">
        <v>1710</v>
      </c>
      <c r="AX1604" s="56"/>
      <c r="AY1604" s="54"/>
    </row>
    <row r="1605" spans="1:51">
      <c r="A1605" s="53"/>
      <c r="B1605" s="56"/>
      <c r="C1605" s="90" t="s">
        <v>1448</v>
      </c>
      <c r="D1605" s="230" t="s">
        <v>1757</v>
      </c>
      <c r="E1605" s="68" t="s">
        <v>1449</v>
      </c>
      <c r="F1605" s="106" t="s">
        <v>1630</v>
      </c>
      <c r="G1605" s="106" t="s">
        <v>1630</v>
      </c>
      <c r="H1605" s="106" t="s">
        <v>1630</v>
      </c>
      <c r="I1605" s="106" t="s">
        <v>1630</v>
      </c>
      <c r="J1605" s="70">
        <v>0.9</v>
      </c>
      <c r="K1605" s="71">
        <v>0.88</v>
      </c>
      <c r="L1605" s="71">
        <v>0.95918367346938804</v>
      </c>
      <c r="M1605" s="72">
        <v>0.9375</v>
      </c>
      <c r="N1605" s="71">
        <v>0.946462715105163</v>
      </c>
      <c r="O1605" s="73">
        <v>0.9</v>
      </c>
      <c r="P1605" s="71">
        <v>0.99512195121951197</v>
      </c>
      <c r="Q1605" s="71">
        <v>0.99445385918964702</v>
      </c>
      <c r="R1605" s="71">
        <v>0.99225352112676102</v>
      </c>
      <c r="S1605" s="71">
        <v>0.99076783871287</v>
      </c>
      <c r="T1605" s="73">
        <v>0.9</v>
      </c>
      <c r="U1605" s="71">
        <v>0.809756097560976</v>
      </c>
      <c r="V1605" s="71">
        <v>0.78277615159451597</v>
      </c>
      <c r="W1605" s="71">
        <v>0.82570422535211296</v>
      </c>
      <c r="X1605" s="71">
        <v>0.79492725961742405</v>
      </c>
      <c r="Y1605" s="73">
        <v>0.92</v>
      </c>
      <c r="Z1605" s="73" t="s">
        <v>1710</v>
      </c>
      <c r="AA1605" s="73">
        <v>1</v>
      </c>
      <c r="AB1605" s="73">
        <v>0</v>
      </c>
      <c r="AC1605" s="73">
        <v>5.2631578947368397E-2</v>
      </c>
      <c r="AD1605" s="73">
        <v>0.92</v>
      </c>
      <c r="AE1605" s="71">
        <v>1</v>
      </c>
      <c r="AF1605" s="71">
        <v>0.99193548387096797</v>
      </c>
      <c r="AG1605" s="71">
        <v>1</v>
      </c>
      <c r="AH1605" s="71">
        <v>0.93689320388349495</v>
      </c>
      <c r="AI1605" s="73">
        <v>0.92</v>
      </c>
      <c r="AJ1605" s="71">
        <v>0.930623306233062</v>
      </c>
      <c r="AK1605" s="71">
        <v>0.92729513247073303</v>
      </c>
      <c r="AL1605" s="71">
        <v>0.94209785286870795</v>
      </c>
      <c r="AM1605" s="71">
        <v>0.92358343931044196</v>
      </c>
      <c r="AN1605" s="70">
        <v>0.99</v>
      </c>
      <c r="AO1605" s="75" t="s">
        <v>1710</v>
      </c>
      <c r="AP1605" s="75" t="s">
        <v>1710</v>
      </c>
      <c r="AQ1605" s="75" t="s">
        <v>1710</v>
      </c>
      <c r="AR1605" s="75">
        <v>1</v>
      </c>
      <c r="AS1605" s="95">
        <v>0.110069253262963</v>
      </c>
      <c r="AT1605" s="79">
        <v>0.119047619047619</v>
      </c>
      <c r="AU1605" s="79">
        <v>7.0422535211267595E-2</v>
      </c>
      <c r="AV1605" s="79">
        <v>2.04081632653061E-2</v>
      </c>
      <c r="AW1605" s="79">
        <v>5.99315068493151E-2</v>
      </c>
      <c r="AX1605" s="56"/>
      <c r="AY1605" s="54"/>
    </row>
    <row r="1606" spans="1:51">
      <c r="A1606" s="53"/>
      <c r="B1606" s="56"/>
      <c r="C1606" s="90" t="s">
        <v>1448</v>
      </c>
      <c r="D1606" s="230" t="s">
        <v>1757</v>
      </c>
      <c r="E1606" s="68" t="s">
        <v>1449</v>
      </c>
      <c r="F1606" s="106" t="s">
        <v>1631</v>
      </c>
      <c r="G1606" s="106" t="s">
        <v>1631</v>
      </c>
      <c r="H1606" s="106" t="s">
        <v>1631</v>
      </c>
      <c r="I1606" s="106" t="s">
        <v>1631</v>
      </c>
      <c r="J1606" s="70">
        <v>0.9</v>
      </c>
      <c r="K1606" s="71">
        <v>0.86111111111111105</v>
      </c>
      <c r="L1606" s="71">
        <v>0.88571428571428601</v>
      </c>
      <c r="M1606" s="72">
        <v>0.8125</v>
      </c>
      <c r="N1606" s="71">
        <v>0.89757412398921799</v>
      </c>
      <c r="O1606" s="73">
        <v>0.9</v>
      </c>
      <c r="P1606" s="71">
        <v>0.98594154642989296</v>
      </c>
      <c r="Q1606" s="71">
        <v>0.982038123167155</v>
      </c>
      <c r="R1606" s="71">
        <v>0.851112565445026</v>
      </c>
      <c r="S1606" s="71">
        <v>0.96654675240064603</v>
      </c>
      <c r="T1606" s="73">
        <v>0.9</v>
      </c>
      <c r="U1606" s="71">
        <v>0.68590455049944499</v>
      </c>
      <c r="V1606" s="71">
        <v>0.660557184750733</v>
      </c>
      <c r="W1606" s="71">
        <v>0.53435863874345502</v>
      </c>
      <c r="X1606" s="71">
        <v>0.51006996572529295</v>
      </c>
      <c r="Y1606" s="73">
        <v>0.92</v>
      </c>
      <c r="Z1606" s="73">
        <v>0.86237318041464495</v>
      </c>
      <c r="AA1606" s="73">
        <v>0.86676082862523496</v>
      </c>
      <c r="AB1606" s="73">
        <v>0.83001988071570598</v>
      </c>
      <c r="AC1606" s="73">
        <v>0.84800166527893395</v>
      </c>
      <c r="AD1606" s="73">
        <v>0.92</v>
      </c>
      <c r="AE1606" s="71">
        <v>1</v>
      </c>
      <c r="AF1606" s="71">
        <v>0.98630136986301398</v>
      </c>
      <c r="AG1606" s="71">
        <v>0.96153846153846201</v>
      </c>
      <c r="AH1606" s="71">
        <v>0.98932384341637003</v>
      </c>
      <c r="AI1606" s="73">
        <v>0.92</v>
      </c>
      <c r="AJ1606" s="71">
        <v>0.88774894387447201</v>
      </c>
      <c r="AK1606" s="71">
        <v>0.89493201483312701</v>
      </c>
      <c r="AL1606" s="71">
        <v>0.86568047337278098</v>
      </c>
      <c r="AM1606" s="71">
        <v>0.883590840929386</v>
      </c>
      <c r="AN1606" s="70">
        <v>0.99</v>
      </c>
      <c r="AO1606" s="75" t="s">
        <v>1710</v>
      </c>
      <c r="AP1606" s="75" t="s">
        <v>1710</v>
      </c>
      <c r="AQ1606" s="75" t="s">
        <v>1710</v>
      </c>
      <c r="AR1606" s="75">
        <v>1</v>
      </c>
      <c r="AS1606" s="95">
        <v>0.110069253262963</v>
      </c>
      <c r="AT1606" s="79">
        <v>3.5714285714285698E-2</v>
      </c>
      <c r="AU1606" s="79">
        <v>3.125E-2</v>
      </c>
      <c r="AV1606" s="79">
        <v>0.13043478260869601</v>
      </c>
      <c r="AW1606" s="79">
        <v>7.5163398692810496E-2</v>
      </c>
      <c r="AX1606" s="56"/>
      <c r="AY1606" s="54"/>
    </row>
    <row r="1607" spans="1:51">
      <c r="A1607" s="53"/>
      <c r="B1607" s="56"/>
      <c r="C1607" s="90" t="s">
        <v>1448</v>
      </c>
      <c r="D1607" s="230" t="s">
        <v>1759</v>
      </c>
      <c r="E1607" s="68" t="s">
        <v>1449</v>
      </c>
      <c r="F1607" s="106" t="s">
        <v>1632</v>
      </c>
      <c r="G1607" s="106" t="s">
        <v>1632</v>
      </c>
      <c r="H1607" s="106" t="s">
        <v>1632</v>
      </c>
      <c r="I1607" s="106" t="s">
        <v>1632</v>
      </c>
      <c r="J1607" s="70">
        <v>0.9</v>
      </c>
      <c r="K1607" s="71" t="s">
        <v>1710</v>
      </c>
      <c r="L1607" s="71" t="s">
        <v>1710</v>
      </c>
      <c r="M1607" s="72" t="s">
        <v>1710</v>
      </c>
      <c r="N1607" s="71" t="s">
        <v>1710</v>
      </c>
      <c r="O1607" s="73">
        <v>0.9</v>
      </c>
      <c r="P1607" s="71" t="s">
        <v>1710</v>
      </c>
      <c r="Q1607" s="71" t="s">
        <v>1710</v>
      </c>
      <c r="R1607" s="71" t="s">
        <v>1710</v>
      </c>
      <c r="S1607" s="71" t="s">
        <v>1710</v>
      </c>
      <c r="T1607" s="73">
        <v>0.9</v>
      </c>
      <c r="U1607" s="71" t="s">
        <v>1710</v>
      </c>
      <c r="V1607" s="71" t="s">
        <v>1710</v>
      </c>
      <c r="W1607" s="71" t="s">
        <v>1710</v>
      </c>
      <c r="X1607" s="71" t="s">
        <v>1710</v>
      </c>
      <c r="Y1607" s="73">
        <v>0.92</v>
      </c>
      <c r="Z1607" s="73" t="s">
        <v>1710</v>
      </c>
      <c r="AA1607" s="73" t="s">
        <v>1710</v>
      </c>
      <c r="AB1607" s="73" t="s">
        <v>1710</v>
      </c>
      <c r="AC1607" s="73" t="s">
        <v>1710</v>
      </c>
      <c r="AD1607" s="73">
        <v>0.92</v>
      </c>
      <c r="AE1607" s="71">
        <v>0.90196078431372595</v>
      </c>
      <c r="AF1607" s="71">
        <v>0.89333333333333298</v>
      </c>
      <c r="AG1607" s="71">
        <v>1</v>
      </c>
      <c r="AH1607" s="71">
        <v>0.98031794095382296</v>
      </c>
      <c r="AI1607" s="73">
        <v>0.92</v>
      </c>
      <c r="AJ1607" s="71" t="s">
        <v>1710</v>
      </c>
      <c r="AK1607" s="71" t="s">
        <v>1710</v>
      </c>
      <c r="AL1607" s="71" t="s">
        <v>1710</v>
      </c>
      <c r="AM1607" s="71" t="s">
        <v>1710</v>
      </c>
      <c r="AN1607" s="70">
        <v>0.99</v>
      </c>
      <c r="AO1607" s="75">
        <v>1</v>
      </c>
      <c r="AP1607" s="75">
        <v>1</v>
      </c>
      <c r="AQ1607" s="75" t="s">
        <v>1710</v>
      </c>
      <c r="AR1607" s="75">
        <v>1</v>
      </c>
      <c r="AS1607" s="95">
        <v>0.110069253262963</v>
      </c>
      <c r="AT1607" s="79" t="s">
        <v>1710</v>
      </c>
      <c r="AU1607" s="79" t="s">
        <v>1710</v>
      </c>
      <c r="AV1607" s="79" t="s">
        <v>1710</v>
      </c>
      <c r="AW1607" s="79" t="s">
        <v>1710</v>
      </c>
      <c r="AX1607" s="56"/>
      <c r="AY1607" s="54"/>
    </row>
    <row r="1608" spans="1:51">
      <c r="A1608" s="53"/>
      <c r="B1608" s="56"/>
      <c r="C1608" s="90" t="s">
        <v>1448</v>
      </c>
      <c r="D1608" s="230" t="s">
        <v>1759</v>
      </c>
      <c r="E1608" s="68" t="s">
        <v>1449</v>
      </c>
      <c r="F1608" s="106" t="s">
        <v>1633</v>
      </c>
      <c r="G1608" s="106" t="s">
        <v>1633</v>
      </c>
      <c r="H1608" s="106" t="s">
        <v>1633</v>
      </c>
      <c r="I1608" s="106" t="s">
        <v>1633</v>
      </c>
      <c r="J1608" s="70">
        <v>0.9</v>
      </c>
      <c r="K1608" s="71" t="s">
        <v>1710</v>
      </c>
      <c r="L1608" s="71" t="s">
        <v>1710</v>
      </c>
      <c r="M1608" s="72" t="s">
        <v>1710</v>
      </c>
      <c r="N1608" s="71" t="s">
        <v>1710</v>
      </c>
      <c r="O1608" s="73">
        <v>0.9</v>
      </c>
      <c r="P1608" s="71" t="s">
        <v>1710</v>
      </c>
      <c r="Q1608" s="71">
        <v>0</v>
      </c>
      <c r="R1608" s="71" t="s">
        <v>1710</v>
      </c>
      <c r="S1608" s="71">
        <v>0</v>
      </c>
      <c r="T1608" s="73">
        <v>0.9</v>
      </c>
      <c r="U1608" s="71" t="s">
        <v>1710</v>
      </c>
      <c r="V1608" s="71">
        <v>1</v>
      </c>
      <c r="W1608" s="71" t="s">
        <v>1710</v>
      </c>
      <c r="X1608" s="71">
        <v>1</v>
      </c>
      <c r="Y1608" s="73">
        <v>0.92</v>
      </c>
      <c r="Z1608" s="73" t="s">
        <v>1710</v>
      </c>
      <c r="AA1608" s="73" t="s">
        <v>1710</v>
      </c>
      <c r="AB1608" s="73" t="s">
        <v>1710</v>
      </c>
      <c r="AC1608" s="73" t="s">
        <v>1710</v>
      </c>
      <c r="AD1608" s="73">
        <v>0.92</v>
      </c>
      <c r="AE1608" s="71">
        <v>0.22479338842975199</v>
      </c>
      <c r="AF1608" s="71">
        <v>0.90109890109890101</v>
      </c>
      <c r="AG1608" s="71">
        <v>0.42533081285444202</v>
      </c>
      <c r="AH1608" s="71">
        <v>0.63060796645702299</v>
      </c>
      <c r="AI1608" s="73">
        <v>0.92</v>
      </c>
      <c r="AJ1608" s="71" t="s">
        <v>1710</v>
      </c>
      <c r="AK1608" s="71">
        <v>1</v>
      </c>
      <c r="AL1608" s="71" t="s">
        <v>1710</v>
      </c>
      <c r="AM1608" s="71">
        <v>1</v>
      </c>
      <c r="AN1608" s="70">
        <v>0.99</v>
      </c>
      <c r="AO1608" s="75">
        <v>1</v>
      </c>
      <c r="AP1608" s="75">
        <v>1</v>
      </c>
      <c r="AQ1608" s="75">
        <v>1</v>
      </c>
      <c r="AR1608" s="75">
        <v>1</v>
      </c>
      <c r="AS1608" s="95">
        <v>0.110069253262963</v>
      </c>
      <c r="AT1608" s="79" t="s">
        <v>1710</v>
      </c>
      <c r="AU1608" s="79" t="s">
        <v>1710</v>
      </c>
      <c r="AV1608" s="79" t="s">
        <v>1710</v>
      </c>
      <c r="AW1608" s="79" t="s">
        <v>1710</v>
      </c>
      <c r="AX1608" s="56"/>
      <c r="AY1608" s="54"/>
    </row>
    <row r="1609" spans="1:51">
      <c r="A1609" s="53"/>
      <c r="B1609" s="56"/>
      <c r="C1609" s="90" t="s">
        <v>1448</v>
      </c>
      <c r="D1609" s="230" t="s">
        <v>1757</v>
      </c>
      <c r="E1609" s="68" t="s">
        <v>1449</v>
      </c>
      <c r="F1609" s="106" t="s">
        <v>1634</v>
      </c>
      <c r="G1609" s="106" t="s">
        <v>1634</v>
      </c>
      <c r="H1609" s="106" t="s">
        <v>1634</v>
      </c>
      <c r="I1609" s="106" t="s">
        <v>1634</v>
      </c>
      <c r="J1609" s="70">
        <v>0.9</v>
      </c>
      <c r="K1609" s="71">
        <v>0.92307692307692302</v>
      </c>
      <c r="L1609" s="71">
        <v>0.95833333333333304</v>
      </c>
      <c r="M1609" s="72">
        <v>0.95</v>
      </c>
      <c r="N1609" s="71">
        <v>0.97286821705426396</v>
      </c>
      <c r="O1609" s="73">
        <v>0.9</v>
      </c>
      <c r="P1609" s="71">
        <v>0.96811120196238798</v>
      </c>
      <c r="Q1609" s="71">
        <v>0.96228956228956197</v>
      </c>
      <c r="R1609" s="71">
        <v>0.96007485963817796</v>
      </c>
      <c r="S1609" s="71">
        <v>0.95123188814342896</v>
      </c>
      <c r="T1609" s="73">
        <v>0.9</v>
      </c>
      <c r="U1609" s="71">
        <v>0.89125102207686002</v>
      </c>
      <c r="V1609" s="71">
        <v>0.88417508417508395</v>
      </c>
      <c r="W1609" s="71">
        <v>0.79101684341859002</v>
      </c>
      <c r="X1609" s="71">
        <v>0.83914979985341398</v>
      </c>
      <c r="Y1609" s="73">
        <v>0.92</v>
      </c>
      <c r="Z1609" s="73">
        <v>0.92916984006092895</v>
      </c>
      <c r="AA1609" s="73">
        <v>0.93472803347280298</v>
      </c>
      <c r="AB1609" s="73">
        <v>0.901108269394714</v>
      </c>
      <c r="AC1609" s="73">
        <v>0.92728923657190798</v>
      </c>
      <c r="AD1609" s="73">
        <v>0.92</v>
      </c>
      <c r="AE1609" s="71">
        <v>0.44</v>
      </c>
      <c r="AF1609" s="71">
        <v>0.99090909090909096</v>
      </c>
      <c r="AG1609" s="71">
        <v>1</v>
      </c>
      <c r="AH1609" s="71">
        <v>0.88384214445271803</v>
      </c>
      <c r="AI1609" s="73">
        <v>0.92</v>
      </c>
      <c r="AJ1609" s="71">
        <v>0.94558359621451105</v>
      </c>
      <c r="AK1609" s="71">
        <v>0.94968319045844196</v>
      </c>
      <c r="AL1609" s="71">
        <v>0.91183879093199005</v>
      </c>
      <c r="AM1609" s="71">
        <v>0.94370190360469797</v>
      </c>
      <c r="AN1609" s="70">
        <v>0.99</v>
      </c>
      <c r="AO1609" s="75">
        <v>1</v>
      </c>
      <c r="AP1609" s="75">
        <v>1</v>
      </c>
      <c r="AQ1609" s="75">
        <v>1</v>
      </c>
      <c r="AR1609" s="75">
        <v>1</v>
      </c>
      <c r="AS1609" s="95">
        <v>0.110069253262963</v>
      </c>
      <c r="AT1609" s="79">
        <v>0.11764705882352899</v>
      </c>
      <c r="AU1609" s="79">
        <v>0.19047619047618999</v>
      </c>
      <c r="AV1609" s="79">
        <v>0</v>
      </c>
      <c r="AW1609" s="79">
        <v>6.6326530612244902E-2</v>
      </c>
      <c r="AX1609" s="56"/>
      <c r="AY1609" s="54"/>
    </row>
    <row r="1610" spans="1:51">
      <c r="A1610" s="53"/>
      <c r="B1610" s="56"/>
      <c r="C1610" s="90" t="s">
        <v>1448</v>
      </c>
      <c r="D1610" s="230" t="s">
        <v>1759</v>
      </c>
      <c r="E1610" s="68" t="s">
        <v>1449</v>
      </c>
      <c r="F1610" s="106" t="s">
        <v>1635</v>
      </c>
      <c r="G1610" s="106" t="s">
        <v>1635</v>
      </c>
      <c r="H1610" s="106" t="s">
        <v>1635</v>
      </c>
      <c r="I1610" s="106" t="s">
        <v>1635</v>
      </c>
      <c r="J1610" s="70">
        <v>0.9</v>
      </c>
      <c r="K1610" s="71" t="s">
        <v>1710</v>
      </c>
      <c r="L1610" s="71" t="s">
        <v>1710</v>
      </c>
      <c r="M1610" s="72" t="s">
        <v>1710</v>
      </c>
      <c r="N1610" s="71" t="s">
        <v>1710</v>
      </c>
      <c r="O1610" s="73">
        <v>0.9</v>
      </c>
      <c r="P1610" s="71">
        <v>0</v>
      </c>
      <c r="Q1610" s="71" t="s">
        <v>1710</v>
      </c>
      <c r="R1610" s="71">
        <v>0</v>
      </c>
      <c r="S1610" s="71">
        <v>0</v>
      </c>
      <c r="T1610" s="73">
        <v>0.9</v>
      </c>
      <c r="U1610" s="71">
        <v>0.66666666666666696</v>
      </c>
      <c r="V1610" s="71" t="s">
        <v>1710</v>
      </c>
      <c r="W1610" s="71">
        <v>1</v>
      </c>
      <c r="X1610" s="71">
        <v>0.8</v>
      </c>
      <c r="Y1610" s="73">
        <v>0.92</v>
      </c>
      <c r="Z1610" s="73" t="s">
        <v>1710</v>
      </c>
      <c r="AA1610" s="73" t="s">
        <v>1710</v>
      </c>
      <c r="AB1610" s="73" t="s">
        <v>1710</v>
      </c>
      <c r="AC1610" s="73" t="s">
        <v>1710</v>
      </c>
      <c r="AD1610" s="73">
        <v>0.92</v>
      </c>
      <c r="AE1610" s="71">
        <v>0.95070422535211296</v>
      </c>
      <c r="AF1610" s="71">
        <v>0.96040868454661599</v>
      </c>
      <c r="AG1610" s="71">
        <v>0.991368680641184</v>
      </c>
      <c r="AH1610" s="71">
        <v>0.97934218118868999</v>
      </c>
      <c r="AI1610" s="73">
        <v>0.92</v>
      </c>
      <c r="AJ1610" s="71">
        <v>0.66666666666666696</v>
      </c>
      <c r="AK1610" s="71" t="s">
        <v>1710</v>
      </c>
      <c r="AL1610" s="71">
        <v>1</v>
      </c>
      <c r="AM1610" s="71">
        <v>0.86666666666666703</v>
      </c>
      <c r="AN1610" s="70">
        <v>0.99</v>
      </c>
      <c r="AO1610" s="75">
        <v>1</v>
      </c>
      <c r="AP1610" s="75">
        <v>1</v>
      </c>
      <c r="AQ1610" s="75">
        <v>1</v>
      </c>
      <c r="AR1610" s="75">
        <v>1</v>
      </c>
      <c r="AS1610" s="95">
        <v>0.110069253262963</v>
      </c>
      <c r="AT1610" s="79" t="s">
        <v>1710</v>
      </c>
      <c r="AU1610" s="79" t="s">
        <v>1710</v>
      </c>
      <c r="AV1610" s="79" t="s">
        <v>1710</v>
      </c>
      <c r="AW1610" s="79" t="s">
        <v>1710</v>
      </c>
      <c r="AX1610" s="56"/>
      <c r="AY1610" s="54"/>
    </row>
    <row r="1611" spans="1:51">
      <c r="A1611" s="53"/>
      <c r="B1611" s="56"/>
      <c r="C1611" s="90" t="s">
        <v>1448</v>
      </c>
      <c r="D1611" s="230" t="s">
        <v>1759</v>
      </c>
      <c r="E1611" s="68" t="s">
        <v>1449</v>
      </c>
      <c r="F1611" s="106" t="s">
        <v>1636</v>
      </c>
      <c r="G1611" s="106" t="s">
        <v>1636</v>
      </c>
      <c r="H1611" s="106" t="s">
        <v>1636</v>
      </c>
      <c r="I1611" s="106" t="s">
        <v>1636</v>
      </c>
      <c r="J1611" s="70">
        <v>0.9</v>
      </c>
      <c r="K1611" s="71" t="s">
        <v>1710</v>
      </c>
      <c r="L1611" s="71" t="s">
        <v>1710</v>
      </c>
      <c r="M1611" s="72" t="s">
        <v>1710</v>
      </c>
      <c r="N1611" s="71" t="s">
        <v>1710</v>
      </c>
      <c r="O1611" s="73">
        <v>0.9</v>
      </c>
      <c r="P1611" s="71" t="s">
        <v>1710</v>
      </c>
      <c r="Q1611" s="71" t="s">
        <v>1710</v>
      </c>
      <c r="R1611" s="71" t="s">
        <v>1710</v>
      </c>
      <c r="S1611" s="71" t="s">
        <v>1710</v>
      </c>
      <c r="T1611" s="73">
        <v>0.9</v>
      </c>
      <c r="U1611" s="71" t="s">
        <v>1710</v>
      </c>
      <c r="V1611" s="71" t="s">
        <v>1710</v>
      </c>
      <c r="W1611" s="71" t="s">
        <v>1710</v>
      </c>
      <c r="X1611" s="71" t="s">
        <v>1710</v>
      </c>
      <c r="Y1611" s="73">
        <v>0.92</v>
      </c>
      <c r="Z1611" s="73" t="s">
        <v>1710</v>
      </c>
      <c r="AA1611" s="73" t="s">
        <v>1710</v>
      </c>
      <c r="AB1611" s="73" t="s">
        <v>1710</v>
      </c>
      <c r="AC1611" s="73" t="s">
        <v>1710</v>
      </c>
      <c r="AD1611" s="73">
        <v>0.92</v>
      </c>
      <c r="AE1611" s="71">
        <v>0.87692307692307703</v>
      </c>
      <c r="AF1611" s="71">
        <v>0.84183673469387799</v>
      </c>
      <c r="AG1611" s="71">
        <v>0.97321428571428603</v>
      </c>
      <c r="AH1611" s="71">
        <v>0.92799152841510801</v>
      </c>
      <c r="AI1611" s="73">
        <v>0.92</v>
      </c>
      <c r="AJ1611" s="71" t="s">
        <v>1710</v>
      </c>
      <c r="AK1611" s="71" t="s">
        <v>1710</v>
      </c>
      <c r="AL1611" s="71" t="s">
        <v>1710</v>
      </c>
      <c r="AM1611" s="71" t="s">
        <v>1710</v>
      </c>
      <c r="AN1611" s="70">
        <v>0.99</v>
      </c>
      <c r="AO1611" s="75">
        <v>1</v>
      </c>
      <c r="AP1611" s="75">
        <v>1</v>
      </c>
      <c r="AQ1611" s="75">
        <v>1</v>
      </c>
      <c r="AR1611" s="75">
        <v>1</v>
      </c>
      <c r="AS1611" s="95">
        <v>0.110069253262963</v>
      </c>
      <c r="AT1611" s="79" t="s">
        <v>1710</v>
      </c>
      <c r="AU1611" s="79" t="s">
        <v>1710</v>
      </c>
      <c r="AV1611" s="79" t="s">
        <v>1710</v>
      </c>
      <c r="AW1611" s="79" t="s">
        <v>1710</v>
      </c>
      <c r="AX1611" s="56"/>
      <c r="AY1611" s="54"/>
    </row>
    <row r="1612" spans="1:51">
      <c r="A1612" s="53"/>
      <c r="B1612" s="56"/>
      <c r="C1612" s="90" t="s">
        <v>1448</v>
      </c>
      <c r="D1612" s="230" t="s">
        <v>1759</v>
      </c>
      <c r="E1612" s="68" t="s">
        <v>1449</v>
      </c>
      <c r="F1612" s="106" t="s">
        <v>1637</v>
      </c>
      <c r="G1612" s="106" t="s">
        <v>1637</v>
      </c>
      <c r="H1612" s="106" t="s">
        <v>1637</v>
      </c>
      <c r="I1612" s="106" t="s">
        <v>1637</v>
      </c>
      <c r="J1612" s="70">
        <v>0.9</v>
      </c>
      <c r="K1612" s="71" t="s">
        <v>1710</v>
      </c>
      <c r="L1612" s="71" t="s">
        <v>1710</v>
      </c>
      <c r="M1612" s="72" t="s">
        <v>1710</v>
      </c>
      <c r="N1612" s="71" t="s">
        <v>1710</v>
      </c>
      <c r="O1612" s="73">
        <v>0.9</v>
      </c>
      <c r="P1612" s="71" t="s">
        <v>1710</v>
      </c>
      <c r="Q1612" s="71" t="s">
        <v>1710</v>
      </c>
      <c r="R1612" s="71" t="s">
        <v>1710</v>
      </c>
      <c r="S1612" s="71" t="s">
        <v>1710</v>
      </c>
      <c r="T1612" s="73">
        <v>0.9</v>
      </c>
      <c r="U1612" s="71" t="s">
        <v>1710</v>
      </c>
      <c r="V1612" s="71" t="s">
        <v>1710</v>
      </c>
      <c r="W1612" s="71" t="s">
        <v>1710</v>
      </c>
      <c r="X1612" s="71" t="s">
        <v>1710</v>
      </c>
      <c r="Y1612" s="73">
        <v>0.92</v>
      </c>
      <c r="Z1612" s="73" t="s">
        <v>1710</v>
      </c>
      <c r="AA1612" s="73" t="s">
        <v>1710</v>
      </c>
      <c r="AB1612" s="73" t="s">
        <v>1710</v>
      </c>
      <c r="AC1612" s="73" t="s">
        <v>1710</v>
      </c>
      <c r="AD1612" s="73">
        <v>0.92</v>
      </c>
      <c r="AE1612" s="71">
        <v>1</v>
      </c>
      <c r="AF1612" s="71">
        <v>1</v>
      </c>
      <c r="AG1612" s="71">
        <v>1</v>
      </c>
      <c r="AH1612" s="71">
        <v>0.99676898222940202</v>
      </c>
      <c r="AI1612" s="73">
        <v>0.92</v>
      </c>
      <c r="AJ1612" s="71" t="s">
        <v>1710</v>
      </c>
      <c r="AK1612" s="71" t="s">
        <v>1710</v>
      </c>
      <c r="AL1612" s="71" t="s">
        <v>1710</v>
      </c>
      <c r="AM1612" s="71" t="s">
        <v>1710</v>
      </c>
      <c r="AN1612" s="70">
        <v>0.99</v>
      </c>
      <c r="AO1612" s="75">
        <v>1</v>
      </c>
      <c r="AP1612" s="75">
        <v>1</v>
      </c>
      <c r="AQ1612" s="75">
        <v>1</v>
      </c>
      <c r="AR1612" s="75">
        <v>1</v>
      </c>
      <c r="AS1612" s="95">
        <v>0.110069253262963</v>
      </c>
      <c r="AT1612" s="79" t="s">
        <v>1710</v>
      </c>
      <c r="AU1612" s="79" t="s">
        <v>1710</v>
      </c>
      <c r="AV1612" s="79" t="s">
        <v>1710</v>
      </c>
      <c r="AW1612" s="79" t="s">
        <v>1710</v>
      </c>
      <c r="AX1612" s="56"/>
      <c r="AY1612" s="54"/>
    </row>
    <row r="1613" spans="1:51">
      <c r="A1613" s="53"/>
      <c r="B1613" s="56"/>
      <c r="C1613" s="90" t="s">
        <v>1448</v>
      </c>
      <c r="D1613" s="230" t="s">
        <v>1759</v>
      </c>
      <c r="E1613" s="68" t="s">
        <v>1449</v>
      </c>
      <c r="F1613" s="106" t="s">
        <v>1638</v>
      </c>
      <c r="G1613" s="106" t="s">
        <v>1638</v>
      </c>
      <c r="H1613" s="106" t="s">
        <v>1638</v>
      </c>
      <c r="I1613" s="106" t="s">
        <v>1638</v>
      </c>
      <c r="J1613" s="70">
        <v>0.9</v>
      </c>
      <c r="K1613" s="71" t="s">
        <v>1710</v>
      </c>
      <c r="L1613" s="71" t="s">
        <v>1710</v>
      </c>
      <c r="M1613" s="72" t="s">
        <v>1710</v>
      </c>
      <c r="N1613" s="71" t="s">
        <v>1710</v>
      </c>
      <c r="O1613" s="73">
        <v>0.9</v>
      </c>
      <c r="P1613" s="71" t="s">
        <v>1710</v>
      </c>
      <c r="Q1613" s="71" t="s">
        <v>1710</v>
      </c>
      <c r="R1613" s="71" t="s">
        <v>1710</v>
      </c>
      <c r="S1613" s="71">
        <v>0</v>
      </c>
      <c r="T1613" s="73">
        <v>0.9</v>
      </c>
      <c r="U1613" s="71" t="s">
        <v>1710</v>
      </c>
      <c r="V1613" s="71" t="s">
        <v>1710</v>
      </c>
      <c r="W1613" s="71" t="s">
        <v>1710</v>
      </c>
      <c r="X1613" s="71">
        <v>1</v>
      </c>
      <c r="Y1613" s="73">
        <v>0.92</v>
      </c>
      <c r="Z1613" s="73" t="s">
        <v>1710</v>
      </c>
      <c r="AA1613" s="73" t="s">
        <v>1710</v>
      </c>
      <c r="AB1613" s="73" t="s">
        <v>1710</v>
      </c>
      <c r="AC1613" s="73" t="s">
        <v>1710</v>
      </c>
      <c r="AD1613" s="73">
        <v>0.92</v>
      </c>
      <c r="AE1613" s="71">
        <v>0.92492012779552701</v>
      </c>
      <c r="AF1613" s="71">
        <v>0.96347031963470298</v>
      </c>
      <c r="AG1613" s="71">
        <v>0.98513800424628495</v>
      </c>
      <c r="AH1613" s="71">
        <v>0.95797130733481495</v>
      </c>
      <c r="AI1613" s="73">
        <v>0.92</v>
      </c>
      <c r="AJ1613" s="71" t="s">
        <v>1710</v>
      </c>
      <c r="AK1613" s="71" t="s">
        <v>1710</v>
      </c>
      <c r="AL1613" s="71" t="s">
        <v>1710</v>
      </c>
      <c r="AM1613" s="71">
        <v>1</v>
      </c>
      <c r="AN1613" s="70">
        <v>0.99</v>
      </c>
      <c r="AO1613" s="75">
        <v>1</v>
      </c>
      <c r="AP1613" s="75">
        <v>1</v>
      </c>
      <c r="AQ1613" s="75">
        <v>1</v>
      </c>
      <c r="AR1613" s="75">
        <v>1</v>
      </c>
      <c r="AS1613" s="95">
        <v>0.110069253262963</v>
      </c>
      <c r="AT1613" s="79" t="s">
        <v>1710</v>
      </c>
      <c r="AU1613" s="79" t="s">
        <v>1710</v>
      </c>
      <c r="AV1613" s="79" t="s">
        <v>1710</v>
      </c>
      <c r="AW1613" s="79" t="s">
        <v>1710</v>
      </c>
      <c r="AX1613" s="56"/>
      <c r="AY1613" s="54"/>
    </row>
    <row r="1614" spans="1:51">
      <c r="A1614" s="53"/>
      <c r="B1614" s="56"/>
      <c r="C1614" s="90" t="s">
        <v>1448</v>
      </c>
      <c r="D1614" s="230" t="s">
        <v>1759</v>
      </c>
      <c r="E1614" s="68" t="s">
        <v>1449</v>
      </c>
      <c r="F1614" s="106" t="s">
        <v>1639</v>
      </c>
      <c r="G1614" s="106" t="s">
        <v>1639</v>
      </c>
      <c r="H1614" s="106" t="s">
        <v>1639</v>
      </c>
      <c r="I1614" s="106" t="s">
        <v>1639</v>
      </c>
      <c r="J1614" s="70">
        <v>0.9</v>
      </c>
      <c r="K1614" s="71" t="s">
        <v>1710</v>
      </c>
      <c r="L1614" s="71" t="s">
        <v>1710</v>
      </c>
      <c r="M1614" s="72" t="s">
        <v>1710</v>
      </c>
      <c r="N1614" s="71" t="s">
        <v>1710</v>
      </c>
      <c r="O1614" s="73">
        <v>0.9</v>
      </c>
      <c r="P1614" s="71" t="s">
        <v>1710</v>
      </c>
      <c r="Q1614" s="71" t="s">
        <v>1710</v>
      </c>
      <c r="R1614" s="71" t="s">
        <v>1710</v>
      </c>
      <c r="S1614" s="71" t="s">
        <v>1710</v>
      </c>
      <c r="T1614" s="73">
        <v>0.9</v>
      </c>
      <c r="U1614" s="71" t="s">
        <v>1710</v>
      </c>
      <c r="V1614" s="71" t="s">
        <v>1710</v>
      </c>
      <c r="W1614" s="71" t="s">
        <v>1710</v>
      </c>
      <c r="X1614" s="71" t="s">
        <v>1710</v>
      </c>
      <c r="Y1614" s="73">
        <v>0.92</v>
      </c>
      <c r="Z1614" s="73" t="s">
        <v>1710</v>
      </c>
      <c r="AA1614" s="73" t="s">
        <v>1710</v>
      </c>
      <c r="AB1614" s="73" t="s">
        <v>1710</v>
      </c>
      <c r="AC1614" s="73" t="s">
        <v>1710</v>
      </c>
      <c r="AD1614" s="73">
        <v>0.92</v>
      </c>
      <c r="AE1614" s="71">
        <v>0.99791666666666701</v>
      </c>
      <c r="AF1614" s="71">
        <v>0.23542116630669499</v>
      </c>
      <c r="AG1614" s="71">
        <v>1</v>
      </c>
      <c r="AH1614" s="71">
        <v>0.750090220137135</v>
      </c>
      <c r="AI1614" s="73">
        <v>0.92</v>
      </c>
      <c r="AJ1614" s="71" t="s">
        <v>1710</v>
      </c>
      <c r="AK1614" s="71" t="s">
        <v>1710</v>
      </c>
      <c r="AL1614" s="71" t="s">
        <v>1710</v>
      </c>
      <c r="AM1614" s="71" t="s">
        <v>1710</v>
      </c>
      <c r="AN1614" s="70">
        <v>0.99</v>
      </c>
      <c r="AO1614" s="75">
        <v>1</v>
      </c>
      <c r="AP1614" s="75">
        <v>1</v>
      </c>
      <c r="AQ1614" s="75">
        <v>1</v>
      </c>
      <c r="AR1614" s="75">
        <v>1</v>
      </c>
      <c r="AS1614" s="95">
        <v>0.110069253262963</v>
      </c>
      <c r="AT1614" s="79" t="s">
        <v>1710</v>
      </c>
      <c r="AU1614" s="79" t="s">
        <v>1710</v>
      </c>
      <c r="AV1614" s="79" t="s">
        <v>1710</v>
      </c>
      <c r="AW1614" s="79" t="s">
        <v>1710</v>
      </c>
      <c r="AX1614" s="56"/>
      <c r="AY1614" s="54"/>
    </row>
    <row r="1615" spans="1:51">
      <c r="A1615" s="53"/>
      <c r="B1615" s="56"/>
      <c r="C1615" s="90" t="s">
        <v>1448</v>
      </c>
      <c r="D1615" s="230" t="s">
        <v>1759</v>
      </c>
      <c r="E1615" s="68" t="s">
        <v>1449</v>
      </c>
      <c r="F1615" s="106" t="s">
        <v>1640</v>
      </c>
      <c r="G1615" s="106" t="s">
        <v>1640</v>
      </c>
      <c r="H1615" s="106" t="s">
        <v>1640</v>
      </c>
      <c r="I1615" s="106" t="s">
        <v>1640</v>
      </c>
      <c r="J1615" s="70">
        <v>0.9</v>
      </c>
      <c r="K1615" s="71" t="s">
        <v>1710</v>
      </c>
      <c r="L1615" s="71" t="s">
        <v>1710</v>
      </c>
      <c r="M1615" s="72" t="s">
        <v>1710</v>
      </c>
      <c r="N1615" s="71" t="s">
        <v>1710</v>
      </c>
      <c r="O1615" s="73">
        <v>0.9</v>
      </c>
      <c r="P1615" s="71" t="s">
        <v>1710</v>
      </c>
      <c r="Q1615" s="71" t="s">
        <v>1710</v>
      </c>
      <c r="R1615" s="71" t="s">
        <v>1710</v>
      </c>
      <c r="S1615" s="71" t="s">
        <v>1710</v>
      </c>
      <c r="T1615" s="73">
        <v>0.9</v>
      </c>
      <c r="U1615" s="71" t="s">
        <v>1710</v>
      </c>
      <c r="V1615" s="71" t="s">
        <v>1710</v>
      </c>
      <c r="W1615" s="71" t="s">
        <v>1710</v>
      </c>
      <c r="X1615" s="71" t="s">
        <v>1710</v>
      </c>
      <c r="Y1615" s="73">
        <v>0.92</v>
      </c>
      <c r="Z1615" s="73" t="s">
        <v>1710</v>
      </c>
      <c r="AA1615" s="73" t="s">
        <v>1710</v>
      </c>
      <c r="AB1615" s="73" t="s">
        <v>1710</v>
      </c>
      <c r="AC1615" s="73" t="s">
        <v>1710</v>
      </c>
      <c r="AD1615" s="73">
        <v>0.92</v>
      </c>
      <c r="AE1615" s="71">
        <v>0.99647887323943696</v>
      </c>
      <c r="AF1615" s="71">
        <v>1</v>
      </c>
      <c r="AG1615" s="71">
        <v>1</v>
      </c>
      <c r="AH1615" s="71">
        <v>0.99893009985734704</v>
      </c>
      <c r="AI1615" s="73">
        <v>0.92</v>
      </c>
      <c r="AJ1615" s="71" t="s">
        <v>1710</v>
      </c>
      <c r="AK1615" s="71">
        <v>1</v>
      </c>
      <c r="AL1615" s="71" t="s">
        <v>1710</v>
      </c>
      <c r="AM1615" s="71">
        <v>1</v>
      </c>
      <c r="AN1615" s="70">
        <v>0.99</v>
      </c>
      <c r="AO1615" s="75" t="s">
        <v>1710</v>
      </c>
      <c r="AP1615" s="75">
        <v>1</v>
      </c>
      <c r="AQ1615" s="75" t="s">
        <v>1710</v>
      </c>
      <c r="AR1615" s="75">
        <v>1</v>
      </c>
      <c r="AS1615" s="95">
        <v>0.110069253262963</v>
      </c>
      <c r="AT1615" s="79" t="s">
        <v>1710</v>
      </c>
      <c r="AU1615" s="79" t="s">
        <v>1710</v>
      </c>
      <c r="AV1615" s="79" t="s">
        <v>1710</v>
      </c>
      <c r="AW1615" s="79" t="s">
        <v>1710</v>
      </c>
      <c r="AX1615" s="56"/>
      <c r="AY1615" s="54"/>
    </row>
    <row r="1616" spans="1:51">
      <c r="A1616" s="53"/>
      <c r="B1616" s="56"/>
      <c r="C1616" s="90" t="s">
        <v>1448</v>
      </c>
      <c r="D1616" s="230" t="s">
        <v>1759</v>
      </c>
      <c r="E1616" s="68" t="s">
        <v>1449</v>
      </c>
      <c r="F1616" s="106" t="s">
        <v>1641</v>
      </c>
      <c r="G1616" s="106" t="s">
        <v>1641</v>
      </c>
      <c r="H1616" s="106" t="s">
        <v>1641</v>
      </c>
      <c r="I1616" s="106" t="s">
        <v>1641</v>
      </c>
      <c r="J1616" s="70">
        <v>0.9</v>
      </c>
      <c r="K1616" s="71" t="s">
        <v>1710</v>
      </c>
      <c r="L1616" s="71" t="s">
        <v>1710</v>
      </c>
      <c r="M1616" s="72" t="s">
        <v>1710</v>
      </c>
      <c r="N1616" s="71" t="s">
        <v>1710</v>
      </c>
      <c r="O1616" s="73">
        <v>0.9</v>
      </c>
      <c r="P1616" s="71" t="s">
        <v>1710</v>
      </c>
      <c r="Q1616" s="71" t="s">
        <v>1710</v>
      </c>
      <c r="R1616" s="71" t="s">
        <v>1710</v>
      </c>
      <c r="S1616" s="71" t="s">
        <v>1710</v>
      </c>
      <c r="T1616" s="73">
        <v>0.9</v>
      </c>
      <c r="U1616" s="71" t="s">
        <v>1710</v>
      </c>
      <c r="V1616" s="71" t="s">
        <v>1710</v>
      </c>
      <c r="W1616" s="71" t="s">
        <v>1710</v>
      </c>
      <c r="X1616" s="71" t="s">
        <v>1710</v>
      </c>
      <c r="Y1616" s="73">
        <v>0.92</v>
      </c>
      <c r="Z1616" s="73" t="s">
        <v>1710</v>
      </c>
      <c r="AA1616" s="73" t="s">
        <v>1710</v>
      </c>
      <c r="AB1616" s="73" t="s">
        <v>1710</v>
      </c>
      <c r="AC1616" s="73" t="s">
        <v>1710</v>
      </c>
      <c r="AD1616" s="73">
        <v>0.92</v>
      </c>
      <c r="AE1616" s="71">
        <v>1</v>
      </c>
      <c r="AF1616" s="71">
        <v>0.18926553672316401</v>
      </c>
      <c r="AG1616" s="71">
        <v>1</v>
      </c>
      <c r="AH1616" s="71">
        <v>0.78735829611817199</v>
      </c>
      <c r="AI1616" s="73">
        <v>0.92</v>
      </c>
      <c r="AJ1616" s="71" t="s">
        <v>1710</v>
      </c>
      <c r="AK1616" s="71" t="s">
        <v>1710</v>
      </c>
      <c r="AL1616" s="71" t="s">
        <v>1710</v>
      </c>
      <c r="AM1616" s="71" t="s">
        <v>1710</v>
      </c>
      <c r="AN1616" s="70">
        <v>0.99</v>
      </c>
      <c r="AO1616" s="75">
        <v>1</v>
      </c>
      <c r="AP1616" s="75">
        <v>1</v>
      </c>
      <c r="AQ1616" s="75">
        <v>1</v>
      </c>
      <c r="AR1616" s="75">
        <v>1</v>
      </c>
      <c r="AS1616" s="95">
        <v>0.110069253262963</v>
      </c>
      <c r="AT1616" s="79" t="s">
        <v>1710</v>
      </c>
      <c r="AU1616" s="79" t="s">
        <v>1710</v>
      </c>
      <c r="AV1616" s="79" t="s">
        <v>1710</v>
      </c>
      <c r="AW1616" s="79" t="s">
        <v>1710</v>
      </c>
      <c r="AX1616" s="56"/>
      <c r="AY1616" s="54"/>
    </row>
    <row r="1617" spans="1:51">
      <c r="A1617" s="53"/>
      <c r="B1617" s="56"/>
      <c r="C1617" s="90" t="s">
        <v>1448</v>
      </c>
      <c r="D1617" s="230" t="s">
        <v>1759</v>
      </c>
      <c r="E1617" s="68" t="s">
        <v>1449</v>
      </c>
      <c r="F1617" s="106" t="s">
        <v>1642</v>
      </c>
      <c r="G1617" s="106" t="s">
        <v>1642</v>
      </c>
      <c r="H1617" s="106" t="s">
        <v>1642</v>
      </c>
      <c r="I1617" s="106" t="s">
        <v>1642</v>
      </c>
      <c r="J1617" s="70">
        <v>0.9</v>
      </c>
      <c r="K1617" s="71" t="s">
        <v>1710</v>
      </c>
      <c r="L1617" s="71" t="s">
        <v>1710</v>
      </c>
      <c r="M1617" s="72" t="s">
        <v>1710</v>
      </c>
      <c r="N1617" s="71" t="s">
        <v>1710</v>
      </c>
      <c r="O1617" s="73">
        <v>0.9</v>
      </c>
      <c r="P1617" s="71" t="s">
        <v>1710</v>
      </c>
      <c r="Q1617" s="71" t="s">
        <v>1710</v>
      </c>
      <c r="R1617" s="71" t="s">
        <v>1710</v>
      </c>
      <c r="S1617" s="71" t="s">
        <v>1710</v>
      </c>
      <c r="T1617" s="73">
        <v>0.9</v>
      </c>
      <c r="U1617" s="71" t="s">
        <v>1710</v>
      </c>
      <c r="V1617" s="71" t="s">
        <v>1710</v>
      </c>
      <c r="W1617" s="71" t="s">
        <v>1710</v>
      </c>
      <c r="X1617" s="71" t="s">
        <v>1710</v>
      </c>
      <c r="Y1617" s="73">
        <v>0.92</v>
      </c>
      <c r="Z1617" s="73" t="s">
        <v>1710</v>
      </c>
      <c r="AA1617" s="73" t="s">
        <v>1710</v>
      </c>
      <c r="AB1617" s="73" t="s">
        <v>1710</v>
      </c>
      <c r="AC1617" s="73" t="s">
        <v>1710</v>
      </c>
      <c r="AD1617" s="73">
        <v>0.92</v>
      </c>
      <c r="AE1617" s="71">
        <v>1</v>
      </c>
      <c r="AF1617" s="71">
        <v>1</v>
      </c>
      <c r="AG1617" s="71">
        <v>1</v>
      </c>
      <c r="AH1617" s="71">
        <v>0.99848254931714697</v>
      </c>
      <c r="AI1617" s="73">
        <v>0.92</v>
      </c>
      <c r="AJ1617" s="71" t="s">
        <v>1710</v>
      </c>
      <c r="AK1617" s="71" t="s">
        <v>1710</v>
      </c>
      <c r="AL1617" s="71" t="s">
        <v>1710</v>
      </c>
      <c r="AM1617" s="71" t="s">
        <v>1710</v>
      </c>
      <c r="AN1617" s="70">
        <v>0.99</v>
      </c>
      <c r="AO1617" s="75">
        <v>1</v>
      </c>
      <c r="AP1617" s="75">
        <v>1</v>
      </c>
      <c r="AQ1617" s="75">
        <v>1</v>
      </c>
      <c r="AR1617" s="75">
        <v>1</v>
      </c>
      <c r="AS1617" s="95">
        <v>0.110069253262963</v>
      </c>
      <c r="AT1617" s="79" t="s">
        <v>1710</v>
      </c>
      <c r="AU1617" s="79" t="s">
        <v>1710</v>
      </c>
      <c r="AV1617" s="79" t="s">
        <v>1710</v>
      </c>
      <c r="AW1617" s="79" t="s">
        <v>1710</v>
      </c>
      <c r="AX1617" s="56"/>
      <c r="AY1617" s="54"/>
    </row>
    <row r="1618" spans="1:51">
      <c r="A1618" s="53"/>
      <c r="B1618" s="56"/>
      <c r="C1618" s="90" t="s">
        <v>1448</v>
      </c>
      <c r="D1618" s="230" t="s">
        <v>1759</v>
      </c>
      <c r="E1618" s="68" t="s">
        <v>1449</v>
      </c>
      <c r="F1618" s="106" t="s">
        <v>1643</v>
      </c>
      <c r="G1618" s="106" t="s">
        <v>1643</v>
      </c>
      <c r="H1618" s="106" t="s">
        <v>1643</v>
      </c>
      <c r="I1618" s="106" t="s">
        <v>1643</v>
      </c>
      <c r="J1618" s="70">
        <v>0.9</v>
      </c>
      <c r="K1618" s="71" t="s">
        <v>1710</v>
      </c>
      <c r="L1618" s="71" t="s">
        <v>1710</v>
      </c>
      <c r="M1618" s="72" t="s">
        <v>1710</v>
      </c>
      <c r="N1618" s="71" t="s">
        <v>1710</v>
      </c>
      <c r="O1618" s="73">
        <v>0.9</v>
      </c>
      <c r="P1618" s="71" t="s">
        <v>1710</v>
      </c>
      <c r="Q1618" s="71" t="s">
        <v>1710</v>
      </c>
      <c r="R1618" s="71">
        <v>0</v>
      </c>
      <c r="S1618" s="71">
        <v>0</v>
      </c>
      <c r="T1618" s="73">
        <v>0.9</v>
      </c>
      <c r="U1618" s="71" t="s">
        <v>1710</v>
      </c>
      <c r="V1618" s="71" t="s">
        <v>1710</v>
      </c>
      <c r="W1618" s="71">
        <v>1</v>
      </c>
      <c r="X1618" s="71">
        <v>1</v>
      </c>
      <c r="Y1618" s="73">
        <v>0.92</v>
      </c>
      <c r="Z1618" s="73" t="s">
        <v>1710</v>
      </c>
      <c r="AA1618" s="73" t="s">
        <v>1710</v>
      </c>
      <c r="AB1618" s="73" t="s">
        <v>1710</v>
      </c>
      <c r="AC1618" s="73" t="s">
        <v>1710</v>
      </c>
      <c r="AD1618" s="73">
        <v>0.92</v>
      </c>
      <c r="AE1618" s="71">
        <v>0.95518867924528295</v>
      </c>
      <c r="AF1618" s="71">
        <v>0.92517006802721102</v>
      </c>
      <c r="AG1618" s="71">
        <v>1</v>
      </c>
      <c r="AH1618" s="71">
        <v>0.98214285714285698</v>
      </c>
      <c r="AI1618" s="73">
        <v>0.92</v>
      </c>
      <c r="AJ1618" s="71" t="s">
        <v>1710</v>
      </c>
      <c r="AK1618" s="71" t="s">
        <v>1710</v>
      </c>
      <c r="AL1618" s="71">
        <v>1</v>
      </c>
      <c r="AM1618" s="71">
        <v>1</v>
      </c>
      <c r="AN1618" s="70">
        <v>0.99</v>
      </c>
      <c r="AO1618" s="75">
        <v>1</v>
      </c>
      <c r="AP1618" s="75">
        <v>1</v>
      </c>
      <c r="AQ1618" s="75">
        <v>1</v>
      </c>
      <c r="AR1618" s="75">
        <v>1</v>
      </c>
      <c r="AS1618" s="95">
        <v>0.110069253262963</v>
      </c>
      <c r="AT1618" s="79" t="s">
        <v>1710</v>
      </c>
      <c r="AU1618" s="79" t="s">
        <v>1710</v>
      </c>
      <c r="AV1618" s="79" t="s">
        <v>1710</v>
      </c>
      <c r="AW1618" s="79" t="s">
        <v>1710</v>
      </c>
      <c r="AX1618" s="56"/>
      <c r="AY1618" s="54"/>
    </row>
    <row r="1619" spans="1:51">
      <c r="A1619" s="53"/>
      <c r="B1619" s="56"/>
      <c r="C1619" s="90" t="s">
        <v>1448</v>
      </c>
      <c r="D1619" s="230" t="s">
        <v>1757</v>
      </c>
      <c r="E1619" s="68" t="s">
        <v>1449</v>
      </c>
      <c r="F1619" s="106" t="s">
        <v>1644</v>
      </c>
      <c r="G1619" s="106" t="s">
        <v>1644</v>
      </c>
      <c r="H1619" s="106" t="s">
        <v>1644</v>
      </c>
      <c r="I1619" s="106" t="s">
        <v>1644</v>
      </c>
      <c r="J1619" s="70">
        <v>0.9</v>
      </c>
      <c r="K1619" s="71">
        <v>1</v>
      </c>
      <c r="L1619" s="71">
        <v>0.95454545454545503</v>
      </c>
      <c r="M1619" s="72">
        <v>0.97727272727272696</v>
      </c>
      <c r="N1619" s="71">
        <v>0.97125256673511295</v>
      </c>
      <c r="O1619" s="73">
        <v>0.9</v>
      </c>
      <c r="P1619" s="71">
        <v>0.97142857142857097</v>
      </c>
      <c r="Q1619" s="71">
        <v>0.96104347826087</v>
      </c>
      <c r="R1619" s="71">
        <v>0.95934699103713195</v>
      </c>
      <c r="S1619" s="71">
        <v>0.95430599768994595</v>
      </c>
      <c r="T1619" s="73">
        <v>0.9</v>
      </c>
      <c r="U1619" s="71">
        <v>0.59962406015037595</v>
      </c>
      <c r="V1619" s="71">
        <v>0.60069565217391296</v>
      </c>
      <c r="W1619" s="71">
        <v>0.554737516005122</v>
      </c>
      <c r="X1619" s="71">
        <v>0.53962306673803395</v>
      </c>
      <c r="Y1619" s="73">
        <v>0.92</v>
      </c>
      <c r="Z1619" s="73">
        <v>0.87067059690493698</v>
      </c>
      <c r="AA1619" s="73">
        <v>0.88855678906917201</v>
      </c>
      <c r="AB1619" s="73">
        <v>0.89619883040935699</v>
      </c>
      <c r="AC1619" s="73">
        <v>0.85806235583004697</v>
      </c>
      <c r="AD1619" s="73">
        <v>0.92</v>
      </c>
      <c r="AE1619" s="71">
        <v>1</v>
      </c>
      <c r="AF1619" s="71">
        <v>0.83333333333333304</v>
      </c>
      <c r="AG1619" s="71">
        <v>0.875</v>
      </c>
      <c r="AH1619" s="71">
        <v>0.90434782608695696</v>
      </c>
      <c r="AI1619" s="73">
        <v>0.92</v>
      </c>
      <c r="AJ1619" s="71">
        <v>0.90286564942314895</v>
      </c>
      <c r="AK1619" s="71">
        <v>0.919110599961664</v>
      </c>
      <c r="AL1619" s="71">
        <v>0.92001545595054102</v>
      </c>
      <c r="AM1619" s="71">
        <v>0.90452913648310795</v>
      </c>
      <c r="AN1619" s="70">
        <v>0.99</v>
      </c>
      <c r="AO1619" s="75" t="s">
        <v>1710</v>
      </c>
      <c r="AP1619" s="75" t="s">
        <v>1710</v>
      </c>
      <c r="AQ1619" s="75" t="s">
        <v>1710</v>
      </c>
      <c r="AR1619" s="75">
        <v>1</v>
      </c>
      <c r="AS1619" s="95">
        <v>0.110069253262963</v>
      </c>
      <c r="AT1619" s="79">
        <v>0.24</v>
      </c>
      <c r="AU1619" s="79">
        <v>8.8235294117647106E-2</v>
      </c>
      <c r="AV1619" s="79">
        <v>0.125</v>
      </c>
      <c r="AW1619" s="79">
        <v>0.106267029972752</v>
      </c>
      <c r="AX1619" s="56"/>
      <c r="AY1619" s="54"/>
    </row>
    <row r="1620" spans="1:51">
      <c r="A1620" s="53"/>
      <c r="B1620" s="56"/>
      <c r="C1620" s="90" t="s">
        <v>1448</v>
      </c>
      <c r="D1620" s="230" t="s">
        <v>1759</v>
      </c>
      <c r="E1620" s="68" t="s">
        <v>1449</v>
      </c>
      <c r="F1620" s="106" t="s">
        <v>1645</v>
      </c>
      <c r="G1620" s="106" t="s">
        <v>1645</v>
      </c>
      <c r="H1620" s="106" t="s">
        <v>1645</v>
      </c>
      <c r="I1620" s="106" t="s">
        <v>1645</v>
      </c>
      <c r="J1620" s="70">
        <v>0.9</v>
      </c>
      <c r="K1620" s="71" t="s">
        <v>1710</v>
      </c>
      <c r="L1620" s="71" t="s">
        <v>1710</v>
      </c>
      <c r="M1620" s="72" t="s">
        <v>1710</v>
      </c>
      <c r="N1620" s="71" t="s">
        <v>1710</v>
      </c>
      <c r="O1620" s="73">
        <v>0.9</v>
      </c>
      <c r="P1620" s="71" t="s">
        <v>1710</v>
      </c>
      <c r="Q1620" s="71" t="s">
        <v>1710</v>
      </c>
      <c r="R1620" s="71" t="s">
        <v>1710</v>
      </c>
      <c r="S1620" s="71">
        <v>0</v>
      </c>
      <c r="T1620" s="73">
        <v>0.9</v>
      </c>
      <c r="U1620" s="71" t="s">
        <v>1710</v>
      </c>
      <c r="V1620" s="71" t="s">
        <v>1710</v>
      </c>
      <c r="W1620" s="71" t="s">
        <v>1710</v>
      </c>
      <c r="X1620" s="71">
        <v>1</v>
      </c>
      <c r="Y1620" s="73">
        <v>0.92</v>
      </c>
      <c r="Z1620" s="73" t="s">
        <v>1710</v>
      </c>
      <c r="AA1620" s="73" t="s">
        <v>1710</v>
      </c>
      <c r="AB1620" s="73" t="s">
        <v>1710</v>
      </c>
      <c r="AC1620" s="73" t="s">
        <v>1710</v>
      </c>
      <c r="AD1620" s="73">
        <v>0.92</v>
      </c>
      <c r="AE1620" s="71">
        <v>0.75581395348837199</v>
      </c>
      <c r="AF1620" s="71">
        <v>0.97321428571428603</v>
      </c>
      <c r="AG1620" s="71">
        <v>0.931034482758621</v>
      </c>
      <c r="AH1620" s="71">
        <v>0.89637124912770405</v>
      </c>
      <c r="AI1620" s="73">
        <v>0.92</v>
      </c>
      <c r="AJ1620" s="71" t="s">
        <v>1710</v>
      </c>
      <c r="AK1620" s="71" t="s">
        <v>1710</v>
      </c>
      <c r="AL1620" s="71" t="s">
        <v>1710</v>
      </c>
      <c r="AM1620" s="71">
        <v>1</v>
      </c>
      <c r="AN1620" s="70">
        <v>0.99</v>
      </c>
      <c r="AO1620" s="75">
        <v>1</v>
      </c>
      <c r="AP1620" s="75">
        <v>1</v>
      </c>
      <c r="AQ1620" s="75">
        <v>1</v>
      </c>
      <c r="AR1620" s="75">
        <v>1</v>
      </c>
      <c r="AS1620" s="95">
        <v>0.110069253262963</v>
      </c>
      <c r="AT1620" s="79" t="s">
        <v>1710</v>
      </c>
      <c r="AU1620" s="79" t="s">
        <v>1710</v>
      </c>
      <c r="AV1620" s="79" t="s">
        <v>1710</v>
      </c>
      <c r="AW1620" s="79" t="s">
        <v>1710</v>
      </c>
      <c r="AX1620" s="56"/>
      <c r="AY1620" s="54"/>
    </row>
    <row r="1621" spans="1:51">
      <c r="A1621" s="53"/>
      <c r="B1621" s="56"/>
      <c r="C1621" s="90" t="s">
        <v>1448</v>
      </c>
      <c r="D1621" s="230" t="s">
        <v>1759</v>
      </c>
      <c r="E1621" s="68" t="s">
        <v>1449</v>
      </c>
      <c r="F1621" s="106" t="s">
        <v>1646</v>
      </c>
      <c r="G1621" s="106" t="s">
        <v>1646</v>
      </c>
      <c r="H1621" s="106" t="s">
        <v>1646</v>
      </c>
      <c r="I1621" s="106" t="s">
        <v>1646</v>
      </c>
      <c r="J1621" s="70">
        <v>0.9</v>
      </c>
      <c r="K1621" s="71" t="s">
        <v>1710</v>
      </c>
      <c r="L1621" s="71" t="s">
        <v>1710</v>
      </c>
      <c r="M1621" s="72" t="s">
        <v>1710</v>
      </c>
      <c r="N1621" s="71" t="s">
        <v>1710</v>
      </c>
      <c r="O1621" s="73">
        <v>0.9</v>
      </c>
      <c r="P1621" s="71" t="s">
        <v>1710</v>
      </c>
      <c r="Q1621" s="71" t="s">
        <v>1710</v>
      </c>
      <c r="R1621" s="71" t="s">
        <v>1710</v>
      </c>
      <c r="S1621" s="71" t="s">
        <v>1710</v>
      </c>
      <c r="T1621" s="73">
        <v>0.9</v>
      </c>
      <c r="U1621" s="71" t="s">
        <v>1710</v>
      </c>
      <c r="V1621" s="71" t="s">
        <v>1710</v>
      </c>
      <c r="W1621" s="71" t="s">
        <v>1710</v>
      </c>
      <c r="X1621" s="71" t="s">
        <v>1710</v>
      </c>
      <c r="Y1621" s="73">
        <v>0.92</v>
      </c>
      <c r="Z1621" s="73" t="s">
        <v>1710</v>
      </c>
      <c r="AA1621" s="73" t="s">
        <v>1710</v>
      </c>
      <c r="AB1621" s="73" t="s">
        <v>1710</v>
      </c>
      <c r="AC1621" s="73" t="s">
        <v>1710</v>
      </c>
      <c r="AD1621" s="73">
        <v>0.92</v>
      </c>
      <c r="AE1621" s="71">
        <v>0.99641577060931896</v>
      </c>
      <c r="AF1621" s="71">
        <v>0.91869918699187003</v>
      </c>
      <c r="AG1621" s="71">
        <v>0.99095022624434403</v>
      </c>
      <c r="AH1621" s="71">
        <v>0.99314187741105897</v>
      </c>
      <c r="AI1621" s="73">
        <v>0.92</v>
      </c>
      <c r="AJ1621" s="71" t="s">
        <v>1710</v>
      </c>
      <c r="AK1621" s="71" t="s">
        <v>1710</v>
      </c>
      <c r="AL1621" s="71" t="s">
        <v>1710</v>
      </c>
      <c r="AM1621" s="71" t="s">
        <v>1710</v>
      </c>
      <c r="AN1621" s="70">
        <v>0.99</v>
      </c>
      <c r="AO1621" s="75">
        <v>1</v>
      </c>
      <c r="AP1621" s="75">
        <v>1</v>
      </c>
      <c r="AQ1621" s="75">
        <v>1</v>
      </c>
      <c r="AR1621" s="75">
        <v>1</v>
      </c>
      <c r="AS1621" s="95">
        <v>0.110069253262963</v>
      </c>
      <c r="AT1621" s="79" t="s">
        <v>1710</v>
      </c>
      <c r="AU1621" s="79" t="s">
        <v>1710</v>
      </c>
      <c r="AV1621" s="79" t="s">
        <v>1710</v>
      </c>
      <c r="AW1621" s="79" t="s">
        <v>1710</v>
      </c>
      <c r="AX1621" s="56"/>
      <c r="AY1621" s="54"/>
    </row>
    <row r="1622" spans="1:51">
      <c r="A1622" s="53"/>
      <c r="B1622" s="56"/>
      <c r="C1622" s="90" t="s">
        <v>1448</v>
      </c>
      <c r="D1622" s="230" t="s">
        <v>1759</v>
      </c>
      <c r="E1622" s="68" t="s">
        <v>1449</v>
      </c>
      <c r="F1622" s="106" t="s">
        <v>1647</v>
      </c>
      <c r="G1622" s="106" t="s">
        <v>1647</v>
      </c>
      <c r="H1622" s="106" t="s">
        <v>1647</v>
      </c>
      <c r="I1622" s="106" t="s">
        <v>1647</v>
      </c>
      <c r="J1622" s="70">
        <v>0.9</v>
      </c>
      <c r="K1622" s="71" t="s">
        <v>1710</v>
      </c>
      <c r="L1622" s="71" t="s">
        <v>1710</v>
      </c>
      <c r="M1622" s="72" t="s">
        <v>1710</v>
      </c>
      <c r="N1622" s="71" t="s">
        <v>1710</v>
      </c>
      <c r="O1622" s="73">
        <v>0.9</v>
      </c>
      <c r="P1622" s="71">
        <v>0</v>
      </c>
      <c r="Q1622" s="71" t="s">
        <v>1710</v>
      </c>
      <c r="R1622" s="71">
        <v>0</v>
      </c>
      <c r="S1622" s="71">
        <v>0</v>
      </c>
      <c r="T1622" s="73">
        <v>0.9</v>
      </c>
      <c r="U1622" s="71">
        <v>1</v>
      </c>
      <c r="V1622" s="71" t="s">
        <v>1710</v>
      </c>
      <c r="W1622" s="71">
        <v>1</v>
      </c>
      <c r="X1622" s="71">
        <v>1</v>
      </c>
      <c r="Y1622" s="73">
        <v>0.92</v>
      </c>
      <c r="Z1622" s="73" t="s">
        <v>1710</v>
      </c>
      <c r="AA1622" s="73" t="s">
        <v>1710</v>
      </c>
      <c r="AB1622" s="73" t="s">
        <v>1710</v>
      </c>
      <c r="AC1622" s="73">
        <v>1</v>
      </c>
      <c r="AD1622" s="73">
        <v>0.92</v>
      </c>
      <c r="AE1622" s="71">
        <v>0.99354144241119502</v>
      </c>
      <c r="AF1622" s="71">
        <v>0.99065420560747697</v>
      </c>
      <c r="AG1622" s="71">
        <v>0.99840764331210197</v>
      </c>
      <c r="AH1622" s="71">
        <v>0.99718903724525698</v>
      </c>
      <c r="AI1622" s="73">
        <v>0.92</v>
      </c>
      <c r="AJ1622" s="71">
        <v>1</v>
      </c>
      <c r="AK1622" s="71" t="s">
        <v>1710</v>
      </c>
      <c r="AL1622" s="71">
        <v>1</v>
      </c>
      <c r="AM1622" s="71">
        <v>1</v>
      </c>
      <c r="AN1622" s="70">
        <v>0.99</v>
      </c>
      <c r="AO1622" s="75">
        <v>1</v>
      </c>
      <c r="AP1622" s="75">
        <v>1</v>
      </c>
      <c r="AQ1622" s="75">
        <v>1</v>
      </c>
      <c r="AR1622" s="75">
        <v>1</v>
      </c>
      <c r="AS1622" s="95">
        <v>0.110069253262963</v>
      </c>
      <c r="AT1622" s="79" t="s">
        <v>1710</v>
      </c>
      <c r="AU1622" s="79" t="s">
        <v>1710</v>
      </c>
      <c r="AV1622" s="79" t="s">
        <v>1710</v>
      </c>
      <c r="AW1622" s="79" t="s">
        <v>1710</v>
      </c>
      <c r="AX1622" s="56"/>
      <c r="AY1622" s="54"/>
    </row>
    <row r="1623" spans="1:51">
      <c r="A1623" s="53"/>
      <c r="B1623" s="56"/>
      <c r="C1623" s="90" t="s">
        <v>1448</v>
      </c>
      <c r="D1623" s="230" t="s">
        <v>1757</v>
      </c>
      <c r="E1623" s="68" t="s">
        <v>1449</v>
      </c>
      <c r="F1623" s="106" t="s">
        <v>1648</v>
      </c>
      <c r="G1623" s="106" t="s">
        <v>1648</v>
      </c>
      <c r="H1623" s="106" t="s">
        <v>1648</v>
      </c>
      <c r="I1623" s="106" t="s">
        <v>1648</v>
      </c>
      <c r="J1623" s="70">
        <v>0.9</v>
      </c>
      <c r="K1623" s="71">
        <v>0.93548387096774199</v>
      </c>
      <c r="L1623" s="71">
        <v>0.83333333333333304</v>
      </c>
      <c r="M1623" s="72">
        <v>0.90625</v>
      </c>
      <c r="N1623" s="71">
        <v>0.95490716180371304</v>
      </c>
      <c r="O1623" s="73">
        <v>0.9</v>
      </c>
      <c r="P1623" s="71">
        <v>0.89970501474926301</v>
      </c>
      <c r="Q1623" s="71">
        <v>0.96991193737769099</v>
      </c>
      <c r="R1623" s="71">
        <v>0.95058139534883701</v>
      </c>
      <c r="S1623" s="71">
        <v>0.90111470693994999</v>
      </c>
      <c r="T1623" s="73">
        <v>0.9</v>
      </c>
      <c r="U1623" s="71">
        <v>0.98967551622418903</v>
      </c>
      <c r="V1623" s="71">
        <v>0.98972602739726001</v>
      </c>
      <c r="W1623" s="71">
        <v>0.98934108527131803</v>
      </c>
      <c r="X1623" s="71">
        <v>0.99109503564100898</v>
      </c>
      <c r="Y1623" s="73">
        <v>0.92</v>
      </c>
      <c r="Z1623" s="73">
        <v>0.16666666666666699</v>
      </c>
      <c r="AA1623" s="73">
        <v>0.83333333333333304</v>
      </c>
      <c r="AB1623" s="73">
        <v>0.45454545454545497</v>
      </c>
      <c r="AC1623" s="73">
        <v>0.43689320388349501</v>
      </c>
      <c r="AD1623" s="73">
        <v>0.92</v>
      </c>
      <c r="AE1623" s="71">
        <v>1</v>
      </c>
      <c r="AF1623" s="71">
        <v>1</v>
      </c>
      <c r="AG1623" s="71">
        <v>1</v>
      </c>
      <c r="AH1623" s="71">
        <v>0.97674418604651203</v>
      </c>
      <c r="AI1623" s="73">
        <v>0.92</v>
      </c>
      <c r="AJ1623" s="71">
        <v>0.99160369437447504</v>
      </c>
      <c r="AK1623" s="71">
        <v>0.99390243902439002</v>
      </c>
      <c r="AL1623" s="71">
        <v>0.99477958236658903</v>
      </c>
      <c r="AM1623" s="71">
        <v>0.99428101126915103</v>
      </c>
      <c r="AN1623" s="70">
        <v>0.99</v>
      </c>
      <c r="AO1623" s="75" t="s">
        <v>1710</v>
      </c>
      <c r="AP1623" s="75">
        <v>1</v>
      </c>
      <c r="AQ1623" s="75">
        <v>1</v>
      </c>
      <c r="AR1623" s="75">
        <v>1</v>
      </c>
      <c r="AS1623" s="95">
        <v>0.110069253262963</v>
      </c>
      <c r="AT1623" s="79">
        <v>0.12</v>
      </c>
      <c r="AU1623" s="79">
        <v>7.8947368421052599E-2</v>
      </c>
      <c r="AV1623" s="79">
        <v>0</v>
      </c>
      <c r="AW1623" s="79">
        <v>6.5155807365439106E-2</v>
      </c>
      <c r="AX1623" s="56"/>
      <c r="AY1623" s="54"/>
    </row>
    <row r="1624" spans="1:51">
      <c r="A1624" s="53"/>
      <c r="B1624" s="56"/>
      <c r="C1624" s="90" t="s">
        <v>1448</v>
      </c>
      <c r="D1624" s="230" t="s">
        <v>1759</v>
      </c>
      <c r="E1624" s="68" t="s">
        <v>1449</v>
      </c>
      <c r="F1624" s="106" t="s">
        <v>1649</v>
      </c>
      <c r="G1624" s="106" t="s">
        <v>1649</v>
      </c>
      <c r="H1624" s="106" t="s">
        <v>1649</v>
      </c>
      <c r="I1624" s="106" t="s">
        <v>1649</v>
      </c>
      <c r="J1624" s="70">
        <v>0.9</v>
      </c>
      <c r="K1624" s="71" t="s">
        <v>1710</v>
      </c>
      <c r="L1624" s="71" t="s">
        <v>1710</v>
      </c>
      <c r="M1624" s="72" t="s">
        <v>1710</v>
      </c>
      <c r="N1624" s="71" t="s">
        <v>1710</v>
      </c>
      <c r="O1624" s="73">
        <v>0.9</v>
      </c>
      <c r="P1624" s="71" t="s">
        <v>1710</v>
      </c>
      <c r="Q1624" s="71" t="s">
        <v>1710</v>
      </c>
      <c r="R1624" s="71" t="s">
        <v>1710</v>
      </c>
      <c r="S1624" s="71">
        <v>0</v>
      </c>
      <c r="T1624" s="73">
        <v>0.9</v>
      </c>
      <c r="U1624" s="71" t="s">
        <v>1710</v>
      </c>
      <c r="V1624" s="71" t="s">
        <v>1710</v>
      </c>
      <c r="W1624" s="71" t="s">
        <v>1710</v>
      </c>
      <c r="X1624" s="71">
        <v>1</v>
      </c>
      <c r="Y1624" s="73">
        <v>0.92</v>
      </c>
      <c r="Z1624" s="73" t="s">
        <v>1710</v>
      </c>
      <c r="AA1624" s="73" t="s">
        <v>1710</v>
      </c>
      <c r="AB1624" s="73" t="s">
        <v>1710</v>
      </c>
      <c r="AC1624" s="73" t="s">
        <v>1710</v>
      </c>
      <c r="AD1624" s="73">
        <v>0.92</v>
      </c>
      <c r="AE1624" s="71">
        <v>0.97966101694915297</v>
      </c>
      <c r="AF1624" s="71">
        <v>1</v>
      </c>
      <c r="AG1624" s="71">
        <v>1</v>
      </c>
      <c r="AH1624" s="71">
        <v>0.971935617003714</v>
      </c>
      <c r="AI1624" s="73">
        <v>0.92</v>
      </c>
      <c r="AJ1624" s="71" t="s">
        <v>1710</v>
      </c>
      <c r="AK1624" s="71" t="s">
        <v>1710</v>
      </c>
      <c r="AL1624" s="71" t="s">
        <v>1710</v>
      </c>
      <c r="AM1624" s="71">
        <v>1</v>
      </c>
      <c r="AN1624" s="70">
        <v>0.99</v>
      </c>
      <c r="AO1624" s="75">
        <v>1</v>
      </c>
      <c r="AP1624" s="75">
        <v>1</v>
      </c>
      <c r="AQ1624" s="75">
        <v>1</v>
      </c>
      <c r="AR1624" s="75">
        <v>1</v>
      </c>
      <c r="AS1624" s="95">
        <v>0.110069253262963</v>
      </c>
      <c r="AT1624" s="79" t="s">
        <v>1710</v>
      </c>
      <c r="AU1624" s="79" t="s">
        <v>1710</v>
      </c>
      <c r="AV1624" s="79" t="s">
        <v>1710</v>
      </c>
      <c r="AW1624" s="79" t="s">
        <v>1710</v>
      </c>
      <c r="AX1624" s="56"/>
      <c r="AY1624" s="54"/>
    </row>
    <row r="1625" spans="1:51">
      <c r="A1625" s="53"/>
      <c r="B1625" s="56"/>
      <c r="C1625" s="90" t="s">
        <v>1448</v>
      </c>
      <c r="D1625" s="230" t="s">
        <v>1759</v>
      </c>
      <c r="E1625" s="68" t="s">
        <v>1449</v>
      </c>
      <c r="F1625" s="106" t="s">
        <v>1650</v>
      </c>
      <c r="G1625" s="106" t="s">
        <v>1650</v>
      </c>
      <c r="H1625" s="106" t="s">
        <v>1650</v>
      </c>
      <c r="I1625" s="106" t="s">
        <v>1650</v>
      </c>
      <c r="J1625" s="70">
        <v>0.9</v>
      </c>
      <c r="K1625" s="71" t="s">
        <v>1710</v>
      </c>
      <c r="L1625" s="71" t="s">
        <v>1710</v>
      </c>
      <c r="M1625" s="72" t="s">
        <v>1710</v>
      </c>
      <c r="N1625" s="71" t="s">
        <v>1710</v>
      </c>
      <c r="O1625" s="73">
        <v>0.9</v>
      </c>
      <c r="P1625" s="71" t="s">
        <v>1710</v>
      </c>
      <c r="Q1625" s="71" t="s">
        <v>1710</v>
      </c>
      <c r="R1625" s="71" t="s">
        <v>1710</v>
      </c>
      <c r="S1625" s="71">
        <v>0</v>
      </c>
      <c r="T1625" s="73">
        <v>0.9</v>
      </c>
      <c r="U1625" s="71" t="s">
        <v>1710</v>
      </c>
      <c r="V1625" s="71" t="s">
        <v>1710</v>
      </c>
      <c r="W1625" s="71" t="s">
        <v>1710</v>
      </c>
      <c r="X1625" s="71">
        <v>1</v>
      </c>
      <c r="Y1625" s="73">
        <v>0.92</v>
      </c>
      <c r="Z1625" s="73" t="s">
        <v>1710</v>
      </c>
      <c r="AA1625" s="73" t="s">
        <v>1710</v>
      </c>
      <c r="AB1625" s="73" t="s">
        <v>1710</v>
      </c>
      <c r="AC1625" s="73" t="s">
        <v>1710</v>
      </c>
      <c r="AD1625" s="73">
        <v>0.92</v>
      </c>
      <c r="AE1625" s="71">
        <v>0.99661016949152503</v>
      </c>
      <c r="AF1625" s="71">
        <v>0.91596638655462204</v>
      </c>
      <c r="AG1625" s="71">
        <v>1</v>
      </c>
      <c r="AH1625" s="71">
        <v>0.98273844353423101</v>
      </c>
      <c r="AI1625" s="73">
        <v>0.92</v>
      </c>
      <c r="AJ1625" s="71" t="s">
        <v>1710</v>
      </c>
      <c r="AK1625" s="71" t="s">
        <v>1710</v>
      </c>
      <c r="AL1625" s="71" t="s">
        <v>1710</v>
      </c>
      <c r="AM1625" s="71">
        <v>1</v>
      </c>
      <c r="AN1625" s="70">
        <v>0.99</v>
      </c>
      <c r="AO1625" s="75">
        <v>1</v>
      </c>
      <c r="AP1625" s="75">
        <v>1</v>
      </c>
      <c r="AQ1625" s="75">
        <v>1</v>
      </c>
      <c r="AR1625" s="75">
        <v>1</v>
      </c>
      <c r="AS1625" s="95">
        <v>0.110069253262963</v>
      </c>
      <c r="AT1625" s="79" t="s">
        <v>1710</v>
      </c>
      <c r="AU1625" s="79" t="s">
        <v>1710</v>
      </c>
      <c r="AV1625" s="79" t="s">
        <v>1710</v>
      </c>
      <c r="AW1625" s="79" t="s">
        <v>1710</v>
      </c>
      <c r="AX1625" s="56"/>
      <c r="AY1625" s="54"/>
    </row>
    <row r="1626" spans="1:51">
      <c r="A1626" s="53"/>
      <c r="B1626" s="56"/>
      <c r="C1626" s="90" t="s">
        <v>1448</v>
      </c>
      <c r="D1626" s="230" t="s">
        <v>1759</v>
      </c>
      <c r="E1626" s="68" t="s">
        <v>1449</v>
      </c>
      <c r="F1626" s="106" t="s">
        <v>1651</v>
      </c>
      <c r="G1626" s="106" t="s">
        <v>1651</v>
      </c>
      <c r="H1626" s="106" t="s">
        <v>1651</v>
      </c>
      <c r="I1626" s="106" t="s">
        <v>1651</v>
      </c>
      <c r="J1626" s="70">
        <v>0.9</v>
      </c>
      <c r="K1626" s="71" t="s">
        <v>1710</v>
      </c>
      <c r="L1626" s="71" t="s">
        <v>1710</v>
      </c>
      <c r="M1626" s="72" t="s">
        <v>1710</v>
      </c>
      <c r="N1626" s="71" t="s">
        <v>1710</v>
      </c>
      <c r="O1626" s="73">
        <v>0.9</v>
      </c>
      <c r="P1626" s="71" t="s">
        <v>1710</v>
      </c>
      <c r="Q1626" s="71" t="s">
        <v>1710</v>
      </c>
      <c r="R1626" s="71" t="s">
        <v>1710</v>
      </c>
      <c r="S1626" s="71" t="s">
        <v>1710</v>
      </c>
      <c r="T1626" s="73">
        <v>0.9</v>
      </c>
      <c r="U1626" s="71" t="s">
        <v>1710</v>
      </c>
      <c r="V1626" s="71" t="s">
        <v>1710</v>
      </c>
      <c r="W1626" s="71" t="s">
        <v>1710</v>
      </c>
      <c r="X1626" s="71" t="s">
        <v>1710</v>
      </c>
      <c r="Y1626" s="73">
        <v>0.92</v>
      </c>
      <c r="Z1626" s="73" t="s">
        <v>1710</v>
      </c>
      <c r="AA1626" s="73" t="s">
        <v>1710</v>
      </c>
      <c r="AB1626" s="73" t="s">
        <v>1710</v>
      </c>
      <c r="AC1626" s="73" t="s">
        <v>1710</v>
      </c>
      <c r="AD1626" s="73">
        <v>0.92</v>
      </c>
      <c r="AE1626" s="71">
        <v>0.90101522842639603</v>
      </c>
      <c r="AF1626" s="71">
        <v>0.83</v>
      </c>
      <c r="AG1626" s="71">
        <v>1</v>
      </c>
      <c r="AH1626" s="71">
        <v>0.98209859542825695</v>
      </c>
      <c r="AI1626" s="73">
        <v>0.92</v>
      </c>
      <c r="AJ1626" s="71" t="s">
        <v>1710</v>
      </c>
      <c r="AK1626" s="71" t="s">
        <v>1710</v>
      </c>
      <c r="AL1626" s="71">
        <v>1</v>
      </c>
      <c r="AM1626" s="71">
        <v>0.75</v>
      </c>
      <c r="AN1626" s="70">
        <v>0.99</v>
      </c>
      <c r="AO1626" s="75">
        <v>1</v>
      </c>
      <c r="AP1626" s="75">
        <v>1</v>
      </c>
      <c r="AQ1626" s="75">
        <v>1</v>
      </c>
      <c r="AR1626" s="75">
        <v>1</v>
      </c>
      <c r="AS1626" s="95">
        <v>0.110069253262963</v>
      </c>
      <c r="AT1626" s="79" t="s">
        <v>1710</v>
      </c>
      <c r="AU1626" s="79" t="s">
        <v>1710</v>
      </c>
      <c r="AV1626" s="79" t="s">
        <v>1710</v>
      </c>
      <c r="AW1626" s="79" t="s">
        <v>1710</v>
      </c>
      <c r="AX1626" s="56"/>
      <c r="AY1626" s="54"/>
    </row>
    <row r="1627" spans="1:51">
      <c r="A1627" s="53"/>
      <c r="B1627" s="56"/>
      <c r="C1627" s="90" t="s">
        <v>1448</v>
      </c>
      <c r="D1627" s="230" t="s">
        <v>1759</v>
      </c>
      <c r="E1627" s="68" t="s">
        <v>1449</v>
      </c>
      <c r="F1627" s="106" t="s">
        <v>1652</v>
      </c>
      <c r="G1627" s="106" t="s">
        <v>1652</v>
      </c>
      <c r="H1627" s="106" t="s">
        <v>1652</v>
      </c>
      <c r="I1627" s="106" t="s">
        <v>1652</v>
      </c>
      <c r="J1627" s="70">
        <v>0.9</v>
      </c>
      <c r="K1627" s="71" t="s">
        <v>1710</v>
      </c>
      <c r="L1627" s="71" t="s">
        <v>1710</v>
      </c>
      <c r="M1627" s="72" t="s">
        <v>1710</v>
      </c>
      <c r="N1627" s="71" t="s">
        <v>1710</v>
      </c>
      <c r="O1627" s="73">
        <v>0.9</v>
      </c>
      <c r="P1627" s="71" t="s">
        <v>1710</v>
      </c>
      <c r="Q1627" s="71" t="s">
        <v>1710</v>
      </c>
      <c r="R1627" s="71">
        <v>0</v>
      </c>
      <c r="S1627" s="71">
        <v>0</v>
      </c>
      <c r="T1627" s="73">
        <v>0.9</v>
      </c>
      <c r="U1627" s="71" t="s">
        <v>1710</v>
      </c>
      <c r="V1627" s="71" t="s">
        <v>1710</v>
      </c>
      <c r="W1627" s="71">
        <v>0</v>
      </c>
      <c r="X1627" s="71">
        <v>0</v>
      </c>
      <c r="Y1627" s="73">
        <v>0.92</v>
      </c>
      <c r="Z1627" s="73" t="s">
        <v>1710</v>
      </c>
      <c r="AA1627" s="73" t="s">
        <v>1710</v>
      </c>
      <c r="AB1627" s="73" t="s">
        <v>1710</v>
      </c>
      <c r="AC1627" s="73" t="s">
        <v>1710</v>
      </c>
      <c r="AD1627" s="73">
        <v>0.92</v>
      </c>
      <c r="AE1627" s="71">
        <v>0.98412698412698396</v>
      </c>
      <c r="AF1627" s="71">
        <v>0.98679867986798697</v>
      </c>
      <c r="AG1627" s="71">
        <v>1</v>
      </c>
      <c r="AH1627" s="71">
        <v>0.99424152681803202</v>
      </c>
      <c r="AI1627" s="73">
        <v>0.92</v>
      </c>
      <c r="AJ1627" s="71" t="s">
        <v>1710</v>
      </c>
      <c r="AK1627" s="71" t="s">
        <v>1710</v>
      </c>
      <c r="AL1627" s="71">
        <v>0</v>
      </c>
      <c r="AM1627" s="71">
        <v>0</v>
      </c>
      <c r="AN1627" s="70">
        <v>0.99</v>
      </c>
      <c r="AO1627" s="75">
        <v>1</v>
      </c>
      <c r="AP1627" s="75">
        <v>1</v>
      </c>
      <c r="AQ1627" s="75">
        <v>1</v>
      </c>
      <c r="AR1627" s="75">
        <v>1</v>
      </c>
      <c r="AS1627" s="95">
        <v>0.110069253262963</v>
      </c>
      <c r="AT1627" s="79" t="s">
        <v>1710</v>
      </c>
      <c r="AU1627" s="79" t="s">
        <v>1710</v>
      </c>
      <c r="AV1627" s="79" t="s">
        <v>1710</v>
      </c>
      <c r="AW1627" s="79" t="s">
        <v>1710</v>
      </c>
      <c r="AX1627" s="56"/>
      <c r="AY1627" s="54"/>
    </row>
    <row r="1628" spans="1:51">
      <c r="A1628" s="53"/>
      <c r="B1628" s="56"/>
      <c r="C1628" s="90" t="s">
        <v>1448</v>
      </c>
      <c r="D1628" s="230" t="s">
        <v>1759</v>
      </c>
      <c r="E1628" s="68" t="s">
        <v>1449</v>
      </c>
      <c r="F1628" s="106" t="s">
        <v>1653</v>
      </c>
      <c r="G1628" s="106" t="s">
        <v>1653</v>
      </c>
      <c r="H1628" s="106" t="s">
        <v>1653</v>
      </c>
      <c r="I1628" s="106" t="s">
        <v>1653</v>
      </c>
      <c r="J1628" s="70">
        <v>0.9</v>
      </c>
      <c r="K1628" s="71" t="s">
        <v>1710</v>
      </c>
      <c r="L1628" s="71" t="s">
        <v>1710</v>
      </c>
      <c r="M1628" s="72" t="s">
        <v>1710</v>
      </c>
      <c r="N1628" s="71" t="s">
        <v>1710</v>
      </c>
      <c r="O1628" s="73">
        <v>0.9</v>
      </c>
      <c r="P1628" s="71" t="s">
        <v>1710</v>
      </c>
      <c r="Q1628" s="71" t="s">
        <v>1710</v>
      </c>
      <c r="R1628" s="71">
        <v>0</v>
      </c>
      <c r="S1628" s="71">
        <v>0</v>
      </c>
      <c r="T1628" s="73">
        <v>0.9</v>
      </c>
      <c r="U1628" s="71" t="s">
        <v>1710</v>
      </c>
      <c r="V1628" s="71" t="s">
        <v>1710</v>
      </c>
      <c r="W1628" s="71">
        <v>0</v>
      </c>
      <c r="X1628" s="71">
        <v>0.75</v>
      </c>
      <c r="Y1628" s="73">
        <v>0.92</v>
      </c>
      <c r="Z1628" s="73" t="s">
        <v>1710</v>
      </c>
      <c r="AA1628" s="73" t="s">
        <v>1710</v>
      </c>
      <c r="AB1628" s="73" t="s">
        <v>1710</v>
      </c>
      <c r="AC1628" s="73">
        <v>0</v>
      </c>
      <c r="AD1628" s="73">
        <v>0.92</v>
      </c>
      <c r="AE1628" s="71">
        <v>0.91903719912472603</v>
      </c>
      <c r="AF1628" s="71">
        <v>0.87570621468926602</v>
      </c>
      <c r="AG1628" s="71">
        <v>0.920814479638009</v>
      </c>
      <c r="AH1628" s="71">
        <v>0.93739935587761702</v>
      </c>
      <c r="AI1628" s="73">
        <v>0.92</v>
      </c>
      <c r="AJ1628" s="71" t="s">
        <v>1710</v>
      </c>
      <c r="AK1628" s="71" t="s">
        <v>1710</v>
      </c>
      <c r="AL1628" s="71">
        <v>0</v>
      </c>
      <c r="AM1628" s="71">
        <v>0.66666666666666696</v>
      </c>
      <c r="AN1628" s="70">
        <v>0.99</v>
      </c>
      <c r="AO1628" s="75">
        <v>1</v>
      </c>
      <c r="AP1628" s="75">
        <v>1</v>
      </c>
      <c r="AQ1628" s="75">
        <v>1</v>
      </c>
      <c r="AR1628" s="75">
        <v>1</v>
      </c>
      <c r="AS1628" s="95">
        <v>0.110069253262963</v>
      </c>
      <c r="AT1628" s="79" t="s">
        <v>1710</v>
      </c>
      <c r="AU1628" s="79" t="s">
        <v>1710</v>
      </c>
      <c r="AV1628" s="79" t="s">
        <v>1710</v>
      </c>
      <c r="AW1628" s="79" t="s">
        <v>1710</v>
      </c>
      <c r="AX1628" s="56"/>
      <c r="AY1628" s="54"/>
    </row>
    <row r="1629" spans="1:51">
      <c r="A1629" s="53"/>
      <c r="B1629" s="56"/>
      <c r="C1629" s="90" t="s">
        <v>1448</v>
      </c>
      <c r="D1629" s="230" t="s">
        <v>1757</v>
      </c>
      <c r="E1629" s="68" t="s">
        <v>1449</v>
      </c>
      <c r="F1629" s="106" t="s">
        <v>1654</v>
      </c>
      <c r="G1629" s="106" t="s">
        <v>1654</v>
      </c>
      <c r="H1629" s="106" t="s">
        <v>1654</v>
      </c>
      <c r="I1629" s="106" t="s">
        <v>1654</v>
      </c>
      <c r="J1629" s="70">
        <v>0.9</v>
      </c>
      <c r="K1629" s="71">
        <v>0.76666666666666705</v>
      </c>
      <c r="L1629" s="71">
        <v>0.78125</v>
      </c>
      <c r="M1629" s="72">
        <v>0.88461538461538503</v>
      </c>
      <c r="N1629" s="71">
        <v>0.77811550151975695</v>
      </c>
      <c r="O1629" s="73">
        <v>0.9</v>
      </c>
      <c r="P1629" s="71">
        <v>0.95961995249406196</v>
      </c>
      <c r="Q1629" s="71">
        <v>0.96355085243974103</v>
      </c>
      <c r="R1629" s="71">
        <v>0.95940170940170899</v>
      </c>
      <c r="S1629" s="71">
        <v>0.97412574229427795</v>
      </c>
      <c r="T1629" s="73">
        <v>0.9</v>
      </c>
      <c r="U1629" s="71">
        <v>0.44180522565320701</v>
      </c>
      <c r="V1629" s="71">
        <v>0.37977660199882401</v>
      </c>
      <c r="W1629" s="71">
        <v>0.26388888888888901</v>
      </c>
      <c r="X1629" s="71">
        <v>0.37590724856254099</v>
      </c>
      <c r="Y1629" s="73">
        <v>0.92</v>
      </c>
      <c r="Z1629" s="73">
        <v>0.63576594345825099</v>
      </c>
      <c r="AA1629" s="73">
        <v>0.61325219743069603</v>
      </c>
      <c r="AB1629" s="73">
        <v>0.47515316541865199</v>
      </c>
      <c r="AC1629" s="73">
        <v>0.60520094562647797</v>
      </c>
      <c r="AD1629" s="73">
        <v>0.92</v>
      </c>
      <c r="AE1629" s="71">
        <v>0.98947368421052595</v>
      </c>
      <c r="AF1629" s="71">
        <v>1</v>
      </c>
      <c r="AG1629" s="71">
        <v>0.99009900990098998</v>
      </c>
      <c r="AH1629" s="71">
        <v>0.84841075794621001</v>
      </c>
      <c r="AI1629" s="73">
        <v>0.92</v>
      </c>
      <c r="AJ1629" s="71">
        <v>0.69036482694106605</v>
      </c>
      <c r="AK1629" s="71">
        <v>0.71707010374096203</v>
      </c>
      <c r="AL1629" s="71">
        <v>0.56270577671355904</v>
      </c>
      <c r="AM1629" s="71">
        <v>0.68715379926320497</v>
      </c>
      <c r="AN1629" s="70">
        <v>0.99</v>
      </c>
      <c r="AO1629" s="75">
        <v>1</v>
      </c>
      <c r="AP1629" s="75" t="s">
        <v>1710</v>
      </c>
      <c r="AQ1629" s="75" t="s">
        <v>1710</v>
      </c>
      <c r="AR1629" s="75">
        <v>1</v>
      </c>
      <c r="AS1629" s="95">
        <v>0.110069253262963</v>
      </c>
      <c r="AT1629" s="79">
        <v>0.13636363636363599</v>
      </c>
      <c r="AU1629" s="79">
        <v>0.12903225806451599</v>
      </c>
      <c r="AV1629" s="79">
        <v>6.4516129032258104E-2</v>
      </c>
      <c r="AW1629" s="79">
        <v>0.133333333333333</v>
      </c>
      <c r="AX1629" s="56"/>
      <c r="AY1629" s="54"/>
    </row>
    <row r="1630" spans="1:51">
      <c r="A1630" s="53"/>
      <c r="B1630" s="56"/>
      <c r="C1630" s="90" t="s">
        <v>1448</v>
      </c>
      <c r="D1630" s="230" t="s">
        <v>1759</v>
      </c>
      <c r="E1630" s="68" t="s">
        <v>1449</v>
      </c>
      <c r="F1630" s="106" t="s">
        <v>1655</v>
      </c>
      <c r="G1630" s="106" t="s">
        <v>1655</v>
      </c>
      <c r="H1630" s="106" t="s">
        <v>1655</v>
      </c>
      <c r="I1630" s="106" t="s">
        <v>1655</v>
      </c>
      <c r="J1630" s="70">
        <v>0.9</v>
      </c>
      <c r="K1630" s="71" t="s">
        <v>1710</v>
      </c>
      <c r="L1630" s="71" t="s">
        <v>1710</v>
      </c>
      <c r="M1630" s="72" t="s">
        <v>1710</v>
      </c>
      <c r="N1630" s="71" t="s">
        <v>1710</v>
      </c>
      <c r="O1630" s="73">
        <v>0.9</v>
      </c>
      <c r="P1630" s="71" t="s">
        <v>1710</v>
      </c>
      <c r="Q1630" s="71" t="s">
        <v>1710</v>
      </c>
      <c r="R1630" s="71" t="s">
        <v>1710</v>
      </c>
      <c r="S1630" s="71">
        <v>0</v>
      </c>
      <c r="T1630" s="73">
        <v>0.9</v>
      </c>
      <c r="U1630" s="71" t="s">
        <v>1710</v>
      </c>
      <c r="V1630" s="71" t="s">
        <v>1710</v>
      </c>
      <c r="W1630" s="71" t="s">
        <v>1710</v>
      </c>
      <c r="X1630" s="71">
        <v>1</v>
      </c>
      <c r="Y1630" s="73">
        <v>0.92</v>
      </c>
      <c r="Z1630" s="73" t="s">
        <v>1710</v>
      </c>
      <c r="AA1630" s="73" t="s">
        <v>1710</v>
      </c>
      <c r="AB1630" s="73" t="s">
        <v>1710</v>
      </c>
      <c r="AC1630" s="73" t="s">
        <v>1710</v>
      </c>
      <c r="AD1630" s="73">
        <v>0.92</v>
      </c>
      <c r="AE1630" s="71">
        <v>1</v>
      </c>
      <c r="AF1630" s="71">
        <v>1</v>
      </c>
      <c r="AG1630" s="71">
        <v>1</v>
      </c>
      <c r="AH1630" s="71">
        <v>0.99817393289203404</v>
      </c>
      <c r="AI1630" s="73">
        <v>0.92</v>
      </c>
      <c r="AJ1630" s="71" t="s">
        <v>1710</v>
      </c>
      <c r="AK1630" s="71" t="s">
        <v>1710</v>
      </c>
      <c r="AL1630" s="71" t="s">
        <v>1710</v>
      </c>
      <c r="AM1630" s="71">
        <v>1</v>
      </c>
      <c r="AN1630" s="70">
        <v>0.99</v>
      </c>
      <c r="AO1630" s="75">
        <v>1</v>
      </c>
      <c r="AP1630" s="75">
        <v>1</v>
      </c>
      <c r="AQ1630" s="75">
        <v>1</v>
      </c>
      <c r="AR1630" s="75">
        <v>1</v>
      </c>
      <c r="AS1630" s="95">
        <v>0.110069253262963</v>
      </c>
      <c r="AT1630" s="79" t="s">
        <v>1710</v>
      </c>
      <c r="AU1630" s="79" t="s">
        <v>1710</v>
      </c>
      <c r="AV1630" s="79" t="s">
        <v>1710</v>
      </c>
      <c r="AW1630" s="79" t="s">
        <v>1710</v>
      </c>
      <c r="AX1630" s="56"/>
      <c r="AY1630" s="54"/>
    </row>
    <row r="1631" spans="1:51">
      <c r="A1631" s="53"/>
      <c r="B1631" s="56"/>
      <c r="C1631" s="90" t="s">
        <v>1448</v>
      </c>
      <c r="D1631" s="230" t="s">
        <v>1757</v>
      </c>
      <c r="E1631" s="68" t="s">
        <v>1449</v>
      </c>
      <c r="F1631" s="106" t="s">
        <v>1656</v>
      </c>
      <c r="G1631" s="106" t="s">
        <v>1656</v>
      </c>
      <c r="H1631" s="106" t="s">
        <v>1656</v>
      </c>
      <c r="I1631" s="106" t="s">
        <v>1656</v>
      </c>
      <c r="J1631" s="70">
        <v>0.9</v>
      </c>
      <c r="K1631" s="71">
        <v>1</v>
      </c>
      <c r="L1631" s="71">
        <v>0.90909090909090895</v>
      </c>
      <c r="M1631" s="72">
        <v>0.91666666666666696</v>
      </c>
      <c r="N1631" s="71">
        <v>0.96240601503759404</v>
      </c>
      <c r="O1631" s="73">
        <v>0.9</v>
      </c>
      <c r="P1631" s="71">
        <v>0.99323753169907003</v>
      </c>
      <c r="Q1631" s="71">
        <v>0.99446749654218503</v>
      </c>
      <c r="R1631" s="71">
        <v>0.986291486291486</v>
      </c>
      <c r="S1631" s="71">
        <v>0.97938427707531595</v>
      </c>
      <c r="T1631" s="73">
        <v>0.9</v>
      </c>
      <c r="U1631" s="71">
        <v>0.92307692307692302</v>
      </c>
      <c r="V1631" s="71">
        <v>0.90871369294605797</v>
      </c>
      <c r="W1631" s="71">
        <v>0.91702741702741697</v>
      </c>
      <c r="X1631" s="71">
        <v>0.91135239142385904</v>
      </c>
      <c r="Y1631" s="73">
        <v>0.92</v>
      </c>
      <c r="Z1631" s="73" t="s">
        <v>1710</v>
      </c>
      <c r="AA1631" s="73" t="s">
        <v>1710</v>
      </c>
      <c r="AB1631" s="73" t="s">
        <v>1710</v>
      </c>
      <c r="AC1631" s="73" t="s">
        <v>1710</v>
      </c>
      <c r="AD1631" s="73">
        <v>0.92</v>
      </c>
      <c r="AE1631" s="71">
        <v>0.94117647058823495</v>
      </c>
      <c r="AF1631" s="71">
        <v>0.96</v>
      </c>
      <c r="AG1631" s="71">
        <v>1</v>
      </c>
      <c r="AH1631" s="71">
        <v>0.97538461538461496</v>
      </c>
      <c r="AI1631" s="73">
        <v>0.92</v>
      </c>
      <c r="AJ1631" s="71">
        <v>0.95942519019442096</v>
      </c>
      <c r="AK1631" s="71">
        <v>0.97372060857538001</v>
      </c>
      <c r="AL1631" s="71">
        <v>0.98124098124098103</v>
      </c>
      <c r="AM1631" s="71">
        <v>0.97519241341396401</v>
      </c>
      <c r="AN1631" s="70">
        <v>0.99</v>
      </c>
      <c r="AO1631" s="75">
        <v>1</v>
      </c>
      <c r="AP1631" s="75" t="s">
        <v>1710</v>
      </c>
      <c r="AQ1631" s="75">
        <v>1</v>
      </c>
      <c r="AR1631" s="75">
        <v>1</v>
      </c>
      <c r="AS1631" s="95">
        <v>0.110069253262963</v>
      </c>
      <c r="AT1631" s="79">
        <v>0</v>
      </c>
      <c r="AU1631" s="79">
        <v>4.8780487804878099E-2</v>
      </c>
      <c r="AV1631" s="79">
        <v>2.3809523809523801E-2</v>
      </c>
      <c r="AW1631" s="79">
        <v>5.1948051948052E-2</v>
      </c>
      <c r="AX1631" s="56"/>
      <c r="AY1631" s="54"/>
    </row>
    <row r="1632" spans="1:51">
      <c r="A1632" s="53"/>
      <c r="B1632" s="56"/>
      <c r="C1632" s="90" t="s">
        <v>1448</v>
      </c>
      <c r="D1632" s="230" t="s">
        <v>1757</v>
      </c>
      <c r="E1632" s="68" t="s">
        <v>1449</v>
      </c>
      <c r="F1632" s="106" t="s">
        <v>1657</v>
      </c>
      <c r="G1632" s="106" t="s">
        <v>1657</v>
      </c>
      <c r="H1632" s="106" t="s">
        <v>1657</v>
      </c>
      <c r="I1632" s="106" t="s">
        <v>1657</v>
      </c>
      <c r="J1632" s="70">
        <v>0.9</v>
      </c>
      <c r="K1632" s="71">
        <v>1</v>
      </c>
      <c r="L1632" s="71">
        <v>0.95833333333333304</v>
      </c>
      <c r="M1632" s="72">
        <v>0.91666666666666696</v>
      </c>
      <c r="N1632" s="71">
        <v>0.94833948339483398</v>
      </c>
      <c r="O1632" s="73">
        <v>0.9</v>
      </c>
      <c r="P1632" s="71">
        <v>0.97626293365794303</v>
      </c>
      <c r="Q1632" s="71">
        <v>0.97961494903737301</v>
      </c>
      <c r="R1632" s="71">
        <v>0.96832101372756096</v>
      </c>
      <c r="S1632" s="71">
        <v>0.96677574765930396</v>
      </c>
      <c r="T1632" s="73">
        <v>0.9</v>
      </c>
      <c r="U1632" s="71">
        <v>0.51673767498478396</v>
      </c>
      <c r="V1632" s="71">
        <v>0.53227633069082703</v>
      </c>
      <c r="W1632" s="71">
        <v>0.46990496304118301</v>
      </c>
      <c r="X1632" s="71">
        <v>0.462957912917008</v>
      </c>
      <c r="Y1632" s="73">
        <v>0.92</v>
      </c>
      <c r="Z1632" s="73">
        <v>0.72175048987589796</v>
      </c>
      <c r="AA1632" s="73">
        <v>0.73365785813630002</v>
      </c>
      <c r="AB1632" s="73">
        <v>0.68623188405797098</v>
      </c>
      <c r="AC1632" s="73">
        <v>0.69485707152665099</v>
      </c>
      <c r="AD1632" s="73">
        <v>0.92</v>
      </c>
      <c r="AE1632" s="71">
        <v>1</v>
      </c>
      <c r="AF1632" s="71">
        <v>1</v>
      </c>
      <c r="AG1632" s="71">
        <v>1</v>
      </c>
      <c r="AH1632" s="71">
        <v>0.93401015228426398</v>
      </c>
      <c r="AI1632" s="73">
        <v>0.92</v>
      </c>
      <c r="AJ1632" s="71">
        <v>0.81165354330708706</v>
      </c>
      <c r="AK1632" s="71">
        <v>0.83744149765990605</v>
      </c>
      <c r="AL1632" s="71">
        <v>0.80696395846059898</v>
      </c>
      <c r="AM1632" s="71">
        <v>0.804710706868905</v>
      </c>
      <c r="AN1632" s="70">
        <v>0.99</v>
      </c>
      <c r="AO1632" s="75">
        <v>1</v>
      </c>
      <c r="AP1632" s="75" t="s">
        <v>1710</v>
      </c>
      <c r="AQ1632" s="75" t="s">
        <v>1710</v>
      </c>
      <c r="AR1632" s="75">
        <v>1</v>
      </c>
      <c r="AS1632" s="95">
        <v>0.110069253262963</v>
      </c>
      <c r="AT1632" s="79">
        <v>0</v>
      </c>
      <c r="AU1632" s="79">
        <v>0</v>
      </c>
      <c r="AV1632" s="79">
        <v>0</v>
      </c>
      <c r="AW1632" s="79">
        <v>6.5868263473053898E-2</v>
      </c>
      <c r="AX1632" s="56"/>
      <c r="AY1632" s="54"/>
    </row>
    <row r="1633" spans="1:51">
      <c r="A1633" s="53"/>
      <c r="B1633" s="56"/>
      <c r="C1633" s="90" t="s">
        <v>1448</v>
      </c>
      <c r="D1633" s="230" t="s">
        <v>1757</v>
      </c>
      <c r="E1633" s="68" t="s">
        <v>1449</v>
      </c>
      <c r="F1633" s="106" t="s">
        <v>1658</v>
      </c>
      <c r="G1633" s="106" t="s">
        <v>1658</v>
      </c>
      <c r="H1633" s="106" t="s">
        <v>1658</v>
      </c>
      <c r="I1633" s="106" t="s">
        <v>1658</v>
      </c>
      <c r="J1633" s="70">
        <v>0.9</v>
      </c>
      <c r="K1633" s="71">
        <v>1</v>
      </c>
      <c r="L1633" s="71">
        <v>1</v>
      </c>
      <c r="M1633" s="72">
        <v>1</v>
      </c>
      <c r="N1633" s="71">
        <v>0.97419354838709704</v>
      </c>
      <c r="O1633" s="73">
        <v>0.9</v>
      </c>
      <c r="P1633" s="71">
        <v>0.92393579902302903</v>
      </c>
      <c r="Q1633" s="71">
        <v>0.86104910714285698</v>
      </c>
      <c r="R1633" s="71">
        <v>0.87382629107981202</v>
      </c>
      <c r="S1633" s="71">
        <v>0.874982099384219</v>
      </c>
      <c r="T1633" s="73">
        <v>0.9</v>
      </c>
      <c r="U1633" s="71">
        <v>0.91556175854849997</v>
      </c>
      <c r="V1633" s="71">
        <v>0.87667410714285698</v>
      </c>
      <c r="W1633" s="71">
        <v>0.88262910798122096</v>
      </c>
      <c r="X1633" s="71">
        <v>0.89698792305121999</v>
      </c>
      <c r="Y1633" s="73">
        <v>0.92</v>
      </c>
      <c r="Z1633" s="73">
        <v>0.94639556377079503</v>
      </c>
      <c r="AA1633" s="73">
        <v>0.74469820554649302</v>
      </c>
      <c r="AB1633" s="73">
        <v>0.73531193216232604</v>
      </c>
      <c r="AC1633" s="73">
        <v>0.78816279368340003</v>
      </c>
      <c r="AD1633" s="73">
        <v>0.92</v>
      </c>
      <c r="AE1633" s="71">
        <v>0.95683453237410099</v>
      </c>
      <c r="AF1633" s="71">
        <v>0.36666666666666697</v>
      </c>
      <c r="AG1633" s="71">
        <v>0.98518518518518505</v>
      </c>
      <c r="AH1633" s="71">
        <v>0.79440665154950896</v>
      </c>
      <c r="AI1633" s="73">
        <v>0.92</v>
      </c>
      <c r="AJ1633" s="71">
        <v>0.95705765407554699</v>
      </c>
      <c r="AK1633" s="71">
        <v>0.87939032471835699</v>
      </c>
      <c r="AL1633" s="71">
        <v>0.84470938897168402</v>
      </c>
      <c r="AM1633" s="71">
        <v>0.89296468655899297</v>
      </c>
      <c r="AN1633" s="70">
        <v>0.99</v>
      </c>
      <c r="AO1633" s="75">
        <v>1</v>
      </c>
      <c r="AP1633" s="75">
        <v>1</v>
      </c>
      <c r="AQ1633" s="75">
        <v>1</v>
      </c>
      <c r="AR1633" s="75">
        <v>1</v>
      </c>
      <c r="AS1633" s="95">
        <v>0.110069253262963</v>
      </c>
      <c r="AT1633" s="79">
        <v>5.5555555555555601E-2</v>
      </c>
      <c r="AU1633" s="79">
        <v>0.16666666666666699</v>
      </c>
      <c r="AV1633" s="79">
        <v>8.3333333333333301E-2</v>
      </c>
      <c r="AW1633" s="79">
        <v>6.1797752808988797E-2</v>
      </c>
      <c r="AX1633" s="56"/>
      <c r="AY1633" s="54"/>
    </row>
    <row r="1634" spans="1:51">
      <c r="A1634" s="53"/>
      <c r="B1634" s="56"/>
      <c r="C1634" s="90" t="s">
        <v>1448</v>
      </c>
      <c r="D1634" s="230" t="s">
        <v>1757</v>
      </c>
      <c r="E1634" s="68" t="s">
        <v>1449</v>
      </c>
      <c r="F1634" s="106" t="s">
        <v>1659</v>
      </c>
      <c r="G1634" s="106" t="s">
        <v>1659</v>
      </c>
      <c r="H1634" s="106" t="s">
        <v>1659</v>
      </c>
      <c r="I1634" s="106" t="s">
        <v>1659</v>
      </c>
      <c r="J1634" s="70">
        <v>0.9</v>
      </c>
      <c r="K1634" s="71">
        <v>0.88461538461538503</v>
      </c>
      <c r="L1634" s="71">
        <v>0.96</v>
      </c>
      <c r="M1634" s="72">
        <v>0.86363636363636398</v>
      </c>
      <c r="N1634" s="71">
        <v>0.91578947368421004</v>
      </c>
      <c r="O1634" s="73">
        <v>0.9</v>
      </c>
      <c r="P1634" s="71">
        <v>0.98477598956067902</v>
      </c>
      <c r="Q1634" s="71">
        <v>0.98508452104739797</v>
      </c>
      <c r="R1634" s="71">
        <v>0.97751479289940801</v>
      </c>
      <c r="S1634" s="71">
        <v>0.97425204561968803</v>
      </c>
      <c r="T1634" s="73">
        <v>0.9</v>
      </c>
      <c r="U1634" s="71">
        <v>0.90909090909090895</v>
      </c>
      <c r="V1634" s="71">
        <v>0.90188929400066298</v>
      </c>
      <c r="W1634" s="71">
        <v>0.903353057199211</v>
      </c>
      <c r="X1634" s="71">
        <v>0.909297696900768</v>
      </c>
      <c r="Y1634" s="73">
        <v>0.92</v>
      </c>
      <c r="Z1634" s="73" t="s">
        <v>1710</v>
      </c>
      <c r="AA1634" s="73" t="s">
        <v>1710</v>
      </c>
      <c r="AB1634" s="73">
        <v>0</v>
      </c>
      <c r="AC1634" s="73">
        <v>0</v>
      </c>
      <c r="AD1634" s="73">
        <v>0.92</v>
      </c>
      <c r="AE1634" s="71">
        <v>1</v>
      </c>
      <c r="AF1634" s="71">
        <v>0.99328859060402697</v>
      </c>
      <c r="AG1634" s="71">
        <v>1</v>
      </c>
      <c r="AH1634" s="71">
        <v>0.95764394440767697</v>
      </c>
      <c r="AI1634" s="73">
        <v>0.92</v>
      </c>
      <c r="AJ1634" s="71">
        <v>0.96476729012614204</v>
      </c>
      <c r="AK1634" s="71">
        <v>0.96619158104076897</v>
      </c>
      <c r="AL1634" s="71">
        <v>0.95189274447949501</v>
      </c>
      <c r="AM1634" s="71">
        <v>0.96531372301477103</v>
      </c>
      <c r="AN1634" s="70">
        <v>0.99</v>
      </c>
      <c r="AO1634" s="75">
        <v>1</v>
      </c>
      <c r="AP1634" s="75" t="s">
        <v>1710</v>
      </c>
      <c r="AQ1634" s="75">
        <v>1</v>
      </c>
      <c r="AR1634" s="75">
        <v>1</v>
      </c>
      <c r="AS1634" s="95">
        <v>0.110069253262963</v>
      </c>
      <c r="AT1634" s="79">
        <v>0</v>
      </c>
      <c r="AU1634" s="79">
        <v>0.16666666666666699</v>
      </c>
      <c r="AV1634" s="79">
        <v>0</v>
      </c>
      <c r="AW1634" s="79">
        <v>5.0632911392405097E-2</v>
      </c>
      <c r="AX1634" s="56"/>
      <c r="AY1634" s="54"/>
    </row>
    <row r="1635" spans="1:51">
      <c r="A1635" s="53"/>
      <c r="B1635" s="56"/>
      <c r="C1635" s="90" t="s">
        <v>1448</v>
      </c>
      <c r="D1635" s="230" t="s">
        <v>1757</v>
      </c>
      <c r="E1635" s="68" t="s">
        <v>1449</v>
      </c>
      <c r="F1635" s="106" t="s">
        <v>1660</v>
      </c>
      <c r="G1635" s="106" t="s">
        <v>1660</v>
      </c>
      <c r="H1635" s="106" t="s">
        <v>1660</v>
      </c>
      <c r="I1635" s="106" t="s">
        <v>1660</v>
      </c>
      <c r="J1635" s="70">
        <v>0.9</v>
      </c>
      <c r="K1635" s="71">
        <v>0.76190476190476197</v>
      </c>
      <c r="L1635" s="71">
        <v>0.86842105263157898</v>
      </c>
      <c r="M1635" s="72">
        <v>0.94285714285714295</v>
      </c>
      <c r="N1635" s="71">
        <v>0.88487584650112905</v>
      </c>
      <c r="O1635" s="73">
        <v>0.9</v>
      </c>
      <c r="P1635" s="71">
        <v>0.97669228861889401</v>
      </c>
      <c r="Q1635" s="71">
        <v>0.966138019717102</v>
      </c>
      <c r="R1635" s="71">
        <v>0.98690058479532194</v>
      </c>
      <c r="S1635" s="71">
        <v>0.97346476223058498</v>
      </c>
      <c r="T1635" s="73">
        <v>0.9</v>
      </c>
      <c r="U1635" s="71">
        <v>0.94148276717084101</v>
      </c>
      <c r="V1635" s="71">
        <v>0.93634804972138896</v>
      </c>
      <c r="W1635" s="71">
        <v>0.96</v>
      </c>
      <c r="X1635" s="71">
        <v>0.95535408826548096</v>
      </c>
      <c r="Y1635" s="73">
        <v>0.92</v>
      </c>
      <c r="Z1635" s="73">
        <v>0</v>
      </c>
      <c r="AA1635" s="73" t="s">
        <v>1710</v>
      </c>
      <c r="AB1635" s="73">
        <v>0.5</v>
      </c>
      <c r="AC1635" s="73">
        <v>7.69230769230769E-2</v>
      </c>
      <c r="AD1635" s="73">
        <v>0.92</v>
      </c>
      <c r="AE1635" s="71">
        <v>0.9375</v>
      </c>
      <c r="AF1635" s="71">
        <v>0.44444444444444398</v>
      </c>
      <c r="AG1635" s="71">
        <v>0.66666666666666696</v>
      </c>
      <c r="AH1635" s="71">
        <v>0.83333333333333304</v>
      </c>
      <c r="AI1635" s="73">
        <v>0.92</v>
      </c>
      <c r="AJ1635" s="71">
        <v>0.95814759782070302</v>
      </c>
      <c r="AK1635" s="71">
        <v>0.96099442777539601</v>
      </c>
      <c r="AL1635" s="71">
        <v>0.97054009819967302</v>
      </c>
      <c r="AM1635" s="71">
        <v>0.97505397490434198</v>
      </c>
      <c r="AN1635" s="70">
        <v>0.99</v>
      </c>
      <c r="AO1635" s="75">
        <v>1</v>
      </c>
      <c r="AP1635" s="75" t="s">
        <v>1710</v>
      </c>
      <c r="AQ1635" s="75">
        <v>1</v>
      </c>
      <c r="AR1635" s="75">
        <v>1</v>
      </c>
      <c r="AS1635" s="95">
        <v>0.110069253262963</v>
      </c>
      <c r="AT1635" s="79">
        <v>0.17857142857142899</v>
      </c>
      <c r="AU1635" s="79">
        <v>2.9411764705882401E-2</v>
      </c>
      <c r="AV1635" s="79">
        <v>0.105263157894737</v>
      </c>
      <c r="AW1635" s="79">
        <v>7.4918566775244305E-2</v>
      </c>
      <c r="AX1635" s="56"/>
      <c r="AY1635" s="54"/>
    </row>
    <row r="1636" spans="1:51">
      <c r="A1636" s="53"/>
      <c r="B1636" s="56"/>
      <c r="C1636" s="90" t="s">
        <v>1448</v>
      </c>
      <c r="D1636" s="230" t="s">
        <v>1757</v>
      </c>
      <c r="E1636" s="68" t="s">
        <v>1449</v>
      </c>
      <c r="F1636" s="106" t="s">
        <v>1661</v>
      </c>
      <c r="G1636" s="106" t="s">
        <v>1661</v>
      </c>
      <c r="H1636" s="106" t="s">
        <v>1661</v>
      </c>
      <c r="I1636" s="106" t="s">
        <v>1661</v>
      </c>
      <c r="J1636" s="70">
        <v>0.9</v>
      </c>
      <c r="K1636" s="71">
        <v>1</v>
      </c>
      <c r="L1636" s="71">
        <v>1</v>
      </c>
      <c r="M1636" s="72">
        <v>1</v>
      </c>
      <c r="N1636" s="71">
        <v>1</v>
      </c>
      <c r="O1636" s="73">
        <v>0.9</v>
      </c>
      <c r="P1636" s="71">
        <v>0.95377128953771295</v>
      </c>
      <c r="Q1636" s="71">
        <v>0.93633217993079598</v>
      </c>
      <c r="R1636" s="71">
        <v>0.92185514612452302</v>
      </c>
      <c r="S1636" s="71">
        <v>0.94322543683758198</v>
      </c>
      <c r="T1636" s="73">
        <v>0.9</v>
      </c>
      <c r="U1636" s="71">
        <v>0.76966747769667498</v>
      </c>
      <c r="V1636" s="71">
        <v>0.75640138408304503</v>
      </c>
      <c r="W1636" s="71">
        <v>0.64548919949174099</v>
      </c>
      <c r="X1636" s="71">
        <v>0.74637639644800902</v>
      </c>
      <c r="Y1636" s="73">
        <v>0.92</v>
      </c>
      <c r="Z1636" s="73">
        <v>0.89992057188244601</v>
      </c>
      <c r="AA1636" s="73">
        <v>0.891730605285592</v>
      </c>
      <c r="AB1636" s="73">
        <v>0.72369546621043601</v>
      </c>
      <c r="AC1636" s="73">
        <v>0.85277094487049598</v>
      </c>
      <c r="AD1636" s="73">
        <v>0.92</v>
      </c>
      <c r="AE1636" s="71">
        <v>1</v>
      </c>
      <c r="AF1636" s="71">
        <v>1</v>
      </c>
      <c r="AG1636" s="71">
        <v>1</v>
      </c>
      <c r="AH1636" s="71">
        <v>0.99927060539752</v>
      </c>
      <c r="AI1636" s="73">
        <v>0.92</v>
      </c>
      <c r="AJ1636" s="71">
        <v>0.91011235955056202</v>
      </c>
      <c r="AK1636" s="71">
        <v>0.90488922841863995</v>
      </c>
      <c r="AL1636" s="71">
        <v>0.78173881411422297</v>
      </c>
      <c r="AM1636" s="71">
        <v>0.88965583357300404</v>
      </c>
      <c r="AN1636" s="70">
        <v>0.99</v>
      </c>
      <c r="AO1636" s="75">
        <v>1</v>
      </c>
      <c r="AP1636" s="75" t="s">
        <v>1710</v>
      </c>
      <c r="AQ1636" s="75">
        <v>1</v>
      </c>
      <c r="AR1636" s="75">
        <v>1</v>
      </c>
      <c r="AS1636" s="95">
        <v>0.110069253262963</v>
      </c>
      <c r="AT1636" s="79">
        <v>6.0606060606060601E-2</v>
      </c>
      <c r="AU1636" s="79">
        <v>7.1428571428571397E-2</v>
      </c>
      <c r="AV1636" s="79">
        <v>0.11111111111111099</v>
      </c>
      <c r="AW1636" s="79">
        <v>6.2874251497005998E-2</v>
      </c>
      <c r="AX1636" s="56"/>
      <c r="AY1636" s="54"/>
    </row>
    <row r="1637" spans="1:51">
      <c r="A1637" s="53"/>
      <c r="B1637" s="56"/>
      <c r="C1637" s="90" t="s">
        <v>1448</v>
      </c>
      <c r="D1637" s="230" t="s">
        <v>1757</v>
      </c>
      <c r="E1637" s="68" t="s">
        <v>1449</v>
      </c>
      <c r="F1637" s="106" t="s">
        <v>1662</v>
      </c>
      <c r="G1637" s="106" t="s">
        <v>1662</v>
      </c>
      <c r="H1637" s="106" t="s">
        <v>1662</v>
      </c>
      <c r="I1637" s="106" t="s">
        <v>1662</v>
      </c>
      <c r="J1637" s="70">
        <v>0.9</v>
      </c>
      <c r="K1637" s="71">
        <v>1</v>
      </c>
      <c r="L1637" s="71">
        <v>0.96153846153846201</v>
      </c>
      <c r="M1637" s="72">
        <v>1</v>
      </c>
      <c r="N1637" s="71">
        <v>0.98550724637681197</v>
      </c>
      <c r="O1637" s="73">
        <v>0.9</v>
      </c>
      <c r="P1637" s="71">
        <v>0.87946620749031401</v>
      </c>
      <c r="Q1637" s="71">
        <v>0.81195876288659796</v>
      </c>
      <c r="R1637" s="71">
        <v>0.88519533927347505</v>
      </c>
      <c r="S1637" s="71">
        <v>0.87640870246161195</v>
      </c>
      <c r="T1637" s="73">
        <v>0.9</v>
      </c>
      <c r="U1637" s="71">
        <v>0.88032716315109805</v>
      </c>
      <c r="V1637" s="71">
        <v>0.85690721649484503</v>
      </c>
      <c r="W1637" s="71">
        <v>0.85812200137080197</v>
      </c>
      <c r="X1637" s="71">
        <v>0.85155425419631603</v>
      </c>
      <c r="Y1637" s="73">
        <v>0.92</v>
      </c>
      <c r="Z1637" s="73" t="s">
        <v>1710</v>
      </c>
      <c r="AA1637" s="73">
        <v>0.5</v>
      </c>
      <c r="AB1637" s="73">
        <v>0.25</v>
      </c>
      <c r="AC1637" s="73">
        <v>0.49122807017543901</v>
      </c>
      <c r="AD1637" s="73">
        <v>0.92</v>
      </c>
      <c r="AE1637" s="71">
        <v>0.63829787234042601</v>
      </c>
      <c r="AF1637" s="71">
        <v>1</v>
      </c>
      <c r="AG1637" s="71">
        <v>1</v>
      </c>
      <c r="AH1637" s="71">
        <v>0.91206030150753803</v>
      </c>
      <c r="AI1637" s="73">
        <v>0.92</v>
      </c>
      <c r="AJ1637" s="71">
        <v>0.94619027120103305</v>
      </c>
      <c r="AK1637" s="71">
        <v>0.95471387402223096</v>
      </c>
      <c r="AL1637" s="71">
        <v>0.93233082706766901</v>
      </c>
      <c r="AM1637" s="71">
        <v>0.95610220168524096</v>
      </c>
      <c r="AN1637" s="70">
        <v>0.99</v>
      </c>
      <c r="AO1637" s="75" t="s">
        <v>1710</v>
      </c>
      <c r="AP1637" s="75" t="s">
        <v>1710</v>
      </c>
      <c r="AQ1637" s="75" t="s">
        <v>1710</v>
      </c>
      <c r="AR1637" s="75" t="s">
        <v>1710</v>
      </c>
      <c r="AS1637" s="95">
        <v>0.110069253262963</v>
      </c>
      <c r="AT1637" s="79">
        <v>4.5454545454545497E-2</v>
      </c>
      <c r="AU1637" s="79">
        <v>5.8823529411764698E-2</v>
      </c>
      <c r="AV1637" s="79">
        <v>0</v>
      </c>
      <c r="AW1637" s="79">
        <v>5.0761421319797002E-2</v>
      </c>
      <c r="AX1637" s="56"/>
      <c r="AY1637" s="54"/>
    </row>
    <row r="1638" spans="1:51">
      <c r="A1638" s="53"/>
      <c r="B1638" s="56"/>
      <c r="C1638" s="90" t="s">
        <v>1448</v>
      </c>
      <c r="D1638" s="230" t="s">
        <v>1757</v>
      </c>
      <c r="E1638" s="68" t="s">
        <v>1449</v>
      </c>
      <c r="F1638" s="106" t="s">
        <v>1663</v>
      </c>
      <c r="G1638" s="106" t="s">
        <v>1663</v>
      </c>
      <c r="H1638" s="106" t="s">
        <v>1663</v>
      </c>
      <c r="I1638" s="106" t="s">
        <v>1663</v>
      </c>
      <c r="J1638" s="70">
        <v>0.9</v>
      </c>
      <c r="K1638" s="71">
        <v>0.952380952380952</v>
      </c>
      <c r="L1638" s="71">
        <v>1</v>
      </c>
      <c r="M1638" s="72">
        <v>0.9</v>
      </c>
      <c r="N1638" s="71">
        <v>0.97844827586206895</v>
      </c>
      <c r="O1638" s="73">
        <v>0.9</v>
      </c>
      <c r="P1638" s="71">
        <v>0.993844432008954</v>
      </c>
      <c r="Q1638" s="71">
        <v>0.98891820580474898</v>
      </c>
      <c r="R1638" s="71">
        <v>0.99050131926121399</v>
      </c>
      <c r="S1638" s="71">
        <v>0.99079680310002405</v>
      </c>
      <c r="T1638" s="73">
        <v>0.9</v>
      </c>
      <c r="U1638" s="71">
        <v>0.90934527140458898</v>
      </c>
      <c r="V1638" s="71">
        <v>0.92981530343007901</v>
      </c>
      <c r="W1638" s="71">
        <v>0.90712401055408998</v>
      </c>
      <c r="X1638" s="71">
        <v>0.93005570356018397</v>
      </c>
      <c r="Y1638" s="73">
        <v>0.92</v>
      </c>
      <c r="Z1638" s="73" t="s">
        <v>1710</v>
      </c>
      <c r="AA1638" s="73" t="s">
        <v>1710</v>
      </c>
      <c r="AB1638" s="73" t="s">
        <v>1710</v>
      </c>
      <c r="AC1638" s="73" t="s">
        <v>1710</v>
      </c>
      <c r="AD1638" s="73">
        <v>0.92</v>
      </c>
      <c r="AE1638" s="71">
        <v>0.84615384615384603</v>
      </c>
      <c r="AF1638" s="71">
        <v>0.98507462686567204</v>
      </c>
      <c r="AG1638" s="71">
        <v>1</v>
      </c>
      <c r="AH1638" s="71">
        <v>0.96353436185133201</v>
      </c>
      <c r="AI1638" s="73">
        <v>0.92</v>
      </c>
      <c r="AJ1638" s="71">
        <v>0.96698377168438698</v>
      </c>
      <c r="AK1638" s="71">
        <v>0.96358839050131895</v>
      </c>
      <c r="AL1638" s="71">
        <v>0.97308707124010596</v>
      </c>
      <c r="AM1638" s="71">
        <v>0.97403729716638399</v>
      </c>
      <c r="AN1638" s="70">
        <v>0.99</v>
      </c>
      <c r="AO1638" s="75">
        <v>1</v>
      </c>
      <c r="AP1638" s="75">
        <v>1</v>
      </c>
      <c r="AQ1638" s="75">
        <v>1</v>
      </c>
      <c r="AR1638" s="75">
        <v>1</v>
      </c>
      <c r="AS1638" s="95">
        <v>0.110069253262963</v>
      </c>
      <c r="AT1638" s="79">
        <v>0.157894736842105</v>
      </c>
      <c r="AU1638" s="79">
        <v>0</v>
      </c>
      <c r="AV1638" s="79">
        <v>0.105263157894737</v>
      </c>
      <c r="AW1638" s="79">
        <v>6.7708333333333301E-2</v>
      </c>
      <c r="AX1638" s="56"/>
      <c r="AY1638" s="54"/>
    </row>
    <row r="1639" spans="1:51">
      <c r="A1639" s="53"/>
      <c r="B1639" s="56"/>
      <c r="C1639" s="90" t="s">
        <v>1448</v>
      </c>
      <c r="D1639" s="230" t="s">
        <v>1757</v>
      </c>
      <c r="E1639" s="68" t="s">
        <v>1449</v>
      </c>
      <c r="F1639" s="106" t="s">
        <v>1664</v>
      </c>
      <c r="G1639" s="106" t="s">
        <v>1664</v>
      </c>
      <c r="H1639" s="106" t="s">
        <v>1664</v>
      </c>
      <c r="I1639" s="106" t="s">
        <v>1664</v>
      </c>
      <c r="J1639" s="70">
        <v>0.9</v>
      </c>
      <c r="K1639" s="71">
        <v>1</v>
      </c>
      <c r="L1639" s="71">
        <v>1</v>
      </c>
      <c r="M1639" s="72">
        <v>0.97619047619047605</v>
      </c>
      <c r="N1639" s="71">
        <v>0.98054474708171202</v>
      </c>
      <c r="O1639" s="73">
        <v>0.9</v>
      </c>
      <c r="P1639" s="71">
        <v>0.94558175693184798</v>
      </c>
      <c r="Q1639" s="71">
        <v>0.893993677555321</v>
      </c>
      <c r="R1639" s="71">
        <v>0.86210024948968</v>
      </c>
      <c r="S1639" s="71">
        <v>0.92551646892889705</v>
      </c>
      <c r="T1639" s="73">
        <v>0.9</v>
      </c>
      <c r="U1639" s="71">
        <v>0.89453226224410498</v>
      </c>
      <c r="V1639" s="71">
        <v>0.86680716543730196</v>
      </c>
      <c r="W1639" s="71">
        <v>0.80381038784304804</v>
      </c>
      <c r="X1639" s="71">
        <v>0.87984319256616605</v>
      </c>
      <c r="Y1639" s="73">
        <v>0.92</v>
      </c>
      <c r="Z1639" s="73" t="s">
        <v>1710</v>
      </c>
      <c r="AA1639" s="73" t="s">
        <v>1710</v>
      </c>
      <c r="AB1639" s="73" t="s">
        <v>1710</v>
      </c>
      <c r="AC1639" s="73">
        <v>1</v>
      </c>
      <c r="AD1639" s="73">
        <v>0.92</v>
      </c>
      <c r="AE1639" s="71">
        <v>0.95652173913043503</v>
      </c>
      <c r="AF1639" s="71">
        <v>0.94582392776523705</v>
      </c>
      <c r="AG1639" s="71">
        <v>0.98762376237623795</v>
      </c>
      <c r="AH1639" s="71">
        <v>0.94391993957703901</v>
      </c>
      <c r="AI1639" s="73">
        <v>0.92</v>
      </c>
      <c r="AJ1639" s="71">
        <v>0.93703031873542397</v>
      </c>
      <c r="AK1639" s="71">
        <v>0.94521702486304304</v>
      </c>
      <c r="AL1639" s="71">
        <v>0.910864141528691</v>
      </c>
      <c r="AM1639" s="71">
        <v>0.939312232961381</v>
      </c>
      <c r="AN1639" s="70">
        <v>0.99</v>
      </c>
      <c r="AO1639" s="75">
        <v>1</v>
      </c>
      <c r="AP1639" s="75">
        <v>1</v>
      </c>
      <c r="AQ1639" s="75">
        <v>1</v>
      </c>
      <c r="AR1639" s="75">
        <v>1</v>
      </c>
      <c r="AS1639" s="95">
        <v>0.110069253262963</v>
      </c>
      <c r="AT1639" s="79">
        <v>5.5555555555555601E-2</v>
      </c>
      <c r="AU1639" s="79">
        <v>2.4390243902439001E-2</v>
      </c>
      <c r="AV1639" s="79">
        <v>2.2222222222222199E-2</v>
      </c>
      <c r="AW1639" s="79">
        <v>4.2105263157894701E-2</v>
      </c>
      <c r="AX1639" s="56"/>
      <c r="AY1639" s="54"/>
    </row>
    <row r="1640" spans="1:51">
      <c r="A1640" s="53"/>
      <c r="B1640" s="56"/>
      <c r="C1640" s="90" t="s">
        <v>1448</v>
      </c>
      <c r="D1640" s="230" t="s">
        <v>1757</v>
      </c>
      <c r="E1640" s="68" t="s">
        <v>1449</v>
      </c>
      <c r="F1640" s="106" t="s">
        <v>1665</v>
      </c>
      <c r="G1640" s="106" t="s">
        <v>1665</v>
      </c>
      <c r="H1640" s="106" t="s">
        <v>1665</v>
      </c>
      <c r="I1640" s="106" t="s">
        <v>1665</v>
      </c>
      <c r="J1640" s="70">
        <v>0.9</v>
      </c>
      <c r="K1640" s="71">
        <v>1</v>
      </c>
      <c r="L1640" s="71">
        <v>0.96153846153846201</v>
      </c>
      <c r="M1640" s="72">
        <v>0.952380952380952</v>
      </c>
      <c r="N1640" s="71">
        <v>0.95098039215686303</v>
      </c>
      <c r="O1640" s="73">
        <v>0.9</v>
      </c>
      <c r="P1640" s="71">
        <v>0.92190711056309105</v>
      </c>
      <c r="Q1640" s="71">
        <v>0.85507733691997301</v>
      </c>
      <c r="R1640" s="71">
        <v>0.90578158458244096</v>
      </c>
      <c r="S1640" s="71">
        <v>0.909772483853169</v>
      </c>
      <c r="T1640" s="73">
        <v>0.9</v>
      </c>
      <c r="U1640" s="71">
        <v>0.80312371557747597</v>
      </c>
      <c r="V1640" s="71">
        <v>0.747141896435777</v>
      </c>
      <c r="W1640" s="71">
        <v>0.84475374732334096</v>
      </c>
      <c r="X1640" s="71">
        <v>0.82989841290448196</v>
      </c>
      <c r="Y1640" s="73">
        <v>0.92</v>
      </c>
      <c r="Z1640" s="73" t="s">
        <v>1710</v>
      </c>
      <c r="AA1640" s="73" t="s">
        <v>1710</v>
      </c>
      <c r="AB1640" s="73" t="s">
        <v>1710</v>
      </c>
      <c r="AC1640" s="73" t="s">
        <v>1710</v>
      </c>
      <c r="AD1640" s="73">
        <v>0.92</v>
      </c>
      <c r="AE1640" s="71">
        <v>0.98979591836734704</v>
      </c>
      <c r="AF1640" s="71">
        <v>0.79574468085106398</v>
      </c>
      <c r="AG1640" s="71">
        <v>1</v>
      </c>
      <c r="AH1640" s="71">
        <v>0.95694385816800298</v>
      </c>
      <c r="AI1640" s="73">
        <v>0.92</v>
      </c>
      <c r="AJ1640" s="71">
        <v>0.900534319769831</v>
      </c>
      <c r="AK1640" s="71">
        <v>0.90954942837928698</v>
      </c>
      <c r="AL1640" s="71">
        <v>0.88440956118444503</v>
      </c>
      <c r="AM1640" s="71">
        <v>0.90906140464754004</v>
      </c>
      <c r="AN1640" s="70">
        <v>0.99</v>
      </c>
      <c r="AO1640" s="75">
        <v>1</v>
      </c>
      <c r="AP1640" s="75">
        <v>1</v>
      </c>
      <c r="AQ1640" s="75">
        <v>1</v>
      </c>
      <c r="AR1640" s="75">
        <v>1</v>
      </c>
      <c r="AS1640" s="95">
        <v>0.110069253262963</v>
      </c>
      <c r="AT1640" s="79">
        <v>0</v>
      </c>
      <c r="AU1640" s="79">
        <v>4.1666666666666699E-2</v>
      </c>
      <c r="AV1640" s="79">
        <v>8.3333333333333301E-2</v>
      </c>
      <c r="AW1640" s="79">
        <v>6.1320754716981098E-2</v>
      </c>
      <c r="AX1640" s="56"/>
      <c r="AY1640" s="54"/>
    </row>
    <row r="1641" spans="1:51">
      <c r="A1641" s="53"/>
      <c r="B1641" s="56"/>
      <c r="C1641" s="90" t="s">
        <v>1448</v>
      </c>
      <c r="D1641" s="230" t="s">
        <v>1757</v>
      </c>
      <c r="E1641" s="68" t="s">
        <v>1449</v>
      </c>
      <c r="F1641" s="106" t="s">
        <v>1666</v>
      </c>
      <c r="G1641" s="106" t="s">
        <v>1666</v>
      </c>
      <c r="H1641" s="106" t="s">
        <v>1666</v>
      </c>
      <c r="I1641" s="106" t="s">
        <v>1666</v>
      </c>
      <c r="J1641" s="70">
        <v>0.9</v>
      </c>
      <c r="K1641" s="71">
        <v>0.96</v>
      </c>
      <c r="L1641" s="71">
        <v>0.83333333333333304</v>
      </c>
      <c r="M1641" s="72">
        <v>0.95833333333333304</v>
      </c>
      <c r="N1641" s="71">
        <v>0.94346289752650203</v>
      </c>
      <c r="O1641" s="73">
        <v>0.9</v>
      </c>
      <c r="P1641" s="71">
        <v>0.95166163141993998</v>
      </c>
      <c r="Q1641" s="71">
        <v>0.74899436846339495</v>
      </c>
      <c r="R1641" s="71">
        <v>0.90880748246297705</v>
      </c>
      <c r="S1641" s="71">
        <v>0.90953889475536798</v>
      </c>
      <c r="T1641" s="73">
        <v>0.9</v>
      </c>
      <c r="U1641" s="71">
        <v>0.73313192346425005</v>
      </c>
      <c r="V1641" s="71">
        <v>0.71761866452131895</v>
      </c>
      <c r="W1641" s="71">
        <v>0.619641465315666</v>
      </c>
      <c r="X1641" s="71">
        <v>0.69721928898275298</v>
      </c>
      <c r="Y1641" s="73">
        <v>0.92</v>
      </c>
      <c r="Z1641" s="73">
        <v>0.89809523809523795</v>
      </c>
      <c r="AA1641" s="73">
        <v>0.86886886886886905</v>
      </c>
      <c r="AB1641" s="73">
        <v>0.85714285714285698</v>
      </c>
      <c r="AC1641" s="73">
        <v>0.87659901074535196</v>
      </c>
      <c r="AD1641" s="73">
        <v>0.92</v>
      </c>
      <c r="AE1641" s="71">
        <v>0.96153846153846201</v>
      </c>
      <c r="AF1641" s="71">
        <v>0.92452830188679203</v>
      </c>
      <c r="AG1641" s="71">
        <v>0.97647058823529398</v>
      </c>
      <c r="AH1641" s="71">
        <v>0.97687861271676302</v>
      </c>
      <c r="AI1641" s="73">
        <v>0.92</v>
      </c>
      <c r="AJ1641" s="71">
        <v>0.904552129221733</v>
      </c>
      <c r="AK1641" s="71">
        <v>0.89790459206420004</v>
      </c>
      <c r="AL1641" s="71">
        <v>0.86572438162544196</v>
      </c>
      <c r="AM1641" s="71">
        <v>0.89894639698531098</v>
      </c>
      <c r="AN1641" s="70">
        <v>0.99</v>
      </c>
      <c r="AO1641" s="75" t="s">
        <v>1710</v>
      </c>
      <c r="AP1641" s="75" t="s">
        <v>1710</v>
      </c>
      <c r="AQ1641" s="75">
        <v>1</v>
      </c>
      <c r="AR1641" s="75">
        <v>1</v>
      </c>
      <c r="AS1641" s="95">
        <v>0.110069253262963</v>
      </c>
      <c r="AT1641" s="79">
        <v>0.11764705882352899</v>
      </c>
      <c r="AU1641" s="79">
        <v>0.24242424242424199</v>
      </c>
      <c r="AV1641" s="79">
        <v>5.7142857142857099E-2</v>
      </c>
      <c r="AW1641" s="79">
        <v>8.3044982698961906E-2</v>
      </c>
      <c r="AX1641" s="56"/>
      <c r="AY1641" s="54"/>
    </row>
    <row r="1642" spans="1:51">
      <c r="A1642" s="53"/>
      <c r="B1642" s="56"/>
      <c r="C1642" s="90" t="s">
        <v>1448</v>
      </c>
      <c r="D1642" s="230" t="s">
        <v>1757</v>
      </c>
      <c r="E1642" s="68" t="s">
        <v>1449</v>
      </c>
      <c r="F1642" s="106" t="s">
        <v>1667</v>
      </c>
      <c r="G1642" s="106" t="s">
        <v>1667</v>
      </c>
      <c r="H1642" s="106" t="s">
        <v>1667</v>
      </c>
      <c r="I1642" s="106" t="s">
        <v>1667</v>
      </c>
      <c r="J1642" s="70">
        <v>0.9</v>
      </c>
      <c r="K1642" s="71">
        <v>1</v>
      </c>
      <c r="L1642" s="71">
        <v>1</v>
      </c>
      <c r="M1642" s="72">
        <v>0.967741935483871</v>
      </c>
      <c r="N1642" s="71">
        <v>0.97587131367292201</v>
      </c>
      <c r="O1642" s="73">
        <v>0.9</v>
      </c>
      <c r="P1642" s="71">
        <v>0.69374734155678397</v>
      </c>
      <c r="Q1642" s="71">
        <v>0.77596044123240804</v>
      </c>
      <c r="R1642" s="71">
        <v>0.60238011900595001</v>
      </c>
      <c r="S1642" s="71">
        <v>0.77878924343798295</v>
      </c>
      <c r="T1642" s="73">
        <v>0.9</v>
      </c>
      <c r="U1642" s="71">
        <v>0.59208847299021705</v>
      </c>
      <c r="V1642" s="71">
        <v>0.58539368581209605</v>
      </c>
      <c r="W1642" s="71">
        <v>0.52397619880994095</v>
      </c>
      <c r="X1642" s="71">
        <v>0.61946731857951598</v>
      </c>
      <c r="Y1642" s="73">
        <v>0.92</v>
      </c>
      <c r="Z1642" s="73">
        <v>0.78254580520732897</v>
      </c>
      <c r="AA1642" s="73">
        <v>0.73003802281368801</v>
      </c>
      <c r="AB1642" s="73">
        <v>0.66205305651672397</v>
      </c>
      <c r="AC1642" s="73">
        <v>0.76333572969087005</v>
      </c>
      <c r="AD1642" s="73">
        <v>0.92</v>
      </c>
      <c r="AE1642" s="71">
        <v>0.70967741935483897</v>
      </c>
      <c r="AF1642" s="71">
        <v>0.85106382978723405</v>
      </c>
      <c r="AG1642" s="71">
        <v>1</v>
      </c>
      <c r="AH1642" s="71">
        <v>0.94</v>
      </c>
      <c r="AI1642" s="73">
        <v>0.92</v>
      </c>
      <c r="AJ1642" s="71">
        <v>0.820831450519657</v>
      </c>
      <c r="AK1642" s="71">
        <v>0.805636322970253</v>
      </c>
      <c r="AL1642" s="71">
        <v>0.74009577710056595</v>
      </c>
      <c r="AM1642" s="71">
        <v>0.83609395740751402</v>
      </c>
      <c r="AN1642" s="70">
        <v>0.99</v>
      </c>
      <c r="AO1642" s="75" t="s">
        <v>1710</v>
      </c>
      <c r="AP1642" s="75" t="s">
        <v>1710</v>
      </c>
      <c r="AQ1642" s="75" t="s">
        <v>1710</v>
      </c>
      <c r="AR1642" s="75">
        <v>1</v>
      </c>
      <c r="AS1642" s="95">
        <v>0.110069253262963</v>
      </c>
      <c r="AT1642" s="79">
        <v>0.10344827586206901</v>
      </c>
      <c r="AU1642" s="79">
        <v>0.13793103448275901</v>
      </c>
      <c r="AV1642" s="79">
        <v>0.107142857142857</v>
      </c>
      <c r="AW1642" s="79">
        <v>0.13653136531365301</v>
      </c>
      <c r="AX1642" s="56"/>
      <c r="AY1642" s="54"/>
    </row>
    <row r="1643" spans="1:51">
      <c r="A1643" s="53"/>
      <c r="B1643" s="56"/>
      <c r="C1643" s="90" t="s">
        <v>1448</v>
      </c>
      <c r="D1643" s="230" t="s">
        <v>1757</v>
      </c>
      <c r="E1643" s="68" t="s">
        <v>1449</v>
      </c>
      <c r="F1643" s="106" t="s">
        <v>1668</v>
      </c>
      <c r="G1643" s="106" t="s">
        <v>1668</v>
      </c>
      <c r="H1643" s="106" t="s">
        <v>1668</v>
      </c>
      <c r="I1643" s="106" t="s">
        <v>1668</v>
      </c>
      <c r="J1643" s="70">
        <v>0.9</v>
      </c>
      <c r="K1643" s="71">
        <v>1</v>
      </c>
      <c r="L1643" s="71">
        <v>1</v>
      </c>
      <c r="M1643" s="72">
        <v>0.87096774193548399</v>
      </c>
      <c r="N1643" s="71">
        <v>0.97229916897506896</v>
      </c>
      <c r="O1643" s="73">
        <v>0.9</v>
      </c>
      <c r="P1643" s="71">
        <v>0.848225214198286</v>
      </c>
      <c r="Q1643" s="71">
        <v>0.95556133056133097</v>
      </c>
      <c r="R1643" s="71">
        <v>0.82917299761232899</v>
      </c>
      <c r="S1643" s="71">
        <v>0.89962113239317998</v>
      </c>
      <c r="T1643" s="73">
        <v>0.9</v>
      </c>
      <c r="U1643" s="71">
        <v>0.82839657282741697</v>
      </c>
      <c r="V1643" s="71">
        <v>0.83186070686070701</v>
      </c>
      <c r="W1643" s="71">
        <v>0.81506403299327101</v>
      </c>
      <c r="X1643" s="71">
        <v>0.80675647232161696</v>
      </c>
      <c r="Y1643" s="73">
        <v>0.92</v>
      </c>
      <c r="Z1643" s="73">
        <v>1</v>
      </c>
      <c r="AA1643" s="73">
        <v>0</v>
      </c>
      <c r="AB1643" s="73">
        <v>0.33333333333333298</v>
      </c>
      <c r="AC1643" s="73">
        <v>0.12631578947368399</v>
      </c>
      <c r="AD1643" s="73">
        <v>0.92</v>
      </c>
      <c r="AE1643" s="71">
        <v>0.92647058823529405</v>
      </c>
      <c r="AF1643" s="71">
        <v>1</v>
      </c>
      <c r="AG1643" s="71">
        <v>0.97959183673469397</v>
      </c>
      <c r="AH1643" s="71">
        <v>0.94827586206896597</v>
      </c>
      <c r="AI1643" s="73">
        <v>0.92</v>
      </c>
      <c r="AJ1643" s="71">
        <v>0.95252080274106699</v>
      </c>
      <c r="AK1643" s="71">
        <v>0.96913900414937804</v>
      </c>
      <c r="AL1643" s="71">
        <v>0.93743234466334702</v>
      </c>
      <c r="AM1643" s="71">
        <v>0.95716715308543499</v>
      </c>
      <c r="AN1643" s="70">
        <v>0.99</v>
      </c>
      <c r="AO1643" s="75">
        <v>1</v>
      </c>
      <c r="AP1643" s="75">
        <v>1</v>
      </c>
      <c r="AQ1643" s="75">
        <v>1</v>
      </c>
      <c r="AR1643" s="75">
        <v>1</v>
      </c>
      <c r="AS1643" s="95">
        <v>0.110069253262963</v>
      </c>
      <c r="AT1643" s="79">
        <v>0.105263157894737</v>
      </c>
      <c r="AU1643" s="79">
        <v>9.5238095238095205E-2</v>
      </c>
      <c r="AV1643" s="79">
        <v>0.15384615384615399</v>
      </c>
      <c r="AW1643" s="79">
        <v>9.3877551020408206E-2</v>
      </c>
      <c r="AX1643" s="56"/>
      <c r="AY1643" s="54"/>
    </row>
    <row r="1644" spans="1:51">
      <c r="A1644" s="53"/>
      <c r="B1644" s="56"/>
      <c r="C1644" s="90" t="s">
        <v>1448</v>
      </c>
      <c r="D1644" s="230" t="s">
        <v>1757</v>
      </c>
      <c r="E1644" s="68" t="s">
        <v>1449</v>
      </c>
      <c r="F1644" s="106" t="s">
        <v>1669</v>
      </c>
      <c r="G1644" s="106" t="s">
        <v>1669</v>
      </c>
      <c r="H1644" s="106" t="s">
        <v>1669</v>
      </c>
      <c r="I1644" s="106" t="s">
        <v>1669</v>
      </c>
      <c r="J1644" s="70">
        <v>0.9</v>
      </c>
      <c r="K1644" s="71">
        <v>0.93181818181818199</v>
      </c>
      <c r="L1644" s="71">
        <v>0.952380952380952</v>
      </c>
      <c r="M1644" s="72">
        <v>0.92857142857142905</v>
      </c>
      <c r="N1644" s="71">
        <v>0.91022964509394599</v>
      </c>
      <c r="O1644" s="73">
        <v>0.9</v>
      </c>
      <c r="P1644" s="71">
        <v>0.78307654683296601</v>
      </c>
      <c r="Q1644" s="71">
        <v>0.82358059604089595</v>
      </c>
      <c r="R1644" s="71">
        <v>0.90330672748004603</v>
      </c>
      <c r="S1644" s="71">
        <v>0.81272294887039198</v>
      </c>
      <c r="T1644" s="73">
        <v>0.9</v>
      </c>
      <c r="U1644" s="71">
        <v>0.65370506236243597</v>
      </c>
      <c r="V1644" s="71">
        <v>0.66891450946269304</v>
      </c>
      <c r="W1644" s="71">
        <v>0.77035347776510799</v>
      </c>
      <c r="X1644" s="71">
        <v>0.71494394428401598</v>
      </c>
      <c r="Y1644" s="73">
        <v>0.92</v>
      </c>
      <c r="Z1644" s="73" t="s">
        <v>1710</v>
      </c>
      <c r="AA1644" s="73" t="s">
        <v>1710</v>
      </c>
      <c r="AB1644" s="73" t="s">
        <v>1710</v>
      </c>
      <c r="AC1644" s="73" t="s">
        <v>1710</v>
      </c>
      <c r="AD1644" s="73">
        <v>0.92</v>
      </c>
      <c r="AE1644" s="71">
        <v>0.99065420560747697</v>
      </c>
      <c r="AF1644" s="71">
        <v>0.99740259740259696</v>
      </c>
      <c r="AG1644" s="71">
        <v>0.99791666666666701</v>
      </c>
      <c r="AH1644" s="71">
        <v>0.98902989890298998</v>
      </c>
      <c r="AI1644" s="73">
        <v>0.92</v>
      </c>
      <c r="AJ1644" s="71">
        <v>0.82954267547077498</v>
      </c>
      <c r="AK1644" s="71">
        <v>0.83489232107896405</v>
      </c>
      <c r="AL1644" s="71">
        <v>0.83648802736602101</v>
      </c>
      <c r="AM1644" s="71">
        <v>0.86281212841854904</v>
      </c>
      <c r="AN1644" s="70">
        <v>0.99</v>
      </c>
      <c r="AO1644" s="75" t="s">
        <v>1710</v>
      </c>
      <c r="AP1644" s="75">
        <v>1</v>
      </c>
      <c r="AQ1644" s="75">
        <v>1</v>
      </c>
      <c r="AR1644" s="75">
        <v>1</v>
      </c>
      <c r="AS1644" s="95">
        <v>0.110069253262963</v>
      </c>
      <c r="AT1644" s="79">
        <v>7.1428571428571397E-2</v>
      </c>
      <c r="AU1644" s="79">
        <v>0.14285714285714299</v>
      </c>
      <c r="AV1644" s="79">
        <v>0.20512820512820501</v>
      </c>
      <c r="AW1644" s="79">
        <v>0.108974358974359</v>
      </c>
      <c r="AX1644" s="56"/>
      <c r="AY1644" s="54"/>
    </row>
    <row r="1645" spans="1:51">
      <c r="A1645" s="53"/>
      <c r="B1645" s="56"/>
      <c r="C1645" s="90" t="s">
        <v>1448</v>
      </c>
      <c r="D1645" s="230" t="s">
        <v>1757</v>
      </c>
      <c r="E1645" s="68" t="s">
        <v>1449</v>
      </c>
      <c r="F1645" s="106" t="s">
        <v>1670</v>
      </c>
      <c r="G1645" s="106" t="s">
        <v>1670</v>
      </c>
      <c r="H1645" s="106" t="s">
        <v>1670</v>
      </c>
      <c r="I1645" s="106" t="s">
        <v>1670</v>
      </c>
      <c r="J1645" s="70">
        <v>0.9</v>
      </c>
      <c r="K1645" s="71">
        <v>0.96153846153846201</v>
      </c>
      <c r="L1645" s="71">
        <v>1</v>
      </c>
      <c r="M1645" s="72">
        <v>1</v>
      </c>
      <c r="N1645" s="71">
        <v>0.97315436241610698</v>
      </c>
      <c r="O1645" s="73">
        <v>0.9</v>
      </c>
      <c r="P1645" s="71">
        <v>0.83898584129074705</v>
      </c>
      <c r="Q1645" s="71">
        <v>0.78127136021872901</v>
      </c>
      <c r="R1645" s="71">
        <v>0.74916851441241705</v>
      </c>
      <c r="S1645" s="71">
        <v>0.81032367136585504</v>
      </c>
      <c r="T1645" s="73">
        <v>0.9</v>
      </c>
      <c r="U1645" s="71">
        <v>0.87553506750082299</v>
      </c>
      <c r="V1645" s="71">
        <v>0.85269993164729996</v>
      </c>
      <c r="W1645" s="71">
        <v>0.83675166297117498</v>
      </c>
      <c r="X1645" s="71">
        <v>0.80953289886292401</v>
      </c>
      <c r="Y1645" s="73">
        <v>0.92</v>
      </c>
      <c r="Z1645" s="73" t="s">
        <v>1710</v>
      </c>
      <c r="AA1645" s="73">
        <v>0</v>
      </c>
      <c r="AB1645" s="73">
        <v>0.3</v>
      </c>
      <c r="AC1645" s="73">
        <v>0.22857142857142901</v>
      </c>
      <c r="AD1645" s="73">
        <v>0.92</v>
      </c>
      <c r="AE1645" s="71">
        <v>0.88732394366197198</v>
      </c>
      <c r="AF1645" s="71">
        <v>0.97959183673469397</v>
      </c>
      <c r="AG1645" s="71">
        <v>1</v>
      </c>
      <c r="AH1645" s="71">
        <v>0.97774244833068402</v>
      </c>
      <c r="AI1645" s="73">
        <v>0.92</v>
      </c>
      <c r="AJ1645" s="71">
        <v>0.975633849193283</v>
      </c>
      <c r="AK1645" s="71">
        <v>0.97233606557377095</v>
      </c>
      <c r="AL1645" s="71">
        <v>0.95992260917634098</v>
      </c>
      <c r="AM1645" s="71">
        <v>0.96552193316643098</v>
      </c>
      <c r="AN1645" s="70">
        <v>0.99</v>
      </c>
      <c r="AO1645" s="75">
        <v>1</v>
      </c>
      <c r="AP1645" s="75">
        <v>1</v>
      </c>
      <c r="AQ1645" s="75">
        <v>1</v>
      </c>
      <c r="AR1645" s="75">
        <v>1</v>
      </c>
      <c r="AS1645" s="95">
        <v>0.110069253262963</v>
      </c>
      <c r="AT1645" s="79">
        <v>0</v>
      </c>
      <c r="AU1645" s="79">
        <v>0</v>
      </c>
      <c r="AV1645" s="79">
        <v>0.105263157894737</v>
      </c>
      <c r="AW1645" s="79">
        <v>2.5806451612903201E-2</v>
      </c>
      <c r="AX1645" s="56"/>
      <c r="AY1645" s="54"/>
    </row>
    <row r="1646" spans="1:51">
      <c r="A1646" s="53"/>
      <c r="B1646" s="56"/>
      <c r="C1646" s="90" t="s">
        <v>1448</v>
      </c>
      <c r="D1646" s="230" t="s">
        <v>1757</v>
      </c>
      <c r="E1646" s="68" t="s">
        <v>1449</v>
      </c>
      <c r="F1646" s="106" t="s">
        <v>1671</v>
      </c>
      <c r="G1646" s="106" t="s">
        <v>1671</v>
      </c>
      <c r="H1646" s="106" t="s">
        <v>1671</v>
      </c>
      <c r="I1646" s="106" t="s">
        <v>1671</v>
      </c>
      <c r="J1646" s="70">
        <v>0.9</v>
      </c>
      <c r="K1646" s="71">
        <v>0.91666666666666696</v>
      </c>
      <c r="L1646" s="71">
        <v>1</v>
      </c>
      <c r="M1646" s="72">
        <v>0.96296296296296302</v>
      </c>
      <c r="N1646" s="71">
        <v>0.94623655913978499</v>
      </c>
      <c r="O1646" s="73">
        <v>0.9</v>
      </c>
      <c r="P1646" s="71">
        <v>0.98667850799289503</v>
      </c>
      <c r="Q1646" s="71">
        <v>0.99185888738127503</v>
      </c>
      <c r="R1646" s="71">
        <v>0.98847262247838596</v>
      </c>
      <c r="S1646" s="71">
        <v>0.95651900722588801</v>
      </c>
      <c r="T1646" s="73">
        <v>0.9</v>
      </c>
      <c r="U1646" s="71">
        <v>0.85168738898756702</v>
      </c>
      <c r="V1646" s="71">
        <v>0.86499321573948396</v>
      </c>
      <c r="W1646" s="71">
        <v>0.83141210374639796</v>
      </c>
      <c r="X1646" s="71">
        <v>0.71869305686459295</v>
      </c>
      <c r="Y1646" s="73">
        <v>0.92</v>
      </c>
      <c r="Z1646" s="73">
        <v>0.87145110410094595</v>
      </c>
      <c r="AA1646" s="73">
        <v>0.86052871467639003</v>
      </c>
      <c r="AB1646" s="73">
        <v>0.84092940125111704</v>
      </c>
      <c r="AC1646" s="73">
        <v>0.85820895522388096</v>
      </c>
      <c r="AD1646" s="73">
        <v>0.92</v>
      </c>
      <c r="AE1646" s="71">
        <v>0.44444444444444398</v>
      </c>
      <c r="AF1646" s="71">
        <v>1</v>
      </c>
      <c r="AG1646" s="71">
        <v>1</v>
      </c>
      <c r="AH1646" s="71">
        <v>0.92391304347826098</v>
      </c>
      <c r="AI1646" s="73">
        <v>0.92</v>
      </c>
      <c r="AJ1646" s="71">
        <v>0.90601503759398505</v>
      </c>
      <c r="AK1646" s="71">
        <v>0.91248541423570595</v>
      </c>
      <c r="AL1646" s="71">
        <v>0.88711607499002798</v>
      </c>
      <c r="AM1646" s="71">
        <v>0.90600388667280396</v>
      </c>
      <c r="AN1646" s="70">
        <v>0.99</v>
      </c>
      <c r="AO1646" s="75">
        <v>1</v>
      </c>
      <c r="AP1646" s="75" t="s">
        <v>1710</v>
      </c>
      <c r="AQ1646" s="75" t="s">
        <v>1710</v>
      </c>
      <c r="AR1646" s="75">
        <v>1</v>
      </c>
      <c r="AS1646" s="95">
        <v>0.110069253262963</v>
      </c>
      <c r="AT1646" s="79">
        <v>6.25E-2</v>
      </c>
      <c r="AU1646" s="79">
        <v>6.25E-2</v>
      </c>
      <c r="AV1646" s="79">
        <v>0</v>
      </c>
      <c r="AW1646" s="79">
        <v>5.3921568627450997E-2</v>
      </c>
      <c r="AX1646" s="56"/>
      <c r="AY1646" s="54"/>
    </row>
    <row r="1647" spans="1:51">
      <c r="A1647" s="53"/>
      <c r="B1647" s="56"/>
      <c r="C1647" s="90" t="s">
        <v>1448</v>
      </c>
      <c r="D1647" s="230" t="s">
        <v>1757</v>
      </c>
      <c r="E1647" s="68" t="s">
        <v>1449</v>
      </c>
      <c r="F1647" s="106" t="s">
        <v>1672</v>
      </c>
      <c r="G1647" s="106" t="s">
        <v>1672</v>
      </c>
      <c r="H1647" s="106" t="s">
        <v>1672</v>
      </c>
      <c r="I1647" s="106" t="s">
        <v>1672</v>
      </c>
      <c r="J1647" s="70">
        <v>0.9</v>
      </c>
      <c r="K1647" s="71">
        <v>0.89655172413793105</v>
      </c>
      <c r="L1647" s="71">
        <v>0.88461538461538503</v>
      </c>
      <c r="M1647" s="72">
        <v>0.95652173913043503</v>
      </c>
      <c r="N1647" s="71">
        <v>0.94754098360655703</v>
      </c>
      <c r="O1647" s="73">
        <v>0.9</v>
      </c>
      <c r="P1647" s="71">
        <v>0.97393894266567405</v>
      </c>
      <c r="Q1647" s="71">
        <v>0.96354166666666696</v>
      </c>
      <c r="R1647" s="71">
        <v>0.97664141414141403</v>
      </c>
      <c r="S1647" s="71">
        <v>0.96848818982757701</v>
      </c>
      <c r="T1647" s="73">
        <v>0.9</v>
      </c>
      <c r="U1647" s="71">
        <v>0.66790766939687296</v>
      </c>
      <c r="V1647" s="71">
        <v>0.54361979166666696</v>
      </c>
      <c r="W1647" s="71">
        <v>0.53851010101010099</v>
      </c>
      <c r="X1647" s="71">
        <v>0.60088643857088797</v>
      </c>
      <c r="Y1647" s="73">
        <v>0.92</v>
      </c>
      <c r="Z1647" s="73">
        <v>0.790769230769231</v>
      </c>
      <c r="AA1647" s="73">
        <v>0.70247933884297498</v>
      </c>
      <c r="AB1647" s="73">
        <v>0.51447477253928897</v>
      </c>
      <c r="AC1647" s="73">
        <v>0.73242739877216001</v>
      </c>
      <c r="AD1647" s="73">
        <v>0.92</v>
      </c>
      <c r="AE1647" s="71">
        <v>0</v>
      </c>
      <c r="AF1647" s="71">
        <v>0</v>
      </c>
      <c r="AG1647" s="71">
        <v>0</v>
      </c>
      <c r="AH1647" s="71">
        <v>0.45578231292517002</v>
      </c>
      <c r="AI1647" s="73">
        <v>0.92</v>
      </c>
      <c r="AJ1647" s="71">
        <v>0.84184638668180101</v>
      </c>
      <c r="AK1647" s="71">
        <v>0.77611940298507498</v>
      </c>
      <c r="AL1647" s="71">
        <v>0.65246957766642799</v>
      </c>
      <c r="AM1647" s="71">
        <v>0.80940984003877803</v>
      </c>
      <c r="AN1647" s="70">
        <v>0.99</v>
      </c>
      <c r="AO1647" s="75">
        <v>1</v>
      </c>
      <c r="AP1647" s="75">
        <v>1</v>
      </c>
      <c r="AQ1647" s="75">
        <v>1</v>
      </c>
      <c r="AR1647" s="75">
        <v>1</v>
      </c>
      <c r="AS1647" s="95">
        <v>0.110069253262963</v>
      </c>
      <c r="AT1647" s="79">
        <v>8.6956521739130405E-2</v>
      </c>
      <c r="AU1647" s="79">
        <v>0.5</v>
      </c>
      <c r="AV1647" s="79">
        <v>0.17647058823529399</v>
      </c>
      <c r="AW1647" s="79">
        <v>9.5238095238095205E-2</v>
      </c>
      <c r="AX1647" s="56"/>
      <c r="AY1647" s="54"/>
    </row>
    <row r="1648" spans="1:51">
      <c r="A1648" s="53"/>
      <c r="B1648" s="56"/>
      <c r="C1648" s="90" t="s">
        <v>1448</v>
      </c>
      <c r="D1648" s="230" t="s">
        <v>1757</v>
      </c>
      <c r="E1648" s="68" t="s">
        <v>1449</v>
      </c>
      <c r="F1648" s="106" t="s">
        <v>1673</v>
      </c>
      <c r="G1648" s="106" t="s">
        <v>1673</v>
      </c>
      <c r="H1648" s="106" t="s">
        <v>1673</v>
      </c>
      <c r="I1648" s="106" t="s">
        <v>1673</v>
      </c>
      <c r="J1648" s="70">
        <v>0.9</v>
      </c>
      <c r="K1648" s="71">
        <v>1</v>
      </c>
      <c r="L1648" s="71">
        <v>1</v>
      </c>
      <c r="M1648" s="72">
        <v>0.84</v>
      </c>
      <c r="N1648" s="71">
        <v>0.94276094276094302</v>
      </c>
      <c r="O1648" s="73">
        <v>0.9</v>
      </c>
      <c r="P1648" s="71">
        <v>0.833620689655172</v>
      </c>
      <c r="Q1648" s="71">
        <v>0.78330474556889695</v>
      </c>
      <c r="R1648" s="71">
        <v>0.580067950169875</v>
      </c>
      <c r="S1648" s="71">
        <v>0.77716441897840804</v>
      </c>
      <c r="T1648" s="73">
        <v>0.9</v>
      </c>
      <c r="U1648" s="71">
        <v>0.65775862068965496</v>
      </c>
      <c r="V1648" s="71">
        <v>0.57575757575757602</v>
      </c>
      <c r="W1648" s="71">
        <v>0.60996602491506202</v>
      </c>
      <c r="X1648" s="71">
        <v>0.62613840169566504</v>
      </c>
      <c r="Y1648" s="73">
        <v>0.92</v>
      </c>
      <c r="Z1648" s="73">
        <v>0.5</v>
      </c>
      <c r="AA1648" s="73">
        <v>0</v>
      </c>
      <c r="AB1648" s="73">
        <v>0.11111111111111099</v>
      </c>
      <c r="AC1648" s="73">
        <v>2.8571428571428598E-2</v>
      </c>
      <c r="AD1648" s="73">
        <v>0.92</v>
      </c>
      <c r="AE1648" s="71">
        <v>0.96666666666666701</v>
      </c>
      <c r="AF1648" s="71">
        <v>0.73913043478260898</v>
      </c>
      <c r="AG1648" s="71">
        <v>1</v>
      </c>
      <c r="AH1648" s="71">
        <v>0.944578313253012</v>
      </c>
      <c r="AI1648" s="73">
        <v>0.92</v>
      </c>
      <c r="AJ1648" s="71">
        <v>0.88799540493968998</v>
      </c>
      <c r="AK1648" s="71">
        <v>0.842225392296719</v>
      </c>
      <c r="AL1648" s="71">
        <v>0.856012658227848</v>
      </c>
      <c r="AM1648" s="71">
        <v>0.88312835654337096</v>
      </c>
      <c r="AN1648" s="70">
        <v>0.99</v>
      </c>
      <c r="AO1648" s="75">
        <v>1</v>
      </c>
      <c r="AP1648" s="75" t="s">
        <v>1710</v>
      </c>
      <c r="AQ1648" s="75" t="s">
        <v>1710</v>
      </c>
      <c r="AR1648" s="75">
        <v>1</v>
      </c>
      <c r="AS1648" s="95">
        <v>0.110069253262963</v>
      </c>
      <c r="AT1648" s="79">
        <v>0.12</v>
      </c>
      <c r="AU1648" s="79">
        <v>0.15625</v>
      </c>
      <c r="AV1648" s="79">
        <v>8.6956521739130405E-2</v>
      </c>
      <c r="AW1648" s="79">
        <v>0.101626016260163</v>
      </c>
      <c r="AX1648" s="56"/>
      <c r="AY1648" s="54"/>
    </row>
    <row r="1649" spans="1:51">
      <c r="A1649" s="53"/>
      <c r="B1649" s="56"/>
      <c r="C1649" s="90" t="s">
        <v>1448</v>
      </c>
      <c r="D1649" s="230" t="s">
        <v>1757</v>
      </c>
      <c r="E1649" s="68" t="s">
        <v>1449</v>
      </c>
      <c r="F1649" s="106" t="s">
        <v>1674</v>
      </c>
      <c r="G1649" s="106" t="s">
        <v>1674</v>
      </c>
      <c r="H1649" s="106" t="s">
        <v>1674</v>
      </c>
      <c r="I1649" s="106" t="s">
        <v>1674</v>
      </c>
      <c r="J1649" s="70">
        <v>0.9</v>
      </c>
      <c r="K1649" s="71">
        <v>0.97297297297297303</v>
      </c>
      <c r="L1649" s="71">
        <v>1</v>
      </c>
      <c r="M1649" s="72">
        <v>0.91176470588235303</v>
      </c>
      <c r="N1649" s="71">
        <v>0.95477386934673403</v>
      </c>
      <c r="O1649" s="73">
        <v>0.9</v>
      </c>
      <c r="P1649" s="71">
        <v>0.97574370709382197</v>
      </c>
      <c r="Q1649" s="71">
        <v>0.98034627983153999</v>
      </c>
      <c r="R1649" s="71">
        <v>0.96150592216582098</v>
      </c>
      <c r="S1649" s="71">
        <v>0.95084121017481105</v>
      </c>
      <c r="T1649" s="73">
        <v>0.9</v>
      </c>
      <c r="U1649" s="71">
        <v>0.63524027459954202</v>
      </c>
      <c r="V1649" s="71">
        <v>0.562938699110903</v>
      </c>
      <c r="W1649" s="71">
        <v>0.41751269035533001</v>
      </c>
      <c r="X1649" s="71">
        <v>0.46666180066420898</v>
      </c>
      <c r="Y1649" s="73">
        <v>0.92</v>
      </c>
      <c r="Z1649" s="73">
        <v>0.80105820105820102</v>
      </c>
      <c r="AA1649" s="73">
        <v>0.746444032158318</v>
      </c>
      <c r="AB1649" s="73">
        <v>0.64695232347616205</v>
      </c>
      <c r="AC1649" s="73">
        <v>0.693383822446618</v>
      </c>
      <c r="AD1649" s="73">
        <v>0.92</v>
      </c>
      <c r="AE1649" s="71">
        <v>1</v>
      </c>
      <c r="AF1649" s="71">
        <v>0.82352941176470595</v>
      </c>
      <c r="AG1649" s="71">
        <v>0.95</v>
      </c>
      <c r="AH1649" s="71">
        <v>0.91428571428571404</v>
      </c>
      <c r="AI1649" s="73">
        <v>0.92</v>
      </c>
      <c r="AJ1649" s="71">
        <v>0.84592737978410204</v>
      </c>
      <c r="AK1649" s="71">
        <v>0.82902796271637802</v>
      </c>
      <c r="AL1649" s="71">
        <v>0.74105367793240595</v>
      </c>
      <c r="AM1649" s="71">
        <v>0.78728901136755103</v>
      </c>
      <c r="AN1649" s="70">
        <v>0.99</v>
      </c>
      <c r="AO1649" s="75" t="s">
        <v>1710</v>
      </c>
      <c r="AP1649" s="75" t="s">
        <v>1710</v>
      </c>
      <c r="AQ1649" s="75" t="s">
        <v>1710</v>
      </c>
      <c r="AR1649" s="75">
        <v>1</v>
      </c>
      <c r="AS1649" s="95">
        <v>0.110069253262963</v>
      </c>
      <c r="AT1649" s="79">
        <v>0.18518518518518501</v>
      </c>
      <c r="AU1649" s="79">
        <v>0.15384615384615399</v>
      </c>
      <c r="AV1649" s="79">
        <v>0.17647058823529399</v>
      </c>
      <c r="AW1649" s="79">
        <v>0.101818181818182</v>
      </c>
      <c r="AX1649" s="56"/>
      <c r="AY1649" s="54"/>
    </row>
    <row r="1650" spans="1:51">
      <c r="A1650" s="53"/>
      <c r="B1650" s="56"/>
      <c r="C1650" s="90" t="s">
        <v>1448</v>
      </c>
      <c r="D1650" s="230" t="s">
        <v>1757</v>
      </c>
      <c r="E1650" s="68" t="s">
        <v>1449</v>
      </c>
      <c r="F1650" s="106" t="s">
        <v>1675</v>
      </c>
      <c r="G1650" s="106" t="s">
        <v>1675</v>
      </c>
      <c r="H1650" s="106" t="s">
        <v>1675</v>
      </c>
      <c r="I1650" s="106" t="s">
        <v>1675</v>
      </c>
      <c r="J1650" s="70">
        <v>0.9</v>
      </c>
      <c r="K1650" s="71">
        <v>0.90322580645161299</v>
      </c>
      <c r="L1650" s="71">
        <v>0.94444444444444398</v>
      </c>
      <c r="M1650" s="72">
        <v>0.82857142857142896</v>
      </c>
      <c r="N1650" s="71">
        <v>0.87688442211055295</v>
      </c>
      <c r="O1650" s="73">
        <v>0.9</v>
      </c>
      <c r="P1650" s="71">
        <v>0.85335271669998203</v>
      </c>
      <c r="Q1650" s="71">
        <v>0.85547538200339601</v>
      </c>
      <c r="R1650" s="71">
        <v>0.87515883100381198</v>
      </c>
      <c r="S1650" s="71">
        <v>0.89025487256371805</v>
      </c>
      <c r="T1650" s="73">
        <v>0.9</v>
      </c>
      <c r="U1650" s="71">
        <v>0.71888061057604902</v>
      </c>
      <c r="V1650" s="71">
        <v>0.74405772495755496</v>
      </c>
      <c r="W1650" s="71">
        <v>0.72141041931384997</v>
      </c>
      <c r="X1650" s="71">
        <v>0.73632131302769699</v>
      </c>
      <c r="Y1650" s="73">
        <v>0.92</v>
      </c>
      <c r="Z1650" s="73">
        <v>0</v>
      </c>
      <c r="AA1650" s="73" t="s">
        <v>1710</v>
      </c>
      <c r="AB1650" s="73" t="s">
        <v>1710</v>
      </c>
      <c r="AC1650" s="73">
        <v>0</v>
      </c>
      <c r="AD1650" s="73">
        <v>0.92</v>
      </c>
      <c r="AE1650" s="71">
        <v>0.97435897435897401</v>
      </c>
      <c r="AF1650" s="71">
        <v>0.97297297297297303</v>
      </c>
      <c r="AG1650" s="71">
        <v>1</v>
      </c>
      <c r="AH1650" s="71">
        <v>0.93707865168539295</v>
      </c>
      <c r="AI1650" s="73">
        <v>0.92</v>
      </c>
      <c r="AJ1650" s="71">
        <v>0.88574023614895503</v>
      </c>
      <c r="AK1650" s="71">
        <v>0.90004244482173201</v>
      </c>
      <c r="AL1650" s="71">
        <v>0.92471410419313804</v>
      </c>
      <c r="AM1650" s="71">
        <v>0.94096575666719295</v>
      </c>
      <c r="AN1650" s="70">
        <v>0.99</v>
      </c>
      <c r="AO1650" s="75">
        <v>1</v>
      </c>
      <c r="AP1650" s="75" t="s">
        <v>1710</v>
      </c>
      <c r="AQ1650" s="75">
        <v>1</v>
      </c>
      <c r="AR1650" s="75">
        <v>1</v>
      </c>
      <c r="AS1650" s="95">
        <v>0.110069253262963</v>
      </c>
      <c r="AT1650" s="79">
        <v>0</v>
      </c>
      <c r="AU1650" s="79">
        <v>0.10344827586206901</v>
      </c>
      <c r="AV1650" s="79">
        <v>0.12</v>
      </c>
      <c r="AW1650" s="79">
        <v>8.6956521739130405E-2</v>
      </c>
      <c r="AX1650" s="56"/>
      <c r="AY1650" s="54"/>
    </row>
    <row r="1651" spans="1:51">
      <c r="A1651" s="53"/>
      <c r="B1651" s="56"/>
      <c r="C1651" s="90" t="s">
        <v>1448</v>
      </c>
      <c r="D1651" s="230" t="s">
        <v>1757</v>
      </c>
      <c r="E1651" s="68" t="s">
        <v>1449</v>
      </c>
      <c r="F1651" s="106" t="s">
        <v>1676</v>
      </c>
      <c r="G1651" s="106" t="s">
        <v>1676</v>
      </c>
      <c r="H1651" s="106" t="s">
        <v>1676</v>
      </c>
      <c r="I1651" s="106" t="s">
        <v>1676</v>
      </c>
      <c r="J1651" s="70">
        <v>0.9</v>
      </c>
      <c r="K1651" s="71">
        <v>0.77142857142857102</v>
      </c>
      <c r="L1651" s="71">
        <v>0.81578947368421095</v>
      </c>
      <c r="M1651" s="72">
        <v>0.83333333333333304</v>
      </c>
      <c r="N1651" s="71">
        <v>0.82284382284382296</v>
      </c>
      <c r="O1651" s="73">
        <v>0.9</v>
      </c>
      <c r="P1651" s="71">
        <v>0.96386664183274395</v>
      </c>
      <c r="Q1651" s="71">
        <v>0.987202380952381</v>
      </c>
      <c r="R1651" s="71">
        <v>0.98565328778821504</v>
      </c>
      <c r="S1651" s="71">
        <v>0.98521187117767495</v>
      </c>
      <c r="T1651" s="73">
        <v>0.9</v>
      </c>
      <c r="U1651" s="71">
        <v>0.83330229092940999</v>
      </c>
      <c r="V1651" s="71">
        <v>0.82321428571428601</v>
      </c>
      <c r="W1651" s="71">
        <v>0.84423569598633597</v>
      </c>
      <c r="X1651" s="71">
        <v>0.88213076889553899</v>
      </c>
      <c r="Y1651" s="73">
        <v>0.92</v>
      </c>
      <c r="Z1651" s="73" t="s">
        <v>1710</v>
      </c>
      <c r="AA1651" s="73">
        <v>0</v>
      </c>
      <c r="AB1651" s="73">
        <v>0</v>
      </c>
      <c r="AC1651" s="73">
        <v>0</v>
      </c>
      <c r="AD1651" s="73">
        <v>0.92</v>
      </c>
      <c r="AE1651" s="71">
        <v>1</v>
      </c>
      <c r="AF1651" s="71">
        <v>0.58333333333333304</v>
      </c>
      <c r="AG1651" s="71">
        <v>1</v>
      </c>
      <c r="AH1651" s="71">
        <v>0.90476190476190499</v>
      </c>
      <c r="AI1651" s="73">
        <v>0.92</v>
      </c>
      <c r="AJ1651" s="71">
        <v>0.92084186999441198</v>
      </c>
      <c r="AK1651" s="71">
        <v>0.93393840202350797</v>
      </c>
      <c r="AL1651" s="71">
        <v>0.91995221027479102</v>
      </c>
      <c r="AM1651" s="71">
        <v>0.95551392096205001</v>
      </c>
      <c r="AN1651" s="70">
        <v>0.99</v>
      </c>
      <c r="AO1651" s="75" t="s">
        <v>1710</v>
      </c>
      <c r="AP1651" s="75" t="s">
        <v>1710</v>
      </c>
      <c r="AQ1651" s="75" t="s">
        <v>1710</v>
      </c>
      <c r="AR1651" s="75" t="s">
        <v>1710</v>
      </c>
      <c r="AS1651" s="95">
        <v>0.110069253262963</v>
      </c>
      <c r="AT1651" s="79">
        <v>0.13888888888888901</v>
      </c>
      <c r="AU1651" s="79">
        <v>2.7027027027027001E-2</v>
      </c>
      <c r="AV1651" s="79">
        <v>2.32558139534884E-2</v>
      </c>
      <c r="AW1651" s="79">
        <v>6.0367454068241497E-2</v>
      </c>
      <c r="AX1651" s="56"/>
      <c r="AY1651" s="54"/>
    </row>
    <row r="1652" spans="1:51">
      <c r="A1652" s="53"/>
      <c r="B1652" s="56"/>
      <c r="C1652" s="90" t="s">
        <v>1448</v>
      </c>
      <c r="D1652" s="230" t="s">
        <v>1757</v>
      </c>
      <c r="E1652" s="68" t="s">
        <v>1449</v>
      </c>
      <c r="F1652" s="106" t="s">
        <v>1677</v>
      </c>
      <c r="G1652" s="106" t="s">
        <v>1677</v>
      </c>
      <c r="H1652" s="106" t="s">
        <v>1677</v>
      </c>
      <c r="I1652" s="106" t="s">
        <v>1677</v>
      </c>
      <c r="J1652" s="70">
        <v>0.9</v>
      </c>
      <c r="K1652" s="71">
        <v>0.97297297297297303</v>
      </c>
      <c r="L1652" s="71">
        <v>0.92500000000000004</v>
      </c>
      <c r="M1652" s="72">
        <v>0.89655172413793105</v>
      </c>
      <c r="N1652" s="71">
        <v>0.936708860759494</v>
      </c>
      <c r="O1652" s="73">
        <v>0.9</v>
      </c>
      <c r="P1652" s="71">
        <v>0.98655190962883299</v>
      </c>
      <c r="Q1652" s="71">
        <v>0.97473997028231796</v>
      </c>
      <c r="R1652" s="71">
        <v>0.97201834862385295</v>
      </c>
      <c r="S1652" s="71">
        <v>0.97195369375820495</v>
      </c>
      <c r="T1652" s="73">
        <v>0.9</v>
      </c>
      <c r="U1652" s="71">
        <v>0.80849919311457796</v>
      </c>
      <c r="V1652" s="71">
        <v>0.82912332838038605</v>
      </c>
      <c r="W1652" s="71">
        <v>0.72339449541284395</v>
      </c>
      <c r="X1652" s="71">
        <v>0.74587261805306904</v>
      </c>
      <c r="Y1652" s="73">
        <v>0.92</v>
      </c>
      <c r="Z1652" s="73">
        <v>0.93004115226337403</v>
      </c>
      <c r="AA1652" s="73">
        <v>0.92848258706467701</v>
      </c>
      <c r="AB1652" s="73">
        <v>0.871011541072641</v>
      </c>
      <c r="AC1652" s="73">
        <v>0.91590859865713703</v>
      </c>
      <c r="AD1652" s="73">
        <v>0.92</v>
      </c>
      <c r="AE1652" s="71">
        <v>0.99485861182519297</v>
      </c>
      <c r="AF1652" s="71">
        <v>1</v>
      </c>
      <c r="AG1652" s="71">
        <v>1</v>
      </c>
      <c r="AH1652" s="71">
        <v>0.99862385321100899</v>
      </c>
      <c r="AI1652" s="73">
        <v>0.92</v>
      </c>
      <c r="AJ1652" s="71">
        <v>0.945786516853933</v>
      </c>
      <c r="AK1652" s="71">
        <v>0.94568513923352604</v>
      </c>
      <c r="AL1652" s="71">
        <v>0.88423645320196997</v>
      </c>
      <c r="AM1652" s="71">
        <v>0.933895856739963</v>
      </c>
      <c r="AN1652" s="70">
        <v>0.99</v>
      </c>
      <c r="AO1652" s="75">
        <v>1</v>
      </c>
      <c r="AP1652" s="75" t="s">
        <v>1710</v>
      </c>
      <c r="AQ1652" s="75" t="s">
        <v>1710</v>
      </c>
      <c r="AR1652" s="75">
        <v>1</v>
      </c>
      <c r="AS1652" s="95">
        <v>0.110069253262963</v>
      </c>
      <c r="AT1652" s="79">
        <v>0</v>
      </c>
      <c r="AU1652" s="79">
        <v>6.4516129032258104E-2</v>
      </c>
      <c r="AV1652" s="79">
        <v>0.11111111111111099</v>
      </c>
      <c r="AW1652" s="79">
        <v>8.8607594936708903E-2</v>
      </c>
      <c r="AX1652" s="56"/>
      <c r="AY1652" s="54"/>
    </row>
    <row r="1653" spans="1:51">
      <c r="A1653" s="53"/>
      <c r="B1653" s="56"/>
      <c r="C1653" s="90" t="s">
        <v>1448</v>
      </c>
      <c r="D1653" s="230" t="s">
        <v>1757</v>
      </c>
      <c r="E1653" s="68" t="s">
        <v>1449</v>
      </c>
      <c r="F1653" s="106" t="s">
        <v>1678</v>
      </c>
      <c r="G1653" s="106" t="s">
        <v>1678</v>
      </c>
      <c r="H1653" s="106" t="s">
        <v>1678</v>
      </c>
      <c r="I1653" s="106" t="s">
        <v>1678</v>
      </c>
      <c r="J1653" s="70">
        <v>0.9</v>
      </c>
      <c r="K1653" s="71">
        <v>0.97222222222222199</v>
      </c>
      <c r="L1653" s="71">
        <v>0.94444444444444398</v>
      </c>
      <c r="M1653" s="72">
        <v>1</v>
      </c>
      <c r="N1653" s="71">
        <v>0.98288508557457199</v>
      </c>
      <c r="O1653" s="73">
        <v>0.9</v>
      </c>
      <c r="P1653" s="71">
        <v>0.99453850354997297</v>
      </c>
      <c r="Q1653" s="71">
        <v>0.98932384341637003</v>
      </c>
      <c r="R1653" s="71">
        <v>0.98693105002253301</v>
      </c>
      <c r="S1653" s="71">
        <v>0.99162904439428101</v>
      </c>
      <c r="T1653" s="73">
        <v>0.9</v>
      </c>
      <c r="U1653" s="71">
        <v>0.94101583833970504</v>
      </c>
      <c r="V1653" s="71">
        <v>0.91459074733096102</v>
      </c>
      <c r="W1653" s="71">
        <v>0.92654348805768405</v>
      </c>
      <c r="X1653" s="71">
        <v>0.94323739653875105</v>
      </c>
      <c r="Y1653" s="73">
        <v>0.92</v>
      </c>
      <c r="Z1653" s="73">
        <v>0.94393305439330499</v>
      </c>
      <c r="AA1653" s="73">
        <v>0.93678815489749401</v>
      </c>
      <c r="AB1653" s="73">
        <v>0.88989715668481595</v>
      </c>
      <c r="AC1653" s="73">
        <v>0.94310278736104303</v>
      </c>
      <c r="AD1653" s="73">
        <v>0.92</v>
      </c>
      <c r="AE1653" s="71">
        <v>0.97297297297297303</v>
      </c>
      <c r="AF1653" s="71">
        <v>1</v>
      </c>
      <c r="AG1653" s="71">
        <v>1</v>
      </c>
      <c r="AH1653" s="71">
        <v>0.99682539682539695</v>
      </c>
      <c r="AI1653" s="73">
        <v>0.92</v>
      </c>
      <c r="AJ1653" s="71">
        <v>0.96199603436880399</v>
      </c>
      <c r="AK1653" s="71">
        <v>0.95594950308890703</v>
      </c>
      <c r="AL1653" s="71">
        <v>0.92639462809917394</v>
      </c>
      <c r="AM1653" s="71">
        <v>0.96124462433594704</v>
      </c>
      <c r="AN1653" s="70">
        <v>0.99</v>
      </c>
      <c r="AO1653" s="75">
        <v>1</v>
      </c>
      <c r="AP1653" s="75">
        <v>1</v>
      </c>
      <c r="AQ1653" s="75">
        <v>1</v>
      </c>
      <c r="AR1653" s="75">
        <v>1</v>
      </c>
      <c r="AS1653" s="95">
        <v>0.110069253262963</v>
      </c>
      <c r="AT1653" s="79">
        <v>0.10344827586206901</v>
      </c>
      <c r="AU1653" s="79">
        <v>5.8823529411764698E-2</v>
      </c>
      <c r="AV1653" s="79">
        <v>4.1666666666666699E-2</v>
      </c>
      <c r="AW1653" s="79">
        <v>7.8313253012048195E-2</v>
      </c>
      <c r="AX1653" s="56"/>
      <c r="AY1653" s="54"/>
    </row>
    <row r="1654" spans="1:51">
      <c r="A1654" s="53"/>
      <c r="B1654" s="56"/>
      <c r="C1654" s="90" t="s">
        <v>1448</v>
      </c>
      <c r="D1654" s="230" t="s">
        <v>1760</v>
      </c>
      <c r="E1654" s="68" t="s">
        <v>1449</v>
      </c>
      <c r="F1654" s="106" t="s">
        <v>1679</v>
      </c>
      <c r="G1654" s="106" t="s">
        <v>1679</v>
      </c>
      <c r="H1654" s="106" t="s">
        <v>1679</v>
      </c>
      <c r="I1654" s="106" t="s">
        <v>1679</v>
      </c>
      <c r="J1654" s="70">
        <v>0.9</v>
      </c>
      <c r="K1654" s="71" t="s">
        <v>1710</v>
      </c>
      <c r="L1654" s="71" t="s">
        <v>1710</v>
      </c>
      <c r="M1654" s="72" t="s">
        <v>1710</v>
      </c>
      <c r="N1654" s="71" t="s">
        <v>1710</v>
      </c>
      <c r="O1654" s="73">
        <v>0.9</v>
      </c>
      <c r="P1654" s="71" t="s">
        <v>1710</v>
      </c>
      <c r="Q1654" s="71" t="s">
        <v>1710</v>
      </c>
      <c r="R1654" s="71" t="s">
        <v>1710</v>
      </c>
      <c r="S1654" s="71" t="s">
        <v>1710</v>
      </c>
      <c r="T1654" s="73">
        <v>0.9</v>
      </c>
      <c r="U1654" s="71" t="s">
        <v>1710</v>
      </c>
      <c r="V1654" s="71" t="s">
        <v>1710</v>
      </c>
      <c r="W1654" s="71" t="s">
        <v>1710</v>
      </c>
      <c r="X1654" s="71" t="s">
        <v>1710</v>
      </c>
      <c r="Y1654" s="73">
        <v>0.92</v>
      </c>
      <c r="Z1654" s="73" t="s">
        <v>1710</v>
      </c>
      <c r="AA1654" s="73" t="s">
        <v>1710</v>
      </c>
      <c r="AB1654" s="73" t="s">
        <v>1710</v>
      </c>
      <c r="AC1654" s="73" t="s">
        <v>1710</v>
      </c>
      <c r="AD1654" s="73">
        <v>0.92</v>
      </c>
      <c r="AE1654" s="71" t="s">
        <v>1710</v>
      </c>
      <c r="AF1654" s="71" t="s">
        <v>1710</v>
      </c>
      <c r="AG1654" s="71" t="s">
        <v>1710</v>
      </c>
      <c r="AH1654" s="71" t="s">
        <v>1710</v>
      </c>
      <c r="AI1654" s="73">
        <v>0.92</v>
      </c>
      <c r="AJ1654" s="71" t="s">
        <v>1710</v>
      </c>
      <c r="AK1654" s="71" t="s">
        <v>1710</v>
      </c>
      <c r="AL1654" s="71" t="s">
        <v>1710</v>
      </c>
      <c r="AM1654" s="71" t="s">
        <v>1710</v>
      </c>
      <c r="AN1654" s="70">
        <v>0.99</v>
      </c>
      <c r="AO1654" s="75" t="s">
        <v>1710</v>
      </c>
      <c r="AP1654" s="75" t="s">
        <v>1710</v>
      </c>
      <c r="AQ1654" s="75" t="s">
        <v>1710</v>
      </c>
      <c r="AR1654" s="75" t="s">
        <v>1710</v>
      </c>
      <c r="AS1654" s="95">
        <v>0.110069253262963</v>
      </c>
      <c r="AT1654" s="79" t="s">
        <v>1710</v>
      </c>
      <c r="AU1654" s="79" t="s">
        <v>1710</v>
      </c>
      <c r="AV1654" s="79" t="s">
        <v>1710</v>
      </c>
      <c r="AW1654" s="79" t="s">
        <v>1710</v>
      </c>
      <c r="AX1654" s="56"/>
      <c r="AY1654" s="54"/>
    </row>
    <row r="1655" spans="1:51">
      <c r="A1655" s="53"/>
      <c r="B1655" s="56"/>
      <c r="C1655" s="90" t="s">
        <v>1448</v>
      </c>
      <c r="D1655" s="230" t="s">
        <v>1760</v>
      </c>
      <c r="E1655" s="68" t="s">
        <v>1449</v>
      </c>
      <c r="F1655" s="106" t="s">
        <v>1680</v>
      </c>
      <c r="G1655" s="106" t="s">
        <v>1680</v>
      </c>
      <c r="H1655" s="106" t="s">
        <v>1680</v>
      </c>
      <c r="I1655" s="106" t="s">
        <v>1680</v>
      </c>
      <c r="J1655" s="70">
        <v>0.9</v>
      </c>
      <c r="K1655" s="71" t="s">
        <v>1710</v>
      </c>
      <c r="L1655" s="71" t="s">
        <v>1710</v>
      </c>
      <c r="M1655" s="72" t="s">
        <v>1710</v>
      </c>
      <c r="N1655" s="71" t="s">
        <v>1710</v>
      </c>
      <c r="O1655" s="73">
        <v>0.9</v>
      </c>
      <c r="P1655" s="71" t="s">
        <v>1710</v>
      </c>
      <c r="Q1655" s="71" t="s">
        <v>1710</v>
      </c>
      <c r="R1655" s="71" t="s">
        <v>1710</v>
      </c>
      <c r="S1655" s="71" t="s">
        <v>1710</v>
      </c>
      <c r="T1655" s="73">
        <v>0.9</v>
      </c>
      <c r="U1655" s="71" t="s">
        <v>1710</v>
      </c>
      <c r="V1655" s="71" t="s">
        <v>1710</v>
      </c>
      <c r="W1655" s="71" t="s">
        <v>1710</v>
      </c>
      <c r="X1655" s="71" t="s">
        <v>1710</v>
      </c>
      <c r="Y1655" s="73">
        <v>0.92</v>
      </c>
      <c r="Z1655" s="73" t="s">
        <v>1710</v>
      </c>
      <c r="AA1655" s="73" t="s">
        <v>1710</v>
      </c>
      <c r="AB1655" s="73" t="s">
        <v>1710</v>
      </c>
      <c r="AC1655" s="73" t="s">
        <v>1710</v>
      </c>
      <c r="AD1655" s="73">
        <v>0.92</v>
      </c>
      <c r="AE1655" s="71" t="s">
        <v>1710</v>
      </c>
      <c r="AF1655" s="71" t="s">
        <v>1710</v>
      </c>
      <c r="AG1655" s="71" t="s">
        <v>1710</v>
      </c>
      <c r="AH1655" s="71" t="s">
        <v>1710</v>
      </c>
      <c r="AI1655" s="73">
        <v>0.92</v>
      </c>
      <c r="AJ1655" s="71" t="s">
        <v>1710</v>
      </c>
      <c r="AK1655" s="71" t="s">
        <v>1710</v>
      </c>
      <c r="AL1655" s="71" t="s">
        <v>1710</v>
      </c>
      <c r="AM1655" s="71" t="s">
        <v>1710</v>
      </c>
      <c r="AN1655" s="70">
        <v>0.99</v>
      </c>
      <c r="AO1655" s="75" t="s">
        <v>1710</v>
      </c>
      <c r="AP1655" s="75" t="s">
        <v>1710</v>
      </c>
      <c r="AQ1655" s="75" t="s">
        <v>1710</v>
      </c>
      <c r="AR1655" s="75" t="s">
        <v>1710</v>
      </c>
      <c r="AS1655" s="95">
        <v>0.110069253262963</v>
      </c>
      <c r="AT1655" s="79" t="s">
        <v>1710</v>
      </c>
      <c r="AU1655" s="79" t="s">
        <v>1710</v>
      </c>
      <c r="AV1655" s="79" t="s">
        <v>1710</v>
      </c>
      <c r="AW1655" s="79" t="s">
        <v>1710</v>
      </c>
      <c r="AX1655" s="56"/>
      <c r="AY1655" s="54"/>
    </row>
    <row r="1656" spans="1:51">
      <c r="A1656" s="53"/>
      <c r="B1656" s="56"/>
      <c r="C1656" s="90" t="s">
        <v>1448</v>
      </c>
      <c r="D1656" s="230" t="s">
        <v>1759</v>
      </c>
      <c r="E1656" s="68" t="s">
        <v>1449</v>
      </c>
      <c r="F1656" s="106" t="s">
        <v>1681</v>
      </c>
      <c r="G1656" s="106" t="s">
        <v>1681</v>
      </c>
      <c r="H1656" s="106" t="s">
        <v>1681</v>
      </c>
      <c r="I1656" s="106" t="s">
        <v>1681</v>
      </c>
      <c r="J1656" s="70">
        <v>0.9</v>
      </c>
      <c r="K1656" s="71" t="s">
        <v>1710</v>
      </c>
      <c r="L1656" s="71" t="s">
        <v>1710</v>
      </c>
      <c r="M1656" s="72" t="s">
        <v>1710</v>
      </c>
      <c r="N1656" s="71" t="s">
        <v>1710</v>
      </c>
      <c r="O1656" s="73">
        <v>0.9</v>
      </c>
      <c r="P1656" s="71" t="s">
        <v>1710</v>
      </c>
      <c r="Q1656" s="71" t="s">
        <v>1710</v>
      </c>
      <c r="R1656" s="71" t="s">
        <v>1710</v>
      </c>
      <c r="S1656" s="71" t="s">
        <v>1710</v>
      </c>
      <c r="T1656" s="73">
        <v>0.9</v>
      </c>
      <c r="U1656" s="71" t="s">
        <v>1710</v>
      </c>
      <c r="V1656" s="71" t="s">
        <v>1710</v>
      </c>
      <c r="W1656" s="71" t="s">
        <v>1710</v>
      </c>
      <c r="X1656" s="71" t="s">
        <v>1710</v>
      </c>
      <c r="Y1656" s="73">
        <v>0.92</v>
      </c>
      <c r="Z1656" s="73" t="s">
        <v>1710</v>
      </c>
      <c r="AA1656" s="73" t="s">
        <v>1710</v>
      </c>
      <c r="AB1656" s="73" t="s">
        <v>1710</v>
      </c>
      <c r="AC1656" s="73" t="s">
        <v>1710</v>
      </c>
      <c r="AD1656" s="73">
        <v>0.92</v>
      </c>
      <c r="AE1656" s="71" t="s">
        <v>1710</v>
      </c>
      <c r="AF1656" s="71" t="s">
        <v>1710</v>
      </c>
      <c r="AG1656" s="71" t="s">
        <v>1710</v>
      </c>
      <c r="AH1656" s="71" t="s">
        <v>1710</v>
      </c>
      <c r="AI1656" s="73">
        <v>0.92</v>
      </c>
      <c r="AJ1656" s="71" t="s">
        <v>1710</v>
      </c>
      <c r="AK1656" s="71" t="s">
        <v>1710</v>
      </c>
      <c r="AL1656" s="71" t="s">
        <v>1710</v>
      </c>
      <c r="AM1656" s="71" t="s">
        <v>1710</v>
      </c>
      <c r="AN1656" s="70">
        <v>0.99</v>
      </c>
      <c r="AO1656" s="75" t="s">
        <v>1710</v>
      </c>
      <c r="AP1656" s="75" t="s">
        <v>1710</v>
      </c>
      <c r="AQ1656" s="75" t="s">
        <v>1710</v>
      </c>
      <c r="AR1656" s="75" t="s">
        <v>1710</v>
      </c>
      <c r="AS1656" s="95">
        <v>0.110069253262963</v>
      </c>
      <c r="AT1656" s="79" t="s">
        <v>1710</v>
      </c>
      <c r="AU1656" s="79" t="s">
        <v>1710</v>
      </c>
      <c r="AV1656" s="79" t="s">
        <v>1710</v>
      </c>
      <c r="AW1656" s="79" t="s">
        <v>1710</v>
      </c>
      <c r="AX1656" s="56"/>
      <c r="AY1656" s="54"/>
    </row>
    <row r="1657" spans="1:51">
      <c r="A1657" s="53"/>
      <c r="B1657" s="56"/>
      <c r="C1657" s="90" t="s">
        <v>1448</v>
      </c>
      <c r="D1657" s="230" t="s">
        <v>1757</v>
      </c>
      <c r="E1657" s="68" t="s">
        <v>1449</v>
      </c>
      <c r="F1657" s="106" t="s">
        <v>1682</v>
      </c>
      <c r="G1657" s="106" t="s">
        <v>1682</v>
      </c>
      <c r="H1657" s="106" t="s">
        <v>1682</v>
      </c>
      <c r="I1657" s="106" t="s">
        <v>1682</v>
      </c>
      <c r="J1657" s="70">
        <v>0.9</v>
      </c>
      <c r="K1657" s="71">
        <v>0.875</v>
      </c>
      <c r="L1657" s="71">
        <v>0.96</v>
      </c>
      <c r="M1657" s="72">
        <v>0.86956521739130399</v>
      </c>
      <c r="N1657" s="71">
        <v>0.90384615384615397</v>
      </c>
      <c r="O1657" s="73">
        <v>0.9</v>
      </c>
      <c r="P1657" s="71">
        <v>0.97605545053560205</v>
      </c>
      <c r="Q1657" s="71">
        <v>0.98366606170598903</v>
      </c>
      <c r="R1657" s="71">
        <v>0.95606809445359697</v>
      </c>
      <c r="S1657" s="71">
        <v>0.96818159533264703</v>
      </c>
      <c r="T1657" s="73">
        <v>0.9</v>
      </c>
      <c r="U1657" s="71">
        <v>0.75992438563327003</v>
      </c>
      <c r="V1657" s="71">
        <v>0.80822746521476097</v>
      </c>
      <c r="W1657" s="71">
        <v>0.69192751235584804</v>
      </c>
      <c r="X1657" s="71">
        <v>0.68161984605579296</v>
      </c>
      <c r="Y1657" s="73">
        <v>0.92</v>
      </c>
      <c r="Z1657" s="73">
        <v>0.907569141193595</v>
      </c>
      <c r="AA1657" s="73">
        <v>0.787584143605086</v>
      </c>
      <c r="AB1657" s="73">
        <v>0.872699386503067</v>
      </c>
      <c r="AC1657" s="73">
        <v>0.89370792335577398</v>
      </c>
      <c r="AD1657" s="73">
        <v>0.92</v>
      </c>
      <c r="AE1657" s="71">
        <v>1</v>
      </c>
      <c r="AF1657" s="71">
        <v>0.98333333333333295</v>
      </c>
      <c r="AG1657" s="71">
        <v>0.90697674418604601</v>
      </c>
      <c r="AH1657" s="71">
        <v>0.97520661157024802</v>
      </c>
      <c r="AI1657" s="73">
        <v>0.92</v>
      </c>
      <c r="AJ1657" s="71">
        <v>0.93752110773387398</v>
      </c>
      <c r="AK1657" s="71">
        <v>0.87458193979933097</v>
      </c>
      <c r="AL1657" s="71">
        <v>0.91359999999999997</v>
      </c>
      <c r="AM1657" s="71">
        <v>0.92405945840421699</v>
      </c>
      <c r="AN1657" s="70">
        <v>0.99</v>
      </c>
      <c r="AO1657" s="75">
        <v>1</v>
      </c>
      <c r="AP1657" s="75">
        <v>1</v>
      </c>
      <c r="AQ1657" s="75">
        <v>1</v>
      </c>
      <c r="AR1657" s="75">
        <v>1</v>
      </c>
      <c r="AS1657" s="95">
        <v>0.110069253262963</v>
      </c>
      <c r="AT1657" s="79">
        <v>0</v>
      </c>
      <c r="AU1657" s="79">
        <v>0</v>
      </c>
      <c r="AV1657" s="79">
        <v>3.8461538461538498E-2</v>
      </c>
      <c r="AW1657" s="79">
        <v>7.8066914498141293E-2</v>
      </c>
      <c r="AX1657" s="56"/>
      <c r="AY1657" s="54"/>
    </row>
    <row r="1658" spans="1:51">
      <c r="A1658" s="53"/>
      <c r="B1658" s="56"/>
      <c r="C1658" s="90" t="s">
        <v>1448</v>
      </c>
      <c r="D1658" s="230" t="s">
        <v>1759</v>
      </c>
      <c r="E1658" s="68" t="s">
        <v>1449</v>
      </c>
      <c r="F1658" s="106" t="s">
        <v>1683</v>
      </c>
      <c r="G1658" s="106" t="s">
        <v>1683</v>
      </c>
      <c r="H1658" s="106" t="s">
        <v>1683</v>
      </c>
      <c r="I1658" s="106" t="s">
        <v>1683</v>
      </c>
      <c r="J1658" s="70">
        <v>0.9</v>
      </c>
      <c r="K1658" s="71" t="s">
        <v>1710</v>
      </c>
      <c r="L1658" s="71" t="s">
        <v>1710</v>
      </c>
      <c r="M1658" s="72" t="s">
        <v>1710</v>
      </c>
      <c r="N1658" s="71" t="s">
        <v>1710</v>
      </c>
      <c r="O1658" s="73">
        <v>0.9</v>
      </c>
      <c r="P1658" s="71" t="s">
        <v>1710</v>
      </c>
      <c r="Q1658" s="71" t="s">
        <v>1710</v>
      </c>
      <c r="R1658" s="71" t="s">
        <v>1710</v>
      </c>
      <c r="S1658" s="71" t="s">
        <v>1710</v>
      </c>
      <c r="T1658" s="73">
        <v>0.9</v>
      </c>
      <c r="U1658" s="71" t="s">
        <v>1710</v>
      </c>
      <c r="V1658" s="71" t="s">
        <v>1710</v>
      </c>
      <c r="W1658" s="71" t="s">
        <v>1710</v>
      </c>
      <c r="X1658" s="71" t="s">
        <v>1710</v>
      </c>
      <c r="Y1658" s="73">
        <v>0.92</v>
      </c>
      <c r="Z1658" s="73" t="s">
        <v>1710</v>
      </c>
      <c r="AA1658" s="73" t="s">
        <v>1710</v>
      </c>
      <c r="AB1658" s="73" t="s">
        <v>1710</v>
      </c>
      <c r="AC1658" s="73" t="s">
        <v>1710</v>
      </c>
      <c r="AD1658" s="73">
        <v>0.92</v>
      </c>
      <c r="AE1658" s="71">
        <v>0.97887323943661997</v>
      </c>
      <c r="AF1658" s="71">
        <v>0.97402597402597402</v>
      </c>
      <c r="AG1658" s="71">
        <v>1</v>
      </c>
      <c r="AH1658" s="71">
        <v>0.99550763701707101</v>
      </c>
      <c r="AI1658" s="73">
        <v>0.92</v>
      </c>
      <c r="AJ1658" s="71" t="s">
        <v>1710</v>
      </c>
      <c r="AK1658" s="71" t="s">
        <v>1710</v>
      </c>
      <c r="AL1658" s="71" t="s">
        <v>1710</v>
      </c>
      <c r="AM1658" s="71" t="s">
        <v>1710</v>
      </c>
      <c r="AN1658" s="70">
        <v>0.99</v>
      </c>
      <c r="AO1658" s="75">
        <v>1</v>
      </c>
      <c r="AP1658" s="75">
        <v>1</v>
      </c>
      <c r="AQ1658" s="75">
        <v>1</v>
      </c>
      <c r="AR1658" s="75">
        <v>1</v>
      </c>
      <c r="AS1658" s="95">
        <v>0.110069253262963</v>
      </c>
      <c r="AT1658" s="79" t="s">
        <v>1710</v>
      </c>
      <c r="AU1658" s="79" t="s">
        <v>1710</v>
      </c>
      <c r="AV1658" s="79" t="s">
        <v>1710</v>
      </c>
      <c r="AW1658" s="79" t="s">
        <v>1710</v>
      </c>
      <c r="AX1658" s="56"/>
      <c r="AY1658" s="54"/>
    </row>
    <row r="1659" spans="1:51">
      <c r="A1659" s="53"/>
      <c r="B1659" s="56"/>
      <c r="C1659" s="90" t="s">
        <v>1448</v>
      </c>
      <c r="D1659" s="230" t="s">
        <v>1757</v>
      </c>
      <c r="E1659" s="68" t="s">
        <v>1449</v>
      </c>
      <c r="F1659" s="106" t="s">
        <v>1684</v>
      </c>
      <c r="G1659" s="106" t="s">
        <v>1684</v>
      </c>
      <c r="H1659" s="106" t="s">
        <v>1684</v>
      </c>
      <c r="I1659" s="106" t="s">
        <v>1684</v>
      </c>
      <c r="J1659" s="70">
        <v>0.9</v>
      </c>
      <c r="K1659" s="71">
        <v>0.69696969696969702</v>
      </c>
      <c r="L1659" s="71">
        <v>0.65625</v>
      </c>
      <c r="M1659" s="72">
        <v>0.68181818181818199</v>
      </c>
      <c r="N1659" s="71">
        <v>0.75</v>
      </c>
      <c r="O1659" s="73">
        <v>0.9</v>
      </c>
      <c r="P1659" s="71">
        <v>0.975240020212228</v>
      </c>
      <c r="Q1659" s="71">
        <v>0.95995717344753795</v>
      </c>
      <c r="R1659" s="71">
        <v>0.98652915175752498</v>
      </c>
      <c r="S1659" s="71">
        <v>0.98613818919129703</v>
      </c>
      <c r="T1659" s="73">
        <v>0.9</v>
      </c>
      <c r="U1659" s="71">
        <v>0.800151591712986</v>
      </c>
      <c r="V1659" s="71">
        <v>0.62184154175588902</v>
      </c>
      <c r="W1659" s="71">
        <v>0.76468111976426001</v>
      </c>
      <c r="X1659" s="71">
        <v>0.76649380020276103</v>
      </c>
      <c r="Y1659" s="73">
        <v>0.92</v>
      </c>
      <c r="Z1659" s="73" t="s">
        <v>1710</v>
      </c>
      <c r="AA1659" s="73">
        <v>0</v>
      </c>
      <c r="AB1659" s="73">
        <v>0.25</v>
      </c>
      <c r="AC1659" s="73">
        <v>0.11111111111111099</v>
      </c>
      <c r="AD1659" s="73">
        <v>0.92</v>
      </c>
      <c r="AE1659" s="71">
        <v>0.78571428571428603</v>
      </c>
      <c r="AF1659" s="71">
        <v>0.66666666666666696</v>
      </c>
      <c r="AG1659" s="71">
        <v>1</v>
      </c>
      <c r="AH1659" s="71">
        <v>0.77818181818181797</v>
      </c>
      <c r="AI1659" s="73">
        <v>0.92</v>
      </c>
      <c r="AJ1659" s="71">
        <v>0.89868620515411801</v>
      </c>
      <c r="AK1659" s="71">
        <v>0.82880376631714103</v>
      </c>
      <c r="AL1659" s="71">
        <v>0.82397476340693998</v>
      </c>
      <c r="AM1659" s="71">
        <v>0.870551549405574</v>
      </c>
      <c r="AN1659" s="70">
        <v>0.99</v>
      </c>
      <c r="AO1659" s="75">
        <v>1</v>
      </c>
      <c r="AP1659" s="75">
        <v>1</v>
      </c>
      <c r="AQ1659" s="75" t="s">
        <v>1710</v>
      </c>
      <c r="AR1659" s="75">
        <v>1</v>
      </c>
      <c r="AS1659" s="95">
        <v>0.110069253262963</v>
      </c>
      <c r="AT1659" s="79">
        <v>0.13793103448275901</v>
      </c>
      <c r="AU1659" s="79">
        <v>0.10638297872340401</v>
      </c>
      <c r="AV1659" s="79">
        <v>6.25E-2</v>
      </c>
      <c r="AW1659" s="79">
        <v>9.3959731543624206E-2</v>
      </c>
      <c r="AX1659" s="56"/>
      <c r="AY1659" s="54"/>
    </row>
    <row r="1660" spans="1:51">
      <c r="A1660" s="53"/>
      <c r="B1660" s="56"/>
      <c r="C1660" s="90" t="s">
        <v>1448</v>
      </c>
      <c r="D1660" s="230" t="s">
        <v>1757</v>
      </c>
      <c r="E1660" s="68" t="s">
        <v>1449</v>
      </c>
      <c r="F1660" s="106" t="s">
        <v>1685</v>
      </c>
      <c r="G1660" s="106" t="s">
        <v>1685</v>
      </c>
      <c r="H1660" s="106" t="s">
        <v>1685</v>
      </c>
      <c r="I1660" s="106" t="s">
        <v>1685</v>
      </c>
      <c r="J1660" s="70">
        <v>0.9</v>
      </c>
      <c r="K1660" s="71">
        <v>0.97222222222222199</v>
      </c>
      <c r="L1660" s="71">
        <v>0.95</v>
      </c>
      <c r="M1660" s="72">
        <v>1</v>
      </c>
      <c r="N1660" s="71">
        <v>0.98863636363636398</v>
      </c>
      <c r="O1660" s="73">
        <v>0.9</v>
      </c>
      <c r="P1660" s="71">
        <v>0.97371967654986502</v>
      </c>
      <c r="Q1660" s="71">
        <v>0.97153465346534695</v>
      </c>
      <c r="R1660" s="71">
        <v>0.97932816537467704</v>
      </c>
      <c r="S1660" s="71">
        <v>0.96892292213962306</v>
      </c>
      <c r="T1660" s="73">
        <v>0.9</v>
      </c>
      <c r="U1660" s="71">
        <v>0.95417789757412397</v>
      </c>
      <c r="V1660" s="71">
        <v>0.93193069306930698</v>
      </c>
      <c r="W1660" s="71">
        <v>0.93281653746769999</v>
      </c>
      <c r="X1660" s="71">
        <v>0.93432452070873595</v>
      </c>
      <c r="Y1660" s="73">
        <v>0.92</v>
      </c>
      <c r="Z1660" s="73">
        <v>0.94396961063627705</v>
      </c>
      <c r="AA1660" s="73">
        <v>0.96515937731653101</v>
      </c>
      <c r="AB1660" s="73">
        <v>0.90777701307639402</v>
      </c>
      <c r="AC1660" s="73">
        <v>0.95121123702246002</v>
      </c>
      <c r="AD1660" s="73">
        <v>0.92</v>
      </c>
      <c r="AE1660" s="71">
        <v>1</v>
      </c>
      <c r="AF1660" s="71">
        <v>1</v>
      </c>
      <c r="AG1660" s="71">
        <v>1</v>
      </c>
      <c r="AH1660" s="71">
        <v>0.97413793103448298</v>
      </c>
      <c r="AI1660" s="73">
        <v>0.92</v>
      </c>
      <c r="AJ1660" s="71">
        <v>0.96373669688608599</v>
      </c>
      <c r="AK1660" s="71">
        <v>0.97537942664418198</v>
      </c>
      <c r="AL1660" s="71">
        <v>0.93949232585596198</v>
      </c>
      <c r="AM1660" s="71">
        <v>0.96660027577753904</v>
      </c>
      <c r="AN1660" s="70">
        <v>0.99</v>
      </c>
      <c r="AO1660" s="75" t="s">
        <v>1710</v>
      </c>
      <c r="AP1660" s="75">
        <v>1</v>
      </c>
      <c r="AQ1660" s="75">
        <v>1</v>
      </c>
      <c r="AR1660" s="75">
        <v>1</v>
      </c>
      <c r="AS1660" s="95">
        <v>0.110069253262963</v>
      </c>
      <c r="AT1660" s="79">
        <v>0</v>
      </c>
      <c r="AU1660" s="79">
        <v>0.13636363636363599</v>
      </c>
      <c r="AV1660" s="79">
        <v>0.133333333333333</v>
      </c>
      <c r="AW1660" s="79">
        <v>7.5555555555555598E-2</v>
      </c>
      <c r="AX1660" s="56"/>
      <c r="AY1660" s="54"/>
    </row>
    <row r="1661" spans="1:51">
      <c r="A1661" s="53"/>
      <c r="B1661" s="56"/>
      <c r="C1661" s="90" t="s">
        <v>1448</v>
      </c>
      <c r="D1661" s="230" t="s">
        <v>1759</v>
      </c>
      <c r="E1661" s="68" t="s">
        <v>1449</v>
      </c>
      <c r="F1661" s="106" t="s">
        <v>1686</v>
      </c>
      <c r="G1661" s="106" t="s">
        <v>1686</v>
      </c>
      <c r="H1661" s="106" t="s">
        <v>1686</v>
      </c>
      <c r="I1661" s="106" t="s">
        <v>1686</v>
      </c>
      <c r="J1661" s="70">
        <v>0.9</v>
      </c>
      <c r="K1661" s="71" t="s">
        <v>1710</v>
      </c>
      <c r="L1661" s="71" t="s">
        <v>1710</v>
      </c>
      <c r="M1661" s="72" t="s">
        <v>1710</v>
      </c>
      <c r="N1661" s="71" t="s">
        <v>1710</v>
      </c>
      <c r="O1661" s="73">
        <v>0.9</v>
      </c>
      <c r="P1661" s="71" t="s">
        <v>1710</v>
      </c>
      <c r="Q1661" s="71" t="s">
        <v>1710</v>
      </c>
      <c r="R1661" s="71" t="s">
        <v>1710</v>
      </c>
      <c r="S1661" s="71" t="s">
        <v>1710</v>
      </c>
      <c r="T1661" s="73">
        <v>0.9</v>
      </c>
      <c r="U1661" s="71" t="s">
        <v>1710</v>
      </c>
      <c r="V1661" s="71" t="s">
        <v>1710</v>
      </c>
      <c r="W1661" s="71" t="s">
        <v>1710</v>
      </c>
      <c r="X1661" s="71" t="s">
        <v>1710</v>
      </c>
      <c r="Y1661" s="73">
        <v>0.92</v>
      </c>
      <c r="Z1661" s="73" t="s">
        <v>1710</v>
      </c>
      <c r="AA1661" s="73" t="s">
        <v>1710</v>
      </c>
      <c r="AB1661" s="73" t="s">
        <v>1710</v>
      </c>
      <c r="AC1661" s="73" t="s">
        <v>1710</v>
      </c>
      <c r="AD1661" s="73">
        <v>0.92</v>
      </c>
      <c r="AE1661" s="71">
        <v>0.99600532623169102</v>
      </c>
      <c r="AF1661" s="71">
        <v>0.91764705882352904</v>
      </c>
      <c r="AG1661" s="71">
        <v>0.99812382739212002</v>
      </c>
      <c r="AH1661" s="71">
        <v>0.95712918660287105</v>
      </c>
      <c r="AI1661" s="73">
        <v>0.92</v>
      </c>
      <c r="AJ1661" s="71" t="s">
        <v>1710</v>
      </c>
      <c r="AK1661" s="71" t="s">
        <v>1710</v>
      </c>
      <c r="AL1661" s="71" t="s">
        <v>1710</v>
      </c>
      <c r="AM1661" s="71" t="s">
        <v>1710</v>
      </c>
      <c r="AN1661" s="70">
        <v>0.99</v>
      </c>
      <c r="AO1661" s="75">
        <v>1</v>
      </c>
      <c r="AP1661" s="75" t="s">
        <v>1710</v>
      </c>
      <c r="AQ1661" s="75">
        <v>1</v>
      </c>
      <c r="AR1661" s="75">
        <v>1</v>
      </c>
      <c r="AS1661" s="95">
        <v>0.110069253262963</v>
      </c>
      <c r="AT1661" s="79" t="s">
        <v>1710</v>
      </c>
      <c r="AU1661" s="79" t="s">
        <v>1710</v>
      </c>
      <c r="AV1661" s="79" t="s">
        <v>1710</v>
      </c>
      <c r="AW1661" s="79" t="s">
        <v>1710</v>
      </c>
      <c r="AX1661" s="56"/>
      <c r="AY1661" s="54"/>
    </row>
    <row r="1662" spans="1:51">
      <c r="A1662" s="53"/>
      <c r="B1662" s="56"/>
      <c r="C1662" s="90" t="s">
        <v>1448</v>
      </c>
      <c r="D1662" s="230" t="s">
        <v>1759</v>
      </c>
      <c r="E1662" s="68" t="s">
        <v>1449</v>
      </c>
      <c r="F1662" s="106" t="s">
        <v>1687</v>
      </c>
      <c r="G1662" s="106" t="s">
        <v>1687</v>
      </c>
      <c r="H1662" s="106" t="s">
        <v>1687</v>
      </c>
      <c r="I1662" s="106" t="s">
        <v>1687</v>
      </c>
      <c r="J1662" s="70">
        <v>0.9</v>
      </c>
      <c r="K1662" s="71" t="s">
        <v>1710</v>
      </c>
      <c r="L1662" s="71" t="s">
        <v>1710</v>
      </c>
      <c r="M1662" s="72" t="s">
        <v>1710</v>
      </c>
      <c r="N1662" s="71" t="s">
        <v>1710</v>
      </c>
      <c r="O1662" s="73">
        <v>0.9</v>
      </c>
      <c r="P1662" s="71" t="s">
        <v>1710</v>
      </c>
      <c r="Q1662" s="71" t="s">
        <v>1710</v>
      </c>
      <c r="R1662" s="71" t="s">
        <v>1710</v>
      </c>
      <c r="S1662" s="71" t="s">
        <v>1710</v>
      </c>
      <c r="T1662" s="73">
        <v>0.9</v>
      </c>
      <c r="U1662" s="71" t="s">
        <v>1710</v>
      </c>
      <c r="V1662" s="71" t="s">
        <v>1710</v>
      </c>
      <c r="W1662" s="71" t="s">
        <v>1710</v>
      </c>
      <c r="X1662" s="71" t="s">
        <v>1710</v>
      </c>
      <c r="Y1662" s="73">
        <v>0.92</v>
      </c>
      <c r="Z1662" s="73" t="s">
        <v>1710</v>
      </c>
      <c r="AA1662" s="73" t="s">
        <v>1710</v>
      </c>
      <c r="AB1662" s="73" t="s">
        <v>1710</v>
      </c>
      <c r="AC1662" s="73" t="s">
        <v>1710</v>
      </c>
      <c r="AD1662" s="73">
        <v>0.92</v>
      </c>
      <c r="AE1662" s="71">
        <v>0.99094111726220402</v>
      </c>
      <c r="AF1662" s="71">
        <v>0.99720865317515694</v>
      </c>
      <c r="AG1662" s="71">
        <v>1</v>
      </c>
      <c r="AH1662" s="71">
        <v>0.9971875</v>
      </c>
      <c r="AI1662" s="73">
        <v>0.92</v>
      </c>
      <c r="AJ1662" s="71" t="s">
        <v>1710</v>
      </c>
      <c r="AK1662" s="71" t="s">
        <v>1710</v>
      </c>
      <c r="AL1662" s="71" t="s">
        <v>1710</v>
      </c>
      <c r="AM1662" s="71" t="s">
        <v>1710</v>
      </c>
      <c r="AN1662" s="70">
        <v>0.99</v>
      </c>
      <c r="AO1662" s="75">
        <v>1</v>
      </c>
      <c r="AP1662" s="75" t="s">
        <v>1710</v>
      </c>
      <c r="AQ1662" s="75">
        <v>1</v>
      </c>
      <c r="AR1662" s="75">
        <v>1</v>
      </c>
      <c r="AS1662" s="95">
        <v>0.110069253262963</v>
      </c>
      <c r="AT1662" s="79" t="s">
        <v>1710</v>
      </c>
      <c r="AU1662" s="79" t="s">
        <v>1710</v>
      </c>
      <c r="AV1662" s="79" t="s">
        <v>1710</v>
      </c>
      <c r="AW1662" s="79" t="s">
        <v>1710</v>
      </c>
      <c r="AX1662" s="56"/>
      <c r="AY1662" s="54"/>
    </row>
    <row r="1663" spans="1:51">
      <c r="A1663" s="53"/>
      <c r="B1663" s="56"/>
      <c r="C1663" s="90" t="s">
        <v>1448</v>
      </c>
      <c r="D1663" s="230" t="s">
        <v>1757</v>
      </c>
      <c r="E1663" s="68" t="s">
        <v>1449</v>
      </c>
      <c r="F1663" s="106" t="s">
        <v>1688</v>
      </c>
      <c r="G1663" s="106" t="s">
        <v>1688</v>
      </c>
      <c r="H1663" s="106" t="s">
        <v>1688</v>
      </c>
      <c r="I1663" s="106" t="s">
        <v>1688</v>
      </c>
      <c r="J1663" s="70">
        <v>0.9</v>
      </c>
      <c r="K1663" s="71">
        <v>0.78048780487804903</v>
      </c>
      <c r="L1663" s="71">
        <v>0.72222222222222199</v>
      </c>
      <c r="M1663" s="72">
        <v>0.57142857142857095</v>
      </c>
      <c r="N1663" s="71">
        <v>0.65853658536585402</v>
      </c>
      <c r="O1663" s="73">
        <v>0.9</v>
      </c>
      <c r="P1663" s="71">
        <v>0.75059045819556003</v>
      </c>
      <c r="Q1663" s="71">
        <v>0.65022761760242798</v>
      </c>
      <c r="R1663" s="71">
        <v>0.83251341681574198</v>
      </c>
      <c r="S1663" s="71">
        <v>0.82884035281988599</v>
      </c>
      <c r="T1663" s="73">
        <v>0.9</v>
      </c>
      <c r="U1663" s="71">
        <v>0.631317902692489</v>
      </c>
      <c r="V1663" s="71">
        <v>0.582511380880121</v>
      </c>
      <c r="W1663" s="71">
        <v>0.70169946332736999</v>
      </c>
      <c r="X1663" s="71">
        <v>0.71818320668983204</v>
      </c>
      <c r="Y1663" s="73">
        <v>0.92</v>
      </c>
      <c r="Z1663" s="73">
        <v>0.83333333333333304</v>
      </c>
      <c r="AA1663" s="73">
        <v>0.77777777777777801</v>
      </c>
      <c r="AB1663" s="73">
        <v>0.55555555555555602</v>
      </c>
      <c r="AC1663" s="73">
        <v>0.4</v>
      </c>
      <c r="AD1663" s="73">
        <v>0.92</v>
      </c>
      <c r="AE1663" s="71">
        <v>0.80555555555555602</v>
      </c>
      <c r="AF1663" s="71">
        <v>0.52</v>
      </c>
      <c r="AG1663" s="71">
        <v>0.72222222222222199</v>
      </c>
      <c r="AH1663" s="71">
        <v>0.77866666666666695</v>
      </c>
      <c r="AI1663" s="73">
        <v>0.92</v>
      </c>
      <c r="AJ1663" s="71">
        <v>0.79646226415094301</v>
      </c>
      <c r="AK1663" s="71">
        <v>0.78583601590607799</v>
      </c>
      <c r="AL1663" s="71">
        <v>0.78598527114483396</v>
      </c>
      <c r="AM1663" s="71">
        <v>0.85657621236102899</v>
      </c>
      <c r="AN1663" s="70">
        <v>0.99</v>
      </c>
      <c r="AO1663" s="75">
        <v>1</v>
      </c>
      <c r="AP1663" s="75">
        <v>1</v>
      </c>
      <c r="AQ1663" s="75">
        <v>1</v>
      </c>
      <c r="AR1663" s="75">
        <v>1</v>
      </c>
      <c r="AS1663" s="95">
        <v>0.110069253262963</v>
      </c>
      <c r="AT1663" s="79">
        <v>0.27586206896551702</v>
      </c>
      <c r="AU1663" s="79">
        <v>4.6511627906976702E-2</v>
      </c>
      <c r="AV1663" s="79">
        <v>0.26086956521739102</v>
      </c>
      <c r="AW1663" s="79">
        <v>7.3417721518987303E-2</v>
      </c>
      <c r="AX1663" s="56"/>
      <c r="AY1663" s="54"/>
    </row>
    <row r="1664" spans="1:51">
      <c r="A1664" s="53"/>
      <c r="B1664" s="56"/>
      <c r="C1664" s="90" t="s">
        <v>1448</v>
      </c>
      <c r="D1664" s="230" t="s">
        <v>1759</v>
      </c>
      <c r="E1664" s="68" t="s">
        <v>1449</v>
      </c>
      <c r="F1664" s="106" t="s">
        <v>1689</v>
      </c>
      <c r="G1664" s="106" t="s">
        <v>1689</v>
      </c>
      <c r="H1664" s="106" t="s">
        <v>1689</v>
      </c>
      <c r="I1664" s="106" t="s">
        <v>1689</v>
      </c>
      <c r="J1664" s="70">
        <v>0.9</v>
      </c>
      <c r="K1664" s="71" t="s">
        <v>1710</v>
      </c>
      <c r="L1664" s="71" t="s">
        <v>1710</v>
      </c>
      <c r="M1664" s="72" t="s">
        <v>1710</v>
      </c>
      <c r="N1664" s="71" t="s">
        <v>1710</v>
      </c>
      <c r="O1664" s="73">
        <v>0.9</v>
      </c>
      <c r="P1664" s="71">
        <v>0</v>
      </c>
      <c r="Q1664" s="71" t="s">
        <v>1710</v>
      </c>
      <c r="R1664" s="71">
        <v>0</v>
      </c>
      <c r="S1664" s="71">
        <v>0</v>
      </c>
      <c r="T1664" s="73">
        <v>0.9</v>
      </c>
      <c r="U1664" s="71">
        <v>1</v>
      </c>
      <c r="V1664" s="71" t="s">
        <v>1710</v>
      </c>
      <c r="W1664" s="71">
        <v>0</v>
      </c>
      <c r="X1664" s="71">
        <v>0.25</v>
      </c>
      <c r="Y1664" s="73">
        <v>0.92</v>
      </c>
      <c r="Z1664" s="73" t="s">
        <v>1710</v>
      </c>
      <c r="AA1664" s="73" t="s">
        <v>1710</v>
      </c>
      <c r="AB1664" s="73" t="s">
        <v>1710</v>
      </c>
      <c r="AC1664" s="73" t="s">
        <v>1710</v>
      </c>
      <c r="AD1664" s="73">
        <v>0.92</v>
      </c>
      <c r="AE1664" s="71">
        <v>0.93992932862190803</v>
      </c>
      <c r="AF1664" s="71">
        <v>0.90298507462686595</v>
      </c>
      <c r="AG1664" s="71">
        <v>0.99497487437185905</v>
      </c>
      <c r="AH1664" s="71">
        <v>0.95589558955895604</v>
      </c>
      <c r="AI1664" s="73">
        <v>0.92</v>
      </c>
      <c r="AJ1664" s="71">
        <v>1</v>
      </c>
      <c r="AK1664" s="71" t="s">
        <v>1710</v>
      </c>
      <c r="AL1664" s="71">
        <v>0.5</v>
      </c>
      <c r="AM1664" s="71">
        <v>0.4</v>
      </c>
      <c r="AN1664" s="70">
        <v>0.99</v>
      </c>
      <c r="AO1664" s="75">
        <v>1</v>
      </c>
      <c r="AP1664" s="75">
        <v>1</v>
      </c>
      <c r="AQ1664" s="75">
        <v>1</v>
      </c>
      <c r="AR1664" s="75">
        <v>1</v>
      </c>
      <c r="AS1664" s="95">
        <v>0.110069253262963</v>
      </c>
      <c r="AT1664" s="79" t="s">
        <v>1710</v>
      </c>
      <c r="AU1664" s="79" t="s">
        <v>1710</v>
      </c>
      <c r="AV1664" s="79" t="s">
        <v>1710</v>
      </c>
      <c r="AW1664" s="79" t="s">
        <v>1710</v>
      </c>
      <c r="AX1664" s="56"/>
      <c r="AY1664" s="54"/>
    </row>
    <row r="1665" spans="1:51">
      <c r="A1665" s="53"/>
      <c r="B1665" s="56"/>
      <c r="C1665" s="90" t="s">
        <v>1448</v>
      </c>
      <c r="D1665" s="230" t="s">
        <v>1759</v>
      </c>
      <c r="E1665" s="68" t="s">
        <v>1449</v>
      </c>
      <c r="F1665" s="106" t="s">
        <v>1690</v>
      </c>
      <c r="G1665" s="106" t="s">
        <v>1690</v>
      </c>
      <c r="H1665" s="106" t="s">
        <v>1690</v>
      </c>
      <c r="I1665" s="106" t="s">
        <v>1690</v>
      </c>
      <c r="J1665" s="70">
        <v>0.9</v>
      </c>
      <c r="K1665" s="71" t="s">
        <v>1710</v>
      </c>
      <c r="L1665" s="71" t="s">
        <v>1710</v>
      </c>
      <c r="M1665" s="72" t="s">
        <v>1710</v>
      </c>
      <c r="N1665" s="71" t="s">
        <v>1710</v>
      </c>
      <c r="O1665" s="73">
        <v>0.9</v>
      </c>
      <c r="P1665" s="71" t="s">
        <v>1710</v>
      </c>
      <c r="Q1665" s="71">
        <v>0</v>
      </c>
      <c r="R1665" s="71" t="s">
        <v>1710</v>
      </c>
      <c r="S1665" s="71">
        <v>0</v>
      </c>
      <c r="T1665" s="73">
        <v>0.9</v>
      </c>
      <c r="U1665" s="71" t="s">
        <v>1710</v>
      </c>
      <c r="V1665" s="71">
        <v>1</v>
      </c>
      <c r="W1665" s="71" t="s">
        <v>1710</v>
      </c>
      <c r="X1665" s="71">
        <v>0.8</v>
      </c>
      <c r="Y1665" s="73">
        <v>0.92</v>
      </c>
      <c r="Z1665" s="73" t="s">
        <v>1710</v>
      </c>
      <c r="AA1665" s="73" t="s">
        <v>1710</v>
      </c>
      <c r="AB1665" s="73" t="s">
        <v>1710</v>
      </c>
      <c r="AC1665" s="73" t="s">
        <v>1710</v>
      </c>
      <c r="AD1665" s="73">
        <v>0.92</v>
      </c>
      <c r="AE1665" s="71">
        <v>0.97826086956521696</v>
      </c>
      <c r="AF1665" s="71">
        <v>1</v>
      </c>
      <c r="AG1665" s="71">
        <v>1</v>
      </c>
      <c r="AH1665" s="71">
        <v>0.99621212121212099</v>
      </c>
      <c r="AI1665" s="73">
        <v>0.92</v>
      </c>
      <c r="AJ1665" s="71" t="s">
        <v>1710</v>
      </c>
      <c r="AK1665" s="71">
        <v>1</v>
      </c>
      <c r="AL1665" s="71" t="s">
        <v>1710</v>
      </c>
      <c r="AM1665" s="71">
        <v>1</v>
      </c>
      <c r="AN1665" s="70">
        <v>0.99</v>
      </c>
      <c r="AO1665" s="75">
        <v>1</v>
      </c>
      <c r="AP1665" s="75">
        <v>1</v>
      </c>
      <c r="AQ1665" s="75">
        <v>1</v>
      </c>
      <c r="AR1665" s="75">
        <v>1</v>
      </c>
      <c r="AS1665" s="95">
        <v>0.110069253262963</v>
      </c>
      <c r="AT1665" s="79" t="s">
        <v>1710</v>
      </c>
      <c r="AU1665" s="79" t="s">
        <v>1710</v>
      </c>
      <c r="AV1665" s="79" t="s">
        <v>1710</v>
      </c>
      <c r="AW1665" s="79" t="s">
        <v>1710</v>
      </c>
      <c r="AX1665" s="56"/>
      <c r="AY1665" s="54"/>
    </row>
    <row r="1666" spans="1:51">
      <c r="A1666" s="53"/>
      <c r="B1666" s="56"/>
      <c r="C1666" s="90" t="s">
        <v>1448</v>
      </c>
      <c r="D1666" s="230" t="s">
        <v>1759</v>
      </c>
      <c r="E1666" s="68" t="s">
        <v>1449</v>
      </c>
      <c r="F1666" s="106" t="s">
        <v>1691</v>
      </c>
      <c r="G1666" s="106" t="s">
        <v>1691</v>
      </c>
      <c r="H1666" s="106" t="s">
        <v>1691</v>
      </c>
      <c r="I1666" s="106" t="s">
        <v>1691</v>
      </c>
      <c r="J1666" s="70">
        <v>0.9</v>
      </c>
      <c r="K1666" s="71" t="s">
        <v>1710</v>
      </c>
      <c r="L1666" s="71" t="s">
        <v>1710</v>
      </c>
      <c r="M1666" s="72" t="s">
        <v>1710</v>
      </c>
      <c r="N1666" s="71" t="s">
        <v>1710</v>
      </c>
      <c r="O1666" s="73">
        <v>0.9</v>
      </c>
      <c r="P1666" s="71" t="s">
        <v>1710</v>
      </c>
      <c r="Q1666" s="71" t="s">
        <v>1710</v>
      </c>
      <c r="R1666" s="71" t="s">
        <v>1710</v>
      </c>
      <c r="S1666" s="71">
        <v>0</v>
      </c>
      <c r="T1666" s="73">
        <v>0.9</v>
      </c>
      <c r="U1666" s="71" t="s">
        <v>1710</v>
      </c>
      <c r="V1666" s="71" t="s">
        <v>1710</v>
      </c>
      <c r="W1666" s="71" t="s">
        <v>1710</v>
      </c>
      <c r="X1666" s="71">
        <v>1</v>
      </c>
      <c r="Y1666" s="73">
        <v>0.92</v>
      </c>
      <c r="Z1666" s="73" t="s">
        <v>1710</v>
      </c>
      <c r="AA1666" s="73" t="s">
        <v>1710</v>
      </c>
      <c r="AB1666" s="73" t="s">
        <v>1710</v>
      </c>
      <c r="AC1666" s="73" t="s">
        <v>1710</v>
      </c>
      <c r="AD1666" s="73">
        <v>0.92</v>
      </c>
      <c r="AE1666" s="71">
        <v>1</v>
      </c>
      <c r="AF1666" s="71">
        <v>0.91228070175438603</v>
      </c>
      <c r="AG1666" s="71">
        <v>0.99689440993788803</v>
      </c>
      <c r="AH1666" s="71">
        <v>0.89876986160943095</v>
      </c>
      <c r="AI1666" s="73">
        <v>0.92</v>
      </c>
      <c r="AJ1666" s="71" t="s">
        <v>1710</v>
      </c>
      <c r="AK1666" s="71" t="s">
        <v>1710</v>
      </c>
      <c r="AL1666" s="71" t="s">
        <v>1710</v>
      </c>
      <c r="AM1666" s="71">
        <v>0.5</v>
      </c>
      <c r="AN1666" s="70">
        <v>0.99</v>
      </c>
      <c r="AO1666" s="75">
        <v>1</v>
      </c>
      <c r="AP1666" s="75">
        <v>1</v>
      </c>
      <c r="AQ1666" s="75">
        <v>1</v>
      </c>
      <c r="AR1666" s="75">
        <v>1</v>
      </c>
      <c r="AS1666" s="95">
        <v>0.110069253262963</v>
      </c>
      <c r="AT1666" s="79" t="s">
        <v>1710</v>
      </c>
      <c r="AU1666" s="79" t="s">
        <v>1710</v>
      </c>
      <c r="AV1666" s="79" t="s">
        <v>1710</v>
      </c>
      <c r="AW1666" s="79" t="s">
        <v>1710</v>
      </c>
      <c r="AX1666" s="56"/>
      <c r="AY1666" s="54"/>
    </row>
    <row r="1667" spans="1:51">
      <c r="A1667" s="53"/>
      <c r="B1667" s="56"/>
      <c r="C1667" s="90" t="s">
        <v>1448</v>
      </c>
      <c r="D1667" s="230" t="s">
        <v>1757</v>
      </c>
      <c r="E1667" s="68" t="s">
        <v>1449</v>
      </c>
      <c r="F1667" s="106" t="s">
        <v>1692</v>
      </c>
      <c r="G1667" s="106" t="s">
        <v>1692</v>
      </c>
      <c r="H1667" s="106" t="s">
        <v>1692</v>
      </c>
      <c r="I1667" s="106" t="s">
        <v>1692</v>
      </c>
      <c r="J1667" s="70">
        <v>0.9</v>
      </c>
      <c r="K1667" s="71">
        <v>0.875</v>
      </c>
      <c r="L1667" s="71">
        <v>1</v>
      </c>
      <c r="M1667" s="72">
        <v>0.875</v>
      </c>
      <c r="N1667" s="71">
        <v>0.93258426966292096</v>
      </c>
      <c r="O1667" s="73">
        <v>0.9</v>
      </c>
      <c r="P1667" s="71">
        <v>0.45833333333333298</v>
      </c>
      <c r="Q1667" s="71">
        <v>0.175615212527964</v>
      </c>
      <c r="R1667" s="71">
        <v>0.110378912685338</v>
      </c>
      <c r="S1667" s="71">
        <v>0.188431200701139</v>
      </c>
      <c r="T1667" s="73">
        <v>0.9</v>
      </c>
      <c r="U1667" s="71">
        <v>0.318910256410256</v>
      </c>
      <c r="V1667" s="71">
        <v>0.12863534675615201</v>
      </c>
      <c r="W1667" s="71">
        <v>4.6128500823723197E-2</v>
      </c>
      <c r="X1667" s="71">
        <v>0.105170902716915</v>
      </c>
      <c r="Y1667" s="73">
        <v>0.92</v>
      </c>
      <c r="Z1667" s="73" t="s">
        <v>1710</v>
      </c>
      <c r="AA1667" s="73" t="s">
        <v>1710</v>
      </c>
      <c r="AB1667" s="73" t="s">
        <v>1710</v>
      </c>
      <c r="AC1667" s="73" t="s">
        <v>1710</v>
      </c>
      <c r="AD1667" s="73">
        <v>0.92</v>
      </c>
      <c r="AE1667" s="71">
        <v>1</v>
      </c>
      <c r="AF1667" s="71">
        <v>0</v>
      </c>
      <c r="AG1667" s="71">
        <v>1</v>
      </c>
      <c r="AH1667" s="71">
        <v>0.59090909090909105</v>
      </c>
      <c r="AI1667" s="73">
        <v>0.92</v>
      </c>
      <c r="AJ1667" s="71">
        <v>0.53035143769968096</v>
      </c>
      <c r="AK1667" s="71">
        <v>0.26145251396648</v>
      </c>
      <c r="AL1667" s="71">
        <v>0.18945634266886299</v>
      </c>
      <c r="AM1667" s="71">
        <v>0.25749456915278801</v>
      </c>
      <c r="AN1667" s="70">
        <v>0.99</v>
      </c>
      <c r="AO1667" s="75" t="s">
        <v>1710</v>
      </c>
      <c r="AP1667" s="75" t="s">
        <v>1710</v>
      </c>
      <c r="AQ1667" s="75" t="s">
        <v>1710</v>
      </c>
      <c r="AR1667" s="75" t="s">
        <v>1710</v>
      </c>
      <c r="AS1667" s="95">
        <v>0.110069253262963</v>
      </c>
      <c r="AT1667" s="79">
        <v>4.1666666666666699E-2</v>
      </c>
      <c r="AU1667" s="79">
        <v>0.14285714285714299</v>
      </c>
      <c r="AV1667" s="79">
        <v>0.05</v>
      </c>
      <c r="AW1667" s="79">
        <v>6.0377358490565997E-2</v>
      </c>
      <c r="AX1667" s="56"/>
      <c r="AY1667" s="54"/>
    </row>
    <row r="1668" spans="1:51">
      <c r="A1668" s="53"/>
      <c r="B1668" s="56"/>
      <c r="C1668" s="90" t="s">
        <v>1448</v>
      </c>
      <c r="D1668" s="230" t="s">
        <v>1757</v>
      </c>
      <c r="E1668" s="68" t="s">
        <v>1449</v>
      </c>
      <c r="F1668" s="106" t="s">
        <v>1693</v>
      </c>
      <c r="G1668" s="106" t="s">
        <v>1693</v>
      </c>
      <c r="H1668" s="106" t="s">
        <v>1693</v>
      </c>
      <c r="I1668" s="106" t="s">
        <v>1693</v>
      </c>
      <c r="J1668" s="70">
        <v>0.9</v>
      </c>
      <c r="K1668" s="71">
        <v>1</v>
      </c>
      <c r="L1668" s="71">
        <v>1</v>
      </c>
      <c r="M1668" s="72">
        <v>1</v>
      </c>
      <c r="N1668" s="71">
        <v>0.97264437689969596</v>
      </c>
      <c r="O1668" s="73">
        <v>0.9</v>
      </c>
      <c r="P1668" s="71">
        <v>0.98211243611584298</v>
      </c>
      <c r="Q1668" s="71">
        <v>0.964917541229385</v>
      </c>
      <c r="R1668" s="71">
        <v>0.95658110322228296</v>
      </c>
      <c r="S1668" s="71">
        <v>0.96559812353401098</v>
      </c>
      <c r="T1668" s="73">
        <v>0.9</v>
      </c>
      <c r="U1668" s="71">
        <v>0.56047700170357795</v>
      </c>
      <c r="V1668" s="71">
        <v>0.38920539730134901</v>
      </c>
      <c r="W1668" s="71">
        <v>0.43691971600218499</v>
      </c>
      <c r="X1668" s="71">
        <v>0.51602814698983601</v>
      </c>
      <c r="Y1668" s="73">
        <v>0.92</v>
      </c>
      <c r="Z1668" s="73" t="s">
        <v>1710</v>
      </c>
      <c r="AA1668" s="73" t="s">
        <v>1710</v>
      </c>
      <c r="AB1668" s="73" t="s">
        <v>1710</v>
      </c>
      <c r="AC1668" s="73" t="s">
        <v>1710</v>
      </c>
      <c r="AD1668" s="73">
        <v>0.92</v>
      </c>
      <c r="AE1668" s="71">
        <v>1</v>
      </c>
      <c r="AF1668" s="71">
        <v>1</v>
      </c>
      <c r="AG1668" s="71">
        <v>0.89743589743589702</v>
      </c>
      <c r="AH1668" s="71">
        <v>0.99259259259259303</v>
      </c>
      <c r="AI1668" s="73">
        <v>0.92</v>
      </c>
      <c r="AJ1668" s="71">
        <v>0.91169789892106801</v>
      </c>
      <c r="AK1668" s="71">
        <v>0.92563718140929496</v>
      </c>
      <c r="AL1668" s="71">
        <v>0.87356635718186804</v>
      </c>
      <c r="AM1668" s="71">
        <v>0.91498767065616204</v>
      </c>
      <c r="AN1668" s="70">
        <v>0.99</v>
      </c>
      <c r="AO1668" s="75">
        <v>1</v>
      </c>
      <c r="AP1668" s="75">
        <v>1</v>
      </c>
      <c r="AQ1668" s="75">
        <v>1</v>
      </c>
      <c r="AR1668" s="75">
        <v>1</v>
      </c>
      <c r="AS1668" s="95">
        <v>0.110069253262963</v>
      </c>
      <c r="AT1668" s="79">
        <v>4.3478260869565202E-2</v>
      </c>
      <c r="AU1668" s="79">
        <v>6.25E-2</v>
      </c>
      <c r="AV1668" s="79">
        <v>4.7619047619047603E-2</v>
      </c>
      <c r="AW1668" s="79">
        <v>7.5675675675675694E-2</v>
      </c>
      <c r="AX1668" s="56"/>
      <c r="AY1668" s="54"/>
    </row>
    <row r="1669" spans="1:51">
      <c r="A1669" s="53"/>
      <c r="B1669" s="56"/>
      <c r="C1669" s="90" t="s">
        <v>1448</v>
      </c>
      <c r="D1669" s="230" t="s">
        <v>1757</v>
      </c>
      <c r="E1669" s="68" t="s">
        <v>1449</v>
      </c>
      <c r="F1669" s="106" t="s">
        <v>1694</v>
      </c>
      <c r="G1669" s="106" t="s">
        <v>1694</v>
      </c>
      <c r="H1669" s="106" t="s">
        <v>1694</v>
      </c>
      <c r="I1669" s="106" t="s">
        <v>1694</v>
      </c>
      <c r="J1669" s="70">
        <v>0.9</v>
      </c>
      <c r="K1669" s="71" t="s">
        <v>1710</v>
      </c>
      <c r="L1669" s="71" t="s">
        <v>1710</v>
      </c>
      <c r="M1669" s="72" t="s">
        <v>1710</v>
      </c>
      <c r="N1669" s="71" t="s">
        <v>1710</v>
      </c>
      <c r="O1669" s="73">
        <v>0.9</v>
      </c>
      <c r="P1669" s="71" t="s">
        <v>1710</v>
      </c>
      <c r="Q1669" s="71" t="s">
        <v>1710</v>
      </c>
      <c r="R1669" s="71" t="s">
        <v>1710</v>
      </c>
      <c r="S1669" s="71" t="s">
        <v>1710</v>
      </c>
      <c r="T1669" s="73">
        <v>0.9</v>
      </c>
      <c r="U1669" s="71" t="s">
        <v>1710</v>
      </c>
      <c r="V1669" s="71" t="s">
        <v>1710</v>
      </c>
      <c r="W1669" s="71" t="s">
        <v>1710</v>
      </c>
      <c r="X1669" s="71" t="s">
        <v>1710</v>
      </c>
      <c r="Y1669" s="73">
        <v>0.92</v>
      </c>
      <c r="Z1669" s="73" t="s">
        <v>1710</v>
      </c>
      <c r="AA1669" s="73" t="s">
        <v>1710</v>
      </c>
      <c r="AB1669" s="73" t="s">
        <v>1710</v>
      </c>
      <c r="AC1669" s="73" t="s">
        <v>1710</v>
      </c>
      <c r="AD1669" s="73">
        <v>0.92</v>
      </c>
      <c r="AE1669" s="71" t="s">
        <v>1710</v>
      </c>
      <c r="AF1669" s="71" t="s">
        <v>1710</v>
      </c>
      <c r="AG1669" s="71" t="s">
        <v>1710</v>
      </c>
      <c r="AH1669" s="71" t="s">
        <v>1710</v>
      </c>
      <c r="AI1669" s="73">
        <v>0.92</v>
      </c>
      <c r="AJ1669" s="71" t="s">
        <v>1710</v>
      </c>
      <c r="AK1669" s="71" t="s">
        <v>1710</v>
      </c>
      <c r="AL1669" s="71" t="s">
        <v>1710</v>
      </c>
      <c r="AM1669" s="71" t="s">
        <v>1710</v>
      </c>
      <c r="AN1669" s="70">
        <v>0.99</v>
      </c>
      <c r="AO1669" s="75" t="s">
        <v>1710</v>
      </c>
      <c r="AP1669" s="75" t="s">
        <v>1710</v>
      </c>
      <c r="AQ1669" s="75" t="s">
        <v>1710</v>
      </c>
      <c r="AR1669" s="75" t="s">
        <v>1710</v>
      </c>
      <c r="AS1669" s="95">
        <v>0.110069253262963</v>
      </c>
      <c r="AT1669" s="79" t="s">
        <v>1710</v>
      </c>
      <c r="AU1669" s="79" t="s">
        <v>1710</v>
      </c>
      <c r="AV1669" s="79" t="s">
        <v>1710</v>
      </c>
      <c r="AW1669" s="79" t="s">
        <v>1710</v>
      </c>
      <c r="AX1669" s="56"/>
      <c r="AY1669" s="54"/>
    </row>
    <row r="1670" spans="1:51">
      <c r="A1670" s="53"/>
      <c r="B1670" s="56"/>
      <c r="C1670" s="90" t="s">
        <v>1448</v>
      </c>
      <c r="D1670" s="230" t="s">
        <v>1757</v>
      </c>
      <c r="E1670" s="68" t="s">
        <v>1449</v>
      </c>
      <c r="F1670" s="106" t="s">
        <v>1695</v>
      </c>
      <c r="G1670" s="106" t="s">
        <v>1695</v>
      </c>
      <c r="H1670" s="106" t="s">
        <v>1695</v>
      </c>
      <c r="I1670" s="106" t="s">
        <v>1695</v>
      </c>
      <c r="J1670" s="70">
        <v>0.9</v>
      </c>
      <c r="K1670" s="71" t="s">
        <v>1710</v>
      </c>
      <c r="L1670" s="71" t="s">
        <v>1710</v>
      </c>
      <c r="M1670" s="72" t="s">
        <v>1710</v>
      </c>
      <c r="N1670" s="71" t="s">
        <v>1710</v>
      </c>
      <c r="O1670" s="73">
        <v>0.9</v>
      </c>
      <c r="P1670" s="71" t="s">
        <v>1710</v>
      </c>
      <c r="Q1670" s="71" t="s">
        <v>1710</v>
      </c>
      <c r="R1670" s="71" t="s">
        <v>1710</v>
      </c>
      <c r="S1670" s="71" t="s">
        <v>1710</v>
      </c>
      <c r="T1670" s="73">
        <v>0.9</v>
      </c>
      <c r="U1670" s="71" t="s">
        <v>1710</v>
      </c>
      <c r="V1670" s="71" t="s">
        <v>1710</v>
      </c>
      <c r="W1670" s="71" t="s">
        <v>1710</v>
      </c>
      <c r="X1670" s="71" t="s">
        <v>1710</v>
      </c>
      <c r="Y1670" s="73">
        <v>0.92</v>
      </c>
      <c r="Z1670" s="73" t="s">
        <v>1710</v>
      </c>
      <c r="AA1670" s="73" t="s">
        <v>1710</v>
      </c>
      <c r="AB1670" s="73" t="s">
        <v>1710</v>
      </c>
      <c r="AC1670" s="73" t="s">
        <v>1710</v>
      </c>
      <c r="AD1670" s="73">
        <v>0.92</v>
      </c>
      <c r="AE1670" s="71" t="s">
        <v>1710</v>
      </c>
      <c r="AF1670" s="71" t="s">
        <v>1710</v>
      </c>
      <c r="AG1670" s="71" t="s">
        <v>1710</v>
      </c>
      <c r="AH1670" s="71" t="s">
        <v>1710</v>
      </c>
      <c r="AI1670" s="73">
        <v>0.92</v>
      </c>
      <c r="AJ1670" s="71" t="s">
        <v>1710</v>
      </c>
      <c r="AK1670" s="71" t="s">
        <v>1710</v>
      </c>
      <c r="AL1670" s="71" t="s">
        <v>1710</v>
      </c>
      <c r="AM1670" s="71" t="s">
        <v>1710</v>
      </c>
      <c r="AN1670" s="70">
        <v>0.99</v>
      </c>
      <c r="AO1670" s="75" t="s">
        <v>1710</v>
      </c>
      <c r="AP1670" s="75" t="s">
        <v>1710</v>
      </c>
      <c r="AQ1670" s="75" t="s">
        <v>1710</v>
      </c>
      <c r="AR1670" s="75" t="s">
        <v>1710</v>
      </c>
      <c r="AS1670" s="95">
        <v>0.110069253262963</v>
      </c>
      <c r="AT1670" s="79" t="s">
        <v>1710</v>
      </c>
      <c r="AU1670" s="79" t="s">
        <v>1710</v>
      </c>
      <c r="AV1670" s="79" t="s">
        <v>1710</v>
      </c>
      <c r="AW1670" s="79" t="s">
        <v>1710</v>
      </c>
      <c r="AX1670" s="56"/>
      <c r="AY1670" s="54"/>
    </row>
    <row r="1671" spans="1:51">
      <c r="A1671" s="53"/>
      <c r="B1671" s="56"/>
      <c r="C1671" s="90" t="s">
        <v>1448</v>
      </c>
      <c r="D1671" s="230" t="s">
        <v>1759</v>
      </c>
      <c r="E1671" s="68" t="s">
        <v>1449</v>
      </c>
      <c r="F1671" s="106" t="s">
        <v>1696</v>
      </c>
      <c r="G1671" s="106" t="s">
        <v>1696</v>
      </c>
      <c r="H1671" s="106" t="s">
        <v>1696</v>
      </c>
      <c r="I1671" s="106" t="s">
        <v>1696</v>
      </c>
      <c r="J1671" s="70">
        <v>0.9</v>
      </c>
      <c r="K1671" s="71" t="s">
        <v>1710</v>
      </c>
      <c r="L1671" s="71" t="s">
        <v>1710</v>
      </c>
      <c r="M1671" s="72" t="s">
        <v>1710</v>
      </c>
      <c r="N1671" s="71" t="s">
        <v>1710</v>
      </c>
      <c r="O1671" s="73">
        <v>0.9</v>
      </c>
      <c r="P1671" s="71">
        <v>0</v>
      </c>
      <c r="Q1671" s="71">
        <v>0</v>
      </c>
      <c r="R1671" s="71">
        <v>0</v>
      </c>
      <c r="S1671" s="71">
        <v>0</v>
      </c>
      <c r="T1671" s="73">
        <v>0.9</v>
      </c>
      <c r="U1671" s="71">
        <v>1</v>
      </c>
      <c r="V1671" s="71">
        <v>0.91666666666666696</v>
      </c>
      <c r="W1671" s="71">
        <v>0.33333333333333298</v>
      </c>
      <c r="X1671" s="71">
        <v>0.78947368421052599</v>
      </c>
      <c r="Y1671" s="73">
        <v>0.92</v>
      </c>
      <c r="Z1671" s="73" t="s">
        <v>1710</v>
      </c>
      <c r="AA1671" s="73" t="s">
        <v>1710</v>
      </c>
      <c r="AB1671" s="73" t="s">
        <v>1710</v>
      </c>
      <c r="AC1671" s="73" t="s">
        <v>1710</v>
      </c>
      <c r="AD1671" s="73">
        <v>0.92</v>
      </c>
      <c r="AE1671" s="71">
        <v>0.99588815789473695</v>
      </c>
      <c r="AF1671" s="71">
        <v>0.89954337899543402</v>
      </c>
      <c r="AG1671" s="71">
        <v>1</v>
      </c>
      <c r="AH1671" s="71">
        <v>0.98428176393538103</v>
      </c>
      <c r="AI1671" s="73">
        <v>0.92</v>
      </c>
      <c r="AJ1671" s="71">
        <v>1</v>
      </c>
      <c r="AK1671" s="71">
        <v>1</v>
      </c>
      <c r="AL1671" s="71">
        <v>0.66666666666666696</v>
      </c>
      <c r="AM1671" s="71">
        <v>0.89473684210526305</v>
      </c>
      <c r="AN1671" s="70">
        <v>0.99</v>
      </c>
      <c r="AO1671" s="75">
        <v>1</v>
      </c>
      <c r="AP1671" s="75">
        <v>1</v>
      </c>
      <c r="AQ1671" s="75" t="s">
        <v>1710</v>
      </c>
      <c r="AR1671" s="75">
        <v>1</v>
      </c>
      <c r="AS1671" s="95">
        <v>0.110069253262963</v>
      </c>
      <c r="AT1671" s="79" t="s">
        <v>1710</v>
      </c>
      <c r="AU1671" s="79" t="s">
        <v>1710</v>
      </c>
      <c r="AV1671" s="79" t="s">
        <v>1710</v>
      </c>
      <c r="AW1671" s="79" t="s">
        <v>1710</v>
      </c>
      <c r="AX1671" s="56"/>
      <c r="AY1671" s="54"/>
    </row>
    <row r="1672" spans="1:51">
      <c r="A1672" s="53"/>
      <c r="B1672" s="56"/>
      <c r="C1672" s="90" t="s">
        <v>1448</v>
      </c>
      <c r="D1672" s="230" t="s">
        <v>1759</v>
      </c>
      <c r="E1672" s="68" t="s">
        <v>1449</v>
      </c>
      <c r="F1672" s="106" t="s">
        <v>1697</v>
      </c>
      <c r="G1672" s="106" t="s">
        <v>1697</v>
      </c>
      <c r="H1672" s="106" t="s">
        <v>1697</v>
      </c>
      <c r="I1672" s="106" t="s">
        <v>1697</v>
      </c>
      <c r="J1672" s="70">
        <v>0.9</v>
      </c>
      <c r="K1672" s="71" t="s">
        <v>1710</v>
      </c>
      <c r="L1672" s="71" t="s">
        <v>1710</v>
      </c>
      <c r="M1672" s="72" t="s">
        <v>1710</v>
      </c>
      <c r="N1672" s="71" t="s">
        <v>1710</v>
      </c>
      <c r="O1672" s="73">
        <v>0.9</v>
      </c>
      <c r="P1672" s="71" t="s">
        <v>1710</v>
      </c>
      <c r="Q1672" s="71" t="s">
        <v>1710</v>
      </c>
      <c r="R1672" s="71" t="s">
        <v>1710</v>
      </c>
      <c r="S1672" s="71" t="s">
        <v>1710</v>
      </c>
      <c r="T1672" s="73">
        <v>0.9</v>
      </c>
      <c r="U1672" s="71" t="s">
        <v>1710</v>
      </c>
      <c r="V1672" s="71" t="s">
        <v>1710</v>
      </c>
      <c r="W1672" s="71" t="s">
        <v>1710</v>
      </c>
      <c r="X1672" s="71" t="s">
        <v>1710</v>
      </c>
      <c r="Y1672" s="73">
        <v>0.92</v>
      </c>
      <c r="Z1672" s="73" t="s">
        <v>1710</v>
      </c>
      <c r="AA1672" s="73" t="s">
        <v>1710</v>
      </c>
      <c r="AB1672" s="73" t="s">
        <v>1710</v>
      </c>
      <c r="AC1672" s="73" t="s">
        <v>1710</v>
      </c>
      <c r="AD1672" s="73">
        <v>0.92</v>
      </c>
      <c r="AE1672" s="71">
        <v>0.99839999999999995</v>
      </c>
      <c r="AF1672" s="71">
        <v>1</v>
      </c>
      <c r="AG1672" s="71">
        <v>0.960093896713615</v>
      </c>
      <c r="AH1672" s="71">
        <v>0.98769531249999998</v>
      </c>
      <c r="AI1672" s="73">
        <v>0.92</v>
      </c>
      <c r="AJ1672" s="71" t="s">
        <v>1710</v>
      </c>
      <c r="AK1672" s="71" t="s">
        <v>1710</v>
      </c>
      <c r="AL1672" s="71" t="s">
        <v>1710</v>
      </c>
      <c r="AM1672" s="71" t="s">
        <v>1710</v>
      </c>
      <c r="AN1672" s="70">
        <v>0.99</v>
      </c>
      <c r="AO1672" s="75">
        <v>1</v>
      </c>
      <c r="AP1672" s="75">
        <v>1</v>
      </c>
      <c r="AQ1672" s="75">
        <v>1</v>
      </c>
      <c r="AR1672" s="75">
        <v>1</v>
      </c>
      <c r="AS1672" s="95">
        <v>0.110069253262963</v>
      </c>
      <c r="AT1672" s="79" t="s">
        <v>1710</v>
      </c>
      <c r="AU1672" s="79" t="s">
        <v>1710</v>
      </c>
      <c r="AV1672" s="79" t="s">
        <v>1710</v>
      </c>
      <c r="AW1672" s="79" t="s">
        <v>1710</v>
      </c>
      <c r="AX1672" s="56"/>
      <c r="AY1672" s="54"/>
    </row>
    <row r="1673" spans="1:51">
      <c r="A1673" s="53"/>
      <c r="B1673" s="56"/>
      <c r="C1673" s="90" t="s">
        <v>1448</v>
      </c>
      <c r="D1673" s="230" t="s">
        <v>1757</v>
      </c>
      <c r="E1673" s="68" t="s">
        <v>1449</v>
      </c>
      <c r="F1673" s="106" t="s">
        <v>1698</v>
      </c>
      <c r="G1673" s="106" t="s">
        <v>1698</v>
      </c>
      <c r="H1673" s="106" t="s">
        <v>1698</v>
      </c>
      <c r="I1673" s="106" t="s">
        <v>1698</v>
      </c>
      <c r="J1673" s="70">
        <v>0.9</v>
      </c>
      <c r="K1673" s="71" t="s">
        <v>1710</v>
      </c>
      <c r="L1673" s="71" t="s">
        <v>1710</v>
      </c>
      <c r="M1673" s="72" t="s">
        <v>1710</v>
      </c>
      <c r="N1673" s="71" t="s">
        <v>1710</v>
      </c>
      <c r="O1673" s="73">
        <v>0.9</v>
      </c>
      <c r="P1673" s="71">
        <v>0</v>
      </c>
      <c r="Q1673" s="71">
        <v>0</v>
      </c>
      <c r="R1673" s="71">
        <v>0</v>
      </c>
      <c r="S1673" s="71">
        <v>0</v>
      </c>
      <c r="T1673" s="73">
        <v>0.9</v>
      </c>
      <c r="U1673" s="71">
        <v>0.82352941176470595</v>
      </c>
      <c r="V1673" s="71">
        <v>0.5</v>
      </c>
      <c r="W1673" s="71">
        <v>0.72727272727272696</v>
      </c>
      <c r="X1673" s="71">
        <v>0.68571428571428605</v>
      </c>
      <c r="Y1673" s="73">
        <v>0.92</v>
      </c>
      <c r="Z1673" s="73">
        <v>0</v>
      </c>
      <c r="AA1673" s="73" t="s">
        <v>1710</v>
      </c>
      <c r="AB1673" s="73" t="s">
        <v>1710</v>
      </c>
      <c r="AC1673" s="73">
        <v>0</v>
      </c>
      <c r="AD1673" s="73">
        <v>0.92</v>
      </c>
      <c r="AE1673" s="71">
        <v>0.96435011790817005</v>
      </c>
      <c r="AF1673" s="71">
        <v>0.99628942486085303</v>
      </c>
      <c r="AG1673" s="71">
        <v>0.99768800194694596</v>
      </c>
      <c r="AH1673" s="71">
        <v>0.98699717395225794</v>
      </c>
      <c r="AI1673" s="73">
        <v>0.92</v>
      </c>
      <c r="AJ1673" s="71">
        <v>0.83333333333333304</v>
      </c>
      <c r="AK1673" s="71">
        <v>0.86666666666666703</v>
      </c>
      <c r="AL1673" s="71">
        <v>0.81818181818181801</v>
      </c>
      <c r="AM1673" s="71">
        <v>0.82894736842105299</v>
      </c>
      <c r="AN1673" s="70">
        <v>0.99</v>
      </c>
      <c r="AO1673" s="75">
        <v>1</v>
      </c>
      <c r="AP1673" s="75">
        <v>1</v>
      </c>
      <c r="AQ1673" s="75">
        <v>1</v>
      </c>
      <c r="AR1673" s="75">
        <v>1</v>
      </c>
      <c r="AS1673" s="95">
        <v>0.110069253262963</v>
      </c>
      <c r="AT1673" s="79" t="s">
        <v>1710</v>
      </c>
      <c r="AU1673" s="79" t="s">
        <v>1710</v>
      </c>
      <c r="AV1673" s="79" t="s">
        <v>1710</v>
      </c>
      <c r="AW1673" s="79" t="s">
        <v>1710</v>
      </c>
      <c r="AX1673" s="56"/>
      <c r="AY1673" s="54"/>
    </row>
    <row r="1674" spans="1:51">
      <c r="A1674" s="53"/>
      <c r="B1674" s="56"/>
      <c r="C1674" s="90" t="s">
        <v>1448</v>
      </c>
      <c r="D1674" s="230" t="s">
        <v>1757</v>
      </c>
      <c r="E1674" s="68" t="s">
        <v>1449</v>
      </c>
      <c r="F1674" s="106" t="s">
        <v>1699</v>
      </c>
      <c r="G1674" s="106" t="s">
        <v>1699</v>
      </c>
      <c r="H1674" s="106" t="s">
        <v>1699</v>
      </c>
      <c r="I1674" s="106" t="s">
        <v>1699</v>
      </c>
      <c r="J1674" s="70">
        <v>0.9</v>
      </c>
      <c r="K1674" s="71">
        <v>1</v>
      </c>
      <c r="L1674" s="71">
        <v>0.94117647058823495</v>
      </c>
      <c r="M1674" s="72">
        <v>0.94444444444444398</v>
      </c>
      <c r="N1674" s="71">
        <v>0.98557692307692302</v>
      </c>
      <c r="O1674" s="73">
        <v>0.9</v>
      </c>
      <c r="P1674" s="71">
        <v>0.96376419686316905</v>
      </c>
      <c r="Q1674" s="71">
        <v>0.93788819875776397</v>
      </c>
      <c r="R1674" s="71">
        <v>0.94366197183098599</v>
      </c>
      <c r="S1674" s="71">
        <v>0.96126895145878499</v>
      </c>
      <c r="T1674" s="73">
        <v>0.9</v>
      </c>
      <c r="U1674" s="71">
        <v>0.63926446727961095</v>
      </c>
      <c r="V1674" s="71">
        <v>0.54037267080745299</v>
      </c>
      <c r="W1674" s="71">
        <v>0.55809859154929597</v>
      </c>
      <c r="X1674" s="71">
        <v>0.660848515734488</v>
      </c>
      <c r="Y1674" s="73">
        <v>0.92</v>
      </c>
      <c r="Z1674" s="73" t="s">
        <v>1710</v>
      </c>
      <c r="AA1674" s="73" t="s">
        <v>1710</v>
      </c>
      <c r="AB1674" s="73" t="s">
        <v>1710</v>
      </c>
      <c r="AC1674" s="73" t="s">
        <v>1710</v>
      </c>
      <c r="AD1674" s="73">
        <v>0.92</v>
      </c>
      <c r="AE1674" s="71">
        <v>1</v>
      </c>
      <c r="AF1674" s="71">
        <v>1</v>
      </c>
      <c r="AG1674" s="71">
        <v>1</v>
      </c>
      <c r="AH1674" s="71">
        <v>0.99173553719008301</v>
      </c>
      <c r="AI1674" s="73">
        <v>0.92</v>
      </c>
      <c r="AJ1674" s="71">
        <v>0.92806922660897795</v>
      </c>
      <c r="AK1674" s="71">
        <v>0.83850931677018603</v>
      </c>
      <c r="AL1674" s="71">
        <v>0.91079812206572797</v>
      </c>
      <c r="AM1674" s="71">
        <v>0.91113517645559905</v>
      </c>
      <c r="AN1674" s="70">
        <v>0.99</v>
      </c>
      <c r="AO1674" s="75">
        <v>1</v>
      </c>
      <c r="AP1674" s="75">
        <v>1</v>
      </c>
      <c r="AQ1674" s="75">
        <v>1</v>
      </c>
      <c r="AR1674" s="75">
        <v>1</v>
      </c>
      <c r="AS1674" s="95">
        <v>0.110069253262963</v>
      </c>
      <c r="AT1674" s="79">
        <v>0</v>
      </c>
      <c r="AU1674" s="79">
        <v>0.2</v>
      </c>
      <c r="AV1674" s="79">
        <v>7.69230769230769E-2</v>
      </c>
      <c r="AW1674" s="79">
        <v>9.7826086956521702E-2</v>
      </c>
      <c r="AX1674" s="56"/>
      <c r="AY1674" s="54"/>
    </row>
    <row r="1675" spans="1:51">
      <c r="A1675" s="53"/>
      <c r="B1675" s="56"/>
      <c r="C1675" s="90" t="s">
        <v>1448</v>
      </c>
      <c r="D1675" s="230" t="s">
        <v>1757</v>
      </c>
      <c r="E1675" s="68" t="s">
        <v>1449</v>
      </c>
      <c r="F1675" s="106" t="s">
        <v>1700</v>
      </c>
      <c r="G1675" s="106" t="s">
        <v>1700</v>
      </c>
      <c r="H1675" s="106" t="s">
        <v>1700</v>
      </c>
      <c r="I1675" s="106" t="s">
        <v>1700</v>
      </c>
      <c r="J1675" s="70">
        <v>0.9</v>
      </c>
      <c r="K1675" s="71">
        <v>0.14285714285714299</v>
      </c>
      <c r="L1675" s="71">
        <v>0.57142857142857095</v>
      </c>
      <c r="M1675" s="72">
        <v>0.42857142857142899</v>
      </c>
      <c r="N1675" s="71">
        <v>0.34920634920634902</v>
      </c>
      <c r="O1675" s="73">
        <v>0.9</v>
      </c>
      <c r="P1675" s="71">
        <v>1</v>
      </c>
      <c r="Q1675" s="71" t="s">
        <v>1710</v>
      </c>
      <c r="R1675" s="71" t="s">
        <v>1710</v>
      </c>
      <c r="S1675" s="71">
        <v>0.75</v>
      </c>
      <c r="T1675" s="73">
        <v>0.9</v>
      </c>
      <c r="U1675" s="71">
        <v>1</v>
      </c>
      <c r="V1675" s="71" t="s">
        <v>1710</v>
      </c>
      <c r="W1675" s="71" t="s">
        <v>1710</v>
      </c>
      <c r="X1675" s="71">
        <v>0.5</v>
      </c>
      <c r="Y1675" s="73">
        <v>0.92</v>
      </c>
      <c r="Z1675" s="73" t="s">
        <v>1710</v>
      </c>
      <c r="AA1675" s="73" t="s">
        <v>1710</v>
      </c>
      <c r="AB1675" s="73" t="s">
        <v>1710</v>
      </c>
      <c r="AC1675" s="73" t="s">
        <v>1710</v>
      </c>
      <c r="AD1675" s="73">
        <v>0.92</v>
      </c>
      <c r="AE1675" s="71">
        <v>0</v>
      </c>
      <c r="AF1675" s="71" t="s">
        <v>1710</v>
      </c>
      <c r="AG1675" s="71" t="s">
        <v>1710</v>
      </c>
      <c r="AH1675" s="71">
        <v>0.6</v>
      </c>
      <c r="AI1675" s="73">
        <v>0.92</v>
      </c>
      <c r="AJ1675" s="71">
        <v>0.65889830508474601</v>
      </c>
      <c r="AK1675" s="71">
        <v>0.50943396226415105</v>
      </c>
      <c r="AL1675" s="71">
        <v>0.373529411764706</v>
      </c>
      <c r="AM1675" s="71">
        <v>0.58177744585511604</v>
      </c>
      <c r="AN1675" s="70">
        <v>0.99</v>
      </c>
      <c r="AO1675" s="75" t="s">
        <v>1710</v>
      </c>
      <c r="AP1675" s="75" t="s">
        <v>1710</v>
      </c>
      <c r="AQ1675" s="75" t="s">
        <v>1710</v>
      </c>
      <c r="AR1675" s="75">
        <v>1</v>
      </c>
      <c r="AS1675" s="95">
        <v>0.110069253262963</v>
      </c>
      <c r="AT1675" s="79">
        <v>0.13636363636363599</v>
      </c>
      <c r="AU1675" s="79">
        <v>0</v>
      </c>
      <c r="AV1675" s="79">
        <v>0</v>
      </c>
      <c r="AW1675" s="79">
        <v>7.2368421052631596E-2</v>
      </c>
      <c r="AX1675" s="56"/>
      <c r="AY1675" s="54"/>
    </row>
    <row r="1676" spans="1:51">
      <c r="A1676" s="53"/>
      <c r="B1676" s="56"/>
      <c r="C1676" s="90" t="s">
        <v>1448</v>
      </c>
      <c r="D1676" s="230" t="s">
        <v>1757</v>
      </c>
      <c r="E1676" s="68" t="s">
        <v>1449</v>
      </c>
      <c r="F1676" s="106" t="s">
        <v>1701</v>
      </c>
      <c r="G1676" s="106" t="s">
        <v>1701</v>
      </c>
      <c r="H1676" s="106" t="s">
        <v>1701</v>
      </c>
      <c r="I1676" s="106" t="s">
        <v>1701</v>
      </c>
      <c r="J1676" s="70">
        <v>0.9</v>
      </c>
      <c r="K1676" s="71">
        <v>1</v>
      </c>
      <c r="L1676" s="71">
        <v>1</v>
      </c>
      <c r="M1676" s="72">
        <v>1</v>
      </c>
      <c r="N1676" s="71">
        <v>1</v>
      </c>
      <c r="O1676" s="73">
        <v>0.9</v>
      </c>
      <c r="P1676" s="71">
        <v>0.99684293606945495</v>
      </c>
      <c r="Q1676" s="71">
        <v>0.94078061911170896</v>
      </c>
      <c r="R1676" s="71">
        <v>0.90133124510571605</v>
      </c>
      <c r="S1676" s="71">
        <v>0.95226874915847604</v>
      </c>
      <c r="T1676" s="73">
        <v>0.9</v>
      </c>
      <c r="U1676" s="71">
        <v>0.95264404104183098</v>
      </c>
      <c r="V1676" s="71">
        <v>0.95423956931359399</v>
      </c>
      <c r="W1676" s="71">
        <v>0.91542678151918599</v>
      </c>
      <c r="X1676" s="71">
        <v>0.93974686953009301</v>
      </c>
      <c r="Y1676" s="73">
        <v>0.92</v>
      </c>
      <c r="Z1676" s="73" t="s">
        <v>1710</v>
      </c>
      <c r="AA1676" s="73" t="s">
        <v>1710</v>
      </c>
      <c r="AB1676" s="73" t="s">
        <v>1710</v>
      </c>
      <c r="AC1676" s="73" t="s">
        <v>1710</v>
      </c>
      <c r="AD1676" s="73">
        <v>0.92</v>
      </c>
      <c r="AE1676" s="71">
        <v>0.38235294117647101</v>
      </c>
      <c r="AF1676" s="71">
        <v>0.7</v>
      </c>
      <c r="AG1676" s="71">
        <v>0.45945945945945899</v>
      </c>
      <c r="AH1676" s="71">
        <v>0.344106463878327</v>
      </c>
      <c r="AI1676" s="73">
        <v>0.92</v>
      </c>
      <c r="AJ1676" s="71">
        <v>0.97553275453827903</v>
      </c>
      <c r="AK1676" s="71">
        <v>0.99259757738896404</v>
      </c>
      <c r="AL1676" s="71">
        <v>0.99216914643696197</v>
      </c>
      <c r="AM1676" s="71">
        <v>0.98687222297024402</v>
      </c>
      <c r="AN1676" s="70">
        <v>0.99</v>
      </c>
      <c r="AO1676" s="75">
        <v>1</v>
      </c>
      <c r="AP1676" s="75">
        <v>1</v>
      </c>
      <c r="AQ1676" s="75">
        <v>1</v>
      </c>
      <c r="AR1676" s="75">
        <v>1</v>
      </c>
      <c r="AS1676" s="95">
        <v>0.110069253262963</v>
      </c>
      <c r="AT1676" s="79">
        <v>0.125</v>
      </c>
      <c r="AU1676" s="79">
        <v>0.133333333333333</v>
      </c>
      <c r="AV1676" s="79">
        <v>5.8823529411764698E-2</v>
      </c>
      <c r="AW1676" s="79">
        <v>0.109677419354839</v>
      </c>
      <c r="AX1676" s="56"/>
      <c r="AY1676" s="54"/>
    </row>
    <row r="1677" spans="1:51">
      <c r="A1677" s="53"/>
      <c r="B1677" s="56"/>
      <c r="C1677" s="90" t="s">
        <v>1448</v>
      </c>
      <c r="D1677" s="230" t="s">
        <v>1757</v>
      </c>
      <c r="E1677" s="68" t="s">
        <v>1449</v>
      </c>
      <c r="F1677" s="106" t="s">
        <v>1702</v>
      </c>
      <c r="G1677" s="106" t="s">
        <v>1702</v>
      </c>
      <c r="H1677" s="106" t="s">
        <v>1702</v>
      </c>
      <c r="I1677" s="106" t="s">
        <v>1702</v>
      </c>
      <c r="J1677" s="70">
        <v>0.9</v>
      </c>
      <c r="K1677" s="71">
        <v>0.95</v>
      </c>
      <c r="L1677" s="71">
        <v>0.95454545454545503</v>
      </c>
      <c r="M1677" s="72">
        <v>0.84615384615384603</v>
      </c>
      <c r="N1677" s="71">
        <v>0.94520547945205502</v>
      </c>
      <c r="O1677" s="73">
        <v>0.9</v>
      </c>
      <c r="P1677" s="71">
        <v>0.956136464333186</v>
      </c>
      <c r="Q1677" s="71">
        <v>0.95659099960175198</v>
      </c>
      <c r="R1677" s="71">
        <v>0.89927751806204803</v>
      </c>
      <c r="S1677" s="71">
        <v>0.96134342617770296</v>
      </c>
      <c r="T1677" s="73">
        <v>0.9</v>
      </c>
      <c r="U1677" s="71">
        <v>0.88657509968985404</v>
      </c>
      <c r="V1677" s="71">
        <v>0.84627638391079296</v>
      </c>
      <c r="W1677" s="71">
        <v>0.77305567360815997</v>
      </c>
      <c r="X1677" s="71">
        <v>0.89439259204821098</v>
      </c>
      <c r="Y1677" s="73">
        <v>0.92</v>
      </c>
      <c r="Z1677" s="73" t="s">
        <v>1710</v>
      </c>
      <c r="AA1677" s="73" t="s">
        <v>1710</v>
      </c>
      <c r="AB1677" s="73" t="s">
        <v>1710</v>
      </c>
      <c r="AC1677" s="73" t="s">
        <v>1710</v>
      </c>
      <c r="AD1677" s="73">
        <v>0.92</v>
      </c>
      <c r="AE1677" s="71">
        <v>0.99290780141844004</v>
      </c>
      <c r="AF1677" s="71">
        <v>0.96992481203007497</v>
      </c>
      <c r="AG1677" s="71">
        <v>1</v>
      </c>
      <c r="AH1677" s="71">
        <v>0.93398349587396801</v>
      </c>
      <c r="AI1677" s="73">
        <v>0.92</v>
      </c>
      <c r="AJ1677" s="71">
        <v>0.91360212671688101</v>
      </c>
      <c r="AK1677" s="71">
        <v>0.93667861409796904</v>
      </c>
      <c r="AL1677" s="71">
        <v>0.84912877178070501</v>
      </c>
      <c r="AM1677" s="71">
        <v>0.94164768134048604</v>
      </c>
      <c r="AN1677" s="70">
        <v>0.99</v>
      </c>
      <c r="AO1677" s="75" t="s">
        <v>1710</v>
      </c>
      <c r="AP1677" s="75">
        <v>1</v>
      </c>
      <c r="AQ1677" s="75" t="s">
        <v>1710</v>
      </c>
      <c r="AR1677" s="75">
        <v>1</v>
      </c>
      <c r="AS1677" s="95">
        <v>0.110069253262963</v>
      </c>
      <c r="AT1677" s="79">
        <v>0.105263157894737</v>
      </c>
      <c r="AU1677" s="79">
        <v>9.5238095238095205E-2</v>
      </c>
      <c r="AV1677" s="79">
        <v>0</v>
      </c>
      <c r="AW1677" s="79">
        <v>5.93220338983051E-2</v>
      </c>
      <c r="AX1677" s="56"/>
      <c r="AY1677" s="54"/>
    </row>
    <row r="1678" spans="1:51">
      <c r="A1678" s="53"/>
      <c r="B1678" s="56"/>
      <c r="C1678" s="90" t="s">
        <v>1448</v>
      </c>
      <c r="D1678" s="230" t="s">
        <v>1757</v>
      </c>
      <c r="E1678" s="68" t="s">
        <v>1449</v>
      </c>
      <c r="F1678" s="106" t="s">
        <v>1703</v>
      </c>
      <c r="G1678" s="106" t="s">
        <v>1703</v>
      </c>
      <c r="H1678" s="106" t="s">
        <v>1703</v>
      </c>
      <c r="I1678" s="106" t="s">
        <v>1703</v>
      </c>
      <c r="J1678" s="70">
        <v>0.9</v>
      </c>
      <c r="K1678" s="71">
        <v>0.89473684210526305</v>
      </c>
      <c r="L1678" s="71">
        <v>1</v>
      </c>
      <c r="M1678" s="72">
        <v>0.7</v>
      </c>
      <c r="N1678" s="71">
        <v>0.88292682926829302</v>
      </c>
      <c r="O1678" s="73">
        <v>0.9</v>
      </c>
      <c r="P1678" s="71">
        <v>0.83296312749888901</v>
      </c>
      <c r="Q1678" s="71">
        <v>0.83064963908939504</v>
      </c>
      <c r="R1678" s="71">
        <v>0.88430913348946105</v>
      </c>
      <c r="S1678" s="71">
        <v>0.83366093366093397</v>
      </c>
      <c r="T1678" s="73">
        <v>0.9</v>
      </c>
      <c r="U1678" s="71">
        <v>0.59840071079520196</v>
      </c>
      <c r="V1678" s="71">
        <v>0.61299278178789596</v>
      </c>
      <c r="W1678" s="71">
        <v>0.58548009367681497</v>
      </c>
      <c r="X1678" s="71">
        <v>0.585061425061425</v>
      </c>
      <c r="Y1678" s="73">
        <v>0.92</v>
      </c>
      <c r="Z1678" s="73" t="s">
        <v>1710</v>
      </c>
      <c r="AA1678" s="73" t="s">
        <v>1710</v>
      </c>
      <c r="AB1678" s="73" t="s">
        <v>1710</v>
      </c>
      <c r="AC1678" s="73" t="s">
        <v>1710</v>
      </c>
      <c r="AD1678" s="73">
        <v>0.92</v>
      </c>
      <c r="AE1678" s="71">
        <v>0.2</v>
      </c>
      <c r="AF1678" s="71">
        <v>0.91666666666666696</v>
      </c>
      <c r="AG1678" s="71">
        <v>0.22727272727272699</v>
      </c>
      <c r="AH1678" s="71">
        <v>0.33689839572192498</v>
      </c>
      <c r="AI1678" s="73">
        <v>0.92</v>
      </c>
      <c r="AJ1678" s="71">
        <v>0.727232341181697</v>
      </c>
      <c r="AK1678" s="71">
        <v>0.74125485841199301</v>
      </c>
      <c r="AL1678" s="71">
        <v>0.72974238875878195</v>
      </c>
      <c r="AM1678" s="71">
        <v>0.70579852579852598</v>
      </c>
      <c r="AN1678" s="70">
        <v>0.99</v>
      </c>
      <c r="AO1678" s="75">
        <v>1</v>
      </c>
      <c r="AP1678" s="75">
        <v>1</v>
      </c>
      <c r="AQ1678" s="75">
        <v>1</v>
      </c>
      <c r="AR1678" s="75">
        <v>1</v>
      </c>
      <c r="AS1678" s="95">
        <v>0.110069253262963</v>
      </c>
      <c r="AT1678" s="79">
        <v>0.23529411764705899</v>
      </c>
      <c r="AU1678" s="79">
        <v>2.7777777777777801E-2</v>
      </c>
      <c r="AV1678" s="79">
        <v>7.1428571428571397E-2</v>
      </c>
      <c r="AW1678" s="79">
        <v>0.107142857142857</v>
      </c>
      <c r="AX1678" s="56"/>
      <c r="AY1678" s="54"/>
    </row>
    <row r="1679" spans="1:51">
      <c r="A1679" s="53"/>
      <c r="B1679" s="56"/>
      <c r="C1679" s="90" t="s">
        <v>1448</v>
      </c>
      <c r="D1679" s="230" t="s">
        <v>1757</v>
      </c>
      <c r="E1679" s="68" t="s">
        <v>1449</v>
      </c>
      <c r="F1679" s="106" t="s">
        <v>1704</v>
      </c>
      <c r="G1679" s="106" t="s">
        <v>1704</v>
      </c>
      <c r="H1679" s="106" t="s">
        <v>1704</v>
      </c>
      <c r="I1679" s="106" t="s">
        <v>1704</v>
      </c>
      <c r="J1679" s="70">
        <v>0.9</v>
      </c>
      <c r="K1679" s="71">
        <v>0.6</v>
      </c>
      <c r="L1679" s="71">
        <v>0.5</v>
      </c>
      <c r="M1679" s="72">
        <v>0.75</v>
      </c>
      <c r="N1679" s="71">
        <v>0.69090909090909103</v>
      </c>
      <c r="O1679" s="73">
        <v>0.9</v>
      </c>
      <c r="P1679" s="71" t="s">
        <v>1710</v>
      </c>
      <c r="Q1679" s="71" t="s">
        <v>1710</v>
      </c>
      <c r="R1679" s="71" t="s">
        <v>1710</v>
      </c>
      <c r="S1679" s="71" t="s">
        <v>1710</v>
      </c>
      <c r="T1679" s="73">
        <v>0.9</v>
      </c>
      <c r="U1679" s="71" t="s">
        <v>1710</v>
      </c>
      <c r="V1679" s="71" t="s">
        <v>1710</v>
      </c>
      <c r="W1679" s="71" t="s">
        <v>1710</v>
      </c>
      <c r="X1679" s="71" t="s">
        <v>1710</v>
      </c>
      <c r="Y1679" s="73">
        <v>0.92</v>
      </c>
      <c r="Z1679" s="73" t="s">
        <v>1710</v>
      </c>
      <c r="AA1679" s="73" t="s">
        <v>1710</v>
      </c>
      <c r="AB1679" s="73" t="s">
        <v>1710</v>
      </c>
      <c r="AC1679" s="73" t="s">
        <v>1710</v>
      </c>
      <c r="AD1679" s="73">
        <v>0.92</v>
      </c>
      <c r="AE1679" s="71">
        <v>0</v>
      </c>
      <c r="AF1679" s="71">
        <v>0</v>
      </c>
      <c r="AG1679" s="71">
        <v>0</v>
      </c>
      <c r="AH1679" s="71">
        <v>0.16666666666666699</v>
      </c>
      <c r="AI1679" s="73">
        <v>0.92</v>
      </c>
      <c r="AJ1679" s="71">
        <v>0.86046511627906996</v>
      </c>
      <c r="AK1679" s="71">
        <v>0.84615384615384603</v>
      </c>
      <c r="AL1679" s="71">
        <v>0.89098532494758897</v>
      </c>
      <c r="AM1679" s="71">
        <v>0.93393733484333696</v>
      </c>
      <c r="AN1679" s="70">
        <v>0.99</v>
      </c>
      <c r="AO1679" s="75" t="s">
        <v>1710</v>
      </c>
      <c r="AP1679" s="75" t="s">
        <v>1710</v>
      </c>
      <c r="AQ1679" s="75" t="s">
        <v>1710</v>
      </c>
      <c r="AR1679" s="75" t="s">
        <v>1710</v>
      </c>
      <c r="AS1679" s="95">
        <v>0.110069253262963</v>
      </c>
      <c r="AT1679" s="79">
        <v>0</v>
      </c>
      <c r="AU1679" s="79">
        <v>0.2</v>
      </c>
      <c r="AV1679" s="79">
        <v>0</v>
      </c>
      <c r="AW1679" s="79">
        <v>9.0909090909090898E-2</v>
      </c>
      <c r="AX1679" s="56"/>
      <c r="AY1679" s="54"/>
    </row>
    <row r="1680" spans="1:51">
      <c r="A1680" s="53"/>
      <c r="B1680" s="56"/>
      <c r="C1680" s="90" t="s">
        <v>1448</v>
      </c>
      <c r="D1680" s="230" t="s">
        <v>1757</v>
      </c>
      <c r="E1680" s="68" t="s">
        <v>1449</v>
      </c>
      <c r="F1680" s="106" t="s">
        <v>1705</v>
      </c>
      <c r="G1680" s="106" t="s">
        <v>1705</v>
      </c>
      <c r="H1680" s="106" t="s">
        <v>1705</v>
      </c>
      <c r="I1680" s="106" t="s">
        <v>1705</v>
      </c>
      <c r="J1680" s="70">
        <v>0.9</v>
      </c>
      <c r="K1680" s="71">
        <v>0.92857142857142905</v>
      </c>
      <c r="L1680" s="71">
        <v>1</v>
      </c>
      <c r="M1680" s="72">
        <v>1</v>
      </c>
      <c r="N1680" s="71">
        <v>0.94520547945205502</v>
      </c>
      <c r="O1680" s="73">
        <v>0.9</v>
      </c>
      <c r="P1680" s="71" t="s">
        <v>1710</v>
      </c>
      <c r="Q1680" s="71" t="s">
        <v>1710</v>
      </c>
      <c r="R1680" s="71">
        <v>0</v>
      </c>
      <c r="S1680" s="71">
        <v>6.25E-2</v>
      </c>
      <c r="T1680" s="73">
        <v>0.9</v>
      </c>
      <c r="U1680" s="71" t="s">
        <v>1710</v>
      </c>
      <c r="V1680" s="71" t="s">
        <v>1710</v>
      </c>
      <c r="W1680" s="71">
        <v>0</v>
      </c>
      <c r="X1680" s="71">
        <v>6.25E-2</v>
      </c>
      <c r="Y1680" s="73">
        <v>0.92</v>
      </c>
      <c r="Z1680" s="73" t="s">
        <v>1710</v>
      </c>
      <c r="AA1680" s="73" t="s">
        <v>1710</v>
      </c>
      <c r="AB1680" s="73" t="s">
        <v>1710</v>
      </c>
      <c r="AC1680" s="73" t="s">
        <v>1710</v>
      </c>
      <c r="AD1680" s="73">
        <v>0.92</v>
      </c>
      <c r="AE1680" s="71">
        <v>0</v>
      </c>
      <c r="AF1680" s="71">
        <v>0.66666666666666696</v>
      </c>
      <c r="AG1680" s="71">
        <v>0.14285714285714299</v>
      </c>
      <c r="AH1680" s="71">
        <v>0.19318181818181801</v>
      </c>
      <c r="AI1680" s="73">
        <v>0.92</v>
      </c>
      <c r="AJ1680" s="71">
        <v>0.86585365853658502</v>
      </c>
      <c r="AK1680" s="71">
        <v>0.81305841924398603</v>
      </c>
      <c r="AL1680" s="71">
        <v>0.86315789473684201</v>
      </c>
      <c r="AM1680" s="71">
        <v>0.88129361446687204</v>
      </c>
      <c r="AN1680" s="70">
        <v>0.99</v>
      </c>
      <c r="AO1680" s="75" t="s">
        <v>1710</v>
      </c>
      <c r="AP1680" s="75" t="s">
        <v>1710</v>
      </c>
      <c r="AQ1680" s="75" t="s">
        <v>1710</v>
      </c>
      <c r="AR1680" s="75">
        <v>1</v>
      </c>
      <c r="AS1680" s="95">
        <v>0.110069253262963</v>
      </c>
      <c r="AT1680" s="79">
        <v>9.5238095238095205E-2</v>
      </c>
      <c r="AU1680" s="79">
        <v>0</v>
      </c>
      <c r="AV1680" s="79">
        <v>0.27272727272727298</v>
      </c>
      <c r="AW1680" s="79">
        <v>9.5477386934673406E-2</v>
      </c>
      <c r="AX1680" s="56"/>
      <c r="AY1680" s="54"/>
    </row>
    <row r="1681" spans="1:73">
      <c r="A1681" s="53"/>
      <c r="B1681" s="56"/>
      <c r="C1681" s="90" t="s">
        <v>1448</v>
      </c>
      <c r="D1681" s="230" t="s">
        <v>1757</v>
      </c>
      <c r="E1681" s="68" t="s">
        <v>1449</v>
      </c>
      <c r="F1681" s="106" t="s">
        <v>1706</v>
      </c>
      <c r="G1681" s="106" t="s">
        <v>1706</v>
      </c>
      <c r="H1681" s="106" t="s">
        <v>1706</v>
      </c>
      <c r="I1681" s="106" t="s">
        <v>1706</v>
      </c>
      <c r="J1681" s="70">
        <v>0.9</v>
      </c>
      <c r="K1681" s="71">
        <v>0.94285714285714295</v>
      </c>
      <c r="L1681" s="71">
        <v>0.93548387096774199</v>
      </c>
      <c r="M1681" s="72">
        <v>0.931034482758621</v>
      </c>
      <c r="N1681" s="71">
        <v>0.942779291553134</v>
      </c>
      <c r="O1681" s="73">
        <v>0.9</v>
      </c>
      <c r="P1681" s="71">
        <v>0.38986354775828502</v>
      </c>
      <c r="Q1681" s="71">
        <v>5.2754982415005897E-2</v>
      </c>
      <c r="R1681" s="71">
        <v>8.6267195150384699E-3</v>
      </c>
      <c r="S1681" s="71">
        <v>0.231011422434834</v>
      </c>
      <c r="T1681" s="73">
        <v>0.9</v>
      </c>
      <c r="U1681" s="71">
        <v>0.400259909031839</v>
      </c>
      <c r="V1681" s="71">
        <v>0.31271981242672903</v>
      </c>
      <c r="W1681" s="71">
        <v>0.226393098624388</v>
      </c>
      <c r="X1681" s="71">
        <v>0.41975007322073599</v>
      </c>
      <c r="Y1681" s="73">
        <v>0.92</v>
      </c>
      <c r="Z1681" s="73" t="s">
        <v>1710</v>
      </c>
      <c r="AA1681" s="73" t="s">
        <v>1710</v>
      </c>
      <c r="AB1681" s="73" t="s">
        <v>1710</v>
      </c>
      <c r="AC1681" s="73" t="s">
        <v>1710</v>
      </c>
      <c r="AD1681" s="73">
        <v>0.92</v>
      </c>
      <c r="AE1681" s="71">
        <v>0.89436619718309895</v>
      </c>
      <c r="AF1681" s="71">
        <v>1</v>
      </c>
      <c r="AG1681" s="71">
        <v>1</v>
      </c>
      <c r="AH1681" s="71">
        <v>0.95763888888888904</v>
      </c>
      <c r="AI1681" s="73">
        <v>0.92</v>
      </c>
      <c r="AJ1681" s="71">
        <v>0.73066926575698499</v>
      </c>
      <c r="AK1681" s="71">
        <v>0.70779601406799497</v>
      </c>
      <c r="AL1681" s="71">
        <v>0.61436232221963205</v>
      </c>
      <c r="AM1681" s="71">
        <v>0.78978326662110698</v>
      </c>
      <c r="AN1681" s="70">
        <v>0.99</v>
      </c>
      <c r="AO1681" s="75">
        <v>1</v>
      </c>
      <c r="AP1681" s="75">
        <v>1</v>
      </c>
      <c r="AQ1681" s="75">
        <v>1</v>
      </c>
      <c r="AR1681" s="75">
        <v>1</v>
      </c>
      <c r="AS1681" s="95">
        <v>0.110069253262963</v>
      </c>
      <c r="AT1681" s="79">
        <v>3.3333333333333298E-2</v>
      </c>
      <c r="AU1681" s="79">
        <v>9.6774193548387094E-2</v>
      </c>
      <c r="AV1681" s="79">
        <v>5.5555555555555601E-2</v>
      </c>
      <c r="AW1681" s="79">
        <v>0.100694444444444</v>
      </c>
      <c r="AX1681" s="56"/>
      <c r="AY1681" s="54"/>
    </row>
    <row r="1682" spans="1:73">
      <c r="A1682" s="53"/>
      <c r="B1682" s="56"/>
      <c r="C1682" s="90" t="s">
        <v>1448</v>
      </c>
      <c r="D1682" s="230" t="s">
        <v>1757</v>
      </c>
      <c r="E1682" s="68" t="s">
        <v>1449</v>
      </c>
      <c r="F1682" s="106" t="s">
        <v>1707</v>
      </c>
      <c r="G1682" s="106" t="s">
        <v>1707</v>
      </c>
      <c r="H1682" s="106" t="s">
        <v>1707</v>
      </c>
      <c r="I1682" s="106" t="s">
        <v>1707</v>
      </c>
      <c r="J1682" s="70">
        <v>0.9</v>
      </c>
      <c r="K1682" s="71">
        <v>0.92307692307692302</v>
      </c>
      <c r="L1682" s="71">
        <v>0.92</v>
      </c>
      <c r="M1682" s="72">
        <v>0.92307692307692302</v>
      </c>
      <c r="N1682" s="71">
        <v>0.91970802919707995</v>
      </c>
      <c r="O1682" s="73">
        <v>0.9</v>
      </c>
      <c r="P1682" s="71">
        <v>0.97352112676056302</v>
      </c>
      <c r="Q1682" s="71">
        <v>0.91829204006325804</v>
      </c>
      <c r="R1682" s="71">
        <v>0.82676483326115202</v>
      </c>
      <c r="S1682" s="71">
        <v>0.83766724452149199</v>
      </c>
      <c r="T1682" s="73">
        <v>0.9</v>
      </c>
      <c r="U1682" s="71">
        <v>0.56901408450704205</v>
      </c>
      <c r="V1682" s="71">
        <v>0.49973642593568801</v>
      </c>
      <c r="W1682" s="71">
        <v>0.47942832394976198</v>
      </c>
      <c r="X1682" s="71">
        <v>0.48224207672134101</v>
      </c>
      <c r="Y1682" s="73">
        <v>0.92</v>
      </c>
      <c r="Z1682" s="73" t="s">
        <v>1710</v>
      </c>
      <c r="AA1682" s="73" t="s">
        <v>1710</v>
      </c>
      <c r="AB1682" s="73" t="s">
        <v>1710</v>
      </c>
      <c r="AC1682" s="73" t="s">
        <v>1710</v>
      </c>
      <c r="AD1682" s="73">
        <v>0.92</v>
      </c>
      <c r="AE1682" s="71">
        <v>0.1875</v>
      </c>
      <c r="AF1682" s="71">
        <v>0.5</v>
      </c>
      <c r="AG1682" s="71">
        <v>0</v>
      </c>
      <c r="AH1682" s="71">
        <v>0.160583941605839</v>
      </c>
      <c r="AI1682" s="73">
        <v>0.92</v>
      </c>
      <c r="AJ1682" s="71">
        <v>0.824225352112676</v>
      </c>
      <c r="AK1682" s="71">
        <v>0.84080126515550901</v>
      </c>
      <c r="AL1682" s="71">
        <v>0.87093980077955802</v>
      </c>
      <c r="AM1682" s="71">
        <v>0.85006889807529895</v>
      </c>
      <c r="AN1682" s="70">
        <v>0.99</v>
      </c>
      <c r="AO1682" s="75" t="s">
        <v>1710</v>
      </c>
      <c r="AP1682" s="75" t="s">
        <v>1710</v>
      </c>
      <c r="AQ1682" s="75" t="s">
        <v>1710</v>
      </c>
      <c r="AR1682" s="75">
        <v>1</v>
      </c>
      <c r="AS1682" s="95">
        <v>0.110069253262963</v>
      </c>
      <c r="AT1682" s="79">
        <v>4.5454545454545497E-2</v>
      </c>
      <c r="AU1682" s="79">
        <v>9.5238095238095205E-2</v>
      </c>
      <c r="AV1682" s="79">
        <v>0.12121212121212099</v>
      </c>
      <c r="AW1682" s="79">
        <v>6.0606060606060601E-2</v>
      </c>
      <c r="AX1682" s="56"/>
      <c r="AY1682" s="54"/>
    </row>
    <row r="1683" spans="1:73">
      <c r="A1683" s="53"/>
      <c r="B1683" s="56"/>
      <c r="C1683" s="90" t="s">
        <v>1448</v>
      </c>
      <c r="D1683" s="230" t="s">
        <v>1757</v>
      </c>
      <c r="E1683" s="68" t="s">
        <v>1449</v>
      </c>
      <c r="F1683" s="106" t="s">
        <v>1708</v>
      </c>
      <c r="G1683" s="106" t="s">
        <v>1708</v>
      </c>
      <c r="H1683" s="106" t="s">
        <v>1708</v>
      </c>
      <c r="I1683" s="106" t="s">
        <v>1708</v>
      </c>
      <c r="J1683" s="70">
        <v>0.9</v>
      </c>
      <c r="K1683" s="71" t="s">
        <v>1710</v>
      </c>
      <c r="L1683" s="71" t="s">
        <v>1710</v>
      </c>
      <c r="M1683" s="72" t="s">
        <v>1710</v>
      </c>
      <c r="N1683" s="71" t="s">
        <v>1710</v>
      </c>
      <c r="O1683" s="73">
        <v>0.9</v>
      </c>
      <c r="P1683" s="71" t="s">
        <v>1710</v>
      </c>
      <c r="Q1683" s="71" t="s">
        <v>1710</v>
      </c>
      <c r="R1683" s="71" t="s">
        <v>1710</v>
      </c>
      <c r="S1683" s="71" t="s">
        <v>1710</v>
      </c>
      <c r="T1683" s="73">
        <v>0.9</v>
      </c>
      <c r="U1683" s="71" t="s">
        <v>1710</v>
      </c>
      <c r="V1683" s="71" t="s">
        <v>1710</v>
      </c>
      <c r="W1683" s="71" t="s">
        <v>1710</v>
      </c>
      <c r="X1683" s="71" t="s">
        <v>1710</v>
      </c>
      <c r="Y1683" s="73">
        <v>0.92</v>
      </c>
      <c r="Z1683" s="73" t="s">
        <v>1710</v>
      </c>
      <c r="AA1683" s="73" t="s">
        <v>1710</v>
      </c>
      <c r="AB1683" s="73" t="s">
        <v>1710</v>
      </c>
      <c r="AC1683" s="73" t="s">
        <v>1710</v>
      </c>
      <c r="AD1683" s="73">
        <v>0.92</v>
      </c>
      <c r="AE1683" s="71" t="s">
        <v>1710</v>
      </c>
      <c r="AF1683" s="71" t="s">
        <v>1710</v>
      </c>
      <c r="AG1683" s="71" t="s">
        <v>1710</v>
      </c>
      <c r="AH1683" s="71" t="s">
        <v>1710</v>
      </c>
      <c r="AI1683" s="73">
        <v>0.92</v>
      </c>
      <c r="AJ1683" s="71" t="s">
        <v>1710</v>
      </c>
      <c r="AK1683" s="71" t="s">
        <v>1710</v>
      </c>
      <c r="AL1683" s="71" t="s">
        <v>1710</v>
      </c>
      <c r="AM1683" s="71" t="s">
        <v>1710</v>
      </c>
      <c r="AN1683" s="70">
        <v>0.99</v>
      </c>
      <c r="AO1683" s="75" t="s">
        <v>1710</v>
      </c>
      <c r="AP1683" s="75" t="s">
        <v>1710</v>
      </c>
      <c r="AQ1683" s="75" t="s">
        <v>1710</v>
      </c>
      <c r="AR1683" s="75" t="s">
        <v>1710</v>
      </c>
      <c r="AS1683" s="95">
        <v>0.110069253262963</v>
      </c>
      <c r="AT1683" s="79" t="s">
        <v>1710</v>
      </c>
      <c r="AU1683" s="79" t="s">
        <v>1710</v>
      </c>
      <c r="AV1683" s="79" t="s">
        <v>1710</v>
      </c>
      <c r="AW1683" s="79" t="s">
        <v>1710</v>
      </c>
      <c r="AX1683" s="56"/>
      <c r="AY1683" s="54"/>
    </row>
    <row r="1684" spans="1:73" ht="17.25" customHeight="1">
      <c r="A1684" s="53"/>
      <c r="B1684" s="56"/>
      <c r="C1684" s="167" t="s">
        <v>1709</v>
      </c>
      <c r="D1684" s="168"/>
      <c r="E1684" s="168"/>
      <c r="F1684" s="168"/>
      <c r="G1684" s="168"/>
      <c r="H1684" s="168"/>
      <c r="I1684" s="168"/>
      <c r="J1684" s="136" t="s">
        <v>1710</v>
      </c>
      <c r="K1684" s="137">
        <v>0.92397614938019801</v>
      </c>
      <c r="L1684" s="137">
        <v>0.92454830311628</v>
      </c>
      <c r="M1684" s="137">
        <v>0.91770081770081802</v>
      </c>
      <c r="N1684" s="137">
        <v>0.92399554252069305</v>
      </c>
      <c r="O1684" s="136" t="s">
        <v>1710</v>
      </c>
      <c r="P1684" s="138">
        <v>0.94357663997207397</v>
      </c>
      <c r="Q1684" s="138">
        <v>0.93273521270425797</v>
      </c>
      <c r="R1684" s="138">
        <v>0.92443738822891597</v>
      </c>
      <c r="S1684" s="137">
        <v>0.93738218882774105</v>
      </c>
      <c r="T1684" s="136" t="s">
        <v>1710</v>
      </c>
      <c r="U1684" s="138">
        <v>0.88156097228983799</v>
      </c>
      <c r="V1684" s="138">
        <v>0.86795499867857695</v>
      </c>
      <c r="W1684" s="138">
        <v>0.85778199936536104</v>
      </c>
      <c r="X1684" s="139">
        <v>0.87700579553676905</v>
      </c>
      <c r="Y1684" s="136" t="s">
        <v>1710</v>
      </c>
      <c r="Z1684" s="140">
        <v>0.92764900303380904</v>
      </c>
      <c r="AA1684" s="140">
        <v>0.92391932310694003</v>
      </c>
      <c r="AB1684" s="140">
        <v>0.91019656601806598</v>
      </c>
      <c r="AC1684" s="140">
        <v>0.93092470147996098</v>
      </c>
      <c r="AD1684" s="136" t="s">
        <v>1710</v>
      </c>
      <c r="AE1684" s="138">
        <v>0.97475035485616701</v>
      </c>
      <c r="AF1684" s="138">
        <v>0.95768722451794797</v>
      </c>
      <c r="AG1684" s="138">
        <v>0.97898280087983602</v>
      </c>
      <c r="AH1684" s="139">
        <v>0.96855425783351401</v>
      </c>
      <c r="AI1684" s="136" t="s">
        <v>1710</v>
      </c>
      <c r="AJ1684" s="138">
        <v>0.94425139598095398</v>
      </c>
      <c r="AK1684" s="138">
        <v>0.952198929523139</v>
      </c>
      <c r="AL1684" s="138">
        <v>0.939095515912589</v>
      </c>
      <c r="AM1684" s="139">
        <v>0.95514607541666097</v>
      </c>
      <c r="AN1684" s="136" t="s">
        <v>1710</v>
      </c>
      <c r="AO1684" s="139">
        <v>0.99090156715863598</v>
      </c>
      <c r="AP1684" s="139">
        <v>0.99262099209579602</v>
      </c>
      <c r="AQ1684" s="139">
        <v>0.99054940346714104</v>
      </c>
      <c r="AR1684" s="139">
        <v>0.99186439642235602</v>
      </c>
      <c r="AS1684" s="136" t="s">
        <v>1710</v>
      </c>
      <c r="AT1684" s="139">
        <v>6.4012066365007503E-2</v>
      </c>
      <c r="AU1684" s="139">
        <v>6.8272620446533497E-2</v>
      </c>
      <c r="AV1684" s="139">
        <v>5.36777608376722E-2</v>
      </c>
      <c r="AW1684" s="139">
        <v>5.3195538023996701E-2</v>
      </c>
      <c r="AX1684" s="56"/>
      <c r="AY1684" s="54"/>
    </row>
    <row r="1685" spans="1:73" ht="24" customHeight="1">
      <c r="A1685" s="53"/>
      <c r="B1685" s="56"/>
      <c r="C1685" s="141"/>
      <c r="D1685" s="141"/>
      <c r="E1685" s="141"/>
      <c r="F1685" s="141"/>
      <c r="G1685" s="141"/>
      <c r="H1685" s="141"/>
      <c r="I1685" s="141"/>
      <c r="J1685" s="142"/>
      <c r="K1685" s="142"/>
      <c r="L1685" s="142"/>
      <c r="M1685" s="142"/>
      <c r="N1685" s="142"/>
      <c r="O1685" s="142"/>
      <c r="P1685" s="142"/>
      <c r="Q1685" s="142"/>
      <c r="R1685" s="142"/>
      <c r="S1685" s="142"/>
      <c r="T1685" s="142"/>
      <c r="U1685" s="143"/>
      <c r="V1685" s="142"/>
      <c r="W1685" s="142"/>
      <c r="X1685" s="142"/>
      <c r="Y1685" s="142"/>
      <c r="Z1685" s="142"/>
      <c r="AA1685" s="142"/>
      <c r="AB1685" s="142"/>
      <c r="AC1685" s="142"/>
      <c r="AD1685" s="142"/>
      <c r="AE1685" s="142"/>
      <c r="AF1685" s="142"/>
      <c r="AG1685" s="142"/>
      <c r="AH1685" s="142"/>
      <c r="AI1685" s="142"/>
      <c r="AJ1685" s="142"/>
      <c r="AK1685" s="142"/>
      <c r="AL1685" s="142"/>
      <c r="AM1685" s="142"/>
      <c r="AN1685" s="142"/>
      <c r="AO1685" s="142"/>
      <c r="AP1685" s="142"/>
      <c r="AQ1685" s="142"/>
      <c r="AR1685" s="142"/>
      <c r="AS1685" s="142"/>
      <c r="AT1685" s="142"/>
      <c r="AU1685" s="142"/>
      <c r="AV1685" s="142"/>
      <c r="AW1685" s="142"/>
      <c r="AX1685" s="56"/>
      <c r="AY1685" s="54"/>
    </row>
    <row r="1686" spans="1:73" ht="10.5" customHeight="1">
      <c r="A1686" s="54" t="s">
        <v>1711</v>
      </c>
      <c r="B1686" s="54"/>
      <c r="C1686" s="144"/>
      <c r="D1686" s="144"/>
      <c r="E1686" s="144"/>
      <c r="F1686" s="144"/>
      <c r="G1686" s="144"/>
      <c r="H1686" s="144"/>
      <c r="I1686" s="145"/>
      <c r="J1686" s="146"/>
      <c r="K1686" s="146"/>
      <c r="L1686" s="146"/>
      <c r="M1686" s="146"/>
      <c r="N1686" s="146"/>
      <c r="O1686" s="146"/>
      <c r="P1686" s="146"/>
      <c r="Q1686" s="146"/>
      <c r="R1686" s="146"/>
      <c r="S1686" s="146"/>
      <c r="T1686" s="146"/>
      <c r="U1686" s="146"/>
      <c r="V1686" s="146"/>
      <c r="W1686" s="146"/>
      <c r="X1686" s="146"/>
      <c r="Y1686" s="146"/>
      <c r="Z1686" s="146"/>
      <c r="AA1686" s="146"/>
      <c r="AB1686" s="146"/>
      <c r="AC1686" s="146"/>
      <c r="AD1686" s="146"/>
      <c r="AE1686" s="146"/>
      <c r="AF1686" s="146"/>
      <c r="AG1686" s="146"/>
      <c r="AH1686" s="146"/>
      <c r="AI1686" s="146"/>
      <c r="AJ1686" s="146"/>
      <c r="AK1686" s="146"/>
      <c r="AL1686" s="146"/>
      <c r="AM1686" s="146"/>
      <c r="AN1686" s="146"/>
      <c r="AO1686" s="146"/>
      <c r="AP1686" s="146"/>
      <c r="AQ1686" s="146"/>
      <c r="AR1686" s="146"/>
      <c r="AS1686" s="147"/>
      <c r="AT1686" s="146"/>
      <c r="AU1686" s="146"/>
      <c r="AV1686" s="146"/>
      <c r="AW1686" s="146"/>
      <c r="AX1686" s="54"/>
      <c r="AY1686" s="54"/>
    </row>
    <row r="1687" spans="1:73" ht="409.5" hidden="1" customHeight="1">
      <c r="C1687" s="181" t="s">
        <v>1712</v>
      </c>
      <c r="D1687" s="226"/>
      <c r="E1687" s="182"/>
      <c r="F1687" s="182"/>
      <c r="G1687" s="182"/>
      <c r="H1687" s="182"/>
      <c r="I1687" s="182"/>
      <c r="J1687" s="182"/>
      <c r="K1687" s="182"/>
      <c r="L1687" s="182"/>
      <c r="M1687" s="182"/>
      <c r="N1687" s="182"/>
      <c r="O1687" s="182"/>
      <c r="P1687" s="182"/>
      <c r="Q1687" s="182"/>
      <c r="R1687" s="182"/>
      <c r="S1687" s="182"/>
      <c r="T1687" s="148"/>
      <c r="U1687" s="182" t="s">
        <v>1713</v>
      </c>
      <c r="V1687" s="182"/>
      <c r="W1687" s="182"/>
      <c r="X1687" s="182"/>
      <c r="Y1687" s="182"/>
      <c r="Z1687" s="182"/>
      <c r="AA1687" s="182"/>
      <c r="AB1687" s="182"/>
      <c r="AC1687" s="182"/>
      <c r="AD1687" s="182"/>
      <c r="AE1687" s="182"/>
      <c r="AF1687" s="182"/>
      <c r="AG1687" s="182"/>
      <c r="AH1687" s="182"/>
      <c r="AI1687" s="182"/>
      <c r="AJ1687" s="182"/>
      <c r="AK1687" s="182"/>
      <c r="AL1687" s="182"/>
      <c r="AM1687" s="182"/>
      <c r="AN1687" s="182"/>
      <c r="AO1687" s="182"/>
      <c r="AP1687" s="182"/>
      <c r="AQ1687" s="182"/>
      <c r="AR1687" s="182"/>
      <c r="AS1687" s="182"/>
      <c r="AT1687" s="182"/>
      <c r="AU1687" s="182"/>
      <c r="AV1687" s="182"/>
      <c r="AW1687" s="182"/>
      <c r="AX1687" s="182"/>
      <c r="BE1687" s="183" t="s">
        <v>1714</v>
      </c>
      <c r="BF1687" s="184"/>
      <c r="BG1687" s="184"/>
      <c r="BH1687" s="184"/>
      <c r="BI1687" s="184"/>
      <c r="BJ1687" s="184"/>
      <c r="BK1687" s="184"/>
      <c r="BL1687" s="184"/>
      <c r="BM1687" s="184"/>
      <c r="BN1687" s="184"/>
      <c r="BO1687" s="184"/>
      <c r="BP1687" s="184"/>
      <c r="BQ1687" s="184"/>
      <c r="BR1687" s="184"/>
      <c r="BS1687" s="184"/>
      <c r="BT1687" s="184"/>
      <c r="BU1687" s="185"/>
    </row>
    <row r="1688" spans="1:73" ht="327" hidden="1" customHeight="1">
      <c r="C1688" s="181"/>
      <c r="D1688" s="226"/>
      <c r="E1688" s="182"/>
      <c r="F1688" s="182"/>
      <c r="G1688" s="182"/>
      <c r="H1688" s="182"/>
      <c r="I1688" s="182"/>
      <c r="J1688" s="182"/>
      <c r="K1688" s="182"/>
      <c r="L1688" s="182"/>
      <c r="M1688" s="182"/>
      <c r="N1688" s="182"/>
      <c r="O1688" s="182"/>
      <c r="P1688" s="182"/>
      <c r="Q1688" s="182"/>
      <c r="R1688" s="182"/>
      <c r="S1688" s="182"/>
      <c r="T1688" s="148"/>
      <c r="U1688" s="182"/>
      <c r="V1688" s="182"/>
      <c r="W1688" s="182"/>
      <c r="X1688" s="182"/>
      <c r="Y1688" s="182"/>
      <c r="Z1688" s="182"/>
      <c r="AA1688" s="182"/>
      <c r="AB1688" s="182"/>
      <c r="AC1688" s="182"/>
      <c r="AD1688" s="182"/>
      <c r="AE1688" s="182"/>
      <c r="AF1688" s="182"/>
      <c r="AG1688" s="182"/>
      <c r="AH1688" s="182"/>
      <c r="AI1688" s="182"/>
      <c r="AJ1688" s="182"/>
      <c r="AK1688" s="182"/>
      <c r="AL1688" s="182"/>
      <c r="AM1688" s="182"/>
      <c r="AN1688" s="182"/>
      <c r="AO1688" s="182"/>
      <c r="AP1688" s="182"/>
      <c r="AQ1688" s="182"/>
      <c r="AR1688" s="182"/>
      <c r="AS1688" s="182"/>
      <c r="AT1688" s="182"/>
      <c r="AU1688" s="182"/>
      <c r="AV1688" s="182"/>
      <c r="AW1688" s="182"/>
      <c r="AX1688" s="182"/>
      <c r="BE1688" s="186"/>
      <c r="BF1688" s="187"/>
      <c r="BG1688" s="187"/>
      <c r="BH1688" s="187"/>
      <c r="BI1688" s="187"/>
      <c r="BJ1688" s="187"/>
      <c r="BK1688" s="187"/>
      <c r="BL1688" s="187"/>
      <c r="BM1688" s="187"/>
      <c r="BN1688" s="187"/>
      <c r="BO1688" s="187"/>
      <c r="BP1688" s="187"/>
      <c r="BQ1688" s="187"/>
      <c r="BR1688" s="187"/>
      <c r="BS1688" s="187"/>
      <c r="BT1688" s="187"/>
      <c r="BU1688" s="188"/>
    </row>
  </sheetData>
  <autoFilter ref="C8:AW1684" xr:uid="{00000000-0009-0000-0000-000000000000}"/>
  <mergeCells count="25">
    <mergeCell ref="B1:AX2"/>
    <mergeCell ref="C1687:S1688"/>
    <mergeCell ref="U1687:AX1688"/>
    <mergeCell ref="BE1687:BU1688"/>
    <mergeCell ref="D6:D8"/>
    <mergeCell ref="AI7:AM7"/>
    <mergeCell ref="AN7:AR7"/>
    <mergeCell ref="AS7:AW7"/>
    <mergeCell ref="C1684:I1684"/>
    <mergeCell ref="C6:C8"/>
    <mergeCell ref="E6:E8"/>
    <mergeCell ref="F6:F8"/>
    <mergeCell ref="G6:G8"/>
    <mergeCell ref="I6:I8"/>
    <mergeCell ref="J7:N7"/>
    <mergeCell ref="O7:S7"/>
    <mergeCell ref="T7:X7"/>
    <mergeCell ref="Y7:AC7"/>
    <mergeCell ref="AD7:AH7"/>
    <mergeCell ref="C4:S4"/>
    <mergeCell ref="U4:AW4"/>
    <mergeCell ref="J6:X6"/>
    <mergeCell ref="Y6:AC6"/>
    <mergeCell ref="AD6:AM6"/>
    <mergeCell ref="AN6:AW6"/>
  </mergeCells>
  <conditionalFormatting sqref="F368:F372">
    <cfRule type="duplicateValues" dxfId="227" priority="242"/>
  </conditionalFormatting>
  <conditionalFormatting sqref="F370:F372">
    <cfRule type="duplicateValues" dxfId="226" priority="243"/>
  </conditionalFormatting>
  <conditionalFormatting sqref="F372">
    <cfRule type="duplicateValues" dxfId="225" priority="244"/>
  </conditionalFormatting>
  <conditionalFormatting sqref="F380:F384">
    <cfRule type="duplicateValues" dxfId="224" priority="245"/>
  </conditionalFormatting>
  <conditionalFormatting sqref="F402">
    <cfRule type="duplicateValues" dxfId="223" priority="241"/>
  </conditionalFormatting>
  <conditionalFormatting sqref="F461">
    <cfRule type="duplicateValues" dxfId="222" priority="238"/>
  </conditionalFormatting>
  <conditionalFormatting sqref="F470:F472">
    <cfRule type="duplicateValues" dxfId="221" priority="239"/>
  </conditionalFormatting>
  <conditionalFormatting sqref="F473">
    <cfRule type="duplicateValues" dxfId="220" priority="237"/>
  </conditionalFormatting>
  <conditionalFormatting sqref="F480:F481">
    <cfRule type="duplicateValues" dxfId="219" priority="236"/>
  </conditionalFormatting>
  <conditionalFormatting sqref="F482:F483">
    <cfRule type="duplicateValues" dxfId="218" priority="235"/>
  </conditionalFormatting>
  <conditionalFormatting sqref="F484:F485">
    <cfRule type="duplicateValues" dxfId="217" priority="234"/>
  </conditionalFormatting>
  <conditionalFormatting sqref="F486">
    <cfRule type="duplicateValues" dxfId="216" priority="233"/>
  </conditionalFormatting>
  <conditionalFormatting sqref="F506">
    <cfRule type="duplicateValues" dxfId="215" priority="231"/>
  </conditionalFormatting>
  <conditionalFormatting sqref="F515:F519">
    <cfRule type="duplicateValues" dxfId="214" priority="229"/>
  </conditionalFormatting>
  <conditionalFormatting sqref="F518:F519">
    <cfRule type="duplicateValues" dxfId="213" priority="230"/>
  </conditionalFormatting>
  <conditionalFormatting sqref="F537:F538">
    <cfRule type="duplicateValues" dxfId="212" priority="228"/>
  </conditionalFormatting>
  <conditionalFormatting sqref="F549">
    <cfRule type="duplicateValues" dxfId="211" priority="227"/>
  </conditionalFormatting>
  <conditionalFormatting sqref="F550:F551">
    <cfRule type="duplicateValues" dxfId="210" priority="226"/>
  </conditionalFormatting>
  <conditionalFormatting sqref="F552">
    <cfRule type="duplicateValues" dxfId="209" priority="225"/>
  </conditionalFormatting>
  <conditionalFormatting sqref="F585:F587">
    <cfRule type="duplicateValues" dxfId="208" priority="224"/>
  </conditionalFormatting>
  <conditionalFormatting sqref="F596">
    <cfRule type="duplicateValues" dxfId="207" priority="223"/>
  </conditionalFormatting>
  <conditionalFormatting sqref="F598:F601">
    <cfRule type="duplicateValues" dxfId="206" priority="222"/>
  </conditionalFormatting>
  <conditionalFormatting sqref="F602:F605">
    <cfRule type="duplicateValues" dxfId="205" priority="221"/>
  </conditionalFormatting>
  <conditionalFormatting sqref="F602:F609">
    <cfRule type="duplicateValues" dxfId="204" priority="232"/>
  </conditionalFormatting>
  <conditionalFormatting sqref="F622">
    <cfRule type="duplicateValues" dxfId="203" priority="220"/>
  </conditionalFormatting>
  <conditionalFormatting sqref="F623">
    <cfRule type="duplicateValues" dxfId="202" priority="219"/>
  </conditionalFormatting>
  <conditionalFormatting sqref="F624:F625">
    <cfRule type="duplicateValues" dxfId="201" priority="218"/>
  </conditionalFormatting>
  <conditionalFormatting sqref="F637">
    <cfRule type="duplicateValues" dxfId="200" priority="217"/>
  </conditionalFormatting>
  <conditionalFormatting sqref="F639">
    <cfRule type="duplicateValues" dxfId="199" priority="216"/>
  </conditionalFormatting>
  <conditionalFormatting sqref="F641">
    <cfRule type="duplicateValues" dxfId="198" priority="215"/>
  </conditionalFormatting>
  <conditionalFormatting sqref="F643:F898">
    <cfRule type="duplicateValues" dxfId="197" priority="119"/>
  </conditionalFormatting>
  <conditionalFormatting sqref="G368:G372">
    <cfRule type="duplicateValues" dxfId="196" priority="211"/>
  </conditionalFormatting>
  <conditionalFormatting sqref="G370:G372">
    <cfRule type="duplicateValues" dxfId="195" priority="212"/>
  </conditionalFormatting>
  <conditionalFormatting sqref="G372">
    <cfRule type="duplicateValues" dxfId="194" priority="213"/>
  </conditionalFormatting>
  <conditionalFormatting sqref="G380:G384">
    <cfRule type="duplicateValues" dxfId="193" priority="214"/>
  </conditionalFormatting>
  <conditionalFormatting sqref="G402">
    <cfRule type="duplicateValues" dxfId="192" priority="210"/>
  </conditionalFormatting>
  <conditionalFormatting sqref="G461">
    <cfRule type="duplicateValues" dxfId="191" priority="207"/>
  </conditionalFormatting>
  <conditionalFormatting sqref="G470:G472">
    <cfRule type="duplicateValues" dxfId="190" priority="208"/>
  </conditionalFormatting>
  <conditionalFormatting sqref="G473">
    <cfRule type="duplicateValues" dxfId="189" priority="206"/>
  </conditionalFormatting>
  <conditionalFormatting sqref="G480:G481">
    <cfRule type="duplicateValues" dxfId="188" priority="205"/>
  </conditionalFormatting>
  <conditionalFormatting sqref="G482:G483">
    <cfRule type="duplicateValues" dxfId="187" priority="204"/>
  </conditionalFormatting>
  <conditionalFormatting sqref="G484:G485">
    <cfRule type="duplicateValues" dxfId="186" priority="203"/>
  </conditionalFormatting>
  <conditionalFormatting sqref="G486">
    <cfRule type="duplicateValues" dxfId="185" priority="202"/>
  </conditionalFormatting>
  <conditionalFormatting sqref="G506">
    <cfRule type="duplicateValues" dxfId="184" priority="200"/>
  </conditionalFormatting>
  <conditionalFormatting sqref="G515:G519">
    <cfRule type="duplicateValues" dxfId="183" priority="198"/>
  </conditionalFormatting>
  <conditionalFormatting sqref="G518:G519">
    <cfRule type="duplicateValues" dxfId="182" priority="199"/>
  </conditionalFormatting>
  <conditionalFormatting sqref="G537:G538">
    <cfRule type="duplicateValues" dxfId="181" priority="197"/>
  </conditionalFormatting>
  <conditionalFormatting sqref="G549">
    <cfRule type="duplicateValues" dxfId="180" priority="196"/>
  </conditionalFormatting>
  <conditionalFormatting sqref="G550:G551">
    <cfRule type="duplicateValues" dxfId="179" priority="195"/>
  </conditionalFormatting>
  <conditionalFormatting sqref="G552">
    <cfRule type="duplicateValues" dxfId="178" priority="194"/>
  </conditionalFormatting>
  <conditionalFormatting sqref="G585:G587">
    <cfRule type="duplicateValues" dxfId="177" priority="193"/>
  </conditionalFormatting>
  <conditionalFormatting sqref="G596">
    <cfRule type="duplicateValues" dxfId="176" priority="192"/>
  </conditionalFormatting>
  <conditionalFormatting sqref="G598:G601">
    <cfRule type="duplicateValues" dxfId="175" priority="191"/>
  </conditionalFormatting>
  <conditionalFormatting sqref="G602:G605">
    <cfRule type="duplicateValues" dxfId="174" priority="190"/>
  </conditionalFormatting>
  <conditionalFormatting sqref="G602:G609">
    <cfRule type="duplicateValues" dxfId="173" priority="201"/>
  </conditionalFormatting>
  <conditionalFormatting sqref="G622">
    <cfRule type="duplicateValues" dxfId="172" priority="189"/>
  </conditionalFormatting>
  <conditionalFormatting sqref="G623">
    <cfRule type="duplicateValues" dxfId="171" priority="188"/>
  </conditionalFormatting>
  <conditionalFormatting sqref="G624:G625">
    <cfRule type="duplicateValues" dxfId="170" priority="187"/>
  </conditionalFormatting>
  <conditionalFormatting sqref="G637">
    <cfRule type="duplicateValues" dxfId="169" priority="186"/>
  </conditionalFormatting>
  <conditionalFormatting sqref="G639">
    <cfRule type="duplicateValues" dxfId="168" priority="185"/>
  </conditionalFormatting>
  <conditionalFormatting sqref="G641">
    <cfRule type="duplicateValues" dxfId="167" priority="184"/>
  </conditionalFormatting>
  <conditionalFormatting sqref="G643:G898">
    <cfRule type="duplicateValues" dxfId="166" priority="118"/>
  </conditionalFormatting>
  <conditionalFormatting sqref="H368:H372">
    <cfRule type="duplicateValues" dxfId="165" priority="180"/>
  </conditionalFormatting>
  <conditionalFormatting sqref="H370:H372">
    <cfRule type="duplicateValues" dxfId="164" priority="181"/>
  </conditionalFormatting>
  <conditionalFormatting sqref="H372">
    <cfRule type="duplicateValues" dxfId="163" priority="182"/>
  </conditionalFormatting>
  <conditionalFormatting sqref="H380:H384">
    <cfRule type="duplicateValues" dxfId="162" priority="183"/>
  </conditionalFormatting>
  <conditionalFormatting sqref="H402">
    <cfRule type="duplicateValues" dxfId="161" priority="179"/>
  </conditionalFormatting>
  <conditionalFormatting sqref="H461">
    <cfRule type="duplicateValues" dxfId="160" priority="176"/>
  </conditionalFormatting>
  <conditionalFormatting sqref="H470:H472">
    <cfRule type="duplicateValues" dxfId="159" priority="177"/>
  </conditionalFormatting>
  <conditionalFormatting sqref="H473">
    <cfRule type="duplicateValues" dxfId="158" priority="175"/>
  </conditionalFormatting>
  <conditionalFormatting sqref="H480:H481">
    <cfRule type="duplicateValues" dxfId="157" priority="174"/>
  </conditionalFormatting>
  <conditionalFormatting sqref="H482:H483">
    <cfRule type="duplicateValues" dxfId="156" priority="173"/>
  </conditionalFormatting>
  <conditionalFormatting sqref="H484:H485">
    <cfRule type="duplicateValues" dxfId="155" priority="172"/>
  </conditionalFormatting>
  <conditionalFormatting sqref="H486">
    <cfRule type="duplicateValues" dxfId="154" priority="171"/>
  </conditionalFormatting>
  <conditionalFormatting sqref="H506">
    <cfRule type="duplicateValues" dxfId="153" priority="169"/>
  </conditionalFormatting>
  <conditionalFormatting sqref="H515:H519">
    <cfRule type="duplicateValues" dxfId="152" priority="167"/>
  </conditionalFormatting>
  <conditionalFormatting sqref="H518:H519">
    <cfRule type="duplicateValues" dxfId="151" priority="168"/>
  </conditionalFormatting>
  <conditionalFormatting sqref="H537:H538">
    <cfRule type="duplicateValues" dxfId="150" priority="166"/>
  </conditionalFormatting>
  <conditionalFormatting sqref="H549">
    <cfRule type="duplicateValues" dxfId="149" priority="165"/>
  </conditionalFormatting>
  <conditionalFormatting sqref="H550:H551">
    <cfRule type="duplicateValues" dxfId="148" priority="164"/>
  </conditionalFormatting>
  <conditionalFormatting sqref="H552">
    <cfRule type="duplicateValues" dxfId="147" priority="163"/>
  </conditionalFormatting>
  <conditionalFormatting sqref="H585:H587">
    <cfRule type="duplicateValues" dxfId="146" priority="162"/>
  </conditionalFormatting>
  <conditionalFormatting sqref="H596">
    <cfRule type="duplicateValues" dxfId="145" priority="161"/>
  </conditionalFormatting>
  <conditionalFormatting sqref="H598:H601">
    <cfRule type="duplicateValues" dxfId="144" priority="160"/>
  </conditionalFormatting>
  <conditionalFormatting sqref="H602:H605">
    <cfRule type="duplicateValues" dxfId="143" priority="159"/>
  </conditionalFormatting>
  <conditionalFormatting sqref="H602:H609">
    <cfRule type="duplicateValues" dxfId="142" priority="170"/>
  </conditionalFormatting>
  <conditionalFormatting sqref="H622">
    <cfRule type="duplicateValues" dxfId="141" priority="158"/>
  </conditionalFormatting>
  <conditionalFormatting sqref="H623">
    <cfRule type="duplicateValues" dxfId="140" priority="157"/>
  </conditionalFormatting>
  <conditionalFormatting sqref="H624:H625">
    <cfRule type="duplicateValues" dxfId="139" priority="156"/>
  </conditionalFormatting>
  <conditionalFormatting sqref="H637">
    <cfRule type="duplicateValues" dxfId="138" priority="155"/>
  </conditionalFormatting>
  <conditionalFormatting sqref="H639">
    <cfRule type="duplicateValues" dxfId="137" priority="154"/>
  </conditionalFormatting>
  <conditionalFormatting sqref="H641">
    <cfRule type="duplicateValues" dxfId="136" priority="153"/>
  </conditionalFormatting>
  <conditionalFormatting sqref="H643:H898">
    <cfRule type="duplicateValues" dxfId="135" priority="117"/>
  </conditionalFormatting>
  <conditionalFormatting sqref="I368:I372">
    <cfRule type="duplicateValues" dxfId="134" priority="149"/>
  </conditionalFormatting>
  <conditionalFormatting sqref="I370:I372">
    <cfRule type="duplicateValues" dxfId="133" priority="150"/>
  </conditionalFormatting>
  <conditionalFormatting sqref="I372">
    <cfRule type="duplicateValues" dxfId="132" priority="151"/>
  </conditionalFormatting>
  <conditionalFormatting sqref="I380:I384">
    <cfRule type="duplicateValues" dxfId="131" priority="152"/>
  </conditionalFormatting>
  <conditionalFormatting sqref="I402">
    <cfRule type="duplicateValues" dxfId="130" priority="148"/>
  </conditionalFormatting>
  <conditionalFormatting sqref="I461">
    <cfRule type="duplicateValues" dxfId="129" priority="145"/>
  </conditionalFormatting>
  <conditionalFormatting sqref="I470:I472">
    <cfRule type="duplicateValues" dxfId="128" priority="146"/>
  </conditionalFormatting>
  <conditionalFormatting sqref="I473">
    <cfRule type="duplicateValues" dxfId="127" priority="144"/>
  </conditionalFormatting>
  <conditionalFormatting sqref="I480:I481">
    <cfRule type="duplicateValues" dxfId="126" priority="143"/>
  </conditionalFormatting>
  <conditionalFormatting sqref="I482:I483">
    <cfRule type="duplicateValues" dxfId="125" priority="142"/>
  </conditionalFormatting>
  <conditionalFormatting sqref="I484:I485">
    <cfRule type="duplicateValues" dxfId="124" priority="141"/>
  </conditionalFormatting>
  <conditionalFormatting sqref="I486">
    <cfRule type="duplicateValues" dxfId="123" priority="140"/>
  </conditionalFormatting>
  <conditionalFormatting sqref="I506">
    <cfRule type="duplicateValues" dxfId="122" priority="138"/>
  </conditionalFormatting>
  <conditionalFormatting sqref="I515:I519">
    <cfRule type="duplicateValues" dxfId="121" priority="136"/>
  </conditionalFormatting>
  <conditionalFormatting sqref="I518:I519">
    <cfRule type="duplicateValues" dxfId="120" priority="137"/>
  </conditionalFormatting>
  <conditionalFormatting sqref="I537:I538">
    <cfRule type="duplicateValues" dxfId="119" priority="135"/>
  </conditionalFormatting>
  <conditionalFormatting sqref="I549">
    <cfRule type="duplicateValues" dxfId="118" priority="134"/>
  </conditionalFormatting>
  <conditionalFormatting sqref="I550:I551">
    <cfRule type="duplicateValues" dxfId="117" priority="133"/>
  </conditionalFormatting>
  <conditionalFormatting sqref="I552">
    <cfRule type="duplicateValues" dxfId="116" priority="132"/>
  </conditionalFormatting>
  <conditionalFormatting sqref="I585:I587">
    <cfRule type="duplicateValues" dxfId="115" priority="131"/>
  </conditionalFormatting>
  <conditionalFormatting sqref="I596">
    <cfRule type="duplicateValues" dxfId="114" priority="130"/>
  </conditionalFormatting>
  <conditionalFormatting sqref="I598:I601">
    <cfRule type="duplicateValues" dxfId="113" priority="129"/>
  </conditionalFormatting>
  <conditionalFormatting sqref="I602:I605">
    <cfRule type="duplicateValues" dxfId="112" priority="128"/>
  </conditionalFormatting>
  <conditionalFormatting sqref="I602:I609">
    <cfRule type="duplicateValues" dxfId="111" priority="139"/>
  </conditionalFormatting>
  <conditionalFormatting sqref="I622">
    <cfRule type="duplicateValues" dxfId="110" priority="127"/>
  </conditionalFormatting>
  <conditionalFormatting sqref="I623">
    <cfRule type="duplicateValues" dxfId="109" priority="126"/>
  </conditionalFormatting>
  <conditionalFormatting sqref="I624:I625">
    <cfRule type="duplicateValues" dxfId="108" priority="125"/>
  </conditionalFormatting>
  <conditionalFormatting sqref="I637">
    <cfRule type="duplicateValues" dxfId="107" priority="124"/>
  </conditionalFormatting>
  <conditionalFormatting sqref="I639">
    <cfRule type="duplicateValues" dxfId="106" priority="123"/>
  </conditionalFormatting>
  <conditionalFormatting sqref="I641">
    <cfRule type="duplicateValues" dxfId="105" priority="122"/>
  </conditionalFormatting>
  <conditionalFormatting sqref="I643:I898">
    <cfRule type="duplicateValues" dxfId="104" priority="116"/>
  </conditionalFormatting>
  <conditionalFormatting sqref="J80:J187">
    <cfRule type="cellIs" dxfId="103" priority="113" operator="greaterThan">
      <formula>0.97</formula>
    </cfRule>
  </conditionalFormatting>
  <conditionalFormatting sqref="J189:J236">
    <cfRule type="cellIs" dxfId="102" priority="112" operator="greaterThan">
      <formula>0.97</formula>
    </cfRule>
  </conditionalFormatting>
  <conditionalFormatting sqref="J238:J325">
    <cfRule type="cellIs" dxfId="101" priority="111" operator="greaterThan">
      <formula>0.97</formula>
    </cfRule>
  </conditionalFormatting>
  <conditionalFormatting sqref="J327:J349">
    <cfRule type="cellIs" dxfId="100" priority="107" operator="greaterThan">
      <formula>0.96</formula>
    </cfRule>
    <cfRule type="cellIs" dxfId="99" priority="108" operator="greaterThan">
      <formula>0.97</formula>
    </cfRule>
  </conditionalFormatting>
  <conditionalFormatting sqref="J351:J641">
    <cfRule type="cellIs" dxfId="98" priority="121" operator="greaterThan">
      <formula>0.97</formula>
    </cfRule>
  </conditionalFormatting>
  <conditionalFormatting sqref="J643:J898">
    <cfRule type="cellIs" dxfId="97" priority="115" operator="greaterThan">
      <formula>0.97</formula>
    </cfRule>
  </conditionalFormatting>
  <conditionalFormatting sqref="J900:J1055">
    <cfRule type="cellIs" dxfId="96" priority="120" operator="greaterThan">
      <formula>0.97</formula>
    </cfRule>
  </conditionalFormatting>
  <conditionalFormatting sqref="J1057:J1423">
    <cfRule type="cellIs" dxfId="95" priority="110" operator="greaterThan">
      <formula>0.97</formula>
    </cfRule>
  </conditionalFormatting>
  <conditionalFormatting sqref="J1425:J1683">
    <cfRule type="cellIs" dxfId="94" priority="109" operator="greaterThan">
      <formula>0.97</formula>
    </cfRule>
  </conditionalFormatting>
  <conditionalFormatting sqref="J1686:AR1686">
    <cfRule type="cellIs" dxfId="93" priority="246" operator="greaterThan">
      <formula>0.97</formula>
    </cfRule>
  </conditionalFormatting>
  <conditionalFormatting sqref="K9:N1683">
    <cfRule type="cellIs" dxfId="92" priority="59" operator="lessThan">
      <formula>0.9</formula>
    </cfRule>
    <cfRule type="cellIs" dxfId="91" priority="60" operator="greaterThan">
      <formula>0.9</formula>
    </cfRule>
  </conditionalFormatting>
  <conditionalFormatting sqref="O80:O1683">
    <cfRule type="cellIs" dxfId="90" priority="105" operator="greaterThan">
      <formula>0.96</formula>
    </cfRule>
    <cfRule type="cellIs" dxfId="89" priority="106" operator="greaterThan">
      <formula>0.97</formula>
    </cfRule>
  </conditionalFormatting>
  <conditionalFormatting sqref="P9:S1683">
    <cfRule type="cellIs" dxfId="88" priority="57" operator="lessThan">
      <formula>0.9</formula>
    </cfRule>
    <cfRule type="cellIs" dxfId="87" priority="58" operator="greaterThan">
      <formula>0.9</formula>
    </cfRule>
  </conditionalFormatting>
  <conditionalFormatting sqref="U9:X1683">
    <cfRule type="cellIs" dxfId="86" priority="23" operator="lessThan">
      <formula>0.9</formula>
    </cfRule>
    <cfRule type="cellIs" dxfId="85" priority="24" operator="greaterThan">
      <formula>0.9</formula>
    </cfRule>
  </conditionalFormatting>
  <conditionalFormatting sqref="Y9:Y1683">
    <cfRule type="cellIs" dxfId="84" priority="27" operator="greaterThan">
      <formula>0.96</formula>
    </cfRule>
    <cfRule type="cellIs" dxfId="83" priority="28" operator="greaterThan">
      <formula>0.97</formula>
    </cfRule>
  </conditionalFormatting>
  <conditionalFormatting sqref="Z9:AC1683">
    <cfRule type="cellIs" dxfId="82" priority="21" operator="lessThan">
      <formula>0.9</formula>
    </cfRule>
    <cfRule type="cellIs" dxfId="81" priority="22" operator="greaterThan">
      <formula>0.9</formula>
    </cfRule>
  </conditionalFormatting>
  <conditionalFormatting sqref="AD9:AD78">
    <cfRule type="cellIs" dxfId="80" priority="103" operator="greaterThan">
      <formula>0.96</formula>
    </cfRule>
    <cfRule type="cellIs" dxfId="79" priority="104" operator="greaterThan">
      <formula>0.97</formula>
    </cfRule>
  </conditionalFormatting>
  <conditionalFormatting sqref="AD80:AD325">
    <cfRule type="cellIs" dxfId="78" priority="101" operator="greaterThan">
      <formula>0.96</formula>
    </cfRule>
    <cfRule type="cellIs" dxfId="77" priority="102" operator="greaterThan">
      <formula>0.97</formula>
    </cfRule>
  </conditionalFormatting>
  <conditionalFormatting sqref="AD327:AD349">
    <cfRule type="cellIs" dxfId="76" priority="61" operator="greaterThan">
      <formula>0.96</formula>
    </cfRule>
    <cfRule type="cellIs" dxfId="75" priority="62" operator="greaterThan">
      <formula>0.97</formula>
    </cfRule>
  </conditionalFormatting>
  <conditionalFormatting sqref="AD351:AD641">
    <cfRule type="cellIs" dxfId="74" priority="99" operator="greaterThan">
      <formula>0.96</formula>
    </cfRule>
    <cfRule type="cellIs" dxfId="73" priority="100" operator="greaterThan">
      <formula>0.97</formula>
    </cfRule>
  </conditionalFormatting>
  <conditionalFormatting sqref="AD643:AD898">
    <cfRule type="cellIs" dxfId="72" priority="97" operator="greaterThan">
      <formula>0.96</formula>
    </cfRule>
    <cfRule type="cellIs" dxfId="71" priority="98" operator="greaterThan">
      <formula>0.97</formula>
    </cfRule>
  </conditionalFormatting>
  <conditionalFormatting sqref="AD900:AD1055">
    <cfRule type="cellIs" dxfId="70" priority="95" operator="greaterThan">
      <formula>0.96</formula>
    </cfRule>
    <cfRule type="cellIs" dxfId="69" priority="96" operator="greaterThan">
      <formula>0.97</formula>
    </cfRule>
  </conditionalFormatting>
  <conditionalFormatting sqref="AD1057:AD1423">
    <cfRule type="cellIs" dxfId="68" priority="93" operator="greaterThan">
      <formula>0.96</formula>
    </cfRule>
    <cfRule type="cellIs" dxfId="67" priority="94" operator="greaterThan">
      <formula>0.97</formula>
    </cfRule>
  </conditionalFormatting>
  <conditionalFormatting sqref="AD1425:AD1683">
    <cfRule type="cellIs" dxfId="66" priority="91" operator="greaterThan">
      <formula>0.96</formula>
    </cfRule>
    <cfRule type="cellIs" dxfId="65" priority="92" operator="greaterThan">
      <formula>0.97</formula>
    </cfRule>
  </conditionalFormatting>
  <conditionalFormatting sqref="AE9:AH1683">
    <cfRule type="cellIs" dxfId="64" priority="53" operator="lessThan">
      <formula>0.92</formula>
    </cfRule>
    <cfRule type="cellIs" dxfId="63" priority="54" operator="greaterThan">
      <formula>0.92</formula>
    </cfRule>
  </conditionalFormatting>
  <conditionalFormatting sqref="AI9:AI325">
    <cfRule type="cellIs" dxfId="62" priority="89" operator="greaterThan">
      <formula>0.96</formula>
    </cfRule>
    <cfRule type="cellIs" dxfId="61" priority="90" operator="greaterThan">
      <formula>0.97</formula>
    </cfRule>
  </conditionalFormatting>
  <conditionalFormatting sqref="AI327:AI349">
    <cfRule type="cellIs" dxfId="60" priority="83" operator="greaterThan">
      <formula>0.96</formula>
    </cfRule>
    <cfRule type="cellIs" dxfId="59" priority="84" operator="greaterThan">
      <formula>0.97</formula>
    </cfRule>
  </conditionalFormatting>
  <conditionalFormatting sqref="AJ9:AM1683">
    <cfRule type="cellIs" dxfId="58" priority="51" operator="lessThan">
      <formula>0.92</formula>
    </cfRule>
    <cfRule type="cellIs" dxfId="57" priority="52" operator="greaterThan">
      <formula>0.92</formula>
    </cfRule>
  </conditionalFormatting>
  <conditionalFormatting sqref="AO9:AR1683">
    <cfRule type="cellIs" dxfId="56" priority="49" operator="lessThan">
      <formula>0.99</formula>
    </cfRule>
    <cfRule type="cellIs" dxfId="55" priority="50" operator="greaterThan">
      <formula>0.99</formula>
    </cfRule>
  </conditionalFormatting>
  <conditionalFormatting sqref="AT9:AW78">
    <cfRule type="cellIs" dxfId="54" priority="19" operator="lessThan">
      <formula>$AS$9</formula>
    </cfRule>
    <cfRule type="cellIs" dxfId="53" priority="20" operator="greaterThan">
      <formula>$AS$9</formula>
    </cfRule>
  </conditionalFormatting>
  <conditionalFormatting sqref="AT80:AW187">
    <cfRule type="cellIs" dxfId="52" priority="17" operator="lessThan">
      <formula>$AS$80</formula>
    </cfRule>
    <cfRule type="cellIs" dxfId="51" priority="18" operator="greaterThan">
      <formula>$AS$80</formula>
    </cfRule>
  </conditionalFormatting>
  <conditionalFormatting sqref="AT189:AW236">
    <cfRule type="cellIs" dxfId="50" priority="15" operator="lessThan">
      <formula>$AS$189</formula>
    </cfRule>
    <cfRule type="cellIs" dxfId="49" priority="16" operator="greaterThan">
      <formula>$AS$189</formula>
    </cfRule>
  </conditionalFormatting>
  <conditionalFormatting sqref="AT238:AW325">
    <cfRule type="cellIs" dxfId="48" priority="13" operator="lessThan">
      <formula>$AS$238</formula>
    </cfRule>
    <cfRule type="cellIs" dxfId="47" priority="14" operator="greaterThan">
      <formula>$AS$238</formula>
    </cfRule>
  </conditionalFormatting>
  <conditionalFormatting sqref="AT327:AW349">
    <cfRule type="cellIs" dxfId="46" priority="11" operator="lessThan">
      <formula>$AS$327</formula>
    </cfRule>
    <cfRule type="cellIs" dxfId="45" priority="12" operator="greaterThan">
      <formula>$AS$327</formula>
    </cfRule>
  </conditionalFormatting>
  <conditionalFormatting sqref="AT351:AW641">
    <cfRule type="cellIs" dxfId="44" priority="9" operator="lessThan">
      <formula>$AS$351</formula>
    </cfRule>
    <cfRule type="cellIs" dxfId="43" priority="10" operator="greaterThan">
      <formula>$AS$351</formula>
    </cfRule>
  </conditionalFormatting>
  <conditionalFormatting sqref="AT643:AW898">
    <cfRule type="cellIs" dxfId="42" priority="7" operator="lessThan">
      <formula>$AS$643</formula>
    </cfRule>
    <cfRule type="cellIs" dxfId="41" priority="8" operator="greaterThan">
      <formula>$AS$643</formula>
    </cfRule>
  </conditionalFormatting>
  <conditionalFormatting sqref="AT900:AW1055">
    <cfRule type="cellIs" dxfId="40" priority="5" operator="lessThan">
      <formula>$AS$900</formula>
    </cfRule>
    <cfRule type="cellIs" dxfId="39" priority="6" operator="greaterThan">
      <formula>$AS$900</formula>
    </cfRule>
  </conditionalFormatting>
  <conditionalFormatting sqref="AT1057:AW1423">
    <cfRule type="cellIs" dxfId="38" priority="3" operator="lessThan">
      <formula>$AS$1057</formula>
    </cfRule>
    <cfRule type="cellIs" dxfId="37" priority="4" operator="greaterThan">
      <formula>$AS$1057</formula>
    </cfRule>
  </conditionalFormatting>
  <conditionalFormatting sqref="AT1425:AW1683">
    <cfRule type="cellIs" dxfId="36" priority="1" operator="lessThan">
      <formula>$AS$1425</formula>
    </cfRule>
    <cfRule type="cellIs" dxfId="35" priority="2" operator="greaterThan">
      <formula>$AS$1425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15"/>
  <sheetViews>
    <sheetView topLeftCell="G4" workbookViewId="0">
      <selection activeCell="F10" sqref="F10"/>
    </sheetView>
  </sheetViews>
  <sheetFormatPr defaultColWidth="8.77734375" defaultRowHeight="14.4"/>
  <cols>
    <col min="2" max="2" width="12.21875" customWidth="1"/>
    <col min="3" max="3" width="21" customWidth="1"/>
    <col min="4" max="4" width="14.6640625" customWidth="1"/>
    <col min="5" max="5" width="10.88671875" customWidth="1"/>
    <col min="6" max="8" width="11.33203125" customWidth="1"/>
    <col min="9" max="9" width="12.6640625" customWidth="1"/>
    <col min="10" max="10" width="8.77734375" customWidth="1"/>
    <col min="11" max="13" width="11.33203125" customWidth="1"/>
    <col min="14" max="14" width="12.5546875" customWidth="1"/>
    <col min="15" max="15" width="8.77734375" customWidth="1"/>
    <col min="16" max="17" width="11.33203125"/>
    <col min="18" max="18" width="11.44140625" customWidth="1"/>
    <col min="19" max="19" width="12.5546875" customWidth="1"/>
  </cols>
  <sheetData>
    <row r="2" spans="2:19" ht="40.950000000000003" customHeight="1">
      <c r="B2" s="196" t="s">
        <v>1715</v>
      </c>
      <c r="C2" s="189" t="s">
        <v>1716</v>
      </c>
      <c r="D2" s="189" t="s">
        <v>1717</v>
      </c>
      <c r="E2" s="189" t="s">
        <v>1718</v>
      </c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90"/>
      <c r="S2" s="191"/>
    </row>
    <row r="3" spans="2:19" ht="36" customHeight="1">
      <c r="B3" s="197"/>
      <c r="C3" s="172"/>
      <c r="D3" s="172"/>
      <c r="E3" s="172" t="s">
        <v>1719</v>
      </c>
      <c r="F3" s="172"/>
      <c r="G3" s="172"/>
      <c r="H3" s="172"/>
      <c r="I3" s="172"/>
      <c r="J3" s="172" t="s">
        <v>1720</v>
      </c>
      <c r="K3" s="172"/>
      <c r="L3" s="172"/>
      <c r="M3" s="172"/>
      <c r="N3" s="172"/>
      <c r="O3" s="172" t="s">
        <v>1721</v>
      </c>
      <c r="P3" s="172"/>
      <c r="Q3" s="172"/>
      <c r="R3" s="192"/>
      <c r="S3" s="193"/>
    </row>
    <row r="4" spans="2:19" ht="28.8">
      <c r="B4" s="198"/>
      <c r="C4" s="202"/>
      <c r="D4" s="202"/>
      <c r="E4" s="39" t="s">
        <v>20</v>
      </c>
      <c r="F4" s="40">
        <v>46245</v>
      </c>
      <c r="G4" s="40">
        <f>F4-1</f>
        <v>46244</v>
      </c>
      <c r="H4" s="40">
        <f>G4-1</f>
        <v>46243</v>
      </c>
      <c r="I4" s="39" t="s">
        <v>1722</v>
      </c>
      <c r="J4" s="39" t="s">
        <v>20</v>
      </c>
      <c r="K4" s="41">
        <f>F4</f>
        <v>46245</v>
      </c>
      <c r="L4" s="40">
        <f>F4-1</f>
        <v>46244</v>
      </c>
      <c r="M4" s="40">
        <f>G4-1</f>
        <v>46243</v>
      </c>
      <c r="N4" s="39" t="s">
        <v>1722</v>
      </c>
      <c r="O4" s="39" t="s">
        <v>20</v>
      </c>
      <c r="P4" s="41">
        <f>F4</f>
        <v>46245</v>
      </c>
      <c r="Q4" s="40">
        <f>F4-1</f>
        <v>46244</v>
      </c>
      <c r="R4" s="40">
        <f>G4-1</f>
        <v>46243</v>
      </c>
      <c r="S4" s="42" t="s">
        <v>1722</v>
      </c>
    </row>
    <row r="5" spans="2:19">
      <c r="B5" s="199" t="s">
        <v>1723</v>
      </c>
      <c r="C5" s="20" t="s">
        <v>1724</v>
      </c>
      <c r="D5" s="20" t="s">
        <v>96</v>
      </c>
      <c r="E5" s="43">
        <v>0.9</v>
      </c>
      <c r="F5" s="32">
        <v>0.94505809783388295</v>
      </c>
      <c r="G5" s="32">
        <v>0.94092219020172896</v>
      </c>
      <c r="H5" s="32">
        <v>0.93685734974655999</v>
      </c>
      <c r="I5" s="32">
        <v>0.94324430728591202</v>
      </c>
      <c r="J5" s="43">
        <v>0.9</v>
      </c>
      <c r="K5" s="32">
        <v>0.92869783071202705</v>
      </c>
      <c r="L5" s="32">
        <v>0.92815068103091802</v>
      </c>
      <c r="M5" s="32">
        <v>0.90467911097322395</v>
      </c>
      <c r="N5" s="44">
        <v>0.91943422185003998</v>
      </c>
      <c r="O5" s="43">
        <v>0.9</v>
      </c>
      <c r="P5" s="32">
        <v>0.90951524068955902</v>
      </c>
      <c r="Q5" s="32">
        <v>0.904487301701277</v>
      </c>
      <c r="R5" s="32">
        <v>0.88685074588277901</v>
      </c>
      <c r="S5" s="32">
        <v>0.89897377852766502</v>
      </c>
    </row>
    <row r="6" spans="2:19">
      <c r="B6" s="200"/>
      <c r="C6" s="20" t="s">
        <v>207</v>
      </c>
      <c r="D6" s="20" t="s">
        <v>206</v>
      </c>
      <c r="E6" s="43">
        <v>0.9</v>
      </c>
      <c r="F6" s="32">
        <v>0.94572192513369002</v>
      </c>
      <c r="G6" s="32">
        <v>0.951212028229518</v>
      </c>
      <c r="H6" s="32">
        <v>0.94524913093858598</v>
      </c>
      <c r="I6" s="32">
        <v>0.94761391278180396</v>
      </c>
      <c r="J6" s="43">
        <v>0.9</v>
      </c>
      <c r="K6" s="32">
        <v>0.95477862487396703</v>
      </c>
      <c r="L6" s="32">
        <v>0.94321362606394099</v>
      </c>
      <c r="M6" s="32">
        <v>0.93842540792079998</v>
      </c>
      <c r="N6" s="44">
        <v>0.94076799992875304</v>
      </c>
      <c r="O6" s="43">
        <v>0.9</v>
      </c>
      <c r="P6" s="32">
        <v>0.91158703765941995</v>
      </c>
      <c r="Q6" s="32">
        <v>0.89472456537883005</v>
      </c>
      <c r="R6" s="32">
        <v>0.89216341344804295</v>
      </c>
      <c r="S6" s="32">
        <v>0.90499969571522498</v>
      </c>
    </row>
    <row r="7" spans="2:19">
      <c r="B7" s="200"/>
      <c r="C7" s="20" t="s">
        <v>274</v>
      </c>
      <c r="D7" s="20" t="s">
        <v>256</v>
      </c>
      <c r="E7" s="43">
        <v>0.9</v>
      </c>
      <c r="F7" s="32">
        <v>0.942479856759176</v>
      </c>
      <c r="G7" s="32">
        <v>0.935238594651285</v>
      </c>
      <c r="H7" s="32">
        <v>0.93572641280620905</v>
      </c>
      <c r="I7" s="32">
        <v>0.94257937432486805</v>
      </c>
      <c r="J7" s="43">
        <v>0.9</v>
      </c>
      <c r="K7" s="32">
        <v>0.96671168821036901</v>
      </c>
      <c r="L7" s="32">
        <v>0.958220447739912</v>
      </c>
      <c r="M7" s="32">
        <v>0.93183991001968303</v>
      </c>
      <c r="N7" s="44">
        <v>0.94128247311273305</v>
      </c>
      <c r="O7" s="43">
        <v>0.9</v>
      </c>
      <c r="P7" s="32">
        <v>0.93841637939021005</v>
      </c>
      <c r="Q7" s="32">
        <v>0.93240173012025296</v>
      </c>
      <c r="R7" s="32">
        <v>0.93077139375761597</v>
      </c>
      <c r="S7" s="32">
        <v>0.93313721027453</v>
      </c>
    </row>
    <row r="8" spans="2:19">
      <c r="B8" s="201"/>
      <c r="C8" s="20" t="s">
        <v>1725</v>
      </c>
      <c r="D8" s="20" t="s">
        <v>346</v>
      </c>
      <c r="E8" s="43">
        <v>0.9</v>
      </c>
      <c r="F8" s="32">
        <v>0.927947598253275</v>
      </c>
      <c r="G8" s="32">
        <v>0.902676399026764</v>
      </c>
      <c r="H8" s="32">
        <v>0.90617577197149601</v>
      </c>
      <c r="I8" s="32">
        <v>0.92524782520736404</v>
      </c>
      <c r="J8" s="43">
        <v>0.9</v>
      </c>
      <c r="K8" s="32">
        <v>0.94729470735662702</v>
      </c>
      <c r="L8" s="32">
        <v>0.94683689444554697</v>
      </c>
      <c r="M8" s="32">
        <v>0.94298707683663396</v>
      </c>
      <c r="N8" s="44">
        <v>0.94710720799007098</v>
      </c>
      <c r="O8" s="43">
        <v>0.9</v>
      </c>
      <c r="P8" s="32">
        <v>0.90251363703376097</v>
      </c>
      <c r="Q8" s="32">
        <v>0.90421379903419996</v>
      </c>
      <c r="R8" s="32">
        <v>0.90095167860654601</v>
      </c>
      <c r="S8" s="32">
        <v>0.91081886249589405</v>
      </c>
    </row>
    <row r="9" spans="2:19">
      <c r="B9" s="200"/>
      <c r="C9" s="20" t="s">
        <v>1726</v>
      </c>
      <c r="D9" s="20" t="s">
        <v>371</v>
      </c>
      <c r="E9" s="43">
        <v>0.9</v>
      </c>
      <c r="F9" s="32">
        <v>0.90601254149760202</v>
      </c>
      <c r="G9" s="32">
        <v>0.90814749392801897</v>
      </c>
      <c r="H9" s="32">
        <v>0.90853704400150403</v>
      </c>
      <c r="I9" s="32">
        <v>0.91091581989616399</v>
      </c>
      <c r="J9" s="43">
        <v>0.9</v>
      </c>
      <c r="K9" s="32">
        <v>0.94521458598103403</v>
      </c>
      <c r="L9" s="32">
        <v>0.92825163489348805</v>
      </c>
      <c r="M9" s="32">
        <v>0.93960809386262401</v>
      </c>
      <c r="N9" s="44">
        <v>0.94226222618733002</v>
      </c>
      <c r="O9" s="43">
        <v>0.9</v>
      </c>
      <c r="P9" s="32">
        <v>0.87839671522142904</v>
      </c>
      <c r="Q9" s="32">
        <v>0.84055476621807101</v>
      </c>
      <c r="R9" s="32">
        <v>0.85664486027545295</v>
      </c>
      <c r="S9" s="32">
        <v>0.86778473877158402</v>
      </c>
    </row>
    <row r="10" spans="2:19">
      <c r="B10" s="200"/>
      <c r="C10" s="20" t="s">
        <v>831</v>
      </c>
      <c r="D10" s="20" t="s">
        <v>664</v>
      </c>
      <c r="E10" s="43">
        <v>0.9</v>
      </c>
      <c r="F10" s="32">
        <v>0.91118701964133197</v>
      </c>
      <c r="G10" s="32">
        <v>0.92282997900975405</v>
      </c>
      <c r="H10" s="32">
        <v>0.90370663500857396</v>
      </c>
      <c r="I10" s="32">
        <v>0.914137974815037</v>
      </c>
      <c r="J10" s="43">
        <v>0.9</v>
      </c>
      <c r="K10" s="32">
        <v>0.95299117203874095</v>
      </c>
      <c r="L10" s="32">
        <v>0.940263270658941</v>
      </c>
      <c r="M10" s="32">
        <v>0.92586270816959104</v>
      </c>
      <c r="N10" s="44">
        <v>0.94374005714239795</v>
      </c>
      <c r="O10" s="43">
        <v>0.9</v>
      </c>
      <c r="P10" s="32">
        <v>0.914999644988153</v>
      </c>
      <c r="Q10" s="32">
        <v>0.91448070503915202</v>
      </c>
      <c r="R10" s="32">
        <v>0.90511915530971498</v>
      </c>
      <c r="S10" s="32">
        <v>0.91941597073832104</v>
      </c>
    </row>
    <row r="11" spans="2:19">
      <c r="B11" s="200"/>
      <c r="C11" s="20" t="s">
        <v>957</v>
      </c>
      <c r="D11" s="20" t="s">
        <v>922</v>
      </c>
      <c r="E11" s="43">
        <v>0.9</v>
      </c>
      <c r="F11" s="32">
        <v>0.91729934924078105</v>
      </c>
      <c r="G11" s="32">
        <v>0.93436486149238795</v>
      </c>
      <c r="H11" s="32">
        <v>0.91496232508073205</v>
      </c>
      <c r="I11" s="32">
        <v>0.91913834415055695</v>
      </c>
      <c r="J11" s="43">
        <v>0.9</v>
      </c>
      <c r="K11" s="32">
        <v>0.93422713720554595</v>
      </c>
      <c r="L11" s="32">
        <v>0.92010631796443798</v>
      </c>
      <c r="M11" s="32">
        <v>0.90145418421428103</v>
      </c>
      <c r="N11" s="44">
        <v>0.92455285600274195</v>
      </c>
      <c r="O11" s="43">
        <v>0.9</v>
      </c>
      <c r="P11" s="32">
        <v>0.90371399299333499</v>
      </c>
      <c r="Q11" s="32">
        <v>0.88313511888016905</v>
      </c>
      <c r="R11" s="32">
        <v>0.86017215596548402</v>
      </c>
      <c r="S11" s="32">
        <v>0.89091889425258997</v>
      </c>
    </row>
    <row r="12" spans="2:19">
      <c r="B12" s="200"/>
      <c r="C12" s="20" t="s">
        <v>1727</v>
      </c>
      <c r="D12" s="20" t="s">
        <v>1080</v>
      </c>
      <c r="E12" s="43">
        <v>0.9</v>
      </c>
      <c r="F12" s="32">
        <v>0.93089556863960299</v>
      </c>
      <c r="G12" s="32">
        <v>0.93354978354978402</v>
      </c>
      <c r="H12" s="32">
        <v>0.92981658329543704</v>
      </c>
      <c r="I12" s="32">
        <v>0.93340604224082802</v>
      </c>
      <c r="J12" s="43">
        <v>0.9</v>
      </c>
      <c r="K12" s="32">
        <v>0.96255339368289095</v>
      </c>
      <c r="L12" s="32">
        <v>0.94867019975841105</v>
      </c>
      <c r="M12" s="32">
        <v>0.94236336785310904</v>
      </c>
      <c r="N12" s="44">
        <v>0.95281613417863298</v>
      </c>
      <c r="O12" s="43">
        <v>0.9</v>
      </c>
      <c r="P12" s="32">
        <v>0.90129761344933002</v>
      </c>
      <c r="Q12" s="32">
        <v>0.89234805413880203</v>
      </c>
      <c r="R12" s="32">
        <v>0.87905071226737497</v>
      </c>
      <c r="S12" s="32">
        <v>0.89778747227589395</v>
      </c>
    </row>
    <row r="13" spans="2:19">
      <c r="B13" s="200"/>
      <c r="C13" s="20" t="s">
        <v>1728</v>
      </c>
      <c r="D13" s="20" t="s">
        <v>1449</v>
      </c>
      <c r="E13" s="43">
        <v>0.9</v>
      </c>
      <c r="F13" s="32">
        <v>0.90175189393939403</v>
      </c>
      <c r="G13" s="32">
        <v>0.90792540792540799</v>
      </c>
      <c r="H13" s="32">
        <v>0.89580653460252102</v>
      </c>
      <c r="I13" s="32">
        <v>0.90331042556420305</v>
      </c>
      <c r="J13" s="43">
        <v>0.9</v>
      </c>
      <c r="K13" s="32">
        <v>0.92378903547631497</v>
      </c>
      <c r="L13" s="32">
        <v>0.88653385575327204</v>
      </c>
      <c r="M13" s="32">
        <v>0.87409598018648704</v>
      </c>
      <c r="N13" s="44">
        <v>0.90038709103119097</v>
      </c>
      <c r="O13" s="43">
        <v>0.9</v>
      </c>
      <c r="P13" s="32">
        <v>0.78545204082871101</v>
      </c>
      <c r="Q13" s="32">
        <v>0.73018603332002796</v>
      </c>
      <c r="R13" s="32">
        <v>0.723999004800706</v>
      </c>
      <c r="S13" s="32">
        <v>0.76401297023313197</v>
      </c>
    </row>
    <row r="14" spans="2:19">
      <c r="B14" s="200"/>
      <c r="C14" s="20" t="s">
        <v>1729</v>
      </c>
      <c r="D14" s="20" t="s">
        <v>24</v>
      </c>
      <c r="E14" s="43">
        <v>0.9</v>
      </c>
      <c r="F14" s="32">
        <v>0.93166506256015402</v>
      </c>
      <c r="G14" s="32">
        <v>0.91003839824465205</v>
      </c>
      <c r="H14" s="32">
        <v>0.89376744186046497</v>
      </c>
      <c r="I14" s="32">
        <v>0.91194221207667503</v>
      </c>
      <c r="J14" s="43">
        <v>0.9</v>
      </c>
      <c r="K14" s="32">
        <v>0.91637367223811295</v>
      </c>
      <c r="L14" s="32">
        <v>0.92584263745523498</v>
      </c>
      <c r="M14" s="32">
        <v>0.91643986090801599</v>
      </c>
      <c r="N14" s="44">
        <v>0.93557408558587496</v>
      </c>
      <c r="O14" s="43">
        <v>0.9</v>
      </c>
      <c r="P14" s="32">
        <v>0.81131522995601302</v>
      </c>
      <c r="Q14" s="32">
        <v>0.79636085949020397</v>
      </c>
      <c r="R14" s="32">
        <v>0.73651117936662303</v>
      </c>
      <c r="S14" s="32">
        <v>0.78626477664440397</v>
      </c>
    </row>
    <row r="15" spans="2:19">
      <c r="B15" s="194" t="s">
        <v>1709</v>
      </c>
      <c r="C15" s="195"/>
      <c r="D15" s="195"/>
      <c r="E15" s="45" t="s">
        <v>1710</v>
      </c>
      <c r="F15" s="45">
        <v>0.92397614938019801</v>
      </c>
      <c r="G15" s="45">
        <v>0.92454830311628</v>
      </c>
      <c r="H15" s="45">
        <v>0.91770081770081802</v>
      </c>
      <c r="I15" s="45">
        <v>0.92399554252069305</v>
      </c>
      <c r="J15" s="45" t="s">
        <v>1710</v>
      </c>
      <c r="K15" s="45">
        <v>0.94357663997207397</v>
      </c>
      <c r="L15" s="45">
        <v>0.93273521270425797</v>
      </c>
      <c r="M15" s="45">
        <v>0.92443738822891597</v>
      </c>
      <c r="N15" s="45">
        <v>0.93738218882774105</v>
      </c>
      <c r="O15" s="45" t="s">
        <v>1710</v>
      </c>
      <c r="P15" s="45">
        <v>0.88156097228983799</v>
      </c>
      <c r="Q15" s="45">
        <v>0.86795499867857695</v>
      </c>
      <c r="R15" s="45">
        <v>0.85778199936536104</v>
      </c>
      <c r="S15" s="46">
        <v>0.87700579553676905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34" priority="1" operator="lessThan">
      <formula>$E$5</formula>
    </cfRule>
    <cfRule type="cellIs" dxfId="33" priority="2" operator="greaterThan">
      <formula>$E$5</formula>
    </cfRule>
  </conditionalFormatting>
  <conditionalFormatting sqref="K5:N14">
    <cfRule type="cellIs" dxfId="32" priority="5" operator="greaterThan">
      <formula>$J$5</formula>
    </cfRule>
    <cfRule type="cellIs" dxfId="31" priority="6" operator="lessThan">
      <formula>$J$5</formula>
    </cfRule>
  </conditionalFormatting>
  <conditionalFormatting sqref="P5:S14">
    <cfRule type="cellIs" dxfId="30" priority="3" operator="lessThan">
      <formula>$O$5</formula>
    </cfRule>
    <cfRule type="cellIs" dxfId="29" priority="4" operator="greaterThan">
      <formula>$O$5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15"/>
  <sheetViews>
    <sheetView topLeftCell="F2" zoomScale="85" zoomScaleNormal="85" workbookViewId="0">
      <selection activeCell="P10" sqref="P10"/>
    </sheetView>
  </sheetViews>
  <sheetFormatPr defaultColWidth="8.77734375" defaultRowHeight="14.4"/>
  <cols>
    <col min="2" max="2" width="12.33203125" customWidth="1"/>
    <col min="3" max="3" width="21.21875" customWidth="1"/>
    <col min="4" max="4" width="12" customWidth="1"/>
    <col min="5" max="11" width="14.33203125" customWidth="1"/>
    <col min="12" max="12" width="14.44140625" customWidth="1"/>
    <col min="13" max="14" width="14.21875" customWidth="1"/>
    <col min="15" max="17" width="14.33203125" customWidth="1"/>
    <col min="18" max="19" width="14.21875" customWidth="1"/>
  </cols>
  <sheetData>
    <row r="2" spans="2:19" ht="57" customHeight="1">
      <c r="B2" s="196" t="s">
        <v>1715</v>
      </c>
      <c r="C2" s="189" t="s">
        <v>1716</v>
      </c>
      <c r="D2" s="189" t="s">
        <v>1717</v>
      </c>
      <c r="E2" s="203" t="s">
        <v>1730</v>
      </c>
      <c r="F2" s="204"/>
      <c r="G2" s="204"/>
      <c r="H2" s="204"/>
      <c r="I2" s="205"/>
      <c r="J2" s="206" t="s">
        <v>1731</v>
      </c>
      <c r="K2" s="207"/>
      <c r="L2" s="207"/>
      <c r="M2" s="207"/>
      <c r="N2" s="207"/>
      <c r="O2" s="207"/>
      <c r="P2" s="207"/>
      <c r="Q2" s="207"/>
      <c r="R2" s="207"/>
      <c r="S2" s="208"/>
    </row>
    <row r="3" spans="2:19" ht="55.05" customHeight="1">
      <c r="B3" s="197"/>
      <c r="C3" s="172"/>
      <c r="D3" s="172"/>
      <c r="E3" s="209" t="s">
        <v>1732</v>
      </c>
      <c r="F3" s="210"/>
      <c r="G3" s="210"/>
      <c r="H3" s="210"/>
      <c r="I3" s="211"/>
      <c r="J3" s="192" t="s">
        <v>1733</v>
      </c>
      <c r="K3" s="212"/>
      <c r="L3" s="212"/>
      <c r="M3" s="212"/>
      <c r="N3" s="213"/>
      <c r="O3" s="192" t="s">
        <v>1734</v>
      </c>
      <c r="P3" s="212"/>
      <c r="Q3" s="212"/>
      <c r="R3" s="212"/>
      <c r="S3" s="213"/>
    </row>
    <row r="4" spans="2:19" ht="28.8">
      <c r="B4" s="215"/>
      <c r="C4" s="173"/>
      <c r="D4" s="173"/>
      <c r="E4" s="18" t="s">
        <v>20</v>
      </c>
      <c r="F4" s="18">
        <f>'06.30, 07.30, &amp; 12.00'!F4</f>
        <v>46245</v>
      </c>
      <c r="G4" s="19">
        <f>F4-1</f>
        <v>46244</v>
      </c>
      <c r="H4" s="19">
        <f>G4-1</f>
        <v>46243</v>
      </c>
      <c r="I4" s="29" t="s">
        <v>1722</v>
      </c>
      <c r="J4" s="30" t="s">
        <v>20</v>
      </c>
      <c r="K4" s="18">
        <f>F4</f>
        <v>46245</v>
      </c>
      <c r="L4" s="19">
        <f>F4-1</f>
        <v>46244</v>
      </c>
      <c r="M4" s="19">
        <f>G4-1</f>
        <v>46243</v>
      </c>
      <c r="N4" s="1" t="s">
        <v>1722</v>
      </c>
      <c r="O4" s="18" t="s">
        <v>20</v>
      </c>
      <c r="P4" s="18">
        <f>K4</f>
        <v>46245</v>
      </c>
      <c r="Q4" s="19">
        <f>K4-1</f>
        <v>46244</v>
      </c>
      <c r="R4" s="19">
        <f>L4-1</f>
        <v>46243</v>
      </c>
      <c r="S4" s="1" t="s">
        <v>1722</v>
      </c>
    </row>
    <row r="5" spans="2:19">
      <c r="B5" s="199" t="s">
        <v>1723</v>
      </c>
      <c r="C5" s="20" t="s">
        <v>1724</v>
      </c>
      <c r="D5" s="20" t="s">
        <v>96</v>
      </c>
      <c r="E5" s="31">
        <v>0.92</v>
      </c>
      <c r="F5" s="32">
        <v>0.93095291799230695</v>
      </c>
      <c r="G5" s="32">
        <v>0.93552521390861099</v>
      </c>
      <c r="H5" s="32">
        <v>0.923025008058451</v>
      </c>
      <c r="I5" s="32">
        <v>0.94017679935411402</v>
      </c>
      <c r="J5" s="23">
        <v>0.92</v>
      </c>
      <c r="K5" s="33">
        <v>0.97686672120379303</v>
      </c>
      <c r="L5" s="33">
        <v>0.96187240371432403</v>
      </c>
      <c r="M5" s="33">
        <v>0.97149371065643697</v>
      </c>
      <c r="N5" s="33">
        <v>0.96788231174255601</v>
      </c>
      <c r="O5" s="23">
        <v>0.93</v>
      </c>
      <c r="P5" s="33">
        <v>0.95296953338132395</v>
      </c>
      <c r="Q5" s="33">
        <v>0.96881041251770506</v>
      </c>
      <c r="R5" s="33">
        <v>0.95541116788968705</v>
      </c>
      <c r="S5" s="33">
        <v>0.967093570671966</v>
      </c>
    </row>
    <row r="6" spans="2:19">
      <c r="B6" s="200"/>
      <c r="C6" s="20" t="s">
        <v>207</v>
      </c>
      <c r="D6" s="20" t="s">
        <v>206</v>
      </c>
      <c r="E6" s="31">
        <v>0.92</v>
      </c>
      <c r="F6" s="32">
        <v>0.92910267757889498</v>
      </c>
      <c r="G6" s="32">
        <v>0.91762088595171099</v>
      </c>
      <c r="H6" s="32">
        <v>0.92445496383957904</v>
      </c>
      <c r="I6" s="32">
        <v>0.93850246565006601</v>
      </c>
      <c r="J6" s="23">
        <v>0.92</v>
      </c>
      <c r="K6" s="33">
        <v>0.99393428348838297</v>
      </c>
      <c r="L6" s="33">
        <v>0.98492672200223597</v>
      </c>
      <c r="M6" s="33">
        <v>0.97783411888221194</v>
      </c>
      <c r="N6" s="33">
        <v>0.97717387660656696</v>
      </c>
      <c r="O6" s="23">
        <v>0.93</v>
      </c>
      <c r="P6" s="33">
        <v>0.94926971636670399</v>
      </c>
      <c r="Q6" s="33">
        <v>0.95415059767908605</v>
      </c>
      <c r="R6" s="33">
        <v>0.94867692029925899</v>
      </c>
      <c r="S6" s="33">
        <v>0.96021101855264401</v>
      </c>
    </row>
    <row r="7" spans="2:19">
      <c r="B7" s="200"/>
      <c r="C7" s="20" t="s">
        <v>274</v>
      </c>
      <c r="D7" s="20" t="s">
        <v>256</v>
      </c>
      <c r="E7" s="31">
        <v>0.92</v>
      </c>
      <c r="F7" s="32">
        <v>0.96875057214941396</v>
      </c>
      <c r="G7" s="32">
        <v>0.96587212145697299</v>
      </c>
      <c r="H7" s="32">
        <v>0.97308956064588803</v>
      </c>
      <c r="I7" s="32">
        <v>0.97487408783448004</v>
      </c>
      <c r="J7" s="23">
        <v>0.92</v>
      </c>
      <c r="K7" s="33">
        <v>0.95472525576612999</v>
      </c>
      <c r="L7" s="33">
        <v>0.93441399300847205</v>
      </c>
      <c r="M7" s="33">
        <v>0.97789874817281996</v>
      </c>
      <c r="N7" s="33">
        <v>0.95858805609278896</v>
      </c>
      <c r="O7" s="23">
        <v>0.93</v>
      </c>
      <c r="P7" s="33">
        <v>0.97608622924768995</v>
      </c>
      <c r="Q7" s="33">
        <v>0.98142844944794405</v>
      </c>
      <c r="R7" s="33">
        <v>0.98188498675553304</v>
      </c>
      <c r="S7" s="33">
        <v>0.98390251443945698</v>
      </c>
    </row>
    <row r="8" spans="2:19">
      <c r="B8" s="201"/>
      <c r="C8" s="20" t="s">
        <v>1725</v>
      </c>
      <c r="D8" s="20" t="s">
        <v>346</v>
      </c>
      <c r="E8" s="31">
        <v>0.92</v>
      </c>
      <c r="F8" s="32">
        <v>0.94717255539395995</v>
      </c>
      <c r="G8" s="32">
        <v>0.93157830516746998</v>
      </c>
      <c r="H8" s="32">
        <v>0.94288596768607602</v>
      </c>
      <c r="I8" s="32">
        <v>0.95275464495652695</v>
      </c>
      <c r="J8" s="23">
        <v>0.92</v>
      </c>
      <c r="K8" s="33">
        <v>0.98931546297417705</v>
      </c>
      <c r="L8" s="33">
        <v>0.94285596334062705</v>
      </c>
      <c r="M8" s="33">
        <v>0.96549064390752104</v>
      </c>
      <c r="N8" s="33">
        <v>0.954275774035928</v>
      </c>
      <c r="O8" s="23">
        <v>0.93</v>
      </c>
      <c r="P8" s="33">
        <v>0.95678635662898204</v>
      </c>
      <c r="Q8" s="33">
        <v>0.95290685026169997</v>
      </c>
      <c r="R8" s="33">
        <v>0.95280606050795602</v>
      </c>
      <c r="S8" s="33">
        <v>0.96383987689901396</v>
      </c>
    </row>
    <row r="9" spans="2:19">
      <c r="B9" s="200"/>
      <c r="C9" s="20" t="s">
        <v>1726</v>
      </c>
      <c r="D9" s="20" t="s">
        <v>371</v>
      </c>
      <c r="E9" s="31">
        <v>0.92</v>
      </c>
      <c r="F9" s="32">
        <v>0.90861897894735</v>
      </c>
      <c r="G9" s="32">
        <v>0.89510674684172797</v>
      </c>
      <c r="H9" s="32">
        <v>0.88342956792876604</v>
      </c>
      <c r="I9" s="32">
        <v>0.90745739387133295</v>
      </c>
      <c r="J9" s="23">
        <v>0.92</v>
      </c>
      <c r="K9" s="33">
        <v>0.96518809686308504</v>
      </c>
      <c r="L9" s="33">
        <v>0.96313314537847505</v>
      </c>
      <c r="M9" s="33">
        <v>0.98318131794344699</v>
      </c>
      <c r="N9" s="33">
        <v>0.97206157825072803</v>
      </c>
      <c r="O9" s="23">
        <v>0.93</v>
      </c>
      <c r="P9" s="33">
        <v>0.93357828034903001</v>
      </c>
      <c r="Q9" s="33">
        <v>0.94667123691232002</v>
      </c>
      <c r="R9" s="33">
        <v>0.93222171214398497</v>
      </c>
      <c r="S9" s="33">
        <v>0.94771109432147704</v>
      </c>
    </row>
    <row r="10" spans="2:19">
      <c r="B10" s="200"/>
      <c r="C10" s="20" t="s">
        <v>831</v>
      </c>
      <c r="D10" s="20" t="s">
        <v>664</v>
      </c>
      <c r="E10" s="31">
        <v>0.92</v>
      </c>
      <c r="F10" s="32">
        <v>0.91263024142312599</v>
      </c>
      <c r="G10" s="32">
        <v>0.91541005661752295</v>
      </c>
      <c r="H10" s="32">
        <v>0.89986357020048602</v>
      </c>
      <c r="I10" s="32">
        <v>0.91803702603603798</v>
      </c>
      <c r="J10" s="23">
        <v>0.92</v>
      </c>
      <c r="K10" s="33">
        <v>0.99389148942854499</v>
      </c>
      <c r="L10" s="33">
        <v>0.97049296394487194</v>
      </c>
      <c r="M10" s="33">
        <v>0.97374624730511194</v>
      </c>
      <c r="N10" s="33">
        <v>0.98062456768903306</v>
      </c>
      <c r="O10" s="23">
        <v>0.93</v>
      </c>
      <c r="P10" s="33">
        <v>0.945221780339772</v>
      </c>
      <c r="Q10" s="33">
        <v>0.96087660048744805</v>
      </c>
      <c r="R10" s="33">
        <v>0.94845133783810098</v>
      </c>
      <c r="S10" s="33">
        <v>0.95988768650205902</v>
      </c>
    </row>
    <row r="11" spans="2:19">
      <c r="B11" s="200"/>
      <c r="C11" s="20" t="s">
        <v>957</v>
      </c>
      <c r="D11" s="20" t="s">
        <v>922</v>
      </c>
      <c r="E11" s="31">
        <v>0.92</v>
      </c>
      <c r="F11" s="32">
        <v>0.89604246246779795</v>
      </c>
      <c r="G11" s="32">
        <v>0.88020951210837695</v>
      </c>
      <c r="H11" s="32">
        <v>0.81171204774337902</v>
      </c>
      <c r="I11" s="32">
        <v>0.87508970945711295</v>
      </c>
      <c r="J11" s="23">
        <v>0.92</v>
      </c>
      <c r="K11" s="33">
        <v>0.98170982326346101</v>
      </c>
      <c r="L11" s="33">
        <v>0.93797746181723296</v>
      </c>
      <c r="M11" s="33">
        <v>0.98310751631746895</v>
      </c>
      <c r="N11" s="33">
        <v>0.96320281937323904</v>
      </c>
      <c r="O11" s="23">
        <v>0.93</v>
      </c>
      <c r="P11" s="33">
        <v>0.94477969771602599</v>
      </c>
      <c r="Q11" s="33">
        <v>0.95198679230814298</v>
      </c>
      <c r="R11" s="33">
        <v>0.92391836422811602</v>
      </c>
      <c r="S11" s="33">
        <v>0.94967360361299302</v>
      </c>
    </row>
    <row r="12" spans="2:19">
      <c r="B12" s="200"/>
      <c r="C12" s="20" t="s">
        <v>1727</v>
      </c>
      <c r="D12" s="20" t="s">
        <v>1080</v>
      </c>
      <c r="E12" s="31">
        <v>0.92</v>
      </c>
      <c r="F12" s="32">
        <v>0.93899470357493597</v>
      </c>
      <c r="G12" s="32">
        <v>0.94730516031566903</v>
      </c>
      <c r="H12" s="32">
        <v>0.93524723207080096</v>
      </c>
      <c r="I12" s="32">
        <v>0.94853670704432202</v>
      </c>
      <c r="J12" s="23">
        <v>0.92</v>
      </c>
      <c r="K12" s="33">
        <v>0.97430968389767303</v>
      </c>
      <c r="L12" s="33">
        <v>0.95488095973660103</v>
      </c>
      <c r="M12" s="33">
        <v>0.98836920880370704</v>
      </c>
      <c r="N12" s="33">
        <v>0.97053744833944</v>
      </c>
      <c r="O12" s="23">
        <v>0.93</v>
      </c>
      <c r="P12" s="33">
        <v>0.95167551288375096</v>
      </c>
      <c r="Q12" s="33">
        <v>0.96178823439375305</v>
      </c>
      <c r="R12" s="33">
        <v>0.951986650626505</v>
      </c>
      <c r="S12" s="33">
        <v>0.96373988283123102</v>
      </c>
    </row>
    <row r="13" spans="2:19">
      <c r="B13" s="200"/>
      <c r="C13" s="20" t="s">
        <v>1728</v>
      </c>
      <c r="D13" s="20" t="s">
        <v>1449</v>
      </c>
      <c r="E13" s="31">
        <v>0.92</v>
      </c>
      <c r="F13" s="32">
        <v>0.85659845091682996</v>
      </c>
      <c r="G13" s="32">
        <v>0.85059342506039304</v>
      </c>
      <c r="H13" s="32">
        <v>0.78267215763957698</v>
      </c>
      <c r="I13" s="32">
        <v>0.84328351200454499</v>
      </c>
      <c r="J13" s="23">
        <v>0.92</v>
      </c>
      <c r="K13" s="33">
        <v>0.96185054377732604</v>
      </c>
      <c r="L13" s="33">
        <v>0.89687638458130303</v>
      </c>
      <c r="M13" s="33">
        <v>0.97885607458942703</v>
      </c>
      <c r="N13" s="33">
        <v>0.96166335154359495</v>
      </c>
      <c r="O13" s="23">
        <v>0.93</v>
      </c>
      <c r="P13" s="33">
        <v>0.89237989125377903</v>
      </c>
      <c r="Q13" s="33">
        <v>0.87769060636924201</v>
      </c>
      <c r="R13" s="33">
        <v>0.86401388660049805</v>
      </c>
      <c r="S13" s="33">
        <v>0.89667813628458803</v>
      </c>
    </row>
    <row r="14" spans="2:19">
      <c r="B14" s="200"/>
      <c r="C14" s="20" t="s">
        <v>1729</v>
      </c>
      <c r="D14" s="20" t="s">
        <v>24</v>
      </c>
      <c r="E14" s="31">
        <v>0.92</v>
      </c>
      <c r="F14" s="32">
        <v>0.928539527734069</v>
      </c>
      <c r="G14" s="32">
        <v>0.93345607724886404</v>
      </c>
      <c r="H14" s="32">
        <v>0.89224781868173397</v>
      </c>
      <c r="I14" s="32">
        <v>0.92952944756598399</v>
      </c>
      <c r="J14" s="23">
        <v>0.92</v>
      </c>
      <c r="K14" s="33">
        <v>0.97397161260286402</v>
      </c>
      <c r="L14" s="33">
        <v>0.95050674540448699</v>
      </c>
      <c r="M14" s="33">
        <v>0.981291563389455</v>
      </c>
      <c r="N14" s="33">
        <v>0.963014834220287</v>
      </c>
      <c r="O14" s="23">
        <v>0.93</v>
      </c>
      <c r="P14" s="33">
        <v>0.94348385719115702</v>
      </c>
      <c r="Q14" s="33">
        <v>0.95245615867516198</v>
      </c>
      <c r="R14" s="33">
        <v>0.91424110440320205</v>
      </c>
      <c r="S14" s="33">
        <v>0.94958519866371305</v>
      </c>
    </row>
    <row r="15" spans="2:19">
      <c r="B15" s="194" t="s">
        <v>1709</v>
      </c>
      <c r="C15" s="195"/>
      <c r="D15" s="214"/>
      <c r="E15" s="34" t="s">
        <v>1710</v>
      </c>
      <c r="F15" s="35">
        <v>0.92764900303380904</v>
      </c>
      <c r="G15" s="35">
        <v>0.92391932310694003</v>
      </c>
      <c r="H15" s="35">
        <v>0.91019656601806598</v>
      </c>
      <c r="I15" s="36">
        <v>0.93092470147996098</v>
      </c>
      <c r="J15" s="37" t="s">
        <v>1710</v>
      </c>
      <c r="K15" s="26">
        <v>0.97475035485616701</v>
      </c>
      <c r="L15" s="26">
        <v>0.95768722451794797</v>
      </c>
      <c r="M15" s="26">
        <v>0.97898280087983602</v>
      </c>
      <c r="N15" s="38">
        <v>0.96855425783351401</v>
      </c>
      <c r="O15" s="26" t="s">
        <v>1710</v>
      </c>
      <c r="P15" s="26">
        <v>0.94425139598095398</v>
      </c>
      <c r="Q15" s="26">
        <v>0.952198929523139</v>
      </c>
      <c r="R15" s="26">
        <v>0.939095515912589</v>
      </c>
      <c r="S15" s="26">
        <v>0.95514607541666097</v>
      </c>
    </row>
  </sheetData>
  <mergeCells count="10">
    <mergeCell ref="B15:D15"/>
    <mergeCell ref="B2:B4"/>
    <mergeCell ref="B5:B14"/>
    <mergeCell ref="C2:C4"/>
    <mergeCell ref="D2:D4"/>
    <mergeCell ref="E2:I2"/>
    <mergeCell ref="J2:S2"/>
    <mergeCell ref="E3:I3"/>
    <mergeCell ref="J3:N3"/>
    <mergeCell ref="O3:S3"/>
  </mergeCells>
  <conditionalFormatting sqref="F5:I14">
    <cfRule type="cellIs" dxfId="28" priority="3" operator="lessThan">
      <formula>$E$5</formula>
    </cfRule>
    <cfRule type="cellIs" dxfId="27" priority="4" operator="greaterThan">
      <formula>$E$5</formula>
    </cfRule>
  </conditionalFormatting>
  <conditionalFormatting sqref="K5:N14">
    <cfRule type="cellIs" dxfId="26" priority="5" operator="lessThan">
      <formula>$J$5</formula>
    </cfRule>
    <cfRule type="cellIs" dxfId="25" priority="6" operator="greaterThan">
      <formula>$J$5</formula>
    </cfRule>
  </conditionalFormatting>
  <conditionalFormatting sqref="P5:S14">
    <cfRule type="cellIs" dxfId="24" priority="1" operator="lessThan">
      <formula>$O$5</formula>
    </cfRule>
    <cfRule type="cellIs" dxfId="23" priority="2" operator="greaterThan">
      <formula>$O$5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5"/>
  <sheetViews>
    <sheetView topLeftCell="F3" workbookViewId="0">
      <selection activeCell="G8" sqref="G8"/>
    </sheetView>
  </sheetViews>
  <sheetFormatPr defaultColWidth="8.77734375" defaultRowHeight="14.4"/>
  <cols>
    <col min="2" max="2" width="14.77734375" customWidth="1"/>
    <col min="3" max="3" width="22.21875" customWidth="1"/>
    <col min="4" max="4" width="13.77734375" customWidth="1"/>
    <col min="5" max="5" width="8.77734375" customWidth="1"/>
    <col min="6" max="7" width="14.33203125" customWidth="1"/>
    <col min="8" max="9" width="13.77734375" customWidth="1"/>
    <col min="10" max="10" width="13.109375" customWidth="1"/>
    <col min="11" max="12" width="14.33203125" customWidth="1"/>
    <col min="13" max="14" width="13.77734375" customWidth="1"/>
  </cols>
  <sheetData>
    <row r="2" spans="2:14" ht="33" customHeight="1">
      <c r="B2" s="196" t="s">
        <v>1715</v>
      </c>
      <c r="C2" s="189" t="s">
        <v>1716</v>
      </c>
      <c r="D2" s="189" t="s">
        <v>1717</v>
      </c>
      <c r="E2" s="172"/>
      <c r="F2" s="172"/>
      <c r="G2" s="172"/>
      <c r="H2" s="172"/>
      <c r="I2" s="172"/>
      <c r="J2" s="172"/>
      <c r="K2" s="172"/>
      <c r="L2" s="172"/>
      <c r="M2" s="172"/>
      <c r="N2" s="172"/>
    </row>
    <row r="3" spans="2:14" ht="54" customHeight="1">
      <c r="B3" s="197"/>
      <c r="C3" s="172"/>
      <c r="D3" s="172"/>
      <c r="E3" s="192" t="s">
        <v>1735</v>
      </c>
      <c r="F3" s="212"/>
      <c r="G3" s="212"/>
      <c r="H3" s="212"/>
      <c r="I3" s="213"/>
      <c r="J3" s="192" t="s">
        <v>1736</v>
      </c>
      <c r="K3" s="212"/>
      <c r="L3" s="212"/>
      <c r="M3" s="212"/>
      <c r="N3" s="213"/>
    </row>
    <row r="4" spans="2:14" ht="28.8">
      <c r="B4" s="215"/>
      <c r="C4" s="173"/>
      <c r="D4" s="173"/>
      <c r="E4" s="1" t="s">
        <v>20</v>
      </c>
      <c r="F4" s="18">
        <f>'06.30, 07.30, &amp; 12.00'!F4</f>
        <v>46245</v>
      </c>
      <c r="G4" s="19">
        <f>F4-1</f>
        <v>46244</v>
      </c>
      <c r="H4" s="19">
        <f>G4-1</f>
        <v>46243</v>
      </c>
      <c r="I4" s="1" t="s">
        <v>1722</v>
      </c>
      <c r="J4" s="1" t="s">
        <v>22</v>
      </c>
      <c r="K4" s="18">
        <f>F4</f>
        <v>46245</v>
      </c>
      <c r="L4" s="19">
        <f>K4-1</f>
        <v>46244</v>
      </c>
      <c r="M4" s="19">
        <f>L4-1</f>
        <v>46243</v>
      </c>
      <c r="N4" s="1" t="s">
        <v>1722</v>
      </c>
    </row>
    <row r="5" spans="2:14">
      <c r="B5" s="199" t="s">
        <v>1723</v>
      </c>
      <c r="C5" s="20" t="s">
        <v>1724</v>
      </c>
      <c r="D5" s="20" t="s">
        <v>96</v>
      </c>
      <c r="E5" s="21">
        <v>0.99</v>
      </c>
      <c r="F5" s="22">
        <v>0.98579562848221403</v>
      </c>
      <c r="G5" s="22">
        <v>0.99414638084857299</v>
      </c>
      <c r="H5" s="22">
        <v>0.98750353406841995</v>
      </c>
      <c r="I5" s="22">
        <v>0.99056792261201099</v>
      </c>
      <c r="J5" s="23">
        <v>0.10526149898194399</v>
      </c>
      <c r="K5" s="24">
        <v>7.7231695085255805E-2</v>
      </c>
      <c r="L5" s="24">
        <v>9.6320346320346306E-2</v>
      </c>
      <c r="M5" s="24">
        <v>8.5050416483998206E-2</v>
      </c>
      <c r="N5" s="24">
        <v>8.0892788027351295E-2</v>
      </c>
    </row>
    <row r="6" spans="2:14">
      <c r="B6" s="200"/>
      <c r="C6" s="20" t="s">
        <v>207</v>
      </c>
      <c r="D6" s="20" t="s">
        <v>206</v>
      </c>
      <c r="E6" s="21">
        <v>0.99</v>
      </c>
      <c r="F6" s="22">
        <v>0.99288668320926399</v>
      </c>
      <c r="G6" s="22">
        <v>0.99810690423162596</v>
      </c>
      <c r="H6" s="22">
        <v>0.99484120586812796</v>
      </c>
      <c r="I6" s="22">
        <v>0.99464729948005703</v>
      </c>
      <c r="J6" s="23">
        <v>7.19793575775068E-2</v>
      </c>
      <c r="K6" s="24">
        <v>8.5201793721973104E-2</v>
      </c>
      <c r="L6" s="24">
        <v>0.114598540145985</v>
      </c>
      <c r="M6" s="24">
        <v>6.7060085836909894E-2</v>
      </c>
      <c r="N6" s="24">
        <v>6.0244648318042798E-2</v>
      </c>
    </row>
    <row r="7" spans="2:14">
      <c r="B7" s="200"/>
      <c r="C7" s="20" t="s">
        <v>274</v>
      </c>
      <c r="D7" s="20" t="s">
        <v>256</v>
      </c>
      <c r="E7" s="21">
        <v>0.99</v>
      </c>
      <c r="F7" s="22">
        <v>0.991578947368421</v>
      </c>
      <c r="G7" s="22">
        <v>0.99540047581284696</v>
      </c>
      <c r="H7" s="22">
        <v>0.99193141704488197</v>
      </c>
      <c r="I7" s="22">
        <v>0.99516946678344897</v>
      </c>
      <c r="J7" s="23">
        <v>9.2228725701943806E-2</v>
      </c>
      <c r="K7" s="24">
        <v>9.1286307053941904E-2</v>
      </c>
      <c r="L7" s="24">
        <v>0.11275167785234901</v>
      </c>
      <c r="M7" s="24">
        <v>9.8937040065412901E-2</v>
      </c>
      <c r="N7" s="24">
        <v>8.5595167191355404E-2</v>
      </c>
    </row>
    <row r="8" spans="2:14">
      <c r="B8" s="201"/>
      <c r="C8" s="20" t="s">
        <v>1725</v>
      </c>
      <c r="D8" s="20" t="s">
        <v>346</v>
      </c>
      <c r="E8" s="21">
        <v>0.99</v>
      </c>
      <c r="F8" s="22">
        <v>0.98629441624365499</v>
      </c>
      <c r="G8" s="22">
        <v>0.99725839616175505</v>
      </c>
      <c r="H8" s="22">
        <v>0.99483775811209396</v>
      </c>
      <c r="I8" s="22">
        <v>0.99499128919860602</v>
      </c>
      <c r="J8" s="23">
        <v>7.3985255698344701E-2</v>
      </c>
      <c r="K8" s="24">
        <v>7.7049180327868894E-2</v>
      </c>
      <c r="L8" s="24">
        <v>4.9484536082474197E-2</v>
      </c>
      <c r="M8" s="24">
        <v>5.4095826893353897E-2</v>
      </c>
      <c r="N8" s="24">
        <v>4.60544404729172E-2</v>
      </c>
    </row>
    <row r="9" spans="2:14">
      <c r="B9" s="200"/>
      <c r="C9" s="20" t="s">
        <v>1726</v>
      </c>
      <c r="D9" s="20" t="s">
        <v>371</v>
      </c>
      <c r="E9" s="21">
        <v>0.99</v>
      </c>
      <c r="F9" s="22">
        <v>0.99352482151751598</v>
      </c>
      <c r="G9" s="22">
        <v>0.99225119990747701</v>
      </c>
      <c r="H9" s="22">
        <v>0.99346507532772499</v>
      </c>
      <c r="I9" s="22">
        <v>0.99460444897346101</v>
      </c>
      <c r="J9" s="23">
        <v>0.05</v>
      </c>
      <c r="K9" s="24">
        <v>5.3174235403151103E-2</v>
      </c>
      <c r="L9" s="24">
        <v>6.5659434283766901E-2</v>
      </c>
      <c r="M9" s="24">
        <v>3.5839544059623002E-2</v>
      </c>
      <c r="N9" s="24">
        <v>3.8022237993849101E-2</v>
      </c>
    </row>
    <row r="10" spans="2:14">
      <c r="B10" s="200"/>
      <c r="C10" s="20" t="s">
        <v>831</v>
      </c>
      <c r="D10" s="20" t="s">
        <v>664</v>
      </c>
      <c r="E10" s="21">
        <v>0.99</v>
      </c>
      <c r="F10" s="22">
        <v>0.99223158666178102</v>
      </c>
      <c r="G10" s="22">
        <v>0.98408261510986905</v>
      </c>
      <c r="H10" s="22">
        <v>0.99021047479197299</v>
      </c>
      <c r="I10" s="22">
        <v>0.98587372497598602</v>
      </c>
      <c r="J10" s="23">
        <v>8.1059522893420499E-2</v>
      </c>
      <c r="K10" s="24">
        <v>3.5548263604046997E-2</v>
      </c>
      <c r="L10" s="24">
        <v>4.0473061760840999E-2</v>
      </c>
      <c r="M10" s="24">
        <v>4.2816365366317798E-2</v>
      </c>
      <c r="N10" s="24">
        <v>4.3554469644659297E-2</v>
      </c>
    </row>
    <row r="11" spans="2:14">
      <c r="B11" s="200"/>
      <c r="C11" s="20" t="s">
        <v>957</v>
      </c>
      <c r="D11" s="20" t="s">
        <v>922</v>
      </c>
      <c r="E11" s="21">
        <v>0.99</v>
      </c>
      <c r="F11" s="22">
        <v>0.99431702861782001</v>
      </c>
      <c r="G11" s="22">
        <v>0.99265680775114695</v>
      </c>
      <c r="H11" s="22">
        <v>0.99343289905730303</v>
      </c>
      <c r="I11" s="22">
        <v>0.99074477424889296</v>
      </c>
      <c r="J11" s="23">
        <v>6.5641848892985799E-2</v>
      </c>
      <c r="K11" s="24">
        <v>4.9773755656108601E-2</v>
      </c>
      <c r="L11" s="24">
        <v>4.4539116963594097E-2</v>
      </c>
      <c r="M11" s="24">
        <v>4.7004608294930902E-2</v>
      </c>
      <c r="N11" s="24">
        <v>4.4735056908117903E-2</v>
      </c>
    </row>
    <row r="12" spans="2:14">
      <c r="B12" s="200"/>
      <c r="C12" s="20" t="s">
        <v>1727</v>
      </c>
      <c r="D12" s="20" t="s">
        <v>1080</v>
      </c>
      <c r="E12" s="21">
        <v>0.99</v>
      </c>
      <c r="F12" s="22">
        <v>0.990705643002463</v>
      </c>
      <c r="G12" s="22">
        <v>0.99308022206435698</v>
      </c>
      <c r="H12" s="22">
        <v>0.98766015047061395</v>
      </c>
      <c r="I12" s="22">
        <v>0.99220267093653103</v>
      </c>
      <c r="J12" s="23">
        <v>7.2186152540827803E-2</v>
      </c>
      <c r="K12" s="24">
        <v>4.4881038211968302E-2</v>
      </c>
      <c r="L12" s="24">
        <v>3.6028692533420302E-2</v>
      </c>
      <c r="M12" s="24">
        <v>3.7151702786377701E-2</v>
      </c>
      <c r="N12" s="24">
        <v>3.6491248940504699E-2</v>
      </c>
    </row>
    <row r="13" spans="2:14">
      <c r="B13" s="200"/>
      <c r="C13" s="20" t="s">
        <v>1728</v>
      </c>
      <c r="D13" s="20" t="s">
        <v>1449</v>
      </c>
      <c r="E13" s="21">
        <v>0.99</v>
      </c>
      <c r="F13" s="22">
        <v>0.99063889538965599</v>
      </c>
      <c r="G13" s="22">
        <v>0.98843441466854698</v>
      </c>
      <c r="H13" s="22">
        <v>0.98757028706717997</v>
      </c>
      <c r="I13" s="22">
        <v>0.98980502102714396</v>
      </c>
      <c r="J13" s="23">
        <v>0.110069253262963</v>
      </c>
      <c r="K13" s="24">
        <v>9.9344747410695405E-2</v>
      </c>
      <c r="L13" s="24">
        <v>9.6934865900383096E-2</v>
      </c>
      <c r="M13" s="24">
        <v>8.4062299978664407E-2</v>
      </c>
      <c r="N13" s="24">
        <v>9.1826127132021707E-2</v>
      </c>
    </row>
    <row r="14" spans="2:14">
      <c r="B14" s="200"/>
      <c r="C14" s="20" t="s">
        <v>1729</v>
      </c>
      <c r="D14" s="20" t="s">
        <v>24</v>
      </c>
      <c r="E14" s="21">
        <v>0.99</v>
      </c>
      <c r="F14" s="22">
        <v>0.990529155883487</v>
      </c>
      <c r="G14" s="22">
        <v>0.99332610327855198</v>
      </c>
      <c r="H14" s="22">
        <v>0.99225911590955396</v>
      </c>
      <c r="I14" s="22">
        <v>0.99000712850755002</v>
      </c>
      <c r="J14" s="23">
        <v>8.7218210012826203E-2</v>
      </c>
      <c r="K14" s="24">
        <v>8.9675711449371295E-2</v>
      </c>
      <c r="L14" s="24">
        <v>0.100721784776903</v>
      </c>
      <c r="M14" s="24">
        <v>5.8958872591314403E-2</v>
      </c>
      <c r="N14" s="24">
        <v>5.8373760809955703E-2</v>
      </c>
    </row>
    <row r="15" spans="2:14">
      <c r="B15" s="194" t="s">
        <v>1709</v>
      </c>
      <c r="C15" s="195"/>
      <c r="D15" s="214"/>
      <c r="E15" s="25" t="s">
        <v>1710</v>
      </c>
      <c r="F15" s="26">
        <v>0.99090156715863598</v>
      </c>
      <c r="G15" s="26">
        <v>0.99262099209579602</v>
      </c>
      <c r="H15" s="26">
        <v>0.99054940346714104</v>
      </c>
      <c r="I15" s="26">
        <v>0.99186439642235602</v>
      </c>
      <c r="J15" s="27" t="s">
        <v>1710</v>
      </c>
      <c r="K15" s="26">
        <v>6.4012066365007503E-2</v>
      </c>
      <c r="L15" s="26">
        <v>6.8272620446533497E-2</v>
      </c>
      <c r="M15" s="26">
        <v>5.36777608376722E-2</v>
      </c>
      <c r="N15" s="28">
        <v>5.3195538023996701E-2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F5:I14">
    <cfRule type="cellIs" dxfId="22" priority="21" operator="lessThan">
      <formula>$E$5</formula>
    </cfRule>
    <cfRule type="cellIs" dxfId="21" priority="22" operator="greaterThan">
      <formula>$E$5</formula>
    </cfRule>
  </conditionalFormatting>
  <conditionalFormatting sqref="K5:N5">
    <cfRule type="cellIs" dxfId="20" priority="19" operator="lessThan">
      <formula>$J$5</formula>
    </cfRule>
    <cfRule type="cellIs" dxfId="19" priority="20" operator="greaterThan">
      <formula>$J$5</formula>
    </cfRule>
  </conditionalFormatting>
  <conditionalFormatting sqref="K6:N6">
    <cfRule type="cellIs" dxfId="18" priority="17" operator="lessThan">
      <formula>$J$6</formula>
    </cfRule>
    <cfRule type="cellIs" dxfId="17" priority="18" operator="greaterThan">
      <formula>$J$6</formula>
    </cfRule>
  </conditionalFormatting>
  <conditionalFormatting sqref="K7:N7">
    <cfRule type="cellIs" dxfId="16" priority="15" operator="lessThan">
      <formula>$J$7</formula>
    </cfRule>
    <cfRule type="cellIs" dxfId="15" priority="16" operator="greaterThan">
      <formula>$J$7</formula>
    </cfRule>
  </conditionalFormatting>
  <conditionalFormatting sqref="K8:N8">
    <cfRule type="cellIs" dxfId="14" priority="13" operator="lessThan">
      <formula>$J$8</formula>
    </cfRule>
    <cfRule type="cellIs" dxfId="13" priority="14" operator="greaterThan">
      <formula>$J$8</formula>
    </cfRule>
  </conditionalFormatting>
  <conditionalFormatting sqref="K9:N9">
    <cfRule type="cellIs" dxfId="12" priority="11" operator="lessThan">
      <formula>$J$9</formula>
    </cfRule>
    <cfRule type="cellIs" dxfId="11" priority="12" operator="greaterThan">
      <formula>$J$9</formula>
    </cfRule>
  </conditionalFormatting>
  <conditionalFormatting sqref="K10:N10">
    <cfRule type="cellIs" dxfId="10" priority="9" operator="lessThan">
      <formula>$J$10</formula>
    </cfRule>
    <cfRule type="cellIs" dxfId="9" priority="10" operator="greaterThan">
      <formula>$J$10</formula>
    </cfRule>
  </conditionalFormatting>
  <conditionalFormatting sqref="K11:N11">
    <cfRule type="cellIs" dxfId="8" priority="7" operator="lessThan">
      <formula>$J$11</formula>
    </cfRule>
    <cfRule type="cellIs" dxfId="7" priority="8" operator="greaterThan">
      <formula>$J$11</formula>
    </cfRule>
  </conditionalFormatting>
  <conditionalFormatting sqref="K12:N12">
    <cfRule type="cellIs" dxfId="6" priority="5" operator="lessThan">
      <formula>$J$12</formula>
    </cfRule>
    <cfRule type="cellIs" dxfId="5" priority="6" operator="greaterThan">
      <formula>$J$12</formula>
    </cfRule>
  </conditionalFormatting>
  <conditionalFormatting sqref="K13:N13">
    <cfRule type="cellIs" dxfId="4" priority="3" operator="lessThan">
      <formula>$J$13</formula>
    </cfRule>
    <cfRule type="cellIs" dxfId="3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0" priority="26" operator="lessThan">
      <formula>$AD5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670"/>
  <sheetViews>
    <sheetView workbookViewId="0">
      <selection activeCell="I15" sqref="I15"/>
    </sheetView>
  </sheetViews>
  <sheetFormatPr defaultColWidth="9" defaultRowHeight="14.4"/>
  <cols>
    <col min="2" max="2" width="24.44140625" customWidth="1"/>
    <col min="3" max="3" width="18.5546875" customWidth="1"/>
    <col min="4" max="4" width="26.44140625" customWidth="1"/>
    <col min="5" max="5" width="19.5546875" customWidth="1"/>
    <col min="6" max="6" width="44.77734375" customWidth="1"/>
    <col min="7" max="7" width="23" customWidth="1"/>
  </cols>
  <sheetData>
    <row r="1" spans="2:7" ht="15" thickBot="1"/>
    <row r="2" spans="2:7">
      <c r="B2" s="216" t="s">
        <v>5</v>
      </c>
      <c r="C2" s="218" t="s">
        <v>6</v>
      </c>
      <c r="D2" s="219" t="s">
        <v>7</v>
      </c>
      <c r="E2" s="220" t="s">
        <v>1737</v>
      </c>
      <c r="F2" s="221" t="s">
        <v>1738</v>
      </c>
      <c r="G2" s="225"/>
    </row>
    <row r="3" spans="2:7">
      <c r="B3" s="217"/>
      <c r="C3" s="172"/>
      <c r="D3" s="170"/>
      <c r="E3" s="175"/>
      <c r="F3" s="175"/>
      <c r="G3" s="225"/>
    </row>
    <row r="4" spans="2:7" ht="15" thickBot="1">
      <c r="B4" s="217"/>
      <c r="C4" s="173"/>
      <c r="D4" s="170"/>
      <c r="E4" s="175"/>
      <c r="F4" s="175"/>
      <c r="G4" s="225"/>
    </row>
    <row r="5" spans="2:7">
      <c r="B5" s="2" t="s">
        <v>23</v>
      </c>
      <c r="C5" s="3" t="s">
        <v>24</v>
      </c>
      <c r="D5" s="4" t="s">
        <v>25</v>
      </c>
      <c r="E5" s="5" t="s">
        <v>1739</v>
      </c>
      <c r="F5" s="6" t="str">
        <f>_xlfn.XLOOKUP(D5,[2]DP!$F:$F,[2]DP!$E:$E,"-")</f>
        <v>APRI NUR YUSUP</v>
      </c>
      <c r="G5" s="224"/>
    </row>
    <row r="6" spans="2:7">
      <c r="B6" s="7" t="s">
        <v>23</v>
      </c>
      <c r="C6" s="6" t="s">
        <v>24</v>
      </c>
      <c r="D6" s="8" t="s">
        <v>26</v>
      </c>
      <c r="E6" s="9" t="s">
        <v>1739</v>
      </c>
      <c r="F6" s="6" t="str">
        <f>_xlfn.XLOOKUP(D6,[2]DP!$F:$F,[2]DP!$E:$E,"-")</f>
        <v>RIZKY ADITYAWARMAN</v>
      </c>
      <c r="G6" s="222"/>
    </row>
    <row r="7" spans="2:7">
      <c r="B7" s="7" t="s">
        <v>23</v>
      </c>
      <c r="C7" s="6" t="s">
        <v>24</v>
      </c>
      <c r="D7" s="8" t="s">
        <v>27</v>
      </c>
      <c r="E7" s="9" t="s">
        <v>1716</v>
      </c>
      <c r="F7" s="6" t="str">
        <f>_xlfn.XLOOKUP(D7,[2]DP!$F:$F,[2]DP!$E:$E,"-")</f>
        <v>RUBBY ROCHMAN</v>
      </c>
      <c r="G7" s="222"/>
    </row>
    <row r="8" spans="2:7">
      <c r="B8" s="7" t="s">
        <v>23</v>
      </c>
      <c r="C8" s="6" t="s">
        <v>24</v>
      </c>
      <c r="D8" s="8" t="s">
        <v>28</v>
      </c>
      <c r="E8" s="9" t="s">
        <v>1716</v>
      </c>
      <c r="F8" s="6" t="str">
        <f>_xlfn.XLOOKUP(D8,[2]DP!$F:$F,[2]DP!$E:$E,"-")</f>
        <v>ARDY KRISNANTO</v>
      </c>
      <c r="G8" s="222"/>
    </row>
    <row r="9" spans="2:7">
      <c r="B9" s="7" t="s">
        <v>23</v>
      </c>
      <c r="C9" s="6" t="s">
        <v>24</v>
      </c>
      <c r="D9" s="8" t="s">
        <v>29</v>
      </c>
      <c r="E9" s="9" t="s">
        <v>1739</v>
      </c>
      <c r="F9" s="6" t="str">
        <f>_xlfn.XLOOKUP(D9,[2]DP!$F:$F,[2]DP!$E:$E,"-")</f>
        <v>RUBBY ROCHMAN</v>
      </c>
      <c r="G9" s="222"/>
    </row>
    <row r="10" spans="2:7">
      <c r="B10" s="7" t="s">
        <v>23</v>
      </c>
      <c r="C10" s="6" t="s">
        <v>24</v>
      </c>
      <c r="D10" s="8" t="s">
        <v>30</v>
      </c>
      <c r="E10" s="9" t="s">
        <v>1739</v>
      </c>
      <c r="F10" s="6" t="str">
        <f>_xlfn.XLOOKUP(D10,[2]DP!$F:$F,[2]DP!$E:$E,"-")</f>
        <v>HENLY KURNIAWAN</v>
      </c>
      <c r="G10" s="222"/>
    </row>
    <row r="11" spans="2:7">
      <c r="B11" s="7" t="s">
        <v>23</v>
      </c>
      <c r="C11" s="6" t="s">
        <v>24</v>
      </c>
      <c r="D11" s="8" t="s">
        <v>31</v>
      </c>
      <c r="E11" s="9" t="s">
        <v>1739</v>
      </c>
      <c r="F11" s="6" t="str">
        <f>_xlfn.XLOOKUP(D11,[2]DP!$F:$F,[2]DP!$E:$E,"-")</f>
        <v>RIZKY ADITYAWARMAN</v>
      </c>
      <c r="G11" s="222"/>
    </row>
    <row r="12" spans="2:7">
      <c r="B12" s="7" t="s">
        <v>23</v>
      </c>
      <c r="C12" s="6" t="s">
        <v>24</v>
      </c>
      <c r="D12" s="8" t="s">
        <v>32</v>
      </c>
      <c r="E12" s="9" t="s">
        <v>1716</v>
      </c>
      <c r="F12" s="6" t="str">
        <f>_xlfn.XLOOKUP(D12,[2]DP!$F:$F,[2]DP!$E:$E,"-")</f>
        <v>RUBBY ROCHMAN</v>
      </c>
      <c r="G12" s="222"/>
    </row>
    <row r="13" spans="2:7">
      <c r="B13" s="7" t="s">
        <v>23</v>
      </c>
      <c r="C13" s="6" t="s">
        <v>24</v>
      </c>
      <c r="D13" s="8" t="s">
        <v>33</v>
      </c>
      <c r="E13" s="9" t="s">
        <v>1716</v>
      </c>
      <c r="F13" s="6" t="str">
        <f>_xlfn.XLOOKUP(D13,[2]DP!$F:$F,[2]DP!$E:$E,"-")</f>
        <v>ALFIN WARDANA</v>
      </c>
      <c r="G13" s="222"/>
    </row>
    <row r="14" spans="2:7">
      <c r="B14" s="7" t="s">
        <v>23</v>
      </c>
      <c r="C14" s="6" t="s">
        <v>24</v>
      </c>
      <c r="D14" s="8" t="s">
        <v>34</v>
      </c>
      <c r="E14" s="9" t="s">
        <v>1716</v>
      </c>
      <c r="F14" s="6" t="str">
        <f>_xlfn.XLOOKUP(D14,[2]DP!$F:$F,[2]DP!$E:$E,"-")</f>
        <v>EKA PRATAMA BAHARA</v>
      </c>
      <c r="G14" s="222"/>
    </row>
    <row r="15" spans="2:7">
      <c r="B15" s="7" t="s">
        <v>23</v>
      </c>
      <c r="C15" s="6" t="s">
        <v>24</v>
      </c>
      <c r="D15" s="8" t="s">
        <v>35</v>
      </c>
      <c r="E15" s="9" t="s">
        <v>1739</v>
      </c>
      <c r="F15" s="6" t="str">
        <f>_xlfn.XLOOKUP(D15,[2]DP!$F:$F,[2]DP!$E:$E,"-")</f>
        <v>RENGGA SAPUTRA</v>
      </c>
      <c r="G15" s="222"/>
    </row>
    <row r="16" spans="2:7">
      <c r="B16" s="7" t="s">
        <v>23</v>
      </c>
      <c r="C16" s="6" t="s">
        <v>24</v>
      </c>
      <c r="D16" s="8" t="s">
        <v>36</v>
      </c>
      <c r="E16" s="9" t="s">
        <v>1716</v>
      </c>
      <c r="F16" s="6" t="str">
        <f>_xlfn.XLOOKUP(D16,[2]DP!$F:$F,[2]DP!$E:$E,"-")</f>
        <v>PAZRI FIRDAUS</v>
      </c>
      <c r="G16" s="222"/>
    </row>
    <row r="17" spans="2:7">
      <c r="B17" s="7" t="s">
        <v>23</v>
      </c>
      <c r="C17" s="6" t="s">
        <v>24</v>
      </c>
      <c r="D17" s="8" t="s">
        <v>37</v>
      </c>
      <c r="E17" s="9" t="s">
        <v>1739</v>
      </c>
      <c r="F17" s="6" t="str">
        <f>_xlfn.XLOOKUP(D17,[2]DP!$F:$F,[2]DP!$E:$E,"-")</f>
        <v>RENGGA SAPUTRA</v>
      </c>
      <c r="G17" s="222"/>
    </row>
    <row r="18" spans="2:7">
      <c r="B18" s="7" t="s">
        <v>23</v>
      </c>
      <c r="C18" s="6" t="s">
        <v>24</v>
      </c>
      <c r="D18" s="8" t="s">
        <v>38</v>
      </c>
      <c r="E18" s="9" t="s">
        <v>1739</v>
      </c>
      <c r="F18" s="6" t="str">
        <f>_xlfn.XLOOKUP(D18,[2]DP!$F:$F,[2]DP!$E:$E,"-")</f>
        <v>RENGGA SAPUTRA</v>
      </c>
      <c r="G18" s="222"/>
    </row>
    <row r="19" spans="2:7">
      <c r="B19" s="7" t="s">
        <v>23</v>
      </c>
      <c r="C19" s="6" t="s">
        <v>24</v>
      </c>
      <c r="D19" s="8" t="s">
        <v>39</v>
      </c>
      <c r="E19" s="9" t="s">
        <v>1739</v>
      </c>
      <c r="F19" s="6" t="str">
        <f>_xlfn.XLOOKUP(D19,[2]DP!$F:$F,[2]DP!$E:$E,"-")</f>
        <v>NUGROHO HARI KUNCAHYO</v>
      </c>
      <c r="G19" s="222"/>
    </row>
    <row r="20" spans="2:7">
      <c r="B20" s="7" t="s">
        <v>23</v>
      </c>
      <c r="C20" s="6" t="s">
        <v>24</v>
      </c>
      <c r="D20" s="8" t="s">
        <v>40</v>
      </c>
      <c r="E20" s="9" t="s">
        <v>1716</v>
      </c>
      <c r="F20" s="6" t="str">
        <f>_xlfn.XLOOKUP(D20,[2]DP!$F:$F,[2]DP!$E:$E,"-")</f>
        <v>AHMAD KAMAL</v>
      </c>
      <c r="G20" s="222"/>
    </row>
    <row r="21" spans="2:7">
      <c r="B21" s="7" t="s">
        <v>23</v>
      </c>
      <c r="C21" s="6" t="s">
        <v>24</v>
      </c>
      <c r="D21" s="8" t="s">
        <v>41</v>
      </c>
      <c r="E21" s="9" t="s">
        <v>1739</v>
      </c>
      <c r="F21" s="6" t="str">
        <f>_xlfn.XLOOKUP(D21,[2]DP!$F:$F,[2]DP!$E:$E,"-")</f>
        <v>QORI SEKENAWAN OSADI</v>
      </c>
      <c r="G21" s="222"/>
    </row>
    <row r="22" spans="2:7">
      <c r="B22" s="7" t="s">
        <v>23</v>
      </c>
      <c r="C22" s="6" t="s">
        <v>24</v>
      </c>
      <c r="D22" s="8" t="s">
        <v>42</v>
      </c>
      <c r="E22" s="9" t="s">
        <v>1716</v>
      </c>
      <c r="F22" s="6" t="str">
        <f>_xlfn.XLOOKUP(D22,[2]DP!$F:$F,[2]DP!$E:$E,"-")</f>
        <v>RIO PERMANNA WIJAYA</v>
      </c>
      <c r="G22" s="222"/>
    </row>
    <row r="23" spans="2:7">
      <c r="B23" s="7" t="s">
        <v>23</v>
      </c>
      <c r="C23" s="6" t="s">
        <v>24</v>
      </c>
      <c r="D23" s="8" t="s">
        <v>43</v>
      </c>
      <c r="E23" s="9" t="s">
        <v>1716</v>
      </c>
      <c r="F23" s="6" t="str">
        <f>_xlfn.XLOOKUP(D23,[2]DP!$F:$F,[2]DP!$E:$E,"-")</f>
        <v>PAMUJI RYAN ANDRIANTO</v>
      </c>
      <c r="G23" s="222"/>
    </row>
    <row r="24" spans="2:7">
      <c r="B24" s="7" t="s">
        <v>23</v>
      </c>
      <c r="C24" s="6" t="s">
        <v>24</v>
      </c>
      <c r="D24" s="8" t="s">
        <v>44</v>
      </c>
      <c r="E24" s="9" t="s">
        <v>1739</v>
      </c>
      <c r="F24" s="6" t="str">
        <f>_xlfn.XLOOKUP(D24,[2]DP!$F:$F,[2]DP!$E:$E,"-")</f>
        <v>ARDY SASMOYO</v>
      </c>
      <c r="G24" s="222"/>
    </row>
    <row r="25" spans="2:7">
      <c r="B25" s="7" t="s">
        <v>23</v>
      </c>
      <c r="C25" s="6" t="s">
        <v>24</v>
      </c>
      <c r="D25" s="8" t="s">
        <v>45</v>
      </c>
      <c r="E25" s="9" t="s">
        <v>1739</v>
      </c>
      <c r="F25" s="6" t="str">
        <f>_xlfn.XLOOKUP(D25,[2]DP!$F:$F,[2]DP!$E:$E,"-")</f>
        <v>HENDRI ADITYA</v>
      </c>
      <c r="G25" s="222"/>
    </row>
    <row r="26" spans="2:7">
      <c r="B26" s="7" t="s">
        <v>23</v>
      </c>
      <c r="C26" s="6" t="s">
        <v>24</v>
      </c>
      <c r="D26" s="8" t="s">
        <v>46</v>
      </c>
      <c r="E26" s="9" t="s">
        <v>1716</v>
      </c>
      <c r="F26" s="6" t="str">
        <f>_xlfn.XLOOKUP(D26,[2]DP!$F:$F,[2]DP!$E:$E,"-")</f>
        <v>YODY EVANDER LODEWIJK N.</v>
      </c>
      <c r="G26" s="222"/>
    </row>
    <row r="27" spans="2:7">
      <c r="B27" s="7" t="s">
        <v>23</v>
      </c>
      <c r="C27" s="6" t="s">
        <v>24</v>
      </c>
      <c r="D27" s="8" t="s">
        <v>47</v>
      </c>
      <c r="E27" s="9" t="s">
        <v>1716</v>
      </c>
      <c r="F27" s="6" t="str">
        <f>_xlfn.XLOOKUP(D27,[2]DP!$F:$F,[2]DP!$E:$E,"-")</f>
        <v>HUSEIN AL IDRUS ANHAR</v>
      </c>
      <c r="G27" s="222"/>
    </row>
    <row r="28" spans="2:7">
      <c r="B28" s="7" t="s">
        <v>23</v>
      </c>
      <c r="C28" s="6" t="s">
        <v>24</v>
      </c>
      <c r="D28" s="8" t="s">
        <v>48</v>
      </c>
      <c r="E28" s="9" t="s">
        <v>1716</v>
      </c>
      <c r="F28" s="6" t="str">
        <f>_xlfn.XLOOKUP(D28,[2]DP!$F:$F,[2]DP!$E:$E,"-")</f>
        <v>NOVENDRA ALDI MUHAMMAD</v>
      </c>
      <c r="G28" s="222"/>
    </row>
    <row r="29" spans="2:7">
      <c r="B29" s="7" t="s">
        <v>23</v>
      </c>
      <c r="C29" s="6" t="s">
        <v>24</v>
      </c>
      <c r="D29" s="8" t="s">
        <v>49</v>
      </c>
      <c r="E29" s="9" t="s">
        <v>1739</v>
      </c>
      <c r="F29" s="6" t="str">
        <f>_xlfn.XLOOKUP(D29,[2]DP!$F:$F,[2]DP!$E:$E,"-")</f>
        <v>YODY EVANDER LODEWIJK N.</v>
      </c>
      <c r="G29" s="222"/>
    </row>
    <row r="30" spans="2:7">
      <c r="B30" s="7" t="s">
        <v>23</v>
      </c>
      <c r="C30" s="6" t="s">
        <v>24</v>
      </c>
      <c r="D30" s="8" t="s">
        <v>50</v>
      </c>
      <c r="E30" s="9" t="s">
        <v>1716</v>
      </c>
      <c r="F30" s="6" t="str">
        <f>_xlfn.XLOOKUP(D30,[2]DP!$F:$F,[2]DP!$E:$E,"-")</f>
        <v>MUHAMAD FAISAL</v>
      </c>
      <c r="G30" s="222"/>
    </row>
    <row r="31" spans="2:7">
      <c r="B31" s="7" t="s">
        <v>23</v>
      </c>
      <c r="C31" s="6" t="s">
        <v>24</v>
      </c>
      <c r="D31" s="8" t="s">
        <v>51</v>
      </c>
      <c r="E31" s="9" t="s">
        <v>1739</v>
      </c>
      <c r="F31" s="6" t="str">
        <f>_xlfn.XLOOKUP(D31,[2]DP!$F:$F,[2]DP!$E:$E,"-")</f>
        <v>ROYMAN</v>
      </c>
      <c r="G31" s="222"/>
    </row>
    <row r="32" spans="2:7">
      <c r="B32" s="7" t="s">
        <v>23</v>
      </c>
      <c r="C32" s="6" t="s">
        <v>24</v>
      </c>
      <c r="D32" s="8" t="s">
        <v>52</v>
      </c>
      <c r="E32" s="9" t="s">
        <v>1716</v>
      </c>
      <c r="F32" s="6" t="str">
        <f>_xlfn.XLOOKUP(D32,[2]DP!$F:$F,[2]DP!$E:$E,"-")</f>
        <v>MAHMUD H</v>
      </c>
      <c r="G32" s="222"/>
    </row>
    <row r="33" spans="2:7">
      <c r="B33" s="7" t="s">
        <v>23</v>
      </c>
      <c r="C33" s="6" t="s">
        <v>24</v>
      </c>
      <c r="D33" s="8" t="s">
        <v>53</v>
      </c>
      <c r="E33" s="9" t="s">
        <v>1716</v>
      </c>
      <c r="F33" s="6" t="str">
        <f>_xlfn.XLOOKUP(D33,[2]DP!$F:$F,[2]DP!$E:$E,"-")</f>
        <v>ARMAN SURYADI</v>
      </c>
      <c r="G33" s="222"/>
    </row>
    <row r="34" spans="2:7">
      <c r="B34" s="7" t="s">
        <v>23</v>
      </c>
      <c r="C34" s="6" t="s">
        <v>24</v>
      </c>
      <c r="D34" s="8" t="s">
        <v>54</v>
      </c>
      <c r="E34" s="9" t="s">
        <v>1716</v>
      </c>
      <c r="F34" s="6" t="str">
        <f>_xlfn.XLOOKUP(D34,[2]DP!$F:$F,[2]DP!$E:$E,"-")</f>
        <v>TADIN SAPUTRA</v>
      </c>
      <c r="G34" s="222"/>
    </row>
    <row r="35" spans="2:7">
      <c r="B35" s="7" t="s">
        <v>23</v>
      </c>
      <c r="C35" s="6" t="s">
        <v>24</v>
      </c>
      <c r="D35" s="8" t="s">
        <v>55</v>
      </c>
      <c r="E35" s="9" t="s">
        <v>1716</v>
      </c>
      <c r="F35" s="6" t="str">
        <f>_xlfn.XLOOKUP(D35,[2]DP!$F:$F,[2]DP!$E:$E,"-")</f>
        <v>SATRIO KESIT WICAKSONO</v>
      </c>
      <c r="G35" s="222"/>
    </row>
    <row r="36" spans="2:7">
      <c r="B36" s="7" t="s">
        <v>23</v>
      </c>
      <c r="C36" s="6" t="s">
        <v>24</v>
      </c>
      <c r="D36" s="8" t="s">
        <v>56</v>
      </c>
      <c r="E36" s="9" t="s">
        <v>1739</v>
      </c>
      <c r="F36" s="6" t="str">
        <f>_xlfn.XLOOKUP(D36,[2]DP!$F:$F,[2]DP!$E:$E,"-")</f>
        <v>MUHAMMAD IQBAL</v>
      </c>
      <c r="G36" s="222"/>
    </row>
    <row r="37" spans="2:7">
      <c r="B37" s="7" t="s">
        <v>23</v>
      </c>
      <c r="C37" s="6" t="s">
        <v>24</v>
      </c>
      <c r="D37" s="8" t="s">
        <v>57</v>
      </c>
      <c r="E37" s="9" t="s">
        <v>1716</v>
      </c>
      <c r="F37" s="6" t="str">
        <f>_xlfn.XLOOKUP(D37,[2]DP!$F:$F,[2]DP!$E:$E,"-")</f>
        <v>PAZRIN HIDAYAT</v>
      </c>
      <c r="G37" s="222"/>
    </row>
    <row r="38" spans="2:7">
      <c r="B38" s="7" t="s">
        <v>23</v>
      </c>
      <c r="C38" s="6" t="s">
        <v>24</v>
      </c>
      <c r="D38" s="8" t="s">
        <v>58</v>
      </c>
      <c r="E38" s="9" t="s">
        <v>1716</v>
      </c>
      <c r="F38" s="6" t="str">
        <f>_xlfn.XLOOKUP(D38,[2]DP!$F:$F,[2]DP!$E:$E,"-")</f>
        <v>LILIS INDRA WATI</v>
      </c>
      <c r="G38" s="222"/>
    </row>
    <row r="39" spans="2:7">
      <c r="B39" s="7" t="s">
        <v>23</v>
      </c>
      <c r="C39" s="6" t="s">
        <v>24</v>
      </c>
      <c r="D39" s="8" t="s">
        <v>59</v>
      </c>
      <c r="E39" s="9" t="s">
        <v>1716</v>
      </c>
      <c r="F39" s="6" t="str">
        <f>_xlfn.XLOOKUP(D39,[2]DP!$F:$F,[2]DP!$E:$E,"-")</f>
        <v>FIRMAN SYAHPUTRA</v>
      </c>
      <c r="G39" s="222"/>
    </row>
    <row r="40" spans="2:7">
      <c r="B40" s="7" t="s">
        <v>23</v>
      </c>
      <c r="C40" s="6" t="s">
        <v>24</v>
      </c>
      <c r="D40" s="8" t="s">
        <v>60</v>
      </c>
      <c r="E40" s="9" t="s">
        <v>1716</v>
      </c>
      <c r="F40" s="6" t="str">
        <f>_xlfn.XLOOKUP(D40,[2]DP!$F:$F,[2]DP!$E:$E,"-")</f>
        <v>RIDWAN ALDIANSYAH</v>
      </c>
      <c r="G40" s="222"/>
    </row>
    <row r="41" spans="2:7">
      <c r="B41" s="7" t="s">
        <v>23</v>
      </c>
      <c r="C41" s="6" t="s">
        <v>24</v>
      </c>
      <c r="D41" s="8" t="s">
        <v>61</v>
      </c>
      <c r="E41" s="9" t="s">
        <v>1739</v>
      </c>
      <c r="F41" s="6" t="str">
        <f>_xlfn.XLOOKUP(D41,[2]DP!$F:$F,[2]DP!$E:$E,"-")</f>
        <v>SAMSU RIJAL</v>
      </c>
      <c r="G41" s="222"/>
    </row>
    <row r="42" spans="2:7">
      <c r="B42" s="7" t="s">
        <v>23</v>
      </c>
      <c r="C42" s="6" t="s">
        <v>24</v>
      </c>
      <c r="D42" s="8" t="s">
        <v>62</v>
      </c>
      <c r="E42" s="9" t="s">
        <v>1739</v>
      </c>
      <c r="F42" s="6" t="str">
        <f>_xlfn.XLOOKUP(D42,[2]DP!$F:$F,[2]DP!$E:$E,"-")</f>
        <v>RAKA FAHRIZKI</v>
      </c>
      <c r="G42" s="222"/>
    </row>
    <row r="43" spans="2:7">
      <c r="B43" s="7" t="s">
        <v>23</v>
      </c>
      <c r="C43" s="6" t="s">
        <v>24</v>
      </c>
      <c r="D43" s="8" t="s">
        <v>63</v>
      </c>
      <c r="E43" s="9" t="s">
        <v>1739</v>
      </c>
      <c r="F43" s="6" t="str">
        <f>_xlfn.XLOOKUP(D43,[2]DP!$F:$F,[2]DP!$E:$E,"-")</f>
        <v>NUR KHUSJANANTO</v>
      </c>
      <c r="G43" s="222"/>
    </row>
    <row r="44" spans="2:7">
      <c r="B44" s="7" t="s">
        <v>23</v>
      </c>
      <c r="C44" s="6" t="s">
        <v>24</v>
      </c>
      <c r="D44" s="8" t="s">
        <v>64</v>
      </c>
      <c r="E44" s="9" t="s">
        <v>1739</v>
      </c>
      <c r="F44" s="6" t="str">
        <f>_xlfn.XLOOKUP(D44,[2]DP!$F:$F,[2]DP!$E:$E,"-")</f>
        <v>LUKMAN NULHAKIM</v>
      </c>
      <c r="G44" s="222"/>
    </row>
    <row r="45" spans="2:7">
      <c r="B45" s="7" t="s">
        <v>23</v>
      </c>
      <c r="C45" s="6" t="s">
        <v>24</v>
      </c>
      <c r="D45" s="8" t="s">
        <v>65</v>
      </c>
      <c r="E45" s="9" t="s">
        <v>1739</v>
      </c>
      <c r="F45" s="6" t="str">
        <f>_xlfn.XLOOKUP(D45,[2]DP!$F:$F,[2]DP!$E:$E,"-")</f>
        <v>SAMSU RIJAL</v>
      </c>
      <c r="G45" s="222"/>
    </row>
    <row r="46" spans="2:7">
      <c r="B46" s="7" t="s">
        <v>23</v>
      </c>
      <c r="C46" s="6" t="s">
        <v>24</v>
      </c>
      <c r="D46" s="8" t="s">
        <v>66</v>
      </c>
      <c r="E46" s="9" t="s">
        <v>1716</v>
      </c>
      <c r="F46" s="6" t="str">
        <f>_xlfn.XLOOKUP(D46,[2]DP!$F:$F,[2]DP!$E:$E,"-")</f>
        <v>MUHAMMAD MUGHNIL LABIB</v>
      </c>
      <c r="G46" s="222"/>
    </row>
    <row r="47" spans="2:7">
      <c r="B47" s="7" t="s">
        <v>23</v>
      </c>
      <c r="C47" s="6" t="s">
        <v>24</v>
      </c>
      <c r="D47" s="8" t="s">
        <v>67</v>
      </c>
      <c r="E47" s="9" t="s">
        <v>1716</v>
      </c>
      <c r="F47" s="6" t="str">
        <f>_xlfn.XLOOKUP(D47,[2]DP!$F:$F,[2]DP!$E:$E,"-")</f>
        <v>RANDI PRIHARTONO</v>
      </c>
      <c r="G47" s="222"/>
    </row>
    <row r="48" spans="2:7">
      <c r="B48" s="7" t="s">
        <v>23</v>
      </c>
      <c r="C48" s="6" t="s">
        <v>24</v>
      </c>
      <c r="D48" s="8" t="s">
        <v>68</v>
      </c>
      <c r="E48" s="9" t="s">
        <v>1716</v>
      </c>
      <c r="F48" s="6" t="str">
        <f>_xlfn.XLOOKUP(D48,[2]DP!$F:$F,[2]DP!$E:$E,"-")</f>
        <v>PRAMU SINTO</v>
      </c>
      <c r="G48" s="222"/>
    </row>
    <row r="49" spans="2:7">
      <c r="B49" s="7" t="s">
        <v>23</v>
      </c>
      <c r="C49" s="6" t="s">
        <v>24</v>
      </c>
      <c r="D49" s="8" t="s">
        <v>69</v>
      </c>
      <c r="E49" s="9" t="s">
        <v>1739</v>
      </c>
      <c r="F49" s="6" t="str">
        <f>_xlfn.XLOOKUP(D49,[2]DP!$F:$F,[2]DP!$E:$E,"-")</f>
        <v>RAFLI FEBRIANSYAH</v>
      </c>
      <c r="G49" s="222"/>
    </row>
    <row r="50" spans="2:7">
      <c r="B50" s="7" t="s">
        <v>23</v>
      </c>
      <c r="C50" s="6" t="s">
        <v>24</v>
      </c>
      <c r="D50" s="8" t="s">
        <v>70</v>
      </c>
      <c r="E50" s="9" t="s">
        <v>1739</v>
      </c>
      <c r="F50" s="6" t="str">
        <f>_xlfn.XLOOKUP(D50,[2]DP!$F:$F,[2]DP!$E:$E,"-")</f>
        <v>DIRA CANA</v>
      </c>
      <c r="G50" s="222"/>
    </row>
    <row r="51" spans="2:7">
      <c r="B51" s="7" t="s">
        <v>23</v>
      </c>
      <c r="C51" s="6" t="s">
        <v>24</v>
      </c>
      <c r="D51" s="8" t="s">
        <v>71</v>
      </c>
      <c r="E51" s="9" t="s">
        <v>1739</v>
      </c>
      <c r="F51" s="6" t="str">
        <f>_xlfn.XLOOKUP(D51,[2]DP!$F:$F,[2]DP!$E:$E,"-")</f>
        <v>DIRA CANA</v>
      </c>
      <c r="G51" s="222"/>
    </row>
    <row r="52" spans="2:7">
      <c r="B52" s="7" t="s">
        <v>23</v>
      </c>
      <c r="C52" s="6" t="s">
        <v>24</v>
      </c>
      <c r="D52" s="8" t="s">
        <v>72</v>
      </c>
      <c r="E52" s="9" t="s">
        <v>1716</v>
      </c>
      <c r="F52" s="6" t="str">
        <f>_xlfn.XLOOKUP(D52,[2]DP!$F:$F,[2]DP!$E:$E,"-")</f>
        <v>NOTO IRAWAN</v>
      </c>
      <c r="G52" s="222"/>
    </row>
    <row r="53" spans="2:7">
      <c r="B53" s="7" t="s">
        <v>23</v>
      </c>
      <c r="C53" s="6" t="s">
        <v>24</v>
      </c>
      <c r="D53" s="8" t="s">
        <v>73</v>
      </c>
      <c r="E53" s="9" t="s">
        <v>1739</v>
      </c>
      <c r="F53" s="6" t="str">
        <f>_xlfn.XLOOKUP(D53,[2]DP!$F:$F,[2]DP!$E:$E,"-")</f>
        <v>RENDI ANDIRA</v>
      </c>
      <c r="G53" s="222"/>
    </row>
    <row r="54" spans="2:7">
      <c r="B54" s="7" t="s">
        <v>23</v>
      </c>
      <c r="C54" s="6" t="s">
        <v>24</v>
      </c>
      <c r="D54" s="8" t="s">
        <v>74</v>
      </c>
      <c r="E54" s="9" t="s">
        <v>1739</v>
      </c>
      <c r="F54" s="6" t="str">
        <f>_xlfn.XLOOKUP(D54,[2]DP!$F:$F,[2]DP!$E:$E,"-")</f>
        <v>RAFLI FEBRIANSYAH</v>
      </c>
      <c r="G54" s="222"/>
    </row>
    <row r="55" spans="2:7">
      <c r="B55" s="7" t="s">
        <v>23</v>
      </c>
      <c r="C55" s="6" t="s">
        <v>24</v>
      </c>
      <c r="D55" s="8" t="s">
        <v>75</v>
      </c>
      <c r="E55" s="9" t="s">
        <v>1716</v>
      </c>
      <c r="F55" s="6" t="str">
        <f>_xlfn.XLOOKUP(D55,[2]DP!$F:$F,[2]DP!$E:$E,"-")</f>
        <v>VINNY LESTARI</v>
      </c>
      <c r="G55" s="222"/>
    </row>
    <row r="56" spans="2:7">
      <c r="B56" s="7" t="s">
        <v>23</v>
      </c>
      <c r="C56" s="6" t="s">
        <v>24</v>
      </c>
      <c r="D56" s="8" t="s">
        <v>76</v>
      </c>
      <c r="E56" s="9" t="s">
        <v>1739</v>
      </c>
      <c r="F56" s="6" t="str">
        <f>_xlfn.XLOOKUP(D56,[2]DP!$F:$F,[2]DP!$E:$E,"-")</f>
        <v>MIRZA NURUL FAJAR AHMAD</v>
      </c>
      <c r="G56" s="222"/>
    </row>
    <row r="57" spans="2:7">
      <c r="B57" s="7" t="s">
        <v>23</v>
      </c>
      <c r="C57" s="6" t="s">
        <v>24</v>
      </c>
      <c r="D57" s="8" t="s">
        <v>77</v>
      </c>
      <c r="E57" s="9" t="s">
        <v>1739</v>
      </c>
      <c r="F57" s="6" t="str">
        <f>_xlfn.XLOOKUP(D57,[2]DP!$F:$F,[2]DP!$E:$E,"-")</f>
        <v>FAJAR NUR MAULANA</v>
      </c>
      <c r="G57" s="222"/>
    </row>
    <row r="58" spans="2:7">
      <c r="B58" s="7" t="s">
        <v>23</v>
      </c>
      <c r="C58" s="6" t="s">
        <v>24</v>
      </c>
      <c r="D58" s="8" t="s">
        <v>78</v>
      </c>
      <c r="E58" s="9" t="s">
        <v>1716</v>
      </c>
      <c r="F58" s="6" t="str">
        <f>_xlfn.XLOOKUP(D58,[2]DP!$F:$F,[2]DP!$E:$E,"-")</f>
        <v>TRI ASMA INDRA SAPUTRA</v>
      </c>
      <c r="G58" s="222"/>
    </row>
    <row r="59" spans="2:7">
      <c r="B59" s="7" t="s">
        <v>23</v>
      </c>
      <c r="C59" s="6" t="s">
        <v>24</v>
      </c>
      <c r="D59" s="8" t="s">
        <v>79</v>
      </c>
      <c r="E59" s="9" t="s">
        <v>1716</v>
      </c>
      <c r="F59" s="6" t="str">
        <f>_xlfn.XLOOKUP(D59,[2]DP!$F:$F,[2]DP!$E:$E,"-")</f>
        <v>DAYU CANDRA ISHAK</v>
      </c>
      <c r="G59" s="222"/>
    </row>
    <row r="60" spans="2:7">
      <c r="B60" s="7" t="s">
        <v>23</v>
      </c>
      <c r="C60" s="6" t="s">
        <v>24</v>
      </c>
      <c r="D60" s="8" t="s">
        <v>80</v>
      </c>
      <c r="E60" s="9" t="s">
        <v>1739</v>
      </c>
      <c r="F60" s="6" t="str">
        <f>_xlfn.XLOOKUP(D60,[2]DP!$F:$F,[2]DP!$E:$E,"-")</f>
        <v>DZULFIQAR SADDAM PRAKOSO</v>
      </c>
      <c r="G60" s="222"/>
    </row>
    <row r="61" spans="2:7">
      <c r="B61" s="7" t="s">
        <v>23</v>
      </c>
      <c r="C61" s="6" t="s">
        <v>24</v>
      </c>
      <c r="D61" s="8" t="s">
        <v>81</v>
      </c>
      <c r="E61" s="9" t="s">
        <v>1716</v>
      </c>
      <c r="F61" s="6" t="str">
        <f>_xlfn.XLOOKUP(D61,[2]DP!$F:$F,[2]DP!$E:$E,"-")</f>
        <v>BRIAN DANIEL</v>
      </c>
      <c r="G61" s="222"/>
    </row>
    <row r="62" spans="2:7">
      <c r="B62" s="7" t="s">
        <v>23</v>
      </c>
      <c r="C62" s="6" t="s">
        <v>24</v>
      </c>
      <c r="D62" s="8" t="s">
        <v>82</v>
      </c>
      <c r="E62" s="9" t="s">
        <v>1739</v>
      </c>
      <c r="F62" s="6" t="str">
        <f>_xlfn.XLOOKUP(D62,[2]DP!$F:$F,[2]DP!$E:$E,"-")</f>
        <v>ANJAR MAULANA</v>
      </c>
      <c r="G62" s="222"/>
    </row>
    <row r="63" spans="2:7">
      <c r="B63" s="7" t="s">
        <v>23</v>
      </c>
      <c r="C63" s="6" t="s">
        <v>24</v>
      </c>
      <c r="D63" s="8" t="s">
        <v>83</v>
      </c>
      <c r="E63" s="9" t="s">
        <v>1739</v>
      </c>
      <c r="F63" s="6" t="str">
        <f>_xlfn.XLOOKUP(D63,[2]DP!$F:$F,[2]DP!$E:$E,"-")</f>
        <v>REZA PRATAMA PUTRA</v>
      </c>
      <c r="G63" s="222"/>
    </row>
    <row r="64" spans="2:7">
      <c r="B64" s="7" t="s">
        <v>23</v>
      </c>
      <c r="C64" s="6" t="s">
        <v>24</v>
      </c>
      <c r="D64" s="8" t="s">
        <v>84</v>
      </c>
      <c r="E64" s="9" t="s">
        <v>1716</v>
      </c>
      <c r="F64" s="6" t="str">
        <f>_xlfn.XLOOKUP(D64,[2]DP!$F:$F,[2]DP!$E:$E,"-")</f>
        <v>SALEH</v>
      </c>
      <c r="G64" s="222"/>
    </row>
    <row r="65" spans="2:7">
      <c r="B65" s="7" t="s">
        <v>23</v>
      </c>
      <c r="C65" s="6" t="s">
        <v>24</v>
      </c>
      <c r="D65" s="8" t="s">
        <v>85</v>
      </c>
      <c r="E65" s="9" t="s">
        <v>1716</v>
      </c>
      <c r="F65" s="6" t="str">
        <f>_xlfn.XLOOKUP(D65,[2]DP!$F:$F,[2]DP!$E:$E,"-")</f>
        <v>IKHSAN ALIF AL MI' ROJ</v>
      </c>
      <c r="G65" s="222"/>
    </row>
    <row r="66" spans="2:7">
      <c r="B66" s="7" t="s">
        <v>23</v>
      </c>
      <c r="C66" s="6" t="s">
        <v>24</v>
      </c>
      <c r="D66" s="8" t="s">
        <v>86</v>
      </c>
      <c r="E66" s="9" t="s">
        <v>1739</v>
      </c>
      <c r="F66" s="6" t="str">
        <f>_xlfn.XLOOKUP(D66,[2]DP!$F:$F,[2]DP!$E:$E,"-")</f>
        <v>MOHAMAD IRVAN</v>
      </c>
      <c r="G66" s="222"/>
    </row>
    <row r="67" spans="2:7">
      <c r="B67" s="7" t="s">
        <v>23</v>
      </c>
      <c r="C67" s="6" t="s">
        <v>24</v>
      </c>
      <c r="D67" s="8" t="s">
        <v>87</v>
      </c>
      <c r="E67" s="9" t="s">
        <v>1739</v>
      </c>
      <c r="F67" s="6" t="str">
        <f>_xlfn.XLOOKUP(D67,[2]DP!$F:$F,[2]DP!$E:$E,"-")</f>
        <v>DWI PUTRO WARDOYO WIDODO</v>
      </c>
      <c r="G67" s="222"/>
    </row>
    <row r="68" spans="2:7">
      <c r="B68" s="7" t="s">
        <v>23</v>
      </c>
      <c r="C68" s="6" t="s">
        <v>24</v>
      </c>
      <c r="D68" s="8" t="s">
        <v>88</v>
      </c>
      <c r="E68" s="9" t="s">
        <v>1739</v>
      </c>
      <c r="F68" s="6" t="str">
        <f>_xlfn.XLOOKUP(D68,[2]DP!$F:$F,[2]DP!$E:$E,"-")</f>
        <v>OPI PAJAR IRAWAN</v>
      </c>
      <c r="G68" s="222"/>
    </row>
    <row r="69" spans="2:7">
      <c r="B69" s="7" t="s">
        <v>23</v>
      </c>
      <c r="C69" s="6" t="s">
        <v>24</v>
      </c>
      <c r="D69" s="8" t="s">
        <v>89</v>
      </c>
      <c r="E69" s="9" t="s">
        <v>1739</v>
      </c>
      <c r="F69" s="6" t="str">
        <f>_xlfn.XLOOKUP(D69,[2]DP!$F:$F,[2]DP!$E:$E,"-")</f>
        <v>KUAT PRAYITNO</v>
      </c>
      <c r="G69" s="222"/>
    </row>
    <row r="70" spans="2:7">
      <c r="B70" s="7" t="s">
        <v>23</v>
      </c>
      <c r="C70" s="6" t="s">
        <v>24</v>
      </c>
      <c r="D70" s="8" t="s">
        <v>90</v>
      </c>
      <c r="E70" s="9" t="s">
        <v>1739</v>
      </c>
      <c r="F70" s="6" t="str">
        <f>_xlfn.XLOOKUP(D70,[2]DP!$F:$F,[2]DP!$E:$E,"-")</f>
        <v>AGUNG RESTU MUSTAQIM</v>
      </c>
      <c r="G70" s="222"/>
    </row>
    <row r="71" spans="2:7">
      <c r="B71" s="7" t="s">
        <v>23</v>
      </c>
      <c r="C71" s="6" t="s">
        <v>24</v>
      </c>
      <c r="D71" s="8" t="s">
        <v>91</v>
      </c>
      <c r="E71" s="9" t="s">
        <v>1739</v>
      </c>
      <c r="F71" s="6" t="str">
        <f>_xlfn.XLOOKUP(D71,[2]DP!$F:$F,[2]DP!$E:$E,"-")</f>
        <v>MUHAMMAD SALISGIA</v>
      </c>
      <c r="G71" s="222"/>
    </row>
    <row r="72" spans="2:7">
      <c r="B72" s="7" t="s">
        <v>23</v>
      </c>
      <c r="C72" s="6" t="s">
        <v>24</v>
      </c>
      <c r="D72" s="8" t="s">
        <v>92</v>
      </c>
      <c r="E72" s="9" t="s">
        <v>1739</v>
      </c>
      <c r="F72" s="6" t="str">
        <f>_xlfn.XLOOKUP(D72,[2]DP!$F:$F,[2]DP!$E:$E,"-")</f>
        <v>FADHILLAH NURRACHMAN S</v>
      </c>
      <c r="G72" s="222"/>
    </row>
    <row r="73" spans="2:7">
      <c r="B73" s="7" t="s">
        <v>23</v>
      </c>
      <c r="C73" s="6" t="s">
        <v>24</v>
      </c>
      <c r="D73" s="8" t="s">
        <v>93</v>
      </c>
      <c r="E73" s="9" t="s">
        <v>1716</v>
      </c>
      <c r="F73" s="6" t="str">
        <f>_xlfn.XLOOKUP(D73,[2]DP!$F:$F,[2]DP!$E:$E,"-")</f>
        <v>FADHILLAH NURRACHMAN S</v>
      </c>
      <c r="G73" s="222"/>
    </row>
    <row r="74" spans="2:7">
      <c r="B74" s="7" t="s">
        <v>23</v>
      </c>
      <c r="C74" s="6" t="s">
        <v>24</v>
      </c>
      <c r="D74" s="8" t="s">
        <v>94</v>
      </c>
      <c r="E74" s="9" t="s">
        <v>1716</v>
      </c>
      <c r="F74" s="6" t="str">
        <f>_xlfn.XLOOKUP(D74,[2]DP!$F:$F,[2]DP!$E:$E,"-")</f>
        <v>AGUNG RESTU MUSTAQIM</v>
      </c>
      <c r="G74" s="222"/>
    </row>
    <row r="75" spans="2:7">
      <c r="B75" s="7" t="s">
        <v>95</v>
      </c>
      <c r="C75" s="6" t="s">
        <v>96</v>
      </c>
      <c r="D75" s="8" t="s">
        <v>97</v>
      </c>
      <c r="E75" s="9" t="s">
        <v>1739</v>
      </c>
      <c r="F75" s="6" t="str">
        <f>_xlfn.XLOOKUP(D75,'[3]DROP POINT AKTIF'!$B:$B,'[3]DROP POINT AKTIF'!$F:$F,"-")</f>
        <v>NIAMULLAH</v>
      </c>
      <c r="G75" s="222"/>
    </row>
    <row r="76" spans="2:7">
      <c r="B76" s="7" t="s">
        <v>95</v>
      </c>
      <c r="C76" s="6" t="s">
        <v>96</v>
      </c>
      <c r="D76" s="8" t="s">
        <v>98</v>
      </c>
      <c r="E76" s="9" t="s">
        <v>1739</v>
      </c>
      <c r="F76" s="6" t="str">
        <f>_xlfn.XLOOKUP(D76,'[3]DROP POINT AKTIF'!$B:$B,'[3]DROP POINT AKTIF'!$F:$F,"-")</f>
        <v>TEGUH ISWANTO</v>
      </c>
      <c r="G76" s="222"/>
    </row>
    <row r="77" spans="2:7">
      <c r="B77" s="7" t="s">
        <v>95</v>
      </c>
      <c r="C77" s="6" t="s">
        <v>96</v>
      </c>
      <c r="D77" s="8" t="s">
        <v>99</v>
      </c>
      <c r="E77" s="9" t="s">
        <v>1739</v>
      </c>
      <c r="F77" s="6" t="str">
        <f>_xlfn.XLOOKUP(D77,'[3]DROP POINT AKTIF'!$B:$B,'[3]DROP POINT AKTIF'!$F:$F,"-")</f>
        <v>RAMADANIALDI</v>
      </c>
      <c r="G77" s="222"/>
    </row>
    <row r="78" spans="2:7">
      <c r="B78" s="7" t="s">
        <v>95</v>
      </c>
      <c r="C78" s="6" t="s">
        <v>96</v>
      </c>
      <c r="D78" s="8" t="s">
        <v>100</v>
      </c>
      <c r="E78" s="9" t="s">
        <v>1739</v>
      </c>
      <c r="F78" s="6" t="str">
        <f>_xlfn.XLOOKUP(D78,'[3]DROP POINT AKTIF'!$B:$B,'[3]DROP POINT AKTIF'!$F:$F,"-")</f>
        <v>DEDE JUNA</v>
      </c>
      <c r="G78" s="222"/>
    </row>
    <row r="79" spans="2:7">
      <c r="B79" s="7" t="s">
        <v>95</v>
      </c>
      <c r="C79" s="6" t="s">
        <v>96</v>
      </c>
      <c r="D79" s="8" t="s">
        <v>101</v>
      </c>
      <c r="E79" s="9" t="s">
        <v>1739</v>
      </c>
      <c r="F79" s="6" t="str">
        <f>_xlfn.XLOOKUP(D79,'[3]DROP POINT AKTIF'!$B:$B,'[3]DROP POINT AKTIF'!$F:$F,"-")</f>
        <v>MOCH. JAJULI FAHMI</v>
      </c>
      <c r="G79" s="222"/>
    </row>
    <row r="80" spans="2:7">
      <c r="B80" s="7" t="s">
        <v>95</v>
      </c>
      <c r="C80" s="6" t="s">
        <v>96</v>
      </c>
      <c r="D80" s="8" t="s">
        <v>102</v>
      </c>
      <c r="E80" s="9" t="s">
        <v>1716</v>
      </c>
      <c r="F80" s="6" t="str">
        <f>_xlfn.XLOOKUP(D80,'[3]DROP POINT AKTIF'!$B:$B,'[3]DROP POINT AKTIF'!$F:$F,"-")</f>
        <v>ARIS HERMAWAN</v>
      </c>
      <c r="G80" s="222"/>
    </row>
    <row r="81" spans="2:7">
      <c r="B81" s="7" t="s">
        <v>95</v>
      </c>
      <c r="C81" s="6" t="s">
        <v>96</v>
      </c>
      <c r="D81" s="8" t="s">
        <v>103</v>
      </c>
      <c r="E81" s="9" t="s">
        <v>1716</v>
      </c>
      <c r="F81" s="6" t="str">
        <f>_xlfn.XLOOKUP(D81,'[3]DROP POINT AKTIF'!$B:$B,'[3]DROP POINT AKTIF'!$F:$F,"-")</f>
        <v>IBNU FADILLAH</v>
      </c>
      <c r="G81" s="222"/>
    </row>
    <row r="82" spans="2:7">
      <c r="B82" s="7" t="s">
        <v>95</v>
      </c>
      <c r="C82" s="6" t="s">
        <v>96</v>
      </c>
      <c r="D82" s="8" t="s">
        <v>104</v>
      </c>
      <c r="E82" s="9" t="s">
        <v>1716</v>
      </c>
      <c r="F82" s="6" t="str">
        <f>_xlfn.XLOOKUP(D82,'[3]DROP POINT AKTIF'!$B:$B,'[3]DROP POINT AKTIF'!$F:$F,"-")</f>
        <v>MOHAMAD JUNAEDI FIRMANSYAH</v>
      </c>
      <c r="G82" s="222"/>
    </row>
    <row r="83" spans="2:7">
      <c r="B83" s="7" t="s">
        <v>95</v>
      </c>
      <c r="C83" s="6" t="s">
        <v>96</v>
      </c>
      <c r="D83" s="8" t="s">
        <v>105</v>
      </c>
      <c r="E83" s="9" t="s">
        <v>1716</v>
      </c>
      <c r="F83" s="6" t="str">
        <f>_xlfn.XLOOKUP(D83,'[3]DROP POINT AKTIF'!$B:$B,'[3]DROP POINT AKTIF'!$F:$F,"-")</f>
        <v>MOCH. JAJULI FAHMI</v>
      </c>
      <c r="G83" s="222"/>
    </row>
    <row r="84" spans="2:7">
      <c r="B84" s="7" t="s">
        <v>95</v>
      </c>
      <c r="C84" s="6" t="s">
        <v>96</v>
      </c>
      <c r="D84" s="8" t="s">
        <v>106</v>
      </c>
      <c r="E84" s="9" t="s">
        <v>1716</v>
      </c>
      <c r="F84" s="6" t="str">
        <f>_xlfn.XLOOKUP(D84,'[3]DROP POINT AKTIF'!$B:$B,'[3]DROP POINT AKTIF'!$F:$F,"-")</f>
        <v>HANDOKO</v>
      </c>
      <c r="G84" s="222"/>
    </row>
    <row r="85" spans="2:7">
      <c r="B85" s="7" t="s">
        <v>95</v>
      </c>
      <c r="C85" s="6" t="s">
        <v>96</v>
      </c>
      <c r="D85" s="8" t="s">
        <v>107</v>
      </c>
      <c r="E85" s="9" t="s">
        <v>1716</v>
      </c>
      <c r="F85" s="6" t="str">
        <f>_xlfn.XLOOKUP(D85,'[3]DROP POINT AKTIF'!$B:$B,'[3]DROP POINT AKTIF'!$F:$F,"-")</f>
        <v>MOHAMAD KAHIS</v>
      </c>
      <c r="G85" s="222"/>
    </row>
    <row r="86" spans="2:7">
      <c r="B86" s="7" t="s">
        <v>95</v>
      </c>
      <c r="C86" s="6" t="s">
        <v>96</v>
      </c>
      <c r="D86" s="8" t="s">
        <v>108</v>
      </c>
      <c r="E86" s="9" t="s">
        <v>1716</v>
      </c>
      <c r="F86" s="6" t="str">
        <f>_xlfn.XLOOKUP(D86,'[3]DROP POINT AKTIF'!$B:$B,'[3]DROP POINT AKTIF'!$F:$F,"-")</f>
        <v>CATUR MAY ANDRIAN</v>
      </c>
      <c r="G86" s="222"/>
    </row>
    <row r="87" spans="2:7">
      <c r="B87" s="7" t="s">
        <v>95</v>
      </c>
      <c r="C87" s="6" t="s">
        <v>96</v>
      </c>
      <c r="D87" s="8" t="s">
        <v>109</v>
      </c>
      <c r="E87" s="9" t="s">
        <v>1716</v>
      </c>
      <c r="F87" s="6" t="str">
        <f>_xlfn.XLOOKUP(D87,'[3]DROP POINT AKTIF'!$B:$B,'[3]DROP POINT AKTIF'!$F:$F,"-")</f>
        <v>NOVA ANDRIANTO</v>
      </c>
      <c r="G87" s="222"/>
    </row>
    <row r="88" spans="2:7">
      <c r="B88" s="7" t="s">
        <v>95</v>
      </c>
      <c r="C88" s="6" t="s">
        <v>96</v>
      </c>
      <c r="D88" s="8" t="s">
        <v>110</v>
      </c>
      <c r="E88" s="9" t="s">
        <v>1716</v>
      </c>
      <c r="F88" s="6" t="str">
        <f>_xlfn.XLOOKUP(D88,'[3]DROP POINT AKTIF'!$B:$B,'[3]DROP POINT AKTIF'!$F:$F,"-")</f>
        <v>NOVA ANDRIANTO</v>
      </c>
      <c r="G88" s="222"/>
    </row>
    <row r="89" spans="2:7">
      <c r="B89" s="7" t="s">
        <v>95</v>
      </c>
      <c r="C89" s="6" t="s">
        <v>96</v>
      </c>
      <c r="D89" s="8" t="s">
        <v>111</v>
      </c>
      <c r="E89" s="9" t="s">
        <v>1739</v>
      </c>
      <c r="F89" s="6" t="str">
        <f>_xlfn.XLOOKUP(D89,'[3]DROP POINT AKTIF'!$B:$B,'[3]DROP POINT AKTIF'!$F:$F,"-")</f>
        <v>MUHAMAD WILDAN</v>
      </c>
      <c r="G89" s="222"/>
    </row>
    <row r="90" spans="2:7">
      <c r="B90" s="7" t="s">
        <v>95</v>
      </c>
      <c r="C90" s="6" t="s">
        <v>96</v>
      </c>
      <c r="D90" s="8" t="s">
        <v>112</v>
      </c>
      <c r="E90" s="9" t="s">
        <v>1739</v>
      </c>
      <c r="F90" s="6" t="str">
        <f>_xlfn.XLOOKUP(D90,'[3]DROP POINT AKTIF'!$B:$B,'[3]DROP POINT AKTIF'!$F:$F,"-")</f>
        <v>MUHAMMAD LUTFI</v>
      </c>
      <c r="G90" s="222"/>
    </row>
    <row r="91" spans="2:7">
      <c r="B91" s="7" t="s">
        <v>95</v>
      </c>
      <c r="C91" s="6" t="s">
        <v>96</v>
      </c>
      <c r="D91" s="8" t="s">
        <v>113</v>
      </c>
      <c r="E91" s="9" t="s">
        <v>1716</v>
      </c>
      <c r="F91" s="6" t="str">
        <f>_xlfn.XLOOKUP(D91,'[3]DROP POINT AKTIF'!$B:$B,'[3]DROP POINT AKTIF'!$F:$F,"-")</f>
        <v>DHIAS WIKRAMA ATMAJA</v>
      </c>
      <c r="G91" s="222"/>
    </row>
    <row r="92" spans="2:7">
      <c r="B92" s="7" t="s">
        <v>95</v>
      </c>
      <c r="C92" s="6" t="s">
        <v>96</v>
      </c>
      <c r="D92" s="8" t="s">
        <v>114</v>
      </c>
      <c r="E92" s="9" t="s">
        <v>1716</v>
      </c>
      <c r="F92" s="6" t="str">
        <f>_xlfn.XLOOKUP(D92,'[3]DROP POINT AKTIF'!$B:$B,'[3]DROP POINT AKTIF'!$F:$F,"-")</f>
        <v>ANDI WIDIARTO</v>
      </c>
      <c r="G92" s="222"/>
    </row>
    <row r="93" spans="2:7">
      <c r="B93" s="7" t="s">
        <v>95</v>
      </c>
      <c r="C93" s="6" t="s">
        <v>96</v>
      </c>
      <c r="D93" s="8" t="s">
        <v>115</v>
      </c>
      <c r="E93" s="9" t="s">
        <v>1716</v>
      </c>
      <c r="F93" s="6" t="str">
        <f>_xlfn.XLOOKUP(D93,'[3]DROP POINT AKTIF'!$B:$B,'[3]DROP POINT AKTIF'!$F:$F,"-")</f>
        <v>SARYONO</v>
      </c>
      <c r="G93" s="222"/>
    </row>
    <row r="94" spans="2:7">
      <c r="B94" s="7" t="s">
        <v>95</v>
      </c>
      <c r="C94" s="6" t="s">
        <v>96</v>
      </c>
      <c r="D94" s="8" t="s">
        <v>116</v>
      </c>
      <c r="E94" s="9" t="s">
        <v>1716</v>
      </c>
      <c r="F94" s="6" t="str">
        <f>_xlfn.XLOOKUP(D94,'[3]DROP POINT AKTIF'!$B:$B,'[3]DROP POINT AKTIF'!$F:$F,"-")</f>
        <v>ANGGATIO</v>
      </c>
      <c r="G94" s="222"/>
    </row>
    <row r="95" spans="2:7">
      <c r="B95" s="7" t="s">
        <v>95</v>
      </c>
      <c r="C95" s="6" t="s">
        <v>96</v>
      </c>
      <c r="D95" s="8" t="s">
        <v>117</v>
      </c>
      <c r="E95" s="9" t="s">
        <v>1716</v>
      </c>
      <c r="F95" s="6" t="str">
        <f>_xlfn.XLOOKUP(D95,'[3]DROP POINT AKTIF'!$B:$B,'[3]DROP POINT AKTIF'!$F:$F,"-")</f>
        <v>MUHAMMAD RIFKI</v>
      </c>
      <c r="G95" s="222"/>
    </row>
    <row r="96" spans="2:7">
      <c r="B96" s="7" t="s">
        <v>95</v>
      </c>
      <c r="C96" s="6" t="s">
        <v>96</v>
      </c>
      <c r="D96" s="8" t="s">
        <v>118</v>
      </c>
      <c r="E96" s="9" t="s">
        <v>1716</v>
      </c>
      <c r="F96" s="6" t="str">
        <f>_xlfn.XLOOKUP(D96,'[3]DROP POINT AKTIF'!$B:$B,'[3]DROP POINT AKTIF'!$F:$F,"-")</f>
        <v>SUPYAN SAURI</v>
      </c>
      <c r="G96" s="222"/>
    </row>
    <row r="97" spans="2:7">
      <c r="B97" s="7" t="s">
        <v>95</v>
      </c>
      <c r="C97" s="6" t="s">
        <v>96</v>
      </c>
      <c r="D97" s="8" t="s">
        <v>119</v>
      </c>
      <c r="E97" s="9" t="s">
        <v>1716</v>
      </c>
      <c r="F97" s="6" t="str">
        <f>_xlfn.XLOOKUP(D97,'[3]DROP POINT AKTIF'!$B:$B,'[3]DROP POINT AKTIF'!$F:$F,"-")</f>
        <v>-</v>
      </c>
      <c r="G97" s="222"/>
    </row>
    <row r="98" spans="2:7">
      <c r="B98" s="7" t="s">
        <v>95</v>
      </c>
      <c r="C98" s="6" t="s">
        <v>96</v>
      </c>
      <c r="D98" s="8" t="s">
        <v>120</v>
      </c>
      <c r="E98" s="9" t="s">
        <v>1739</v>
      </c>
      <c r="F98" s="6" t="str">
        <f>_xlfn.XLOOKUP(D98,'[3]DROP POINT AKTIF'!$B:$B,'[3]DROP POINT AKTIF'!$F:$F,"-")</f>
        <v>YUSTRIZA ENDISYA</v>
      </c>
      <c r="G98" s="222"/>
    </row>
    <row r="99" spans="2:7">
      <c r="B99" s="7" t="s">
        <v>95</v>
      </c>
      <c r="C99" s="6" t="s">
        <v>96</v>
      </c>
      <c r="D99" s="8" t="s">
        <v>121</v>
      </c>
      <c r="E99" s="9" t="s">
        <v>1739</v>
      </c>
      <c r="F99" s="6" t="str">
        <f>_xlfn.XLOOKUP(D99,'[3]DROP POINT AKTIF'!$B:$B,'[3]DROP POINT AKTIF'!$F:$F,"-")</f>
        <v>YUSTRIZA ENDISYA</v>
      </c>
      <c r="G99" s="222"/>
    </row>
    <row r="100" spans="2:7">
      <c r="B100" s="7" t="s">
        <v>95</v>
      </c>
      <c r="C100" s="6" t="s">
        <v>96</v>
      </c>
      <c r="D100" s="8" t="s">
        <v>122</v>
      </c>
      <c r="E100" s="9" t="s">
        <v>1739</v>
      </c>
      <c r="F100" s="6" t="str">
        <f>_xlfn.XLOOKUP(D100,'[3]DROP POINT AKTIF'!$B:$B,'[3]DROP POINT AKTIF'!$F:$F,"-")</f>
        <v>ARIF SETIANTO</v>
      </c>
      <c r="G100" s="222"/>
    </row>
    <row r="101" spans="2:7">
      <c r="B101" s="7" t="s">
        <v>95</v>
      </c>
      <c r="C101" s="6" t="s">
        <v>96</v>
      </c>
      <c r="D101" s="8" t="s">
        <v>123</v>
      </c>
      <c r="E101" s="9" t="s">
        <v>1716</v>
      </c>
      <c r="F101" s="6" t="str">
        <f>_xlfn.XLOOKUP(D101,'[3]DROP POINT AKTIF'!$B:$B,'[3]DROP POINT AKTIF'!$F:$F,"-")</f>
        <v>ALFAN AZIZ</v>
      </c>
      <c r="G101" s="222"/>
    </row>
    <row r="102" spans="2:7">
      <c r="B102" s="7" t="s">
        <v>95</v>
      </c>
      <c r="C102" s="6" t="s">
        <v>96</v>
      </c>
      <c r="D102" s="8" t="s">
        <v>124</v>
      </c>
      <c r="E102" s="9" t="s">
        <v>1716</v>
      </c>
      <c r="F102" s="6" t="str">
        <f>_xlfn.XLOOKUP(D102,'[3]DROP POINT AKTIF'!$B:$B,'[3]DROP POINT AKTIF'!$F:$F,"-")</f>
        <v>NUZUL</v>
      </c>
      <c r="G102" s="222"/>
    </row>
    <row r="103" spans="2:7">
      <c r="B103" s="7" t="s">
        <v>95</v>
      </c>
      <c r="C103" s="6" t="s">
        <v>96</v>
      </c>
      <c r="D103" s="8" t="s">
        <v>125</v>
      </c>
      <c r="E103" s="9" t="s">
        <v>1739</v>
      </c>
      <c r="F103" s="6" t="str">
        <f>_xlfn.XLOOKUP(D103,'[3]DROP POINT AKTIF'!$B:$B,'[3]DROP POINT AKTIF'!$F:$F,"-")</f>
        <v>KOMARUDIN</v>
      </c>
      <c r="G103" s="222"/>
    </row>
    <row r="104" spans="2:7">
      <c r="B104" s="7" t="s">
        <v>95</v>
      </c>
      <c r="C104" s="6" t="s">
        <v>96</v>
      </c>
      <c r="D104" s="8" t="s">
        <v>126</v>
      </c>
      <c r="E104" s="9" t="s">
        <v>1739</v>
      </c>
      <c r="F104" s="6" t="str">
        <f>_xlfn.XLOOKUP(D104,'[3]DROP POINT AKTIF'!$B:$B,'[3]DROP POINT AKTIF'!$F:$F,"-")</f>
        <v>TEGAR PRAKOSO</v>
      </c>
      <c r="G104" s="222"/>
    </row>
    <row r="105" spans="2:7">
      <c r="B105" s="7" t="s">
        <v>95</v>
      </c>
      <c r="C105" s="6" t="s">
        <v>96</v>
      </c>
      <c r="D105" s="8" t="s">
        <v>127</v>
      </c>
      <c r="E105" s="9" t="s">
        <v>1716</v>
      </c>
      <c r="F105" s="6" t="str">
        <f>_xlfn.XLOOKUP(D105,'[3]DROP POINT AKTIF'!$B:$B,'[3]DROP POINT AKTIF'!$F:$F,"-")</f>
        <v>KOMARUDIN</v>
      </c>
      <c r="G105" s="222"/>
    </row>
    <row r="106" spans="2:7">
      <c r="B106" s="7" t="s">
        <v>95</v>
      </c>
      <c r="C106" s="6" t="s">
        <v>96</v>
      </c>
      <c r="D106" s="8" t="s">
        <v>128</v>
      </c>
      <c r="E106" s="9" t="s">
        <v>1739</v>
      </c>
      <c r="F106" s="6" t="str">
        <f>_xlfn.XLOOKUP(D106,'[3]DROP POINT AKTIF'!$B:$B,'[3]DROP POINT AKTIF'!$F:$F,"-")</f>
        <v>ARIEF SOFYAN</v>
      </c>
      <c r="G106" s="222"/>
    </row>
    <row r="107" spans="2:7">
      <c r="B107" s="7" t="s">
        <v>95</v>
      </c>
      <c r="C107" s="6" t="s">
        <v>96</v>
      </c>
      <c r="D107" s="8" t="s">
        <v>129</v>
      </c>
      <c r="E107" s="9" t="s">
        <v>1739</v>
      </c>
      <c r="F107" s="6" t="str">
        <f>_xlfn.XLOOKUP(D107,'[3]DROP POINT AKTIF'!$B:$B,'[3]DROP POINT AKTIF'!$F:$F,"-")</f>
        <v>YUSTRIZA ENDISYA</v>
      </c>
      <c r="G107" s="222"/>
    </row>
    <row r="108" spans="2:7">
      <c r="B108" s="7" t="s">
        <v>95</v>
      </c>
      <c r="C108" s="6" t="s">
        <v>96</v>
      </c>
      <c r="D108" s="8" t="s">
        <v>130</v>
      </c>
      <c r="E108" s="9" t="s">
        <v>1739</v>
      </c>
      <c r="F108" s="6" t="str">
        <f>_xlfn.XLOOKUP(D108,'[3]DROP POINT AKTIF'!$B:$B,'[3]DROP POINT AKTIF'!$F:$F,"-")</f>
        <v>SYAHRUL RAMDANI</v>
      </c>
      <c r="G108" s="222"/>
    </row>
    <row r="109" spans="2:7">
      <c r="B109" s="7" t="s">
        <v>95</v>
      </c>
      <c r="C109" s="6" t="s">
        <v>96</v>
      </c>
      <c r="D109" s="8" t="s">
        <v>131</v>
      </c>
      <c r="E109" s="9" t="s">
        <v>1739</v>
      </c>
      <c r="F109" s="6" t="str">
        <f>_xlfn.XLOOKUP(D109,'[3]DROP POINT AKTIF'!$B:$B,'[3]DROP POINT AKTIF'!$F:$F,"-")</f>
        <v>ANDRI ATMAJA</v>
      </c>
      <c r="G109" s="222"/>
    </row>
    <row r="110" spans="2:7">
      <c r="B110" s="7" t="s">
        <v>95</v>
      </c>
      <c r="C110" s="6" t="s">
        <v>96</v>
      </c>
      <c r="D110" s="8" t="s">
        <v>132</v>
      </c>
      <c r="E110" s="9" t="s">
        <v>1716</v>
      </c>
      <c r="F110" s="6" t="str">
        <f>_xlfn.XLOOKUP(D110,'[3]DROP POINT AKTIF'!$B:$B,'[3]DROP POINT AKTIF'!$F:$F,"-")</f>
        <v>MUCHTAR NUR RAMDAN (AAM)</v>
      </c>
      <c r="G110" s="222"/>
    </row>
    <row r="111" spans="2:7">
      <c r="B111" s="7" t="s">
        <v>95</v>
      </c>
      <c r="C111" s="6" t="s">
        <v>96</v>
      </c>
      <c r="D111" s="8" t="s">
        <v>133</v>
      </c>
      <c r="E111" s="9" t="s">
        <v>1739</v>
      </c>
      <c r="F111" s="6" t="str">
        <f>_xlfn.XLOOKUP(D111,'[3]DROP POINT AKTIF'!$B:$B,'[3]DROP POINT AKTIF'!$F:$F,"-")</f>
        <v>MUHAMAD DEDENG</v>
      </c>
      <c r="G111" s="222"/>
    </row>
    <row r="112" spans="2:7">
      <c r="B112" s="7" t="s">
        <v>95</v>
      </c>
      <c r="C112" s="6" t="s">
        <v>96</v>
      </c>
      <c r="D112" s="8" t="s">
        <v>134</v>
      </c>
      <c r="E112" s="9" t="s">
        <v>1739</v>
      </c>
      <c r="F112" s="6" t="str">
        <f>_xlfn.XLOOKUP(D112,'[3]DROP POINT AKTIF'!$B:$B,'[3]DROP POINT AKTIF'!$F:$F,"-")</f>
        <v>DEDI KUMAEDI</v>
      </c>
      <c r="G112" s="222"/>
    </row>
    <row r="113" spans="2:7">
      <c r="B113" s="7" t="s">
        <v>95</v>
      </c>
      <c r="C113" s="6" t="s">
        <v>96</v>
      </c>
      <c r="D113" s="8" t="s">
        <v>135</v>
      </c>
      <c r="E113" s="9" t="s">
        <v>1739</v>
      </c>
      <c r="F113" s="6" t="str">
        <f>_xlfn.XLOOKUP(D113,'[3]DROP POINT AKTIF'!$B:$B,'[3]DROP POINT AKTIF'!$F:$F,"-")</f>
        <v>AMDI MUBAROK</v>
      </c>
      <c r="G113" s="222"/>
    </row>
    <row r="114" spans="2:7">
      <c r="B114" s="7" t="s">
        <v>95</v>
      </c>
      <c r="C114" s="6" t="s">
        <v>96</v>
      </c>
      <c r="D114" s="8" t="s">
        <v>136</v>
      </c>
      <c r="E114" s="9" t="s">
        <v>1739</v>
      </c>
      <c r="F114" s="6" t="str">
        <f>_xlfn.XLOOKUP(D114,'[3]DROP POINT AKTIF'!$B:$B,'[3]DROP POINT AKTIF'!$F:$F,"-")</f>
        <v>MOCH MATIN</v>
      </c>
      <c r="G114" s="222"/>
    </row>
    <row r="115" spans="2:7">
      <c r="B115" s="7" t="s">
        <v>95</v>
      </c>
      <c r="C115" s="6" t="s">
        <v>96</v>
      </c>
      <c r="D115" s="8" t="s">
        <v>137</v>
      </c>
      <c r="E115" s="9" t="s">
        <v>1739</v>
      </c>
      <c r="F115" s="6" t="str">
        <f>_xlfn.XLOOKUP(D115,'[3]DROP POINT AKTIF'!$B:$B,'[3]DROP POINT AKTIF'!$F:$F,"-")</f>
        <v>JUHANDI</v>
      </c>
      <c r="G115" s="222"/>
    </row>
    <row r="116" spans="2:7">
      <c r="B116" s="7" t="s">
        <v>95</v>
      </c>
      <c r="C116" s="6" t="s">
        <v>96</v>
      </c>
      <c r="D116" s="8" t="s">
        <v>138</v>
      </c>
      <c r="E116" s="9" t="s">
        <v>1739</v>
      </c>
      <c r="F116" s="6" t="str">
        <f>_xlfn.XLOOKUP(D116,'[3]DROP POINT AKTIF'!$B:$B,'[3]DROP POINT AKTIF'!$F:$F,"-")</f>
        <v>AZAT SUDRAJAT</v>
      </c>
      <c r="G116" s="222"/>
    </row>
    <row r="117" spans="2:7">
      <c r="B117" s="7" t="s">
        <v>95</v>
      </c>
      <c r="C117" s="6" t="s">
        <v>96</v>
      </c>
      <c r="D117" s="8" t="s">
        <v>139</v>
      </c>
      <c r="E117" s="9" t="s">
        <v>1739</v>
      </c>
      <c r="F117" s="6" t="str">
        <f>_xlfn.XLOOKUP(D117,'[3]DROP POINT AKTIF'!$B:$B,'[3]DROP POINT AKTIF'!$F:$F,"-")</f>
        <v>ROHMAN</v>
      </c>
      <c r="G117" s="222"/>
    </row>
    <row r="118" spans="2:7">
      <c r="B118" s="7" t="s">
        <v>95</v>
      </c>
      <c r="C118" s="6" t="s">
        <v>96</v>
      </c>
      <c r="D118" s="8" t="s">
        <v>140</v>
      </c>
      <c r="E118" s="9" t="s">
        <v>1739</v>
      </c>
      <c r="F118" s="6" t="str">
        <f>_xlfn.XLOOKUP(D118,'[3]DROP POINT AKTIF'!$B:$B,'[3]DROP POINT AKTIF'!$F:$F,"-")</f>
        <v>DEDI KUMAEDI</v>
      </c>
      <c r="G118" s="222"/>
    </row>
    <row r="119" spans="2:7">
      <c r="B119" s="7" t="s">
        <v>95</v>
      </c>
      <c r="C119" s="6" t="s">
        <v>96</v>
      </c>
      <c r="D119" s="8" t="s">
        <v>141</v>
      </c>
      <c r="E119" s="9" t="s">
        <v>1739</v>
      </c>
      <c r="F119" s="6" t="str">
        <f>_xlfn.XLOOKUP(D119,'[3]DROP POINT AKTIF'!$B:$B,'[3]DROP POINT AKTIF'!$F:$F,"-")</f>
        <v>WAHYUDIN</v>
      </c>
      <c r="G119" s="222"/>
    </row>
    <row r="120" spans="2:7">
      <c r="B120" s="7" t="s">
        <v>95</v>
      </c>
      <c r="C120" s="6" t="s">
        <v>96</v>
      </c>
      <c r="D120" s="8" t="s">
        <v>142</v>
      </c>
      <c r="E120" s="9" t="s">
        <v>1739</v>
      </c>
      <c r="F120" s="6" t="str">
        <f>_xlfn.XLOOKUP(D120,'[3]DROP POINT AKTIF'!$B:$B,'[3]DROP POINT AKTIF'!$F:$F,"-")</f>
        <v>WAHYUDIN</v>
      </c>
      <c r="G120" s="222"/>
    </row>
    <row r="121" spans="2:7">
      <c r="B121" s="7" t="s">
        <v>95</v>
      </c>
      <c r="C121" s="6" t="s">
        <v>96</v>
      </c>
      <c r="D121" s="8" t="s">
        <v>143</v>
      </c>
      <c r="E121" s="9" t="s">
        <v>1739</v>
      </c>
      <c r="F121" s="6" t="str">
        <f>_xlfn.XLOOKUP(D121,'[3]DROP POINT AKTIF'!$B:$B,'[3]DROP POINT AKTIF'!$F:$F,"-")</f>
        <v>IRIYANTO</v>
      </c>
      <c r="G121" s="222"/>
    </row>
    <row r="122" spans="2:7">
      <c r="B122" s="7" t="s">
        <v>95</v>
      </c>
      <c r="C122" s="6" t="s">
        <v>96</v>
      </c>
      <c r="D122" s="8" t="s">
        <v>144</v>
      </c>
      <c r="E122" s="9" t="s">
        <v>1739</v>
      </c>
      <c r="F122" s="6" t="str">
        <f>_xlfn.XLOOKUP(D122,'[3]DROP POINT AKTIF'!$B:$B,'[3]DROP POINT AKTIF'!$F:$F,"-")</f>
        <v>ADIT PURNADILATA</v>
      </c>
      <c r="G122" s="222"/>
    </row>
    <row r="123" spans="2:7">
      <c r="B123" s="7" t="s">
        <v>95</v>
      </c>
      <c r="C123" s="6" t="s">
        <v>96</v>
      </c>
      <c r="D123" s="8" t="s">
        <v>145</v>
      </c>
      <c r="E123" s="9" t="s">
        <v>1739</v>
      </c>
      <c r="F123" s="6" t="str">
        <f>_xlfn.XLOOKUP(D123,'[3]DROP POINT AKTIF'!$B:$B,'[3]DROP POINT AKTIF'!$F:$F,"-")</f>
        <v>ROBI FARLI</v>
      </c>
      <c r="G123" s="222"/>
    </row>
    <row r="124" spans="2:7">
      <c r="B124" s="7" t="s">
        <v>95</v>
      </c>
      <c r="C124" s="6" t="s">
        <v>96</v>
      </c>
      <c r="D124" s="8" t="s">
        <v>146</v>
      </c>
      <c r="E124" s="9" t="s">
        <v>1739</v>
      </c>
      <c r="F124" s="6" t="str">
        <f>_xlfn.XLOOKUP(D124,'[3]DROP POINT AKTIF'!$B:$B,'[3]DROP POINT AKTIF'!$F:$F,"-")</f>
        <v>WAHYUDIN</v>
      </c>
      <c r="G124" s="222"/>
    </row>
    <row r="125" spans="2:7">
      <c r="B125" s="7" t="s">
        <v>95</v>
      </c>
      <c r="C125" s="6" t="s">
        <v>96</v>
      </c>
      <c r="D125" s="8" t="s">
        <v>147</v>
      </c>
      <c r="E125" s="9" t="s">
        <v>1739</v>
      </c>
      <c r="F125" s="6" t="str">
        <f>_xlfn.XLOOKUP(D125,'[3]DROP POINT AKTIF'!$B:$B,'[3]DROP POINT AKTIF'!$F:$F,"-")</f>
        <v>ROBI FARLI</v>
      </c>
      <c r="G125" s="222"/>
    </row>
    <row r="126" spans="2:7">
      <c r="B126" s="7" t="s">
        <v>95</v>
      </c>
      <c r="C126" s="6" t="s">
        <v>96</v>
      </c>
      <c r="D126" s="8" t="s">
        <v>148</v>
      </c>
      <c r="E126" s="9" t="s">
        <v>1739</v>
      </c>
      <c r="F126" s="6" t="str">
        <f>_xlfn.XLOOKUP(D126,'[3]DROP POINT AKTIF'!$B:$B,'[3]DROP POINT AKTIF'!$F:$F,"-")</f>
        <v>ROBI FARLI</v>
      </c>
      <c r="G126" s="222"/>
    </row>
    <row r="127" spans="2:7">
      <c r="B127" s="7" t="s">
        <v>95</v>
      </c>
      <c r="C127" s="6" t="s">
        <v>96</v>
      </c>
      <c r="D127" s="8" t="s">
        <v>149</v>
      </c>
      <c r="E127" s="9" t="s">
        <v>1739</v>
      </c>
      <c r="F127" s="6" t="str">
        <f>_xlfn.XLOOKUP(D127,'[3]DROP POINT AKTIF'!$B:$B,'[3]DROP POINT AKTIF'!$F:$F,"-")</f>
        <v>AMDI MUBAROK</v>
      </c>
      <c r="G127" s="222"/>
    </row>
    <row r="128" spans="2:7">
      <c r="B128" s="7" t="s">
        <v>95</v>
      </c>
      <c r="C128" s="6" t="s">
        <v>96</v>
      </c>
      <c r="D128" s="8" t="s">
        <v>150</v>
      </c>
      <c r="E128" s="9" t="s">
        <v>1739</v>
      </c>
      <c r="F128" s="6" t="str">
        <f>_xlfn.XLOOKUP(D128,'[3]DROP POINT AKTIF'!$B:$B,'[3]DROP POINT AKTIF'!$F:$F,"-")</f>
        <v>MOCH MATIN</v>
      </c>
      <c r="G128" s="222"/>
    </row>
    <row r="129" spans="2:7">
      <c r="B129" s="7" t="s">
        <v>95</v>
      </c>
      <c r="C129" s="6" t="s">
        <v>96</v>
      </c>
      <c r="D129" s="8" t="s">
        <v>151</v>
      </c>
      <c r="E129" s="9" t="s">
        <v>1739</v>
      </c>
      <c r="F129" s="6" t="str">
        <f>_xlfn.XLOOKUP(D129,'[3]DROP POINT AKTIF'!$B:$B,'[3]DROP POINT AKTIF'!$F:$F,"-")</f>
        <v>FAHRI PRATAMA</v>
      </c>
      <c r="G129" s="222"/>
    </row>
    <row r="130" spans="2:7">
      <c r="B130" s="7" t="s">
        <v>95</v>
      </c>
      <c r="C130" s="6" t="s">
        <v>96</v>
      </c>
      <c r="D130" s="8" t="s">
        <v>152</v>
      </c>
      <c r="E130" s="9" t="s">
        <v>1739</v>
      </c>
      <c r="F130" s="6" t="str">
        <f>_xlfn.XLOOKUP(D130,'[3]DROP POINT AKTIF'!$B:$B,'[3]DROP POINT AKTIF'!$F:$F,"-")</f>
        <v>MUHAMAD DEDENG</v>
      </c>
      <c r="G130" s="222"/>
    </row>
    <row r="131" spans="2:7">
      <c r="B131" s="7" t="s">
        <v>95</v>
      </c>
      <c r="C131" s="6" t="s">
        <v>96</v>
      </c>
      <c r="D131" s="8" t="s">
        <v>153</v>
      </c>
      <c r="E131" s="9" t="s">
        <v>1739</v>
      </c>
      <c r="F131" s="6" t="str">
        <f>_xlfn.XLOOKUP(D131,'[3]DROP POINT AKTIF'!$B:$B,'[3]DROP POINT AKTIF'!$F:$F,"-")</f>
        <v>ADIT PURNADILATA</v>
      </c>
      <c r="G131" s="222"/>
    </row>
    <row r="132" spans="2:7">
      <c r="B132" s="7" t="s">
        <v>95</v>
      </c>
      <c r="C132" s="6" t="s">
        <v>96</v>
      </c>
      <c r="D132" s="8" t="s">
        <v>154</v>
      </c>
      <c r="E132" s="9" t="s">
        <v>1739</v>
      </c>
      <c r="F132" s="6" t="str">
        <f>_xlfn.XLOOKUP(D132,'[3]DROP POINT AKTIF'!$B:$B,'[3]DROP POINT AKTIF'!$F:$F,"-")</f>
        <v>ROHMAN</v>
      </c>
      <c r="G132" s="222"/>
    </row>
    <row r="133" spans="2:7">
      <c r="B133" s="7" t="s">
        <v>95</v>
      </c>
      <c r="C133" s="6" t="s">
        <v>96</v>
      </c>
      <c r="D133" s="8" t="s">
        <v>155</v>
      </c>
      <c r="E133" s="9" t="s">
        <v>1739</v>
      </c>
      <c r="F133" s="6" t="str">
        <f>_xlfn.XLOOKUP(D133,'[3]DROP POINT AKTIF'!$B:$B,'[3]DROP POINT AKTIF'!$F:$F,"-")</f>
        <v>DEDI KUMAEDI</v>
      </c>
      <c r="G133" s="222"/>
    </row>
    <row r="134" spans="2:7">
      <c r="B134" s="7" t="s">
        <v>95</v>
      </c>
      <c r="C134" s="6" t="s">
        <v>96</v>
      </c>
      <c r="D134" s="8" t="s">
        <v>156</v>
      </c>
      <c r="E134" s="9" t="s">
        <v>1739</v>
      </c>
      <c r="F134" s="6" t="str">
        <f>_xlfn.XLOOKUP(D134,'[3]DROP POINT AKTIF'!$B:$B,'[3]DROP POINT AKTIF'!$F:$F,"-")</f>
        <v>HENDRA SAPUTRA</v>
      </c>
      <c r="G134" s="222"/>
    </row>
    <row r="135" spans="2:7">
      <c r="B135" s="7" t="s">
        <v>95</v>
      </c>
      <c r="C135" s="6" t="s">
        <v>96</v>
      </c>
      <c r="D135" s="8" t="s">
        <v>157</v>
      </c>
      <c r="E135" s="9" t="s">
        <v>1739</v>
      </c>
      <c r="F135" s="6" t="str">
        <f>_xlfn.XLOOKUP(D135,'[3]DROP POINT AKTIF'!$B:$B,'[3]DROP POINT AKTIF'!$F:$F,"-")</f>
        <v>AHMAD SUHENDI</v>
      </c>
      <c r="G135" s="222"/>
    </row>
    <row r="136" spans="2:7">
      <c r="B136" s="7" t="s">
        <v>95</v>
      </c>
      <c r="C136" s="6" t="s">
        <v>96</v>
      </c>
      <c r="D136" s="8" t="s">
        <v>158</v>
      </c>
      <c r="E136" s="9" t="s">
        <v>1739</v>
      </c>
      <c r="F136" s="6" t="str">
        <f>_xlfn.XLOOKUP(D136,'[3]DROP POINT AKTIF'!$B:$B,'[3]DROP POINT AKTIF'!$F:$F,"-")</f>
        <v>MUHAMMAD USUP</v>
      </c>
      <c r="G136" s="222"/>
    </row>
    <row r="137" spans="2:7">
      <c r="B137" s="7" t="s">
        <v>95</v>
      </c>
      <c r="C137" s="6" t="s">
        <v>96</v>
      </c>
      <c r="D137" s="8" t="s">
        <v>159</v>
      </c>
      <c r="E137" s="9" t="s">
        <v>1739</v>
      </c>
      <c r="F137" s="6" t="str">
        <f>_xlfn.XLOOKUP(D137,'[3]DROP POINT AKTIF'!$B:$B,'[3]DROP POINT AKTIF'!$F:$F,"-")</f>
        <v>ZAKARIA MAHMUD</v>
      </c>
      <c r="G137" s="222"/>
    </row>
    <row r="138" spans="2:7">
      <c r="B138" s="7" t="s">
        <v>95</v>
      </c>
      <c r="C138" s="6" t="s">
        <v>96</v>
      </c>
      <c r="D138" s="8" t="s">
        <v>160</v>
      </c>
      <c r="E138" s="9" t="s">
        <v>1739</v>
      </c>
      <c r="F138" s="6" t="str">
        <f>_xlfn.XLOOKUP(D138,'[3]DROP POINT AKTIF'!$B:$B,'[3]DROP POINT AKTIF'!$F:$F,"-")</f>
        <v>ADE MUKLIS</v>
      </c>
      <c r="G138" s="222"/>
    </row>
    <row r="139" spans="2:7">
      <c r="B139" s="7" t="s">
        <v>95</v>
      </c>
      <c r="C139" s="6" t="s">
        <v>96</v>
      </c>
      <c r="D139" s="8" t="s">
        <v>161</v>
      </c>
      <c r="E139" s="9" t="s">
        <v>1739</v>
      </c>
      <c r="F139" s="6" t="str">
        <f>_xlfn.XLOOKUP(D139,'[3]DROP POINT AKTIF'!$B:$B,'[3]DROP POINT AKTIF'!$F:$F,"-")</f>
        <v>WIDODO</v>
      </c>
      <c r="G139" s="222"/>
    </row>
    <row r="140" spans="2:7">
      <c r="B140" s="7" t="s">
        <v>95</v>
      </c>
      <c r="C140" s="6" t="s">
        <v>96</v>
      </c>
      <c r="D140" s="8" t="s">
        <v>162</v>
      </c>
      <c r="E140" s="9" t="s">
        <v>1739</v>
      </c>
      <c r="F140" s="6" t="str">
        <f>_xlfn.XLOOKUP(D140,'[3]DROP POINT AKTIF'!$B:$B,'[3]DROP POINT AKTIF'!$F:$F,"-")</f>
        <v>MUHAMAD HAMDAN</v>
      </c>
      <c r="G140" s="222"/>
    </row>
    <row r="141" spans="2:7">
      <c r="B141" s="7" t="s">
        <v>95</v>
      </c>
      <c r="C141" s="6" t="s">
        <v>96</v>
      </c>
      <c r="D141" s="8" t="s">
        <v>163</v>
      </c>
      <c r="E141" s="9" t="s">
        <v>1739</v>
      </c>
      <c r="F141" s="6" t="str">
        <f>_xlfn.XLOOKUP(D141,'[3]DROP POINT AKTIF'!$B:$B,'[3]DROP POINT AKTIF'!$F:$F,"-")</f>
        <v>MUHAMAD LUTFI SUHENDAR</v>
      </c>
      <c r="G141" s="222"/>
    </row>
    <row r="142" spans="2:7">
      <c r="B142" s="7" t="s">
        <v>95</v>
      </c>
      <c r="C142" s="6" t="s">
        <v>96</v>
      </c>
      <c r="D142" s="8" t="s">
        <v>164</v>
      </c>
      <c r="E142" s="9" t="s">
        <v>1739</v>
      </c>
      <c r="F142" s="6" t="str">
        <f>_xlfn.XLOOKUP(D142,'[3]DROP POINT AKTIF'!$B:$B,'[3]DROP POINT AKTIF'!$F:$F,"-")</f>
        <v>MELI ROMLI</v>
      </c>
      <c r="G142" s="222"/>
    </row>
    <row r="143" spans="2:7">
      <c r="B143" s="7" t="s">
        <v>95</v>
      </c>
      <c r="C143" s="6" t="s">
        <v>96</v>
      </c>
      <c r="D143" s="8" t="s">
        <v>165</v>
      </c>
      <c r="E143" s="9" t="s">
        <v>1739</v>
      </c>
      <c r="F143" s="6" t="str">
        <f>_xlfn.XLOOKUP(D143,'[3]DROP POINT AKTIF'!$B:$B,'[3]DROP POINT AKTIF'!$F:$F,"-")</f>
        <v>RIKIYANSAH</v>
      </c>
      <c r="G143" s="222"/>
    </row>
    <row r="144" spans="2:7">
      <c r="B144" s="7" t="s">
        <v>95</v>
      </c>
      <c r="C144" s="6" t="s">
        <v>96</v>
      </c>
      <c r="D144" s="8" t="s">
        <v>166</v>
      </c>
      <c r="E144" s="9" t="s">
        <v>1739</v>
      </c>
      <c r="F144" s="6" t="str">
        <f>_xlfn.XLOOKUP(D144,'[3]DROP POINT AKTIF'!$B:$B,'[3]DROP POINT AKTIF'!$F:$F,"-")</f>
        <v>SUHENDRIK</v>
      </c>
      <c r="G144" s="222"/>
    </row>
    <row r="145" spans="2:7">
      <c r="B145" s="7" t="s">
        <v>95</v>
      </c>
      <c r="C145" s="6" t="s">
        <v>96</v>
      </c>
      <c r="D145" s="8" t="s">
        <v>167</v>
      </c>
      <c r="E145" s="9" t="s">
        <v>1739</v>
      </c>
      <c r="F145" s="6" t="str">
        <f>_xlfn.XLOOKUP(D145,'[3]DROP POINT AKTIF'!$B:$B,'[3]DROP POINT AKTIF'!$F:$F,"-")</f>
        <v>MUHAMAD FICQIH</v>
      </c>
      <c r="G145" s="222"/>
    </row>
    <row r="146" spans="2:7">
      <c r="B146" s="7" t="s">
        <v>95</v>
      </c>
      <c r="C146" s="6" t="s">
        <v>96</v>
      </c>
      <c r="D146" s="8" t="s">
        <v>168</v>
      </c>
      <c r="E146" s="9" t="s">
        <v>1739</v>
      </c>
      <c r="F146" s="6" t="str">
        <f>_xlfn.XLOOKUP(D146,'[3]DROP POINT AKTIF'!$B:$B,'[3]DROP POINT AKTIF'!$F:$F,"-")</f>
        <v>RIKIYANSAH</v>
      </c>
      <c r="G146" s="222"/>
    </row>
    <row r="147" spans="2:7">
      <c r="B147" s="7" t="s">
        <v>95</v>
      </c>
      <c r="C147" s="6" t="s">
        <v>96</v>
      </c>
      <c r="D147" s="8" t="s">
        <v>169</v>
      </c>
      <c r="E147" s="9" t="s">
        <v>1716</v>
      </c>
      <c r="F147" s="6" t="str">
        <f>_xlfn.XLOOKUP(D147,'[3]DROP POINT AKTIF'!$B:$B,'[3]DROP POINT AKTIF'!$F:$F,"-")</f>
        <v>-</v>
      </c>
      <c r="G147" s="222"/>
    </row>
    <row r="148" spans="2:7">
      <c r="B148" s="7" t="s">
        <v>95</v>
      </c>
      <c r="C148" s="6" t="s">
        <v>96</v>
      </c>
      <c r="D148" s="8" t="s">
        <v>170</v>
      </c>
      <c r="E148" s="9" t="s">
        <v>1739</v>
      </c>
      <c r="F148" s="6" t="str">
        <f>_xlfn.XLOOKUP(D148,'[3]DROP POINT AKTIF'!$B:$B,'[3]DROP POINT AKTIF'!$F:$F,"-")</f>
        <v>MOHAMAD TOPAN BERI FIRMAN</v>
      </c>
      <c r="G148" s="222"/>
    </row>
    <row r="149" spans="2:7">
      <c r="B149" s="7" t="s">
        <v>95</v>
      </c>
      <c r="C149" s="6" t="s">
        <v>96</v>
      </c>
      <c r="D149" s="8" t="s">
        <v>171</v>
      </c>
      <c r="E149" s="9" t="s">
        <v>1739</v>
      </c>
      <c r="F149" s="6" t="str">
        <f>_xlfn.XLOOKUP(D149,'[3]DROP POINT AKTIF'!$B:$B,'[3]DROP POINT AKTIF'!$F:$F,"-")</f>
        <v>DIRGAHAYU</v>
      </c>
      <c r="G149" s="222"/>
    </row>
    <row r="150" spans="2:7">
      <c r="B150" s="7" t="s">
        <v>95</v>
      </c>
      <c r="C150" s="6" t="s">
        <v>96</v>
      </c>
      <c r="D150" s="8" t="s">
        <v>172</v>
      </c>
      <c r="E150" s="9" t="s">
        <v>1716</v>
      </c>
      <c r="F150" s="6" t="str">
        <f>_xlfn.XLOOKUP(D150,'[3]DROP POINT AKTIF'!$B:$B,'[3]DROP POINT AKTIF'!$F:$F,"-")</f>
        <v>MUHAMMAD BAGUS PRATAMA</v>
      </c>
      <c r="G150" s="222"/>
    </row>
    <row r="151" spans="2:7">
      <c r="B151" s="7" t="s">
        <v>95</v>
      </c>
      <c r="C151" s="6" t="s">
        <v>96</v>
      </c>
      <c r="D151" s="8" t="s">
        <v>173</v>
      </c>
      <c r="E151" s="9" t="s">
        <v>1739</v>
      </c>
      <c r="F151" s="6" t="str">
        <f>_xlfn.XLOOKUP(D151,'[3]DROP POINT AKTIF'!$B:$B,'[3]DROP POINT AKTIF'!$F:$F,"-")</f>
        <v>SYAMSURI</v>
      </c>
      <c r="G151" s="222"/>
    </row>
    <row r="152" spans="2:7">
      <c r="B152" s="7" t="s">
        <v>95</v>
      </c>
      <c r="C152" s="6" t="s">
        <v>96</v>
      </c>
      <c r="D152" s="8" t="s">
        <v>174</v>
      </c>
      <c r="E152" s="9" t="s">
        <v>1716</v>
      </c>
      <c r="F152" s="6" t="str">
        <f>_xlfn.XLOOKUP(D152,'[3]DROP POINT AKTIF'!$B:$B,'[3]DROP POINT AKTIF'!$F:$F,"-")</f>
        <v>FAUZUL HUSNAN</v>
      </c>
      <c r="G152" s="222"/>
    </row>
    <row r="153" spans="2:7">
      <c r="B153" s="7" t="s">
        <v>95</v>
      </c>
      <c r="C153" s="6" t="s">
        <v>96</v>
      </c>
      <c r="D153" s="8" t="s">
        <v>175</v>
      </c>
      <c r="E153" s="9" t="s">
        <v>1716</v>
      </c>
      <c r="F153" s="6" t="str">
        <f>_xlfn.XLOOKUP(D153,'[3]DROP POINT AKTIF'!$B:$B,'[3]DROP POINT AKTIF'!$F:$F,"-")</f>
        <v>NUR YOYO GUNARA</v>
      </c>
      <c r="G153" s="222"/>
    </row>
    <row r="154" spans="2:7">
      <c r="B154" s="7" t="s">
        <v>95</v>
      </c>
      <c r="C154" s="6" t="s">
        <v>96</v>
      </c>
      <c r="D154" s="8" t="s">
        <v>176</v>
      </c>
      <c r="E154" s="9" t="s">
        <v>1716</v>
      </c>
      <c r="F154" s="6" t="str">
        <f>_xlfn.XLOOKUP(D154,'[3]DROP POINT AKTIF'!$B:$B,'[3]DROP POINT AKTIF'!$F:$F,"-")</f>
        <v>SANDI IRAWAN</v>
      </c>
      <c r="G154" s="222"/>
    </row>
    <row r="155" spans="2:7">
      <c r="B155" s="7" t="s">
        <v>95</v>
      </c>
      <c r="C155" s="6" t="s">
        <v>96</v>
      </c>
      <c r="D155" s="8" t="s">
        <v>177</v>
      </c>
      <c r="E155" s="9" t="s">
        <v>1716</v>
      </c>
      <c r="F155" s="6" t="str">
        <f>_xlfn.XLOOKUP(D155,'[3]DROP POINT AKTIF'!$B:$B,'[3]DROP POINT AKTIF'!$F:$F,"-")</f>
        <v>AHMAD NURYAMAN</v>
      </c>
      <c r="G155" s="222"/>
    </row>
    <row r="156" spans="2:7">
      <c r="B156" s="7" t="s">
        <v>95</v>
      </c>
      <c r="C156" s="6" t="s">
        <v>96</v>
      </c>
      <c r="D156" s="8" t="s">
        <v>178</v>
      </c>
      <c r="E156" s="9" t="s">
        <v>1716</v>
      </c>
      <c r="F156" s="6" t="str">
        <f>_xlfn.XLOOKUP(D156,'[3]DROP POINT AKTIF'!$B:$B,'[3]DROP POINT AKTIF'!$F:$F,"-")</f>
        <v>AHMAD RONI SAFRONI</v>
      </c>
      <c r="G156" s="222"/>
    </row>
    <row r="157" spans="2:7">
      <c r="B157" s="7" t="s">
        <v>95</v>
      </c>
      <c r="C157" s="6" t="s">
        <v>96</v>
      </c>
      <c r="D157" s="8" t="s">
        <v>179</v>
      </c>
      <c r="E157" s="9" t="s">
        <v>1716</v>
      </c>
      <c r="F157" s="6" t="str">
        <f>_xlfn.XLOOKUP(D157,'[3]DROP POINT AKTIF'!$B:$B,'[3]DROP POINT AKTIF'!$F:$F,"-")</f>
        <v>DWI ADI SUTRISNO</v>
      </c>
      <c r="G157" s="222"/>
    </row>
    <row r="158" spans="2:7">
      <c r="B158" s="7" t="s">
        <v>95</v>
      </c>
      <c r="C158" s="6" t="s">
        <v>96</v>
      </c>
      <c r="D158" s="8" t="s">
        <v>180</v>
      </c>
      <c r="E158" s="9" t="s">
        <v>1739</v>
      </c>
      <c r="F158" s="6" t="str">
        <f>_xlfn.XLOOKUP(D158,'[3]DROP POINT AKTIF'!$B:$B,'[3]DROP POINT AKTIF'!$F:$F,"-")</f>
        <v>SAEPI</v>
      </c>
      <c r="G158" s="222"/>
    </row>
    <row r="159" spans="2:7">
      <c r="B159" s="7" t="s">
        <v>95</v>
      </c>
      <c r="C159" s="6" t="s">
        <v>96</v>
      </c>
      <c r="D159" s="8" t="s">
        <v>181</v>
      </c>
      <c r="E159" s="9" t="s">
        <v>1716</v>
      </c>
      <c r="F159" s="6" t="str">
        <f>_xlfn.XLOOKUP(D159,'[3]DROP POINT AKTIF'!$B:$B,'[3]DROP POINT AKTIF'!$F:$F,"-")</f>
        <v>EKO PURNAWAN SUHERI</v>
      </c>
      <c r="G159" s="222"/>
    </row>
    <row r="160" spans="2:7">
      <c r="B160" s="7" t="s">
        <v>95</v>
      </c>
      <c r="C160" s="6" t="s">
        <v>96</v>
      </c>
      <c r="D160" s="8" t="s">
        <v>182</v>
      </c>
      <c r="E160" s="9" t="s">
        <v>1739</v>
      </c>
      <c r="F160" s="6" t="str">
        <f>_xlfn.XLOOKUP(D160,'[3]DROP POINT AKTIF'!$B:$B,'[3]DROP POINT AKTIF'!$F:$F,"-")</f>
        <v>AZIS BACHTIAR</v>
      </c>
      <c r="G160" s="222"/>
    </row>
    <row r="161" spans="2:7">
      <c r="B161" s="7" t="s">
        <v>95</v>
      </c>
      <c r="C161" s="6" t="s">
        <v>96</v>
      </c>
      <c r="D161" s="8" t="s">
        <v>183</v>
      </c>
      <c r="E161" s="9" t="s">
        <v>1716</v>
      </c>
      <c r="F161" s="6" t="str">
        <f>_xlfn.XLOOKUP(D161,'[3]DROP POINT AKTIF'!$B:$B,'[3]DROP POINT AKTIF'!$F:$F,"-")</f>
        <v>AHMAD RONI SAFRONI</v>
      </c>
      <c r="G161" s="222"/>
    </row>
    <row r="162" spans="2:7">
      <c r="B162" s="7" t="s">
        <v>95</v>
      </c>
      <c r="C162" s="6" t="s">
        <v>96</v>
      </c>
      <c r="D162" s="8" t="s">
        <v>184</v>
      </c>
      <c r="E162" s="9" t="s">
        <v>1739</v>
      </c>
      <c r="F162" s="6" t="str">
        <f>_xlfn.XLOOKUP(D162,'[3]DROP POINT AKTIF'!$B:$B,'[3]DROP POINT AKTIF'!$F:$F,"-")</f>
        <v>NURDIN</v>
      </c>
      <c r="G162" s="222"/>
    </row>
    <row r="163" spans="2:7">
      <c r="B163" s="7" t="s">
        <v>95</v>
      </c>
      <c r="C163" s="6" t="s">
        <v>96</v>
      </c>
      <c r="D163" s="8" t="s">
        <v>185</v>
      </c>
      <c r="E163" s="9" t="s">
        <v>1739</v>
      </c>
      <c r="F163" s="6" t="str">
        <f>_xlfn.XLOOKUP(D163,'[3]DROP POINT AKTIF'!$B:$B,'[3]DROP POINT AKTIF'!$F:$F,"-")</f>
        <v>SYAMSURI</v>
      </c>
      <c r="G163" s="222"/>
    </row>
    <row r="164" spans="2:7">
      <c r="B164" s="7" t="s">
        <v>95</v>
      </c>
      <c r="C164" s="6" t="s">
        <v>96</v>
      </c>
      <c r="D164" s="8" t="s">
        <v>186</v>
      </c>
      <c r="E164" s="9" t="s">
        <v>1716</v>
      </c>
      <c r="F164" s="6" t="str">
        <f>_xlfn.XLOOKUP(D164,'[3]DROP POINT AKTIF'!$B:$B,'[3]DROP POINT AKTIF'!$F:$F,"-")</f>
        <v>MULYADI</v>
      </c>
      <c r="G164" s="222"/>
    </row>
    <row r="165" spans="2:7">
      <c r="B165" s="7" t="s">
        <v>95</v>
      </c>
      <c r="C165" s="6" t="s">
        <v>96</v>
      </c>
      <c r="D165" s="8" t="s">
        <v>187</v>
      </c>
      <c r="E165" s="9" t="s">
        <v>1716</v>
      </c>
      <c r="F165" s="6" t="str">
        <f>_xlfn.XLOOKUP(D165,'[3]DROP POINT AKTIF'!$B:$B,'[3]DROP POINT AKTIF'!$F:$F,"-")</f>
        <v>ISHAK DISTANSYAH</v>
      </c>
      <c r="G165" s="222"/>
    </row>
    <row r="166" spans="2:7">
      <c r="B166" s="7" t="s">
        <v>95</v>
      </c>
      <c r="C166" s="6" t="s">
        <v>96</v>
      </c>
      <c r="D166" s="8" t="s">
        <v>188</v>
      </c>
      <c r="E166" s="9" t="s">
        <v>1716</v>
      </c>
      <c r="F166" s="6" t="str">
        <f>_xlfn.XLOOKUP(D166,'[3]DROP POINT AKTIF'!$B:$B,'[3]DROP POINT AKTIF'!$F:$F,"-")</f>
        <v>SOFYAN DWI SAPUTRA</v>
      </c>
      <c r="G166" s="222"/>
    </row>
    <row r="167" spans="2:7">
      <c r="B167" s="7" t="s">
        <v>95</v>
      </c>
      <c r="C167" s="6" t="s">
        <v>96</v>
      </c>
      <c r="D167" s="8" t="s">
        <v>189</v>
      </c>
      <c r="E167" s="9" t="s">
        <v>1716</v>
      </c>
      <c r="F167" s="6" t="str">
        <f>_xlfn.XLOOKUP(D167,'[3]DROP POINT AKTIF'!$B:$B,'[3]DROP POINT AKTIF'!$F:$F,"-")</f>
        <v>ADITYA</v>
      </c>
      <c r="G167" s="222"/>
    </row>
    <row r="168" spans="2:7">
      <c r="B168" s="7" t="s">
        <v>95</v>
      </c>
      <c r="C168" s="6" t="s">
        <v>96</v>
      </c>
      <c r="D168" s="8" t="s">
        <v>190</v>
      </c>
      <c r="E168" s="9" t="s">
        <v>1716</v>
      </c>
      <c r="F168" s="6" t="str">
        <f>_xlfn.XLOOKUP(D168,'[3]DROP POINT AKTIF'!$B:$B,'[3]DROP POINT AKTIF'!$F:$F,"-")</f>
        <v>ERIK</v>
      </c>
      <c r="G168" s="222"/>
    </row>
    <row r="169" spans="2:7">
      <c r="B169" s="7" t="s">
        <v>95</v>
      </c>
      <c r="C169" s="6" t="s">
        <v>96</v>
      </c>
      <c r="D169" s="8" t="s">
        <v>191</v>
      </c>
      <c r="E169" s="9" t="s">
        <v>1739</v>
      </c>
      <c r="F169" s="6" t="str">
        <f>_xlfn.XLOOKUP(D169,'[3]DROP POINT AKTIF'!$B:$B,'[3]DROP POINT AKTIF'!$F:$F,"-")</f>
        <v>DONI ANGGARA</v>
      </c>
      <c r="G169" s="222"/>
    </row>
    <row r="170" spans="2:7">
      <c r="B170" s="7" t="s">
        <v>95</v>
      </c>
      <c r="C170" s="6" t="s">
        <v>96</v>
      </c>
      <c r="D170" s="8" t="s">
        <v>192</v>
      </c>
      <c r="E170" s="9" t="s">
        <v>1739</v>
      </c>
      <c r="F170" s="6" t="str">
        <f>_xlfn.XLOOKUP(D170,'[3]DROP POINT AKTIF'!$B:$B,'[3]DROP POINT AKTIF'!$F:$F,"-")</f>
        <v>IQBAL PURWANDI</v>
      </c>
      <c r="G170" s="222"/>
    </row>
    <row r="171" spans="2:7">
      <c r="B171" s="7" t="s">
        <v>95</v>
      </c>
      <c r="C171" s="6" t="s">
        <v>96</v>
      </c>
      <c r="D171" s="8" t="s">
        <v>193</v>
      </c>
      <c r="E171" s="9" t="s">
        <v>1716</v>
      </c>
      <c r="F171" s="6" t="str">
        <f>_xlfn.XLOOKUP(D171,'[3]DROP POINT AKTIF'!$B:$B,'[3]DROP POINT AKTIF'!$F:$F,"-")</f>
        <v>ALIZHAR</v>
      </c>
      <c r="G171" s="222"/>
    </row>
    <row r="172" spans="2:7">
      <c r="B172" s="7" t="s">
        <v>95</v>
      </c>
      <c r="C172" s="6" t="s">
        <v>96</v>
      </c>
      <c r="D172" s="8" t="s">
        <v>194</v>
      </c>
      <c r="E172" s="9" t="s">
        <v>1739</v>
      </c>
      <c r="F172" s="6" t="str">
        <f>_xlfn.XLOOKUP(D172,'[3]DROP POINT AKTIF'!$B:$B,'[3]DROP POINT AKTIF'!$F:$F,"-")</f>
        <v>HERI LISTIANTO</v>
      </c>
      <c r="G172" s="222"/>
    </row>
    <row r="173" spans="2:7">
      <c r="B173" s="7" t="s">
        <v>95</v>
      </c>
      <c r="C173" s="6" t="s">
        <v>96</v>
      </c>
      <c r="D173" s="8" t="s">
        <v>195</v>
      </c>
      <c r="E173" s="9" t="s">
        <v>1716</v>
      </c>
      <c r="F173" s="6" t="str">
        <f>_xlfn.XLOOKUP(D173,'[3]DROP POINT AKTIF'!$B:$B,'[3]DROP POINT AKTIF'!$F:$F,"-")</f>
        <v>DEDEN</v>
      </c>
      <c r="G173" s="222"/>
    </row>
    <row r="174" spans="2:7">
      <c r="B174" s="7" t="s">
        <v>95</v>
      </c>
      <c r="C174" s="6" t="s">
        <v>96</v>
      </c>
      <c r="D174" s="8" t="s">
        <v>196</v>
      </c>
      <c r="E174" s="9" t="s">
        <v>1739</v>
      </c>
      <c r="F174" s="6" t="str">
        <f>_xlfn.XLOOKUP(D174,'[3]DROP POINT AKTIF'!$B:$B,'[3]DROP POINT AKTIF'!$F:$F,"-")</f>
        <v>JIDAN ALFARIZQI</v>
      </c>
      <c r="G174" s="222"/>
    </row>
    <row r="175" spans="2:7">
      <c r="B175" s="7" t="s">
        <v>95</v>
      </c>
      <c r="C175" s="6" t="s">
        <v>96</v>
      </c>
      <c r="D175" s="8" t="s">
        <v>197</v>
      </c>
      <c r="E175" s="9" t="s">
        <v>1716</v>
      </c>
      <c r="F175" s="6" t="str">
        <f>_xlfn.XLOOKUP(D175,'[3]DROP POINT AKTIF'!$B:$B,'[3]DROP POINT AKTIF'!$F:$F,"-")</f>
        <v>-</v>
      </c>
      <c r="G175" s="222"/>
    </row>
    <row r="176" spans="2:7">
      <c r="B176" s="7" t="s">
        <v>95</v>
      </c>
      <c r="C176" s="6" t="s">
        <v>96</v>
      </c>
      <c r="D176" s="8" t="s">
        <v>198</v>
      </c>
      <c r="E176" s="9" t="s">
        <v>1739</v>
      </c>
      <c r="F176" s="6" t="str">
        <f>_xlfn.XLOOKUP(D176,'[3]DROP POINT AKTIF'!$B:$B,'[3]DROP POINT AKTIF'!$F:$F,"-")</f>
        <v>ADI IKUN</v>
      </c>
      <c r="G176" s="222"/>
    </row>
    <row r="177" spans="2:7">
      <c r="B177" s="7" t="s">
        <v>95</v>
      </c>
      <c r="C177" s="6" t="s">
        <v>96</v>
      </c>
      <c r="D177" s="8" t="s">
        <v>199</v>
      </c>
      <c r="E177" s="9" t="s">
        <v>1739</v>
      </c>
      <c r="F177" s="6" t="str">
        <f>_xlfn.XLOOKUP(D177,'[3]DROP POINT AKTIF'!$B:$B,'[3]DROP POINT AKTIF'!$F:$F,"-")</f>
        <v>LEGIYONO</v>
      </c>
      <c r="G177" s="222"/>
    </row>
    <row r="178" spans="2:7">
      <c r="B178" s="7" t="s">
        <v>95</v>
      </c>
      <c r="C178" s="6" t="s">
        <v>96</v>
      </c>
      <c r="D178" s="8" t="s">
        <v>200</v>
      </c>
      <c r="E178" s="9" t="s">
        <v>1739</v>
      </c>
      <c r="F178" s="6" t="str">
        <f>_xlfn.XLOOKUP(D178,'[3]DROP POINT AKTIF'!$B:$B,'[3]DROP POINT AKTIF'!$F:$F,"-")</f>
        <v>JALALUDIN</v>
      </c>
      <c r="G178" s="222"/>
    </row>
    <row r="179" spans="2:7">
      <c r="B179" s="7" t="s">
        <v>95</v>
      </c>
      <c r="C179" s="6" t="s">
        <v>96</v>
      </c>
      <c r="D179" s="8" t="s">
        <v>201</v>
      </c>
      <c r="E179" s="9" t="s">
        <v>1716</v>
      </c>
      <c r="F179" s="6" t="str">
        <f>_xlfn.XLOOKUP(D179,'[3]DROP POINT AKTIF'!$B:$B,'[3]DROP POINT AKTIF'!$F:$F,"-")</f>
        <v>SEPTIAN</v>
      </c>
      <c r="G179" s="222"/>
    </row>
    <row r="180" spans="2:7">
      <c r="B180" s="7" t="s">
        <v>95</v>
      </c>
      <c r="C180" s="6" t="s">
        <v>96</v>
      </c>
      <c r="D180" s="8" t="s">
        <v>202</v>
      </c>
      <c r="E180" s="9" t="s">
        <v>1716</v>
      </c>
      <c r="F180" s="6" t="str">
        <f>_xlfn.XLOOKUP(D180,'[3]DROP POINT AKTIF'!$B:$B,'[3]DROP POINT AKTIF'!$F:$F,"-")</f>
        <v>MUHAMMAD PRASETYA</v>
      </c>
      <c r="G180" s="222"/>
    </row>
    <row r="181" spans="2:7">
      <c r="B181" s="7" t="s">
        <v>95</v>
      </c>
      <c r="C181" s="6" t="s">
        <v>96</v>
      </c>
      <c r="D181" s="8" t="s">
        <v>203</v>
      </c>
      <c r="E181" s="9" t="s">
        <v>1716</v>
      </c>
      <c r="F181" s="6" t="str">
        <f>_xlfn.XLOOKUP(D181,'[3]DROP POINT AKTIF'!$B:$B,'[3]DROP POINT AKTIF'!$F:$F,"-")</f>
        <v>SANUSI</v>
      </c>
      <c r="G181" s="222"/>
    </row>
    <row r="182" spans="2:7">
      <c r="B182" s="7" t="s">
        <v>95</v>
      </c>
      <c r="C182" s="6" t="s">
        <v>96</v>
      </c>
      <c r="D182" s="8" t="s">
        <v>204</v>
      </c>
      <c r="E182" s="9" t="s">
        <v>1716</v>
      </c>
      <c r="F182" s="6" t="str">
        <f>_xlfn.XLOOKUP(D182,'[3]DROP POINT AKTIF'!$B:$B,'[3]DROP POINT AKTIF'!$F:$F,"-")</f>
        <v>-</v>
      </c>
      <c r="G182" s="222"/>
    </row>
    <row r="183" spans="2:7">
      <c r="B183" s="7" t="s">
        <v>205</v>
      </c>
      <c r="C183" s="6" t="s">
        <v>206</v>
      </c>
      <c r="D183" s="8" t="s">
        <v>207</v>
      </c>
      <c r="E183" s="9" t="s">
        <v>1716</v>
      </c>
      <c r="F183" s="6" t="str">
        <f>_xlfn.XLOOKUP(D183,'[4]DROP POINT BEKASI'!$B:$B,'[4]DROP POINT BEKASI'!$E:$E,"-")</f>
        <v>ERLANGGA ISMADYA PUTRA</v>
      </c>
      <c r="G183" s="222"/>
    </row>
    <row r="184" spans="2:7">
      <c r="B184" s="7" t="s">
        <v>205</v>
      </c>
      <c r="C184" s="6" t="s">
        <v>206</v>
      </c>
      <c r="D184" s="8" t="s">
        <v>208</v>
      </c>
      <c r="E184" s="9" t="s">
        <v>1739</v>
      </c>
      <c r="F184" s="6" t="str">
        <f>_xlfn.XLOOKUP(D184,'[4]DROP POINT BEKASI'!$B:$B,'[4]DROP POINT BEKASI'!$E:$E,"-")</f>
        <v>RICHSON FAHMI</v>
      </c>
      <c r="G184" s="222"/>
    </row>
    <row r="185" spans="2:7">
      <c r="B185" s="7" t="s">
        <v>205</v>
      </c>
      <c r="C185" s="6" t="s">
        <v>206</v>
      </c>
      <c r="D185" s="8" t="s">
        <v>209</v>
      </c>
      <c r="E185" s="9" t="s">
        <v>1739</v>
      </c>
      <c r="F185" s="6" t="str">
        <f>_xlfn.XLOOKUP(D185,'[4]DROP POINT BEKASI'!$B:$B,'[4]DROP POINT BEKASI'!$E:$E,"-")</f>
        <v>TITO ASWIN KARIM</v>
      </c>
      <c r="G185" s="222"/>
    </row>
    <row r="186" spans="2:7">
      <c r="B186" s="7" t="s">
        <v>205</v>
      </c>
      <c r="C186" s="6" t="s">
        <v>206</v>
      </c>
      <c r="D186" s="8" t="s">
        <v>210</v>
      </c>
      <c r="E186" s="9" t="s">
        <v>1739</v>
      </c>
      <c r="F186" s="6" t="str">
        <f>_xlfn.XLOOKUP(D186,'[4]DROP POINT BEKASI'!$B:$B,'[4]DROP POINT BEKASI'!$E:$E,"-")</f>
        <v>AHMAD RIQBAL</v>
      </c>
      <c r="G186" s="222"/>
    </row>
    <row r="187" spans="2:7">
      <c r="B187" s="7" t="s">
        <v>205</v>
      </c>
      <c r="C187" s="6" t="s">
        <v>206</v>
      </c>
      <c r="D187" s="8" t="s">
        <v>211</v>
      </c>
      <c r="E187" s="9" t="s">
        <v>1716</v>
      </c>
      <c r="F187" s="6" t="str">
        <f>_xlfn.XLOOKUP(D187,'[4]DROP POINT BEKASI'!$B:$B,'[4]DROP POINT BEKASI'!$E:$E,"-")</f>
        <v>NURROHIM</v>
      </c>
      <c r="G187" s="222"/>
    </row>
    <row r="188" spans="2:7">
      <c r="B188" s="7" t="s">
        <v>205</v>
      </c>
      <c r="C188" s="6" t="s">
        <v>206</v>
      </c>
      <c r="D188" s="8" t="s">
        <v>212</v>
      </c>
      <c r="E188" s="9" t="s">
        <v>1739</v>
      </c>
      <c r="F188" s="6" t="str">
        <f>_xlfn.XLOOKUP(D188,'[4]DROP POINT BEKASI'!$B:$B,'[4]DROP POINT BEKASI'!$E:$E,"-")</f>
        <v>ACHMAD MAZIRI</v>
      </c>
      <c r="G188" s="222"/>
    </row>
    <row r="189" spans="2:7">
      <c r="B189" s="7" t="s">
        <v>205</v>
      </c>
      <c r="C189" s="6" t="s">
        <v>206</v>
      </c>
      <c r="D189" s="8" t="s">
        <v>213</v>
      </c>
      <c r="E189" s="9" t="s">
        <v>1739</v>
      </c>
      <c r="F189" s="6" t="str">
        <f>_xlfn.XLOOKUP(D189,'[4]DROP POINT BEKASI'!$B:$B,'[4]DROP POINT BEKASI'!$E:$E,"-")</f>
        <v>SUTISNA</v>
      </c>
      <c r="G189" s="222"/>
    </row>
    <row r="190" spans="2:7">
      <c r="B190" s="7" t="s">
        <v>205</v>
      </c>
      <c r="C190" s="6" t="s">
        <v>206</v>
      </c>
      <c r="D190" s="8" t="s">
        <v>214</v>
      </c>
      <c r="E190" s="9" t="s">
        <v>1739</v>
      </c>
      <c r="F190" s="6" t="str">
        <f>_xlfn.XLOOKUP(D190,'[4]DROP POINT BEKASI'!$B:$B,'[4]DROP POINT BEKASI'!$E:$E,"-")</f>
        <v>FAHMI AL JUFRY</v>
      </c>
      <c r="G190" s="222"/>
    </row>
    <row r="191" spans="2:7">
      <c r="B191" s="7" t="s">
        <v>205</v>
      </c>
      <c r="C191" s="6" t="s">
        <v>206</v>
      </c>
      <c r="D191" s="8" t="s">
        <v>215</v>
      </c>
      <c r="E191" s="9" t="s">
        <v>1739</v>
      </c>
      <c r="F191" s="6" t="str">
        <f>_xlfn.XLOOKUP(D191,'[4]DROP POINT BEKASI'!$B:$B,'[4]DROP POINT BEKASI'!$E:$E,"-")</f>
        <v>YOGA WARDANA</v>
      </c>
      <c r="G191" s="222"/>
    </row>
    <row r="192" spans="2:7">
      <c r="B192" s="7" t="s">
        <v>205</v>
      </c>
      <c r="C192" s="6" t="s">
        <v>206</v>
      </c>
      <c r="D192" s="8" t="s">
        <v>216</v>
      </c>
      <c r="E192" s="9" t="s">
        <v>1739</v>
      </c>
      <c r="F192" s="6" t="str">
        <f>_xlfn.XLOOKUP(D192,'[4]DROP POINT BEKASI'!$B:$B,'[4]DROP POINT BEKASI'!$E:$E,"-")</f>
        <v>ANGGA KUSUMA</v>
      </c>
      <c r="G192" s="222"/>
    </row>
    <row r="193" spans="2:7">
      <c r="B193" s="7" t="s">
        <v>205</v>
      </c>
      <c r="C193" s="6" t="s">
        <v>206</v>
      </c>
      <c r="D193" s="8" t="s">
        <v>217</v>
      </c>
      <c r="E193" s="9" t="s">
        <v>1716</v>
      </c>
      <c r="F193" s="6" t="str">
        <f>_xlfn.XLOOKUP(D193,'[4]DROP POINT BEKASI'!$B:$B,'[4]DROP POINT BEKASI'!$E:$E,"-")</f>
        <v>ALI IBRAHIM</v>
      </c>
      <c r="G193" s="222"/>
    </row>
    <row r="194" spans="2:7">
      <c r="B194" s="7" t="s">
        <v>205</v>
      </c>
      <c r="C194" s="6" t="s">
        <v>206</v>
      </c>
      <c r="D194" s="8" t="s">
        <v>218</v>
      </c>
      <c r="E194" s="9" t="s">
        <v>1716</v>
      </c>
      <c r="F194" s="6" t="str">
        <f>_xlfn.XLOOKUP(D194,'[4]DROP POINT BEKASI'!$B:$B,'[4]DROP POINT BEKASI'!$E:$E,"-")</f>
        <v>ACHMAD MAULANA PUTRA</v>
      </c>
      <c r="G194" s="222"/>
    </row>
    <row r="195" spans="2:7">
      <c r="B195" s="7" t="s">
        <v>205</v>
      </c>
      <c r="C195" s="6" t="s">
        <v>206</v>
      </c>
      <c r="D195" s="8" t="s">
        <v>219</v>
      </c>
      <c r="E195" s="9" t="s">
        <v>1716</v>
      </c>
      <c r="F195" s="6" t="str">
        <f>_xlfn.XLOOKUP(D195,'[4]DROP POINT BEKASI'!$B:$B,'[4]DROP POINT BEKASI'!$E:$E,"-")</f>
        <v>ANNISAA NURULHUDA WAHIDIN</v>
      </c>
      <c r="G195" s="222"/>
    </row>
    <row r="196" spans="2:7">
      <c r="B196" s="7" t="s">
        <v>205</v>
      </c>
      <c r="C196" s="6" t="s">
        <v>206</v>
      </c>
      <c r="D196" s="8" t="s">
        <v>220</v>
      </c>
      <c r="E196" s="9" t="s">
        <v>1739</v>
      </c>
      <c r="F196" s="6" t="str">
        <f>_xlfn.XLOOKUP(D196,'[4]DROP POINT BEKASI'!$B:$B,'[4]DROP POINT BEKASI'!$E:$E,"-")</f>
        <v>DIDIT JAMALUDIN</v>
      </c>
      <c r="G196" s="222"/>
    </row>
    <row r="197" spans="2:7">
      <c r="B197" s="7" t="s">
        <v>205</v>
      </c>
      <c r="C197" s="6" t="s">
        <v>206</v>
      </c>
      <c r="D197" s="8" t="s">
        <v>221</v>
      </c>
      <c r="E197" s="9" t="s">
        <v>1739</v>
      </c>
      <c r="F197" s="6" t="str">
        <f>_xlfn.XLOOKUP(D197,'[4]DROP POINT BEKASI'!$B:$B,'[4]DROP POINT BEKASI'!$E:$E,"-")</f>
        <v>RENDY DIRGANTARA</v>
      </c>
      <c r="G197" s="222"/>
    </row>
    <row r="198" spans="2:7">
      <c r="B198" s="7" t="s">
        <v>205</v>
      </c>
      <c r="C198" s="6" t="s">
        <v>206</v>
      </c>
      <c r="D198" s="8" t="s">
        <v>222</v>
      </c>
      <c r="E198" s="9" t="s">
        <v>1739</v>
      </c>
      <c r="F198" s="6" t="str">
        <f>_xlfn.XLOOKUP(D198,'[4]DROP POINT BEKASI'!$B:$B,'[4]DROP POINT BEKASI'!$E:$E,"-")</f>
        <v>FAUZI AKBAR</v>
      </c>
      <c r="G198" s="222"/>
    </row>
    <row r="199" spans="2:7">
      <c r="B199" s="7" t="s">
        <v>205</v>
      </c>
      <c r="C199" s="6" t="s">
        <v>206</v>
      </c>
      <c r="D199" s="8" t="s">
        <v>223</v>
      </c>
      <c r="E199" s="9" t="s">
        <v>1739</v>
      </c>
      <c r="F199" s="6" t="str">
        <f>_xlfn.XLOOKUP(D199,'[4]DROP POINT BEKASI'!$B:$B,'[4]DROP POINT BEKASI'!$E:$E,"-")</f>
        <v>FACHRUDIN</v>
      </c>
      <c r="G199" s="222"/>
    </row>
    <row r="200" spans="2:7">
      <c r="B200" s="7" t="s">
        <v>205</v>
      </c>
      <c r="C200" s="6" t="s">
        <v>206</v>
      </c>
      <c r="D200" s="8" t="s">
        <v>224</v>
      </c>
      <c r="E200" s="9" t="s">
        <v>1739</v>
      </c>
      <c r="F200" s="6" t="str">
        <f>_xlfn.XLOOKUP(D200,'[4]DROP POINT BEKASI'!$B:$B,'[4]DROP POINT BEKASI'!$E:$E,"-")</f>
        <v>FAJAR SAPUTRA NOVEBRYANTO</v>
      </c>
      <c r="G200" s="222"/>
    </row>
    <row r="201" spans="2:7">
      <c r="B201" s="7" t="s">
        <v>205</v>
      </c>
      <c r="C201" s="6" t="s">
        <v>206</v>
      </c>
      <c r="D201" s="8" t="s">
        <v>225</v>
      </c>
      <c r="E201" s="9" t="s">
        <v>1739</v>
      </c>
      <c r="F201" s="6" t="str">
        <f>_xlfn.XLOOKUP(D201,'[4]DROP POINT BEKASI'!$B:$B,'[4]DROP POINT BEKASI'!$E:$E,"-")</f>
        <v>KHOIRUL ANWAR</v>
      </c>
      <c r="G201" s="222"/>
    </row>
    <row r="202" spans="2:7">
      <c r="B202" s="7" t="s">
        <v>205</v>
      </c>
      <c r="C202" s="6" t="s">
        <v>206</v>
      </c>
      <c r="D202" s="8" t="s">
        <v>226</v>
      </c>
      <c r="E202" s="9" t="s">
        <v>1739</v>
      </c>
      <c r="F202" s="6" t="str">
        <f>_xlfn.XLOOKUP(D202,'[4]DROP POINT BEKASI'!$B:$B,'[4]DROP POINT BEKASI'!$E:$E,"-")</f>
        <v>DENI PERMANA</v>
      </c>
      <c r="G202" s="222"/>
    </row>
    <row r="203" spans="2:7">
      <c r="B203" s="7" t="s">
        <v>205</v>
      </c>
      <c r="C203" s="6" t="s">
        <v>206</v>
      </c>
      <c r="D203" s="8" t="s">
        <v>227</v>
      </c>
      <c r="E203" s="9" t="s">
        <v>1716</v>
      </c>
      <c r="F203" s="6" t="str">
        <f>_xlfn.XLOOKUP(D203,'[4]DROP POINT BEKASI'!$B:$B,'[4]DROP POINT BEKASI'!$E:$E,"-")</f>
        <v>AROFIQ WALHIDAYAT</v>
      </c>
      <c r="G203" s="222"/>
    </row>
    <row r="204" spans="2:7">
      <c r="B204" s="7" t="s">
        <v>205</v>
      </c>
      <c r="C204" s="6" t="s">
        <v>206</v>
      </c>
      <c r="D204" s="8" t="s">
        <v>228</v>
      </c>
      <c r="E204" s="9" t="s">
        <v>1716</v>
      </c>
      <c r="F204" s="6" t="str">
        <f>_xlfn.XLOOKUP(D204,'[4]DROP POINT BEKASI'!$B:$B,'[4]DROP POINT BEKASI'!$E:$E,"-")</f>
        <v>AAN SUPRATMAN</v>
      </c>
      <c r="G204" s="222"/>
    </row>
    <row r="205" spans="2:7">
      <c r="B205" s="7" t="s">
        <v>205</v>
      </c>
      <c r="C205" s="6" t="s">
        <v>206</v>
      </c>
      <c r="D205" s="8" t="s">
        <v>229</v>
      </c>
      <c r="E205" s="9" t="s">
        <v>1716</v>
      </c>
      <c r="F205" s="6" t="str">
        <f>_xlfn.XLOOKUP(D205,'[4]DROP POINT BEKASI'!$B:$B,'[4]DROP POINT BEKASI'!$E:$E,"-")</f>
        <v>JHENIS ATHA NANDA</v>
      </c>
      <c r="G205" s="222"/>
    </row>
    <row r="206" spans="2:7">
      <c r="B206" s="7" t="s">
        <v>205</v>
      </c>
      <c r="C206" s="6" t="s">
        <v>206</v>
      </c>
      <c r="D206" s="8" t="s">
        <v>230</v>
      </c>
      <c r="E206" s="9" t="s">
        <v>1716</v>
      </c>
      <c r="F206" s="6" t="str">
        <f>_xlfn.XLOOKUP(D206,'[4]DROP POINT BEKASI'!$B:$B,'[4]DROP POINT BEKASI'!$E:$E,"-")</f>
        <v>SELAMET DARSIYO</v>
      </c>
      <c r="G206" s="222"/>
    </row>
    <row r="207" spans="2:7">
      <c r="B207" s="7" t="s">
        <v>205</v>
      </c>
      <c r="C207" s="6" t="s">
        <v>206</v>
      </c>
      <c r="D207" s="8" t="s">
        <v>231</v>
      </c>
      <c r="E207" s="9" t="s">
        <v>1716</v>
      </c>
      <c r="F207" s="6" t="str">
        <f>_xlfn.XLOOKUP(D207,'[4]DROP POINT BEKASI'!$B:$B,'[4]DROP POINT BEKASI'!$E:$E,"-")</f>
        <v>NANDA ARIS WANDI</v>
      </c>
      <c r="G207" s="222"/>
    </row>
    <row r="208" spans="2:7">
      <c r="B208" s="7" t="s">
        <v>205</v>
      </c>
      <c r="C208" s="6" t="s">
        <v>206</v>
      </c>
      <c r="D208" s="8" t="s">
        <v>232</v>
      </c>
      <c r="E208" s="9" t="s">
        <v>1739</v>
      </c>
      <c r="F208" s="6" t="str">
        <f>_xlfn.XLOOKUP(D208,'[4]DROP POINT BEKASI'!$B:$B,'[4]DROP POINT BEKASI'!$E:$E,"-")</f>
        <v>IHWAN RAMADHAN</v>
      </c>
      <c r="G208" s="222"/>
    </row>
    <row r="209" spans="2:7">
      <c r="B209" s="7" t="s">
        <v>205</v>
      </c>
      <c r="C209" s="6" t="s">
        <v>206</v>
      </c>
      <c r="D209" s="8" t="s">
        <v>233</v>
      </c>
      <c r="E209" s="9" t="s">
        <v>1716</v>
      </c>
      <c r="F209" s="6" t="str">
        <f>_xlfn.XLOOKUP(D209,'[4]DROP POINT BEKASI'!$B:$B,'[4]DROP POINT BEKASI'!$E:$E,"-")</f>
        <v>APRIYANTO</v>
      </c>
      <c r="G209" s="222"/>
    </row>
    <row r="210" spans="2:7">
      <c r="B210" s="7" t="s">
        <v>205</v>
      </c>
      <c r="C210" s="6" t="s">
        <v>206</v>
      </c>
      <c r="D210" s="8" t="s">
        <v>234</v>
      </c>
      <c r="E210" s="9" t="s">
        <v>1739</v>
      </c>
      <c r="F210" s="6" t="str">
        <f>_xlfn.XLOOKUP(D210,'[4]DROP POINT BEKASI'!$B:$B,'[4]DROP POINT BEKASI'!$E:$E,"-")</f>
        <v>ANDI RACHMANSYAH</v>
      </c>
      <c r="G210" s="222"/>
    </row>
    <row r="211" spans="2:7">
      <c r="B211" s="7" t="s">
        <v>205</v>
      </c>
      <c r="C211" s="6" t="s">
        <v>206</v>
      </c>
      <c r="D211" s="8" t="s">
        <v>235</v>
      </c>
      <c r="E211" s="9" t="s">
        <v>1739</v>
      </c>
      <c r="F211" s="6" t="str">
        <f>_xlfn.XLOOKUP(D211,'[4]DROP POINT BEKASI'!$B:$B,'[4]DROP POINT BEKASI'!$E:$E,"-")</f>
        <v>SARYONO</v>
      </c>
      <c r="G211" s="222"/>
    </row>
    <row r="212" spans="2:7">
      <c r="B212" s="7" t="s">
        <v>205</v>
      </c>
      <c r="C212" s="6" t="s">
        <v>206</v>
      </c>
      <c r="D212" s="8" t="s">
        <v>236</v>
      </c>
      <c r="E212" s="9" t="s">
        <v>1739</v>
      </c>
      <c r="F212" s="6" t="str">
        <f>_xlfn.XLOOKUP(D212,'[4]DROP POINT BEKASI'!$B:$B,'[4]DROP POINT BEKASI'!$E:$E,"-")</f>
        <v>ARI SABANDI</v>
      </c>
      <c r="G212" s="222"/>
    </row>
    <row r="213" spans="2:7">
      <c r="B213" s="7" t="s">
        <v>205</v>
      </c>
      <c r="C213" s="6" t="s">
        <v>206</v>
      </c>
      <c r="D213" s="8" t="s">
        <v>237</v>
      </c>
      <c r="E213" s="9" t="s">
        <v>1716</v>
      </c>
      <c r="F213" s="6" t="str">
        <f>_xlfn.XLOOKUP(D213,'[4]DROP POINT BEKASI'!$B:$B,'[4]DROP POINT BEKASI'!$E:$E,"-")</f>
        <v>FAHMI</v>
      </c>
      <c r="G213" s="222"/>
    </row>
    <row r="214" spans="2:7">
      <c r="B214" s="7" t="s">
        <v>205</v>
      </c>
      <c r="C214" s="6" t="s">
        <v>206</v>
      </c>
      <c r="D214" s="8" t="s">
        <v>238</v>
      </c>
      <c r="E214" s="9" t="s">
        <v>1716</v>
      </c>
      <c r="F214" s="6" t="str">
        <f>_xlfn.XLOOKUP(D214,'[4]DROP POINT BEKASI'!$B:$B,'[4]DROP POINT BEKASI'!$E:$E,"-")</f>
        <v>NOVA ANDRIANTO</v>
      </c>
      <c r="G214" s="222"/>
    </row>
    <row r="215" spans="2:7">
      <c r="B215" s="7" t="s">
        <v>205</v>
      </c>
      <c r="C215" s="6" t="s">
        <v>206</v>
      </c>
      <c r="D215" s="8" t="s">
        <v>239</v>
      </c>
      <c r="E215" s="9" t="s">
        <v>1716</v>
      </c>
      <c r="F215" s="6" t="str">
        <f>_xlfn.XLOOKUP(D215,'[4]DROP POINT BEKASI'!$B:$B,'[4]DROP POINT BEKASI'!$E:$E,"-")</f>
        <v>AGUNG HARTANTO</v>
      </c>
      <c r="G215" s="222"/>
    </row>
    <row r="216" spans="2:7">
      <c r="B216" s="7" t="s">
        <v>205</v>
      </c>
      <c r="C216" s="6" t="s">
        <v>206</v>
      </c>
      <c r="D216" s="8" t="s">
        <v>240</v>
      </c>
      <c r="E216" s="9" t="s">
        <v>1716</v>
      </c>
      <c r="F216" s="6" t="str">
        <f>_xlfn.XLOOKUP(D216,'[4]DROP POINT BEKASI'!$B:$B,'[4]DROP POINT BEKASI'!$E:$E,"-")</f>
        <v>SAFRIN PRIGIYANTO</v>
      </c>
      <c r="G216" s="222"/>
    </row>
    <row r="217" spans="2:7">
      <c r="B217" s="7" t="s">
        <v>205</v>
      </c>
      <c r="C217" s="6" t="s">
        <v>206</v>
      </c>
      <c r="D217" s="8" t="s">
        <v>241</v>
      </c>
      <c r="E217" s="9" t="s">
        <v>1739</v>
      </c>
      <c r="F217" s="6" t="str">
        <f>_xlfn.XLOOKUP(D217,'[4]DROP POINT BEKASI'!$B:$B,'[4]DROP POINT BEKASI'!$E:$E,"-")</f>
        <v>KHAIRUL WILDAN UMAM</v>
      </c>
      <c r="G217" s="222"/>
    </row>
    <row r="218" spans="2:7">
      <c r="B218" s="7" t="s">
        <v>205</v>
      </c>
      <c r="C218" s="6" t="s">
        <v>206</v>
      </c>
      <c r="D218" s="8" t="s">
        <v>242</v>
      </c>
      <c r="E218" s="9" t="s">
        <v>1739</v>
      </c>
      <c r="F218" s="6" t="str">
        <f>_xlfn.XLOOKUP(D218,'[4]DROP POINT BEKASI'!$B:$B,'[4]DROP POINT BEKASI'!$E:$E,"-")</f>
        <v>AEP BOIS</v>
      </c>
      <c r="G218" s="222"/>
    </row>
    <row r="219" spans="2:7">
      <c r="B219" s="7" t="s">
        <v>205</v>
      </c>
      <c r="C219" s="6" t="s">
        <v>206</v>
      </c>
      <c r="D219" s="8" t="s">
        <v>243</v>
      </c>
      <c r="E219" s="9" t="s">
        <v>1739</v>
      </c>
      <c r="F219" s="6" t="str">
        <f>_xlfn.XLOOKUP(D219,'[4]DROP POINT BEKASI'!$B:$B,'[4]DROP POINT BEKASI'!$E:$E,"-")</f>
        <v>FIRDAUS</v>
      </c>
      <c r="G219" s="222"/>
    </row>
    <row r="220" spans="2:7">
      <c r="B220" s="7" t="s">
        <v>205</v>
      </c>
      <c r="C220" s="6" t="s">
        <v>206</v>
      </c>
      <c r="D220" s="8" t="s">
        <v>244</v>
      </c>
      <c r="E220" s="9" t="s">
        <v>1739</v>
      </c>
      <c r="F220" s="6" t="str">
        <f>_xlfn.XLOOKUP(D220,'[4]DROP POINT BEKASI'!$B:$B,'[4]DROP POINT BEKASI'!$E:$E,"-")</f>
        <v>ZAKI RACHMADI NASUTION</v>
      </c>
      <c r="G220" s="222"/>
    </row>
    <row r="221" spans="2:7">
      <c r="B221" s="7" t="s">
        <v>205</v>
      </c>
      <c r="C221" s="6" t="s">
        <v>206</v>
      </c>
      <c r="D221" s="8" t="s">
        <v>245</v>
      </c>
      <c r="E221" s="9" t="s">
        <v>1716</v>
      </c>
      <c r="F221" s="6" t="str">
        <f>_xlfn.XLOOKUP(D221,'[4]DROP POINT BEKASI'!$B:$B,'[4]DROP POINT BEKASI'!$E:$E,"-")</f>
        <v>MUKHAMAD NOFANA ABDULLAH</v>
      </c>
      <c r="G221" s="222"/>
    </row>
    <row r="222" spans="2:7">
      <c r="B222" s="7" t="s">
        <v>205</v>
      </c>
      <c r="C222" s="6" t="s">
        <v>206</v>
      </c>
      <c r="D222" s="8" t="s">
        <v>246</v>
      </c>
      <c r="E222" s="9" t="s">
        <v>1739</v>
      </c>
      <c r="F222" s="6" t="str">
        <f>_xlfn.XLOOKUP(D222,'[4]DROP POINT BEKASI'!$B:$B,'[4]DROP POINT BEKASI'!$E:$E,"-")</f>
        <v>TIDAK ADA</v>
      </c>
      <c r="G222" s="222"/>
    </row>
    <row r="223" spans="2:7">
      <c r="B223" s="7" t="s">
        <v>205</v>
      </c>
      <c r="C223" s="6" t="s">
        <v>206</v>
      </c>
      <c r="D223" s="8" t="s">
        <v>247</v>
      </c>
      <c r="E223" s="9" t="s">
        <v>1739</v>
      </c>
      <c r="F223" s="6" t="str">
        <f>_xlfn.XLOOKUP(D223,'[4]DROP POINT BEKASI'!$B:$B,'[4]DROP POINT BEKASI'!$E:$E,"-")</f>
        <v>KIKIH RIJKI APNUR CAHYA</v>
      </c>
      <c r="G223" s="222"/>
    </row>
    <row r="224" spans="2:7">
      <c r="B224" s="7" t="s">
        <v>205</v>
      </c>
      <c r="C224" s="6" t="s">
        <v>206</v>
      </c>
      <c r="D224" s="8" t="s">
        <v>248</v>
      </c>
      <c r="E224" s="9" t="s">
        <v>1716</v>
      </c>
      <c r="F224" s="6" t="str">
        <f>_xlfn.XLOOKUP(D224,'[4]DROP POINT BEKASI'!$B:$B,'[4]DROP POINT BEKASI'!$E:$E,"-")</f>
        <v>HARRI SWANDI NAINGGOLAN</v>
      </c>
      <c r="G224" s="222"/>
    </row>
    <row r="225" spans="2:7">
      <c r="B225" s="7" t="s">
        <v>205</v>
      </c>
      <c r="C225" s="6" t="s">
        <v>206</v>
      </c>
      <c r="D225" s="8" t="s">
        <v>249</v>
      </c>
      <c r="E225" s="9" t="s">
        <v>1739</v>
      </c>
      <c r="F225" s="6" t="str">
        <f>_xlfn.XLOOKUP(D225,'[4]DROP POINT BEKASI'!$B:$B,'[4]DROP POINT BEKASI'!$E:$E,"-")</f>
        <v>IRFAN FAUZI</v>
      </c>
      <c r="G225" s="222"/>
    </row>
    <row r="226" spans="2:7">
      <c r="B226" s="7" t="s">
        <v>205</v>
      </c>
      <c r="C226" s="6" t="s">
        <v>206</v>
      </c>
      <c r="D226" s="8" t="s">
        <v>250</v>
      </c>
      <c r="E226" s="9" t="s">
        <v>1716</v>
      </c>
      <c r="F226" s="6" t="str">
        <f>_xlfn.XLOOKUP(D226,'[4]DROP POINT BEKASI'!$B:$B,'[4]DROP POINT BEKASI'!$E:$E,"-")</f>
        <v>M DAFIT SUHERLI</v>
      </c>
      <c r="G226" s="222"/>
    </row>
    <row r="227" spans="2:7">
      <c r="B227" s="7" t="s">
        <v>205</v>
      </c>
      <c r="C227" s="6" t="s">
        <v>206</v>
      </c>
      <c r="D227" s="8" t="s">
        <v>251</v>
      </c>
      <c r="E227" s="9" t="s">
        <v>1739</v>
      </c>
      <c r="F227" s="6" t="str">
        <f>_xlfn.XLOOKUP(D227,'[4]DROP POINT BEKASI'!$B:$B,'[4]DROP POINT BEKASI'!$E:$E,"-")</f>
        <v>DENI SETIAWAN</v>
      </c>
      <c r="G227" s="222"/>
    </row>
    <row r="228" spans="2:7">
      <c r="B228" s="7" t="s">
        <v>205</v>
      </c>
      <c r="C228" s="6" t="s">
        <v>206</v>
      </c>
      <c r="D228" s="8" t="s">
        <v>252</v>
      </c>
      <c r="E228" s="9" t="s">
        <v>1716</v>
      </c>
      <c r="F228" s="6" t="str">
        <f>_xlfn.XLOOKUP(D228,'[4]DROP POINT BEKASI'!$B:$B,'[4]DROP POINT BEKASI'!$E:$E,"-")</f>
        <v>IRZAN EFRIANSYAH</v>
      </c>
      <c r="G228" s="222"/>
    </row>
    <row r="229" spans="2:7">
      <c r="B229" s="7" t="s">
        <v>205</v>
      </c>
      <c r="C229" s="6" t="s">
        <v>206</v>
      </c>
      <c r="D229" s="8" t="s">
        <v>253</v>
      </c>
      <c r="E229" s="9" t="s">
        <v>1739</v>
      </c>
      <c r="F229" s="6" t="str">
        <f>_xlfn.XLOOKUP(D229,'[4]DROP POINT BEKASI'!$B:$B,'[4]DROP POINT BEKASI'!$E:$E,"-")</f>
        <v>FITRAH TEGAR RAMADHAN</v>
      </c>
      <c r="G229" s="222"/>
    </row>
    <row r="230" spans="2:7">
      <c r="B230" s="7" t="s">
        <v>205</v>
      </c>
      <c r="C230" s="6" t="s">
        <v>206</v>
      </c>
      <c r="D230" s="8" t="s">
        <v>254</v>
      </c>
      <c r="E230" s="9" t="s">
        <v>1739</v>
      </c>
      <c r="F230" s="6" t="str">
        <f>_xlfn.XLOOKUP(D230,'[4]DROP POINT BEKASI'!$B:$B,'[4]DROP POINT BEKASI'!$E:$E,"-")</f>
        <v>SARIFPUDIN</v>
      </c>
      <c r="G230" s="222"/>
    </row>
    <row r="231" spans="2:7">
      <c r="B231" s="7" t="s">
        <v>255</v>
      </c>
      <c r="C231" s="6" t="s">
        <v>256</v>
      </c>
      <c r="D231" s="8" t="s">
        <v>257</v>
      </c>
      <c r="E231" s="9" t="s">
        <v>1716</v>
      </c>
      <c r="F231" s="6" t="str">
        <f>_xlfn.XLOOKUP(D231,[5]Sheet1!$B:$B,[5]Sheet1!$E:$E,"-")</f>
        <v>AHMAD TOFIK YULFIKAR</v>
      </c>
      <c r="G231" s="222"/>
    </row>
    <row r="232" spans="2:7">
      <c r="B232" s="7" t="s">
        <v>255</v>
      </c>
      <c r="C232" s="6" t="s">
        <v>256</v>
      </c>
      <c r="D232" s="8" t="s">
        <v>258</v>
      </c>
      <c r="E232" s="9" t="s">
        <v>1716</v>
      </c>
      <c r="F232" s="6" t="str">
        <f>_xlfn.XLOOKUP(D232,[5]Sheet1!$B:$B,[5]Sheet1!$E:$E,"-")</f>
        <v>AHMAD TOFIK YULFIKAR</v>
      </c>
      <c r="G232" s="222"/>
    </row>
    <row r="233" spans="2:7">
      <c r="B233" s="7" t="s">
        <v>255</v>
      </c>
      <c r="C233" s="6" t="s">
        <v>256</v>
      </c>
      <c r="D233" s="8" t="s">
        <v>259</v>
      </c>
      <c r="E233" s="9" t="s">
        <v>1716</v>
      </c>
      <c r="F233" s="6" t="str">
        <f>_xlfn.XLOOKUP(D233,[5]Sheet1!$B:$B,[5]Sheet1!$E:$E,"-")</f>
        <v>AHMAD TOFIK YULFIKAR</v>
      </c>
      <c r="G233" s="222"/>
    </row>
    <row r="234" spans="2:7">
      <c r="B234" s="7" t="s">
        <v>255</v>
      </c>
      <c r="C234" s="6" t="s">
        <v>256</v>
      </c>
      <c r="D234" s="8" t="s">
        <v>260</v>
      </c>
      <c r="E234" s="9" t="s">
        <v>1716</v>
      </c>
      <c r="F234" s="6" t="str">
        <f>_xlfn.XLOOKUP(D234,[5]Sheet1!$B:$B,[5]Sheet1!$E:$E,"-")</f>
        <v>AHMAD TOFIK YULFIKAR</v>
      </c>
      <c r="G234" s="222"/>
    </row>
    <row r="235" spans="2:7">
      <c r="B235" s="7" t="s">
        <v>255</v>
      </c>
      <c r="C235" s="6" t="s">
        <v>256</v>
      </c>
      <c r="D235" s="8" t="s">
        <v>261</v>
      </c>
      <c r="E235" s="9" t="s">
        <v>1716</v>
      </c>
      <c r="F235" s="6" t="str">
        <f>_xlfn.XLOOKUP(D235,[5]Sheet1!$B:$B,[5]Sheet1!$E:$E,"-")</f>
        <v>AHMAD TOFIK YULFIKAR</v>
      </c>
      <c r="G235" s="222"/>
    </row>
    <row r="236" spans="2:7">
      <c r="B236" s="7" t="s">
        <v>255</v>
      </c>
      <c r="C236" s="6" t="s">
        <v>256</v>
      </c>
      <c r="D236" s="8" t="s">
        <v>262</v>
      </c>
      <c r="E236" s="9" t="s">
        <v>1739</v>
      </c>
      <c r="F236" s="6" t="str">
        <f>_xlfn.XLOOKUP(D236,[5]Sheet1!$B:$B,[5]Sheet1!$E:$E,"-")</f>
        <v>AHMAD TOFIK YULFIKAR</v>
      </c>
      <c r="G236" s="222"/>
    </row>
    <row r="237" spans="2:7">
      <c r="B237" s="7" t="s">
        <v>255</v>
      </c>
      <c r="C237" s="6" t="s">
        <v>256</v>
      </c>
      <c r="D237" s="8" t="s">
        <v>263</v>
      </c>
      <c r="E237" s="9" t="s">
        <v>1716</v>
      </c>
      <c r="F237" s="6" t="str">
        <f>_xlfn.XLOOKUP(D237,[5]Sheet1!$B:$B,[5]Sheet1!$E:$E,"-")</f>
        <v>AHMAD TOFIK YULFIKAR</v>
      </c>
      <c r="G237" s="222"/>
    </row>
    <row r="238" spans="2:7">
      <c r="B238" s="7" t="s">
        <v>255</v>
      </c>
      <c r="C238" s="6" t="s">
        <v>256</v>
      </c>
      <c r="D238" s="8" t="s">
        <v>264</v>
      </c>
      <c r="E238" s="9" t="s">
        <v>1716</v>
      </c>
      <c r="F238" s="6" t="str">
        <f>_xlfn.XLOOKUP(D238,[5]Sheet1!$B:$B,[5]Sheet1!$E:$E,"-")</f>
        <v>AHMAD TOFIK YULFIKAR</v>
      </c>
      <c r="G238" s="222"/>
    </row>
    <row r="239" spans="2:7">
      <c r="B239" s="7" t="s">
        <v>255</v>
      </c>
      <c r="C239" s="6" t="s">
        <v>256</v>
      </c>
      <c r="D239" s="8" t="s">
        <v>265</v>
      </c>
      <c r="E239" s="9" t="s">
        <v>1716</v>
      </c>
      <c r="F239" s="6" t="str">
        <f>_xlfn.XLOOKUP(D239,[5]Sheet1!$B:$B,[5]Sheet1!$E:$E,"-")</f>
        <v>AHMAD TOFIK YULFIKAR</v>
      </c>
      <c r="G239" s="222"/>
    </row>
    <row r="240" spans="2:7">
      <c r="B240" s="7" t="s">
        <v>255</v>
      </c>
      <c r="C240" s="6" t="s">
        <v>256</v>
      </c>
      <c r="D240" s="8" t="s">
        <v>266</v>
      </c>
      <c r="E240" s="9" t="s">
        <v>1739</v>
      </c>
      <c r="F240" s="6" t="str">
        <f>_xlfn.XLOOKUP(D240,[5]Sheet1!$B:$B,[5]Sheet1!$E:$E,"-")</f>
        <v>AHMAD TOFIK YULFIKAR</v>
      </c>
      <c r="G240" s="222"/>
    </row>
    <row r="241" spans="2:7">
      <c r="B241" s="7" t="s">
        <v>255</v>
      </c>
      <c r="C241" s="6" t="s">
        <v>256</v>
      </c>
      <c r="D241" s="8" t="s">
        <v>267</v>
      </c>
      <c r="E241" s="9" t="s">
        <v>1739</v>
      </c>
      <c r="F241" s="6" t="str">
        <f>_xlfn.XLOOKUP(D241,[5]Sheet1!$B:$B,[5]Sheet1!$E:$E,"-")</f>
        <v>AHMAD TOFIK YULFIKAR</v>
      </c>
      <c r="G241" s="222"/>
    </row>
    <row r="242" spans="2:7">
      <c r="B242" s="7" t="s">
        <v>255</v>
      </c>
      <c r="C242" s="6" t="s">
        <v>256</v>
      </c>
      <c r="D242" s="8" t="s">
        <v>268</v>
      </c>
      <c r="E242" s="9" t="s">
        <v>1739</v>
      </c>
      <c r="F242" s="6" t="str">
        <f>_xlfn.XLOOKUP(D242,[5]Sheet1!$B:$B,[5]Sheet1!$E:$E,"-")</f>
        <v>AHMAD TOFIK YULFIKAR</v>
      </c>
      <c r="G242" s="222"/>
    </row>
    <row r="243" spans="2:7">
      <c r="B243" s="7" t="s">
        <v>255</v>
      </c>
      <c r="C243" s="6" t="s">
        <v>256</v>
      </c>
      <c r="D243" s="8" t="s">
        <v>269</v>
      </c>
      <c r="E243" s="9" t="s">
        <v>1739</v>
      </c>
      <c r="F243" s="6" t="str">
        <f>_xlfn.XLOOKUP(D243,[5]Sheet1!$B:$B,[5]Sheet1!$E:$E,"-")</f>
        <v>AHMAD TOFIK YULFIKAR</v>
      </c>
      <c r="G243" s="222"/>
    </row>
    <row r="244" spans="2:7">
      <c r="B244" s="7" t="s">
        <v>255</v>
      </c>
      <c r="C244" s="6" t="s">
        <v>256</v>
      </c>
      <c r="D244" s="8" t="s">
        <v>270</v>
      </c>
      <c r="E244" s="9" t="s">
        <v>1739</v>
      </c>
      <c r="F244" s="6" t="str">
        <f>_xlfn.XLOOKUP(D244,[5]Sheet1!$B:$B,[5]Sheet1!$E:$E,"-")</f>
        <v>AHMAD TOFIK YULFIKAR</v>
      </c>
      <c r="G244" s="222"/>
    </row>
    <row r="245" spans="2:7">
      <c r="B245" s="7" t="s">
        <v>255</v>
      </c>
      <c r="C245" s="6" t="s">
        <v>256</v>
      </c>
      <c r="D245" s="8" t="s">
        <v>271</v>
      </c>
      <c r="E245" s="9" t="s">
        <v>1716</v>
      </c>
      <c r="F245" s="6" t="str">
        <f>_xlfn.XLOOKUP(D245,[5]Sheet1!$B:$B,[5]Sheet1!$E:$E,"-")</f>
        <v>FALDY FEDIANSYAH</v>
      </c>
      <c r="G245" s="222"/>
    </row>
    <row r="246" spans="2:7">
      <c r="B246" s="7" t="s">
        <v>255</v>
      </c>
      <c r="C246" s="6" t="s">
        <v>256</v>
      </c>
      <c r="D246" s="8" t="s">
        <v>272</v>
      </c>
      <c r="E246" s="9" t="s">
        <v>1716</v>
      </c>
      <c r="F246" s="6" t="str">
        <f>_xlfn.XLOOKUP(D246,[5]Sheet1!$B:$B,[5]Sheet1!$E:$E,"-")</f>
        <v>FALDY FEDIANSYAH</v>
      </c>
      <c r="G246" s="222"/>
    </row>
    <row r="247" spans="2:7">
      <c r="B247" s="7" t="s">
        <v>255</v>
      </c>
      <c r="C247" s="6" t="s">
        <v>256</v>
      </c>
      <c r="D247" s="8" t="s">
        <v>273</v>
      </c>
      <c r="E247" s="9" t="s">
        <v>1716</v>
      </c>
      <c r="F247" s="6" t="str">
        <f>_xlfn.XLOOKUP(D247,[5]Sheet1!$B:$B,[5]Sheet1!$E:$E,"-")</f>
        <v>FALDY FEDIANSYAH</v>
      </c>
      <c r="G247" s="222"/>
    </row>
    <row r="248" spans="2:7">
      <c r="B248" s="7" t="s">
        <v>255</v>
      </c>
      <c r="C248" s="6" t="s">
        <v>256</v>
      </c>
      <c r="D248" s="8" t="s">
        <v>274</v>
      </c>
      <c r="E248" s="9" t="s">
        <v>1716</v>
      </c>
      <c r="F248" s="6" t="str">
        <f>_xlfn.XLOOKUP(D248,[5]Sheet1!$B:$B,[5]Sheet1!$E:$E,"-")</f>
        <v>FALDY FEDIANSYAH</v>
      </c>
      <c r="G248" s="222"/>
    </row>
    <row r="249" spans="2:7">
      <c r="B249" s="7" t="s">
        <v>255</v>
      </c>
      <c r="C249" s="6" t="s">
        <v>256</v>
      </c>
      <c r="D249" s="8" t="s">
        <v>275</v>
      </c>
      <c r="E249" s="9" t="s">
        <v>1716</v>
      </c>
      <c r="F249" s="6" t="str">
        <f>_xlfn.XLOOKUP(D249,[5]Sheet1!$B:$B,[5]Sheet1!$E:$E,"-")</f>
        <v>FALDY FEDIANSYAH</v>
      </c>
      <c r="G249" s="222"/>
    </row>
    <row r="250" spans="2:7">
      <c r="B250" s="7" t="s">
        <v>255</v>
      </c>
      <c r="C250" s="6" t="s">
        <v>256</v>
      </c>
      <c r="D250" s="8" t="s">
        <v>276</v>
      </c>
      <c r="E250" s="9" t="s">
        <v>1739</v>
      </c>
      <c r="F250" s="6" t="str">
        <f>_xlfn.XLOOKUP(D250,[5]Sheet1!$B:$B,[5]Sheet1!$E:$E,"-")</f>
        <v>FALDY FEDIANSYAH</v>
      </c>
      <c r="G250" s="222"/>
    </row>
    <row r="251" spans="2:7">
      <c r="B251" s="7" t="s">
        <v>255</v>
      </c>
      <c r="C251" s="6" t="s">
        <v>256</v>
      </c>
      <c r="D251" s="8" t="s">
        <v>277</v>
      </c>
      <c r="E251" s="9" t="s">
        <v>1739</v>
      </c>
      <c r="F251" s="6" t="str">
        <f>_xlfn.XLOOKUP(D251,[5]Sheet1!$B:$B,[5]Sheet1!$E:$E,"-")</f>
        <v>FALDY FEDIANSYAH</v>
      </c>
      <c r="G251" s="222"/>
    </row>
    <row r="252" spans="2:7">
      <c r="B252" s="7" t="s">
        <v>255</v>
      </c>
      <c r="C252" s="6" t="s">
        <v>256</v>
      </c>
      <c r="D252" s="8" t="s">
        <v>278</v>
      </c>
      <c r="E252" s="9" t="s">
        <v>1739</v>
      </c>
      <c r="F252" s="6" t="str">
        <f>_xlfn.XLOOKUP(D252,[5]Sheet1!$B:$B,[5]Sheet1!$E:$E,"-")</f>
        <v>FALDY FEDIANSYAH</v>
      </c>
      <c r="G252" s="222"/>
    </row>
    <row r="253" spans="2:7">
      <c r="B253" s="7" t="s">
        <v>255</v>
      </c>
      <c r="C253" s="6" t="s">
        <v>256</v>
      </c>
      <c r="D253" s="8" t="s">
        <v>279</v>
      </c>
      <c r="E253" s="9" t="s">
        <v>1739</v>
      </c>
      <c r="F253" s="6" t="str">
        <f>_xlfn.XLOOKUP(D253,[5]Sheet1!$B:$B,[5]Sheet1!$E:$E,"-")</f>
        <v>FALDY FEDIANSYAH</v>
      </c>
      <c r="G253" s="222"/>
    </row>
    <row r="254" spans="2:7">
      <c r="B254" s="7" t="s">
        <v>255</v>
      </c>
      <c r="C254" s="6" t="s">
        <v>256</v>
      </c>
      <c r="D254" s="8" t="s">
        <v>280</v>
      </c>
      <c r="E254" s="9" t="s">
        <v>1739</v>
      </c>
      <c r="F254" s="6" t="str">
        <f>_xlfn.XLOOKUP(D254,[5]Sheet1!$B:$B,[5]Sheet1!$E:$E,"-")</f>
        <v>FALDY FEDIANSYAH</v>
      </c>
      <c r="G254" s="222"/>
    </row>
    <row r="255" spans="2:7">
      <c r="B255" s="7" t="s">
        <v>255</v>
      </c>
      <c r="C255" s="6" t="s">
        <v>256</v>
      </c>
      <c r="D255" s="8" t="s">
        <v>281</v>
      </c>
      <c r="E255" s="9" t="s">
        <v>1739</v>
      </c>
      <c r="F255" s="6" t="str">
        <f>_xlfn.XLOOKUP(D255,[5]Sheet1!$B:$B,[5]Sheet1!$E:$E,"-")</f>
        <v>FALDY FEDIANSYAH</v>
      </c>
      <c r="G255" s="222"/>
    </row>
    <row r="256" spans="2:7">
      <c r="B256" s="7" t="s">
        <v>255</v>
      </c>
      <c r="C256" s="6" t="s">
        <v>256</v>
      </c>
      <c r="D256" s="8" t="s">
        <v>282</v>
      </c>
      <c r="E256" s="9" t="s">
        <v>1739</v>
      </c>
      <c r="F256" s="6" t="str">
        <f>_xlfn.XLOOKUP(D256,[5]Sheet1!$B:$B,[5]Sheet1!$E:$E,"-")</f>
        <v>FALDY FEDIANSYAH</v>
      </c>
      <c r="G256" s="222"/>
    </row>
    <row r="257" spans="2:7">
      <c r="B257" s="7" t="s">
        <v>255</v>
      </c>
      <c r="C257" s="6" t="s">
        <v>256</v>
      </c>
      <c r="D257" s="8" t="s">
        <v>283</v>
      </c>
      <c r="E257" s="9" t="s">
        <v>1739</v>
      </c>
      <c r="F257" s="6" t="str">
        <f>_xlfn.XLOOKUP(D257,[5]Sheet1!$B:$B,[5]Sheet1!$E:$E,"-")</f>
        <v>FALDY FEDIANSYAH</v>
      </c>
      <c r="G257" s="222"/>
    </row>
    <row r="258" spans="2:7">
      <c r="B258" s="7" t="s">
        <v>255</v>
      </c>
      <c r="C258" s="6" t="s">
        <v>256</v>
      </c>
      <c r="D258" s="8" t="s">
        <v>284</v>
      </c>
      <c r="E258" s="9" t="s">
        <v>1739</v>
      </c>
      <c r="F258" s="6" t="str">
        <f>_xlfn.XLOOKUP(D258,[5]Sheet1!$B:$B,[5]Sheet1!$E:$E,"-")</f>
        <v>FALDY FEDIANSYAH</v>
      </c>
      <c r="G258" s="222"/>
    </row>
    <row r="259" spans="2:7">
      <c r="B259" s="7" t="s">
        <v>255</v>
      </c>
      <c r="C259" s="6" t="s">
        <v>256</v>
      </c>
      <c r="D259" s="8" t="s">
        <v>285</v>
      </c>
      <c r="E259" s="9" t="s">
        <v>1716</v>
      </c>
      <c r="F259" s="6" t="str">
        <f>_xlfn.XLOOKUP(D259,[5]Sheet1!$B:$B,[5]Sheet1!$E:$E,"-")</f>
        <v>FALDY FEDIANSYAH</v>
      </c>
      <c r="G259" s="222"/>
    </row>
    <row r="260" spans="2:7">
      <c r="B260" s="7" t="s">
        <v>255</v>
      </c>
      <c r="C260" s="6" t="s">
        <v>256</v>
      </c>
      <c r="D260" s="8" t="s">
        <v>286</v>
      </c>
      <c r="E260" s="9" t="s">
        <v>1716</v>
      </c>
      <c r="F260" s="6" t="str">
        <f>_xlfn.XLOOKUP(D260,[5]Sheet1!$B:$B,[5]Sheet1!$E:$E,"-")</f>
        <v>FALDY FEDIANSYAH</v>
      </c>
      <c r="G260" s="222"/>
    </row>
    <row r="261" spans="2:7">
      <c r="B261" s="7" t="s">
        <v>255</v>
      </c>
      <c r="C261" s="6" t="s">
        <v>256</v>
      </c>
      <c r="D261" s="8" t="s">
        <v>287</v>
      </c>
      <c r="E261" s="9" t="s">
        <v>1716</v>
      </c>
      <c r="F261" s="6" t="str">
        <f>_xlfn.XLOOKUP(D261,[5]Sheet1!$B:$B,[5]Sheet1!$E:$E,"-")</f>
        <v>FALDY FEDIANSYAH</v>
      </c>
      <c r="G261" s="222"/>
    </row>
    <row r="262" spans="2:7">
      <c r="B262" s="7" t="s">
        <v>255</v>
      </c>
      <c r="C262" s="6" t="s">
        <v>256</v>
      </c>
      <c r="D262" s="8" t="s">
        <v>288</v>
      </c>
      <c r="E262" s="9" t="s">
        <v>1739</v>
      </c>
      <c r="F262" s="6" t="str">
        <f>_xlfn.XLOOKUP(D262,[5]Sheet1!$B:$B,[5]Sheet1!$E:$E,"-")</f>
        <v>FALDY FEDIANSYAH</v>
      </c>
      <c r="G262" s="222"/>
    </row>
    <row r="263" spans="2:7">
      <c r="B263" s="7" t="s">
        <v>255</v>
      </c>
      <c r="C263" s="6" t="s">
        <v>256</v>
      </c>
      <c r="D263" s="8" t="s">
        <v>289</v>
      </c>
      <c r="E263" s="9" t="s">
        <v>1716</v>
      </c>
      <c r="F263" s="6" t="str">
        <f>_xlfn.XLOOKUP(D263,[5]Sheet1!$B:$B,[5]Sheet1!$E:$E,"-")</f>
        <v>HERI SUSANTO</v>
      </c>
      <c r="G263" s="222"/>
    </row>
    <row r="264" spans="2:7">
      <c r="B264" s="7" t="s">
        <v>255</v>
      </c>
      <c r="C264" s="6" t="s">
        <v>256</v>
      </c>
      <c r="D264" s="8" t="s">
        <v>290</v>
      </c>
      <c r="E264" s="9" t="s">
        <v>1716</v>
      </c>
      <c r="F264" s="6" t="str">
        <f>_xlfn.XLOOKUP(D264,[5]Sheet1!$B:$B,[5]Sheet1!$E:$E,"-")</f>
        <v>HERI SUSANTO</v>
      </c>
      <c r="G264" s="222"/>
    </row>
    <row r="265" spans="2:7">
      <c r="B265" s="7" t="s">
        <v>255</v>
      </c>
      <c r="C265" s="6" t="s">
        <v>256</v>
      </c>
      <c r="D265" s="8" t="s">
        <v>291</v>
      </c>
      <c r="E265" s="9" t="s">
        <v>1716</v>
      </c>
      <c r="F265" s="6" t="str">
        <f>_xlfn.XLOOKUP(D265,[5]Sheet1!$B:$B,[5]Sheet1!$E:$E,"-")</f>
        <v>HERI SUSANTO</v>
      </c>
      <c r="G265" s="222"/>
    </row>
    <row r="266" spans="2:7">
      <c r="B266" s="7" t="s">
        <v>255</v>
      </c>
      <c r="C266" s="6" t="s">
        <v>256</v>
      </c>
      <c r="D266" s="8" t="s">
        <v>292</v>
      </c>
      <c r="E266" s="9" t="s">
        <v>1716</v>
      </c>
      <c r="F266" s="6" t="str">
        <f>_xlfn.XLOOKUP(D266,[5]Sheet1!$B:$B,[5]Sheet1!$E:$E,"-")</f>
        <v>HERI SUSANTO</v>
      </c>
      <c r="G266" s="222"/>
    </row>
    <row r="267" spans="2:7">
      <c r="B267" s="7" t="s">
        <v>255</v>
      </c>
      <c r="C267" s="6" t="s">
        <v>256</v>
      </c>
      <c r="D267" s="8" t="s">
        <v>293</v>
      </c>
      <c r="E267" s="9" t="s">
        <v>1716</v>
      </c>
      <c r="F267" s="6" t="str">
        <f>_xlfn.XLOOKUP(D267,[5]Sheet1!$B:$B,[5]Sheet1!$E:$E,"-")</f>
        <v>HERI SUSANTO</v>
      </c>
      <c r="G267" s="222"/>
    </row>
    <row r="268" spans="2:7">
      <c r="B268" s="7" t="s">
        <v>255</v>
      </c>
      <c r="C268" s="6" t="s">
        <v>256</v>
      </c>
      <c r="D268" s="8" t="s">
        <v>294</v>
      </c>
      <c r="E268" s="9" t="s">
        <v>1716</v>
      </c>
      <c r="F268" s="6" t="str">
        <f>_xlfn.XLOOKUP(D268,[5]Sheet1!$B:$B,[5]Sheet1!$E:$E,"-")</f>
        <v>HERI SUSANTO</v>
      </c>
      <c r="G268" s="222"/>
    </row>
    <row r="269" spans="2:7">
      <c r="B269" s="7" t="s">
        <v>255</v>
      </c>
      <c r="C269" s="6" t="s">
        <v>256</v>
      </c>
      <c r="D269" s="8" t="s">
        <v>295</v>
      </c>
      <c r="E269" s="9" t="s">
        <v>1716</v>
      </c>
      <c r="F269" s="6" t="str">
        <f>_xlfn.XLOOKUP(D269,[5]Sheet1!$B:$B,[5]Sheet1!$E:$E,"-")</f>
        <v>HERI SUSANTO</v>
      </c>
      <c r="G269" s="222"/>
    </row>
    <row r="270" spans="2:7">
      <c r="B270" s="7" t="s">
        <v>255</v>
      </c>
      <c r="C270" s="6" t="s">
        <v>256</v>
      </c>
      <c r="D270" s="8" t="s">
        <v>296</v>
      </c>
      <c r="E270" s="9" t="s">
        <v>1716</v>
      </c>
      <c r="F270" s="6" t="str">
        <f>_xlfn.XLOOKUP(D270,[5]Sheet1!$B:$B,[5]Sheet1!$E:$E,"-")</f>
        <v>HERI SUSANTO</v>
      </c>
      <c r="G270" s="222"/>
    </row>
    <row r="271" spans="2:7">
      <c r="B271" s="7" t="s">
        <v>255</v>
      </c>
      <c r="C271" s="6" t="s">
        <v>256</v>
      </c>
      <c r="D271" s="8" t="s">
        <v>297</v>
      </c>
      <c r="E271" s="9" t="s">
        <v>1716</v>
      </c>
      <c r="F271" s="6" t="str">
        <f>_xlfn.XLOOKUP(D271,[5]Sheet1!$B:$B,[5]Sheet1!$E:$E,"-")</f>
        <v>HERI SUSANTO</v>
      </c>
      <c r="G271" s="222"/>
    </row>
    <row r="272" spans="2:7">
      <c r="B272" s="7" t="s">
        <v>255</v>
      </c>
      <c r="C272" s="6" t="s">
        <v>256</v>
      </c>
      <c r="D272" s="8" t="s">
        <v>298</v>
      </c>
      <c r="E272" s="9" t="s">
        <v>1716</v>
      </c>
      <c r="F272" s="6" t="str">
        <f>_xlfn.XLOOKUP(D272,[5]Sheet1!$B:$B,[5]Sheet1!$E:$E,"-")</f>
        <v>HERI SUSANTO</v>
      </c>
      <c r="G272" s="222"/>
    </row>
    <row r="273" spans="2:7">
      <c r="B273" s="7" t="s">
        <v>255</v>
      </c>
      <c r="C273" s="6" t="s">
        <v>256</v>
      </c>
      <c r="D273" s="8" t="s">
        <v>299</v>
      </c>
      <c r="E273" s="9" t="s">
        <v>1716</v>
      </c>
      <c r="F273" s="6" t="str">
        <f>_xlfn.XLOOKUP(D273,[5]Sheet1!$B:$B,[5]Sheet1!$E:$E,"-")</f>
        <v>HERI SUSANTO</v>
      </c>
      <c r="G273" s="222"/>
    </row>
    <row r="274" spans="2:7">
      <c r="B274" s="7" t="s">
        <v>255</v>
      </c>
      <c r="C274" s="6" t="s">
        <v>256</v>
      </c>
      <c r="D274" s="8" t="s">
        <v>300</v>
      </c>
      <c r="E274" s="9" t="s">
        <v>1739</v>
      </c>
      <c r="F274" s="6" t="str">
        <f>_xlfn.XLOOKUP(D274,[5]Sheet1!$B:$B,[5]Sheet1!$E:$E,"-")</f>
        <v>HERI SUSANTO</v>
      </c>
      <c r="G274" s="222"/>
    </row>
    <row r="275" spans="2:7">
      <c r="B275" s="7" t="s">
        <v>255</v>
      </c>
      <c r="C275" s="6" t="s">
        <v>256</v>
      </c>
      <c r="D275" s="8" t="s">
        <v>301</v>
      </c>
      <c r="E275" s="9" t="s">
        <v>1739</v>
      </c>
      <c r="F275" s="6" t="str">
        <f>_xlfn.XLOOKUP(D275,[5]Sheet1!$B:$B,[5]Sheet1!$E:$E,"-")</f>
        <v>HERI SUSANTO</v>
      </c>
      <c r="G275" s="222"/>
    </row>
    <row r="276" spans="2:7">
      <c r="B276" s="7" t="s">
        <v>255</v>
      </c>
      <c r="C276" s="6" t="s">
        <v>256</v>
      </c>
      <c r="D276" s="8" t="s">
        <v>302</v>
      </c>
      <c r="E276" s="9" t="s">
        <v>1716</v>
      </c>
      <c r="F276" s="6" t="str">
        <f>_xlfn.XLOOKUP(D276,[5]Sheet1!$B:$B,[5]Sheet1!$E:$E,"-")</f>
        <v>HERI SUSANTO</v>
      </c>
      <c r="G276" s="222"/>
    </row>
    <row r="277" spans="2:7">
      <c r="B277" s="7" t="s">
        <v>255</v>
      </c>
      <c r="C277" s="6" t="s">
        <v>256</v>
      </c>
      <c r="D277" s="8" t="s">
        <v>303</v>
      </c>
      <c r="E277" s="9" t="s">
        <v>1716</v>
      </c>
      <c r="F277" s="6" t="str">
        <f>_xlfn.XLOOKUP(D277,[5]Sheet1!$B:$B,[5]Sheet1!$E:$E,"-")</f>
        <v>NOVIAN</v>
      </c>
      <c r="G277" s="222"/>
    </row>
    <row r="278" spans="2:7">
      <c r="B278" s="7" t="s">
        <v>255</v>
      </c>
      <c r="C278" s="6" t="s">
        <v>256</v>
      </c>
      <c r="D278" s="8" t="s">
        <v>304</v>
      </c>
      <c r="E278" s="9" t="s">
        <v>1716</v>
      </c>
      <c r="F278" s="6" t="str">
        <f>_xlfn.XLOOKUP(D278,[5]Sheet1!$B:$B,[5]Sheet1!$E:$E,"-")</f>
        <v>NOVIAN</v>
      </c>
      <c r="G278" s="222"/>
    </row>
    <row r="279" spans="2:7">
      <c r="B279" s="7" t="s">
        <v>255</v>
      </c>
      <c r="C279" s="6" t="s">
        <v>256</v>
      </c>
      <c r="D279" s="8" t="s">
        <v>305</v>
      </c>
      <c r="E279" s="9" t="s">
        <v>1716</v>
      </c>
      <c r="F279" s="6" t="str">
        <f>_xlfn.XLOOKUP(D279,[5]Sheet1!$B:$B,[5]Sheet1!$E:$E,"-")</f>
        <v>NOVIAN</v>
      </c>
      <c r="G279" s="222"/>
    </row>
    <row r="280" spans="2:7">
      <c r="B280" s="7" t="s">
        <v>255</v>
      </c>
      <c r="C280" s="6" t="s">
        <v>256</v>
      </c>
      <c r="D280" s="8" t="s">
        <v>306</v>
      </c>
      <c r="E280" s="9" t="s">
        <v>1716</v>
      </c>
      <c r="F280" s="6" t="str">
        <f>_xlfn.XLOOKUP(D280,[5]Sheet1!$B:$B,[5]Sheet1!$E:$E,"-")</f>
        <v>NOVIAN</v>
      </c>
      <c r="G280" s="222"/>
    </row>
    <row r="281" spans="2:7">
      <c r="B281" s="7" t="s">
        <v>255</v>
      </c>
      <c r="C281" s="6" t="s">
        <v>256</v>
      </c>
      <c r="D281" s="8" t="s">
        <v>307</v>
      </c>
      <c r="E281" s="9" t="s">
        <v>1716</v>
      </c>
      <c r="F281" s="6" t="str">
        <f>_xlfn.XLOOKUP(D281,[5]Sheet1!$B:$B,[5]Sheet1!$E:$E,"-")</f>
        <v>NOVIAN</v>
      </c>
      <c r="G281" s="222"/>
    </row>
    <row r="282" spans="2:7">
      <c r="B282" s="7" t="s">
        <v>255</v>
      </c>
      <c r="C282" s="6" t="s">
        <v>256</v>
      </c>
      <c r="D282" s="8" t="s">
        <v>308</v>
      </c>
      <c r="E282" s="9" t="s">
        <v>1716</v>
      </c>
      <c r="F282" s="6" t="str">
        <f>_xlfn.XLOOKUP(D282,[5]Sheet1!$B:$B,[5]Sheet1!$E:$E,"-")</f>
        <v>NOVIAN</v>
      </c>
      <c r="G282" s="222"/>
    </row>
    <row r="283" spans="2:7">
      <c r="B283" s="7" t="s">
        <v>255</v>
      </c>
      <c r="C283" s="6" t="s">
        <v>256</v>
      </c>
      <c r="D283" s="8" t="s">
        <v>309</v>
      </c>
      <c r="E283" s="9" t="s">
        <v>1716</v>
      </c>
      <c r="F283" s="6" t="str">
        <f>_xlfn.XLOOKUP(D283,[5]Sheet1!$B:$B,[5]Sheet1!$E:$E,"-")</f>
        <v>NOVIAN</v>
      </c>
      <c r="G283" s="222"/>
    </row>
    <row r="284" spans="2:7">
      <c r="B284" s="7" t="s">
        <v>255</v>
      </c>
      <c r="C284" s="6" t="s">
        <v>256</v>
      </c>
      <c r="D284" s="8" t="s">
        <v>310</v>
      </c>
      <c r="E284" s="9" t="s">
        <v>1739</v>
      </c>
      <c r="F284" s="6" t="str">
        <f>_xlfn.XLOOKUP(D284,[5]Sheet1!$B:$B,[5]Sheet1!$E:$E,"-")</f>
        <v>NOVIAN</v>
      </c>
      <c r="G284" s="222"/>
    </row>
    <row r="285" spans="2:7">
      <c r="B285" s="7" t="s">
        <v>255</v>
      </c>
      <c r="C285" s="6" t="s">
        <v>256</v>
      </c>
      <c r="D285" s="8" t="s">
        <v>311</v>
      </c>
      <c r="E285" s="9" t="s">
        <v>1739</v>
      </c>
      <c r="F285" s="6" t="str">
        <f>_xlfn.XLOOKUP(D285,[5]Sheet1!$B:$B,[5]Sheet1!$E:$E,"-")</f>
        <v>NOVIAN</v>
      </c>
      <c r="G285" s="222"/>
    </row>
    <row r="286" spans="2:7">
      <c r="B286" s="7" t="s">
        <v>255</v>
      </c>
      <c r="C286" s="6" t="s">
        <v>256</v>
      </c>
      <c r="D286" s="8" t="s">
        <v>312</v>
      </c>
      <c r="E286" s="9" t="s">
        <v>1739</v>
      </c>
      <c r="F286" s="6" t="str">
        <f>_xlfn.XLOOKUP(D286,[5]Sheet1!$B:$B,[5]Sheet1!$E:$E,"-")</f>
        <v>NOVIAN</v>
      </c>
      <c r="G286" s="222"/>
    </row>
    <row r="287" spans="2:7">
      <c r="B287" s="7" t="s">
        <v>255</v>
      </c>
      <c r="C287" s="6" t="s">
        <v>256</v>
      </c>
      <c r="D287" s="8" t="s">
        <v>313</v>
      </c>
      <c r="E287" s="9" t="s">
        <v>1739</v>
      </c>
      <c r="F287" s="6" t="str">
        <f>_xlfn.XLOOKUP(D287,[5]Sheet1!$B:$B,[5]Sheet1!$E:$E,"-")</f>
        <v>NOVIAN</v>
      </c>
      <c r="G287" s="222"/>
    </row>
    <row r="288" spans="2:7">
      <c r="B288" s="7" t="s">
        <v>255</v>
      </c>
      <c r="C288" s="6" t="s">
        <v>256</v>
      </c>
      <c r="D288" s="8" t="s">
        <v>314</v>
      </c>
      <c r="E288" s="9" t="s">
        <v>1739</v>
      </c>
      <c r="F288" s="6" t="str">
        <f>_xlfn.XLOOKUP(D288,[5]Sheet1!$B:$B,[5]Sheet1!$E:$E,"-")</f>
        <v>NOVIAN</v>
      </c>
      <c r="G288" s="222"/>
    </row>
    <row r="289" spans="2:7">
      <c r="B289" s="7" t="s">
        <v>255</v>
      </c>
      <c r="C289" s="6" t="s">
        <v>256</v>
      </c>
      <c r="D289" s="8" t="s">
        <v>315</v>
      </c>
      <c r="E289" s="9" t="s">
        <v>1716</v>
      </c>
      <c r="F289" s="6" t="str">
        <f>_xlfn.XLOOKUP(D289,[5]Sheet1!$B:$B,[5]Sheet1!$E:$E,"-")</f>
        <v>NOVIAN</v>
      </c>
      <c r="G289" s="222"/>
    </row>
    <row r="290" spans="2:7">
      <c r="B290" s="7" t="s">
        <v>255</v>
      </c>
      <c r="C290" s="6" t="s">
        <v>256</v>
      </c>
      <c r="D290" s="8" t="s">
        <v>316</v>
      </c>
      <c r="E290" s="9" t="s">
        <v>1716</v>
      </c>
      <c r="F290" s="6" t="str">
        <f>_xlfn.XLOOKUP(D290,[5]Sheet1!$B:$B,[5]Sheet1!$E:$E,"-")</f>
        <v>M PAREZA NOVIK</v>
      </c>
      <c r="G290" s="222"/>
    </row>
    <row r="291" spans="2:7">
      <c r="B291" s="7" t="s">
        <v>255</v>
      </c>
      <c r="C291" s="6" t="s">
        <v>256</v>
      </c>
      <c r="D291" s="8" t="s">
        <v>317</v>
      </c>
      <c r="E291" s="9" t="s">
        <v>1716</v>
      </c>
      <c r="F291" s="6" t="str">
        <f>_xlfn.XLOOKUP(D291,[5]Sheet1!$B:$B,[5]Sheet1!$E:$E,"-")</f>
        <v>M PAREZA NOVIK</v>
      </c>
      <c r="G291" s="222"/>
    </row>
    <row r="292" spans="2:7">
      <c r="B292" s="7" t="s">
        <v>255</v>
      </c>
      <c r="C292" s="6" t="s">
        <v>256</v>
      </c>
      <c r="D292" s="8" t="s">
        <v>318</v>
      </c>
      <c r="E292" s="9" t="s">
        <v>1716</v>
      </c>
      <c r="F292" s="6" t="str">
        <f>_xlfn.XLOOKUP(D292,[5]Sheet1!$B:$B,[5]Sheet1!$E:$E,"-")</f>
        <v>M PAREZA NOVIK</v>
      </c>
      <c r="G292" s="222"/>
    </row>
    <row r="293" spans="2:7">
      <c r="B293" s="7" t="s">
        <v>255</v>
      </c>
      <c r="C293" s="6" t="s">
        <v>256</v>
      </c>
      <c r="D293" s="8" t="s">
        <v>319</v>
      </c>
      <c r="E293" s="9" t="s">
        <v>1716</v>
      </c>
      <c r="F293" s="6" t="str">
        <f>_xlfn.XLOOKUP(D293,[5]Sheet1!$B:$B,[5]Sheet1!$E:$E,"-")</f>
        <v>M PAREZA NOVIK</v>
      </c>
      <c r="G293" s="222"/>
    </row>
    <row r="294" spans="2:7">
      <c r="B294" s="7" t="s">
        <v>255</v>
      </c>
      <c r="C294" s="6" t="s">
        <v>256</v>
      </c>
      <c r="D294" s="8" t="s">
        <v>320</v>
      </c>
      <c r="E294" s="9" t="s">
        <v>1716</v>
      </c>
      <c r="F294" s="6" t="str">
        <f>_xlfn.XLOOKUP(D294,[5]Sheet1!$B:$B,[5]Sheet1!$E:$E,"-")</f>
        <v>M PAREZA NOVIK</v>
      </c>
      <c r="G294" s="222"/>
    </row>
    <row r="295" spans="2:7">
      <c r="B295" s="7" t="s">
        <v>255</v>
      </c>
      <c r="C295" s="6" t="s">
        <v>256</v>
      </c>
      <c r="D295" s="8" t="s">
        <v>321</v>
      </c>
      <c r="E295" s="9" t="s">
        <v>1739</v>
      </c>
      <c r="F295" s="6" t="str">
        <f>_xlfn.XLOOKUP(D295,[5]Sheet1!$B:$B,[5]Sheet1!$E:$E,"-")</f>
        <v>M PAREZA NOVIK</v>
      </c>
      <c r="G295" s="222"/>
    </row>
    <row r="296" spans="2:7">
      <c r="B296" s="7" t="s">
        <v>255</v>
      </c>
      <c r="C296" s="6" t="s">
        <v>256</v>
      </c>
      <c r="D296" s="8" t="s">
        <v>322</v>
      </c>
      <c r="E296" s="9" t="s">
        <v>1739</v>
      </c>
      <c r="F296" s="6" t="str">
        <f>_xlfn.XLOOKUP(D296,[5]Sheet1!$B:$B,[5]Sheet1!$E:$E,"-")</f>
        <v>M PAREZA NOVIK</v>
      </c>
      <c r="G296" s="222"/>
    </row>
    <row r="297" spans="2:7">
      <c r="B297" s="7" t="s">
        <v>255</v>
      </c>
      <c r="C297" s="6" t="s">
        <v>256</v>
      </c>
      <c r="D297" s="8" t="s">
        <v>323</v>
      </c>
      <c r="E297" s="9" t="s">
        <v>1739</v>
      </c>
      <c r="F297" s="6" t="str">
        <f>_xlfn.XLOOKUP(D297,[5]Sheet1!$B:$B,[5]Sheet1!$E:$E,"-")</f>
        <v>M PAREZA NOVIK</v>
      </c>
      <c r="G297" s="222"/>
    </row>
    <row r="298" spans="2:7">
      <c r="B298" s="7" t="s">
        <v>255</v>
      </c>
      <c r="C298" s="6" t="s">
        <v>256</v>
      </c>
      <c r="D298" s="8" t="s">
        <v>324</v>
      </c>
      <c r="E298" s="9" t="s">
        <v>1739</v>
      </c>
      <c r="F298" s="6" t="str">
        <f>_xlfn.XLOOKUP(D298,[5]Sheet1!$B:$B,[5]Sheet1!$E:$E,"-")</f>
        <v>M PAREZA NOVIK</v>
      </c>
      <c r="G298" s="222"/>
    </row>
    <row r="299" spans="2:7">
      <c r="B299" s="7" t="s">
        <v>255</v>
      </c>
      <c r="C299" s="6" t="s">
        <v>256</v>
      </c>
      <c r="D299" s="8" t="s">
        <v>325</v>
      </c>
      <c r="E299" s="9" t="s">
        <v>1739</v>
      </c>
      <c r="F299" s="6" t="str">
        <f>_xlfn.XLOOKUP(D299,[5]Sheet1!$B:$B,[5]Sheet1!$E:$E,"-")</f>
        <v>M PAREZA NOVIK</v>
      </c>
      <c r="G299" s="222"/>
    </row>
    <row r="300" spans="2:7">
      <c r="B300" s="7" t="s">
        <v>255</v>
      </c>
      <c r="C300" s="6" t="s">
        <v>256</v>
      </c>
      <c r="D300" s="8" t="s">
        <v>326</v>
      </c>
      <c r="E300" s="9" t="s">
        <v>1716</v>
      </c>
      <c r="F300" s="6" t="str">
        <f>_xlfn.XLOOKUP(D300,[5]Sheet1!$B:$B,[5]Sheet1!$E:$E,"-")</f>
        <v>M PAREZA NOVIK</v>
      </c>
      <c r="G300" s="222"/>
    </row>
    <row r="301" spans="2:7">
      <c r="B301" s="7" t="s">
        <v>255</v>
      </c>
      <c r="C301" s="6" t="s">
        <v>256</v>
      </c>
      <c r="D301" s="8" t="s">
        <v>327</v>
      </c>
      <c r="E301" s="9" t="s">
        <v>1716</v>
      </c>
      <c r="F301" s="6" t="str">
        <f>_xlfn.XLOOKUP(D301,[5]Sheet1!$B:$B,[5]Sheet1!$E:$E,"-")</f>
        <v>M PAREZA NOVIK</v>
      </c>
      <c r="G301" s="222"/>
    </row>
    <row r="302" spans="2:7">
      <c r="B302" s="7" t="s">
        <v>255</v>
      </c>
      <c r="C302" s="6" t="s">
        <v>256</v>
      </c>
      <c r="D302" s="8" t="s">
        <v>328</v>
      </c>
      <c r="E302" s="9" t="s">
        <v>1739</v>
      </c>
      <c r="F302" s="6" t="str">
        <f>_xlfn.XLOOKUP(D302,[5]Sheet1!$B:$B,[5]Sheet1!$E:$E,"-")</f>
        <v>M PAREZA NOVIK</v>
      </c>
      <c r="G302" s="222"/>
    </row>
    <row r="303" spans="2:7">
      <c r="B303" s="7" t="s">
        <v>255</v>
      </c>
      <c r="C303" s="6" t="s">
        <v>256</v>
      </c>
      <c r="D303" s="8" t="s">
        <v>329</v>
      </c>
      <c r="E303" s="9" t="s">
        <v>1716</v>
      </c>
      <c r="F303" s="6" t="str">
        <f>_xlfn.XLOOKUP(D303,[5]Sheet1!$B:$B,[5]Sheet1!$E:$E,"-")</f>
        <v>M PAREZA NOVIK</v>
      </c>
      <c r="G303" s="222"/>
    </row>
    <row r="304" spans="2:7">
      <c r="B304" s="7" t="s">
        <v>255</v>
      </c>
      <c r="C304" s="6" t="s">
        <v>256</v>
      </c>
      <c r="D304" s="8" t="s">
        <v>330</v>
      </c>
      <c r="E304" s="9" t="s">
        <v>1716</v>
      </c>
      <c r="F304" s="6" t="str">
        <f>_xlfn.XLOOKUP(D304,[5]Sheet1!$B:$B,[5]Sheet1!$E:$E,"-")</f>
        <v>WIN KARYADI H P</v>
      </c>
      <c r="G304" s="222"/>
    </row>
    <row r="305" spans="2:7">
      <c r="B305" s="7" t="s">
        <v>255</v>
      </c>
      <c r="C305" s="6" t="s">
        <v>256</v>
      </c>
      <c r="D305" s="8" t="s">
        <v>331</v>
      </c>
      <c r="E305" s="9" t="s">
        <v>1716</v>
      </c>
      <c r="F305" s="6" t="str">
        <f>_xlfn.XLOOKUP(D305,[5]Sheet1!$B:$B,[5]Sheet1!$E:$E,"-")</f>
        <v>WIN KARYADI H P</v>
      </c>
      <c r="G305" s="222"/>
    </row>
    <row r="306" spans="2:7">
      <c r="B306" s="7" t="s">
        <v>255</v>
      </c>
      <c r="C306" s="6" t="s">
        <v>256</v>
      </c>
      <c r="D306" s="8" t="s">
        <v>332</v>
      </c>
      <c r="E306" s="9" t="s">
        <v>1716</v>
      </c>
      <c r="F306" s="6" t="str">
        <f>_xlfn.XLOOKUP(D306,[5]Sheet1!$B:$B,[5]Sheet1!$E:$E,"-")</f>
        <v>WIN KARYADI H P</v>
      </c>
      <c r="G306" s="222"/>
    </row>
    <row r="307" spans="2:7">
      <c r="B307" s="7" t="s">
        <v>255</v>
      </c>
      <c r="C307" s="6" t="s">
        <v>256</v>
      </c>
      <c r="D307" s="8" t="s">
        <v>333</v>
      </c>
      <c r="E307" s="9" t="s">
        <v>1716</v>
      </c>
      <c r="F307" s="6" t="str">
        <f>_xlfn.XLOOKUP(D307,[5]Sheet1!$B:$B,[5]Sheet1!$E:$E,"-")</f>
        <v>WIN KARYADI H P</v>
      </c>
      <c r="G307" s="222"/>
    </row>
    <row r="308" spans="2:7">
      <c r="B308" s="7" t="s">
        <v>255</v>
      </c>
      <c r="C308" s="6" t="s">
        <v>256</v>
      </c>
      <c r="D308" s="8" t="s">
        <v>334</v>
      </c>
      <c r="E308" s="9" t="s">
        <v>1716</v>
      </c>
      <c r="F308" s="6" t="str">
        <f>_xlfn.XLOOKUP(D308,[5]Sheet1!$B:$B,[5]Sheet1!$E:$E,"-")</f>
        <v>WIN KARYADI H P</v>
      </c>
      <c r="G308" s="222"/>
    </row>
    <row r="309" spans="2:7">
      <c r="B309" s="7" t="s">
        <v>255</v>
      </c>
      <c r="C309" s="6" t="s">
        <v>256</v>
      </c>
      <c r="D309" s="8" t="s">
        <v>335</v>
      </c>
      <c r="E309" s="9" t="s">
        <v>1739</v>
      </c>
      <c r="F309" s="6" t="str">
        <f>_xlfn.XLOOKUP(D309,[5]Sheet1!$B:$B,[5]Sheet1!$E:$E,"-")</f>
        <v>WIN KARYADI H P</v>
      </c>
      <c r="G309" s="222"/>
    </row>
    <row r="310" spans="2:7">
      <c r="B310" s="7" t="s">
        <v>255</v>
      </c>
      <c r="C310" s="6" t="s">
        <v>256</v>
      </c>
      <c r="D310" s="8" t="s">
        <v>336</v>
      </c>
      <c r="E310" s="9" t="s">
        <v>1739</v>
      </c>
      <c r="F310" s="6" t="str">
        <f>_xlfn.XLOOKUP(D310,[5]Sheet1!$B:$B,[5]Sheet1!$E:$E,"-")</f>
        <v>WIN KARYADI H P</v>
      </c>
      <c r="G310" s="222"/>
    </row>
    <row r="311" spans="2:7">
      <c r="B311" s="7" t="s">
        <v>255</v>
      </c>
      <c r="C311" s="6" t="s">
        <v>256</v>
      </c>
      <c r="D311" s="8" t="s">
        <v>337</v>
      </c>
      <c r="E311" s="9" t="s">
        <v>1739</v>
      </c>
      <c r="F311" s="6" t="str">
        <f>_xlfn.XLOOKUP(D311,[5]Sheet1!$B:$B,[5]Sheet1!$E:$E,"-")</f>
        <v>WIN KARYADI H P</v>
      </c>
      <c r="G311" s="222"/>
    </row>
    <row r="312" spans="2:7">
      <c r="B312" s="7" t="s">
        <v>255</v>
      </c>
      <c r="C312" s="6" t="s">
        <v>256</v>
      </c>
      <c r="D312" s="8" t="s">
        <v>338</v>
      </c>
      <c r="E312" s="9" t="s">
        <v>1739</v>
      </c>
      <c r="F312" s="6" t="str">
        <f>_xlfn.XLOOKUP(D312,[5]Sheet1!$B:$B,[5]Sheet1!$E:$E,"-")</f>
        <v>WIN KARYADI H P</v>
      </c>
      <c r="G312" s="222"/>
    </row>
    <row r="313" spans="2:7">
      <c r="B313" s="7" t="s">
        <v>255</v>
      </c>
      <c r="C313" s="6" t="s">
        <v>256</v>
      </c>
      <c r="D313" s="8" t="s">
        <v>339</v>
      </c>
      <c r="E313" s="9" t="s">
        <v>1739</v>
      </c>
      <c r="F313" s="6" t="str">
        <f>_xlfn.XLOOKUP(D313,[5]Sheet1!$B:$B,[5]Sheet1!$E:$E,"-")</f>
        <v>WIN KARYADI H P</v>
      </c>
      <c r="G313" s="222"/>
    </row>
    <row r="314" spans="2:7">
      <c r="B314" s="7" t="s">
        <v>255</v>
      </c>
      <c r="C314" s="6" t="s">
        <v>256</v>
      </c>
      <c r="D314" s="8" t="s">
        <v>340</v>
      </c>
      <c r="E314" s="9" t="s">
        <v>1716</v>
      </c>
      <c r="F314" s="6" t="str">
        <f>_xlfn.XLOOKUP(D314,[5]Sheet1!$B:$B,[5]Sheet1!$E:$E,"-")</f>
        <v>WIN KARYADI H P</v>
      </c>
      <c r="G314" s="222"/>
    </row>
    <row r="315" spans="2:7">
      <c r="B315" s="7" t="s">
        <v>255</v>
      </c>
      <c r="C315" s="6" t="s">
        <v>256</v>
      </c>
      <c r="D315" s="8" t="s">
        <v>341</v>
      </c>
      <c r="E315" s="9" t="s">
        <v>1739</v>
      </c>
      <c r="F315" s="6" t="str">
        <f>_xlfn.XLOOKUP(D315,[5]Sheet1!$B:$B,[5]Sheet1!$E:$E,"-")</f>
        <v>WIN KARYADI H P</v>
      </c>
      <c r="G315" s="222"/>
    </row>
    <row r="316" spans="2:7">
      <c r="B316" s="7" t="s">
        <v>255</v>
      </c>
      <c r="C316" s="6" t="s">
        <v>256</v>
      </c>
      <c r="D316" s="8" t="s">
        <v>342</v>
      </c>
      <c r="E316" s="9" t="s">
        <v>1739</v>
      </c>
      <c r="F316" s="6" t="str">
        <f>_xlfn.XLOOKUP(D316,[5]Sheet1!$B:$B,[5]Sheet1!$E:$E,"-")</f>
        <v>WIN KARYADI H P</v>
      </c>
      <c r="G316" s="222"/>
    </row>
    <row r="317" spans="2:7">
      <c r="B317" s="7" t="s">
        <v>255</v>
      </c>
      <c r="C317" s="6" t="s">
        <v>256</v>
      </c>
      <c r="D317" s="8" t="s">
        <v>343</v>
      </c>
      <c r="E317" s="9" t="s">
        <v>1739</v>
      </c>
      <c r="F317" s="6" t="str">
        <f>_xlfn.XLOOKUP(D317,[5]Sheet1!$B:$B,[5]Sheet1!$E:$E,"-")</f>
        <v>WIN KARYADI H P</v>
      </c>
      <c r="G317" s="222"/>
    </row>
    <row r="318" spans="2:7">
      <c r="B318" s="7" t="s">
        <v>255</v>
      </c>
      <c r="C318" s="6" t="s">
        <v>256</v>
      </c>
      <c r="D318" s="8" t="s">
        <v>344</v>
      </c>
      <c r="E318" s="9" t="s">
        <v>1739</v>
      </c>
      <c r="F318" s="6" t="str">
        <f>_xlfn.XLOOKUP(D318,[5]Sheet1!$B:$B,[5]Sheet1!$E:$E,"-")</f>
        <v>WIN KARYADI H P</v>
      </c>
      <c r="G318" s="222"/>
    </row>
    <row r="319" spans="2:7">
      <c r="B319" s="7" t="s">
        <v>345</v>
      </c>
      <c r="C319" s="6" t="s">
        <v>346</v>
      </c>
      <c r="D319" s="8" t="s">
        <v>347</v>
      </c>
      <c r="E319" s="9" t="s">
        <v>1716</v>
      </c>
      <c r="F319" s="6" t="s">
        <v>1740</v>
      </c>
      <c r="G319" s="222"/>
    </row>
    <row r="320" spans="2:7">
      <c r="B320" s="7" t="s">
        <v>345</v>
      </c>
      <c r="C320" s="6" t="s">
        <v>346</v>
      </c>
      <c r="D320" s="8" t="s">
        <v>348</v>
      </c>
      <c r="E320" s="9" t="s">
        <v>1716</v>
      </c>
      <c r="F320" s="6"/>
      <c r="G320" s="222"/>
    </row>
    <row r="321" spans="2:7">
      <c r="B321" s="7" t="s">
        <v>345</v>
      </c>
      <c r="C321" s="6" t="s">
        <v>346</v>
      </c>
      <c r="D321" s="8" t="s">
        <v>349</v>
      </c>
      <c r="E321" s="9" t="s">
        <v>1716</v>
      </c>
      <c r="F321" s="6" t="s">
        <v>1741</v>
      </c>
      <c r="G321" s="222"/>
    </row>
    <row r="322" spans="2:7">
      <c r="B322" s="7" t="s">
        <v>345</v>
      </c>
      <c r="C322" s="6" t="s">
        <v>346</v>
      </c>
      <c r="D322" s="8" t="s">
        <v>350</v>
      </c>
      <c r="E322" s="9" t="s">
        <v>1716</v>
      </c>
      <c r="F322" s="6"/>
      <c r="G322" s="222"/>
    </row>
    <row r="323" spans="2:7">
      <c r="B323" s="7" t="s">
        <v>345</v>
      </c>
      <c r="C323" s="6" t="s">
        <v>346</v>
      </c>
      <c r="D323" s="8" t="s">
        <v>351</v>
      </c>
      <c r="E323" s="9" t="s">
        <v>1716</v>
      </c>
      <c r="F323" s="6" t="s">
        <v>1742</v>
      </c>
      <c r="G323" s="222"/>
    </row>
    <row r="324" spans="2:7">
      <c r="B324" s="7" t="s">
        <v>345</v>
      </c>
      <c r="C324" s="6" t="s">
        <v>346</v>
      </c>
      <c r="D324" s="8" t="s">
        <v>352</v>
      </c>
      <c r="E324" s="9" t="s">
        <v>1716</v>
      </c>
      <c r="F324" s="6" t="s">
        <v>1743</v>
      </c>
      <c r="G324" s="222"/>
    </row>
    <row r="325" spans="2:7">
      <c r="B325" s="7" t="s">
        <v>345</v>
      </c>
      <c r="C325" s="6" t="s">
        <v>346</v>
      </c>
      <c r="D325" s="8" t="s">
        <v>353</v>
      </c>
      <c r="E325" s="9" t="s">
        <v>1716</v>
      </c>
      <c r="F325" s="6" t="s">
        <v>1743</v>
      </c>
      <c r="G325" s="222"/>
    </row>
    <row r="326" spans="2:7">
      <c r="B326" s="7" t="s">
        <v>345</v>
      </c>
      <c r="C326" s="6" t="s">
        <v>346</v>
      </c>
      <c r="D326" s="8" t="s">
        <v>354</v>
      </c>
      <c r="E326" s="9" t="s">
        <v>1716</v>
      </c>
      <c r="F326" s="6" t="s">
        <v>1744</v>
      </c>
      <c r="G326" s="222"/>
    </row>
    <row r="327" spans="2:7">
      <c r="B327" s="7" t="s">
        <v>345</v>
      </c>
      <c r="C327" s="6" t="s">
        <v>346</v>
      </c>
      <c r="D327" s="8" t="s">
        <v>355</v>
      </c>
      <c r="E327" s="9" t="s">
        <v>1716</v>
      </c>
      <c r="F327" s="6" t="s">
        <v>1745</v>
      </c>
      <c r="G327" s="222"/>
    </row>
    <row r="328" spans="2:7">
      <c r="B328" s="7" t="s">
        <v>345</v>
      </c>
      <c r="C328" s="6" t="s">
        <v>346</v>
      </c>
      <c r="D328" s="8" t="s">
        <v>356</v>
      </c>
      <c r="E328" s="9" t="s">
        <v>1716</v>
      </c>
      <c r="F328" s="6" t="s">
        <v>1746</v>
      </c>
      <c r="G328" s="222"/>
    </row>
    <row r="329" spans="2:7">
      <c r="B329" s="7" t="s">
        <v>345</v>
      </c>
      <c r="C329" s="6" t="s">
        <v>346</v>
      </c>
      <c r="D329" s="8" t="s">
        <v>357</v>
      </c>
      <c r="E329" s="9" t="s">
        <v>1716</v>
      </c>
      <c r="F329" s="6" t="s">
        <v>1747</v>
      </c>
      <c r="G329" s="222"/>
    </row>
    <row r="330" spans="2:7">
      <c r="B330" s="7" t="s">
        <v>345</v>
      </c>
      <c r="C330" s="6" t="s">
        <v>346</v>
      </c>
      <c r="D330" s="8" t="s">
        <v>358</v>
      </c>
      <c r="E330" s="9" t="s">
        <v>1716</v>
      </c>
      <c r="F330" s="6" t="s">
        <v>1748</v>
      </c>
      <c r="G330" s="222"/>
    </row>
    <row r="331" spans="2:7">
      <c r="B331" s="7" t="s">
        <v>345</v>
      </c>
      <c r="C331" s="6" t="s">
        <v>346</v>
      </c>
      <c r="D331" s="8" t="s">
        <v>359</v>
      </c>
      <c r="E331" s="9" t="s">
        <v>1716</v>
      </c>
      <c r="F331" s="6" t="s">
        <v>1748</v>
      </c>
      <c r="G331" s="222"/>
    </row>
    <row r="332" spans="2:7">
      <c r="B332" s="7" t="s">
        <v>345</v>
      </c>
      <c r="C332" s="6" t="s">
        <v>346</v>
      </c>
      <c r="D332" s="8" t="s">
        <v>360</v>
      </c>
      <c r="E332" s="9" t="s">
        <v>1716</v>
      </c>
      <c r="F332" s="6" t="s">
        <v>1749</v>
      </c>
      <c r="G332" s="222"/>
    </row>
    <row r="333" spans="2:7">
      <c r="B333" s="7" t="s">
        <v>345</v>
      </c>
      <c r="C333" s="6" t="s">
        <v>346</v>
      </c>
      <c r="D333" s="8" t="s">
        <v>361</v>
      </c>
      <c r="E333" s="9" t="s">
        <v>1716</v>
      </c>
      <c r="F333" s="6" t="s">
        <v>1749</v>
      </c>
      <c r="G333" s="222"/>
    </row>
    <row r="334" spans="2:7">
      <c r="B334" s="7" t="s">
        <v>345</v>
      </c>
      <c r="C334" s="6" t="s">
        <v>346</v>
      </c>
      <c r="D334" s="8" t="s">
        <v>362</v>
      </c>
      <c r="E334" s="9" t="s">
        <v>1716</v>
      </c>
      <c r="F334" s="6" t="s">
        <v>1750</v>
      </c>
      <c r="G334" s="222"/>
    </row>
    <row r="335" spans="2:7">
      <c r="B335" s="7" t="s">
        <v>345</v>
      </c>
      <c r="C335" s="6" t="s">
        <v>346</v>
      </c>
      <c r="D335" s="8" t="s">
        <v>363</v>
      </c>
      <c r="E335" s="9" t="s">
        <v>1716</v>
      </c>
      <c r="F335" s="6" t="s">
        <v>1750</v>
      </c>
      <c r="G335" s="222"/>
    </row>
    <row r="336" spans="2:7">
      <c r="B336" s="7" t="s">
        <v>345</v>
      </c>
      <c r="C336" s="6" t="s">
        <v>346</v>
      </c>
      <c r="D336" s="8" t="s">
        <v>364</v>
      </c>
      <c r="E336" s="9" t="s">
        <v>1716</v>
      </c>
      <c r="F336" s="6" t="s">
        <v>1751</v>
      </c>
      <c r="G336" s="222"/>
    </row>
    <row r="337" spans="2:7">
      <c r="B337" s="7" t="s">
        <v>345</v>
      </c>
      <c r="C337" s="6" t="s">
        <v>346</v>
      </c>
      <c r="D337" s="8" t="s">
        <v>365</v>
      </c>
      <c r="E337" s="9" t="s">
        <v>1739</v>
      </c>
      <c r="F337" s="6" t="s">
        <v>1752</v>
      </c>
      <c r="G337" s="222"/>
    </row>
    <row r="338" spans="2:7">
      <c r="B338" s="7" t="s">
        <v>345</v>
      </c>
      <c r="C338" s="6" t="s">
        <v>346</v>
      </c>
      <c r="D338" s="8" t="s">
        <v>366</v>
      </c>
      <c r="E338" s="9" t="s">
        <v>1739</v>
      </c>
      <c r="F338" s="6" t="s">
        <v>1753</v>
      </c>
      <c r="G338" s="222"/>
    </row>
    <row r="339" spans="2:7">
      <c r="B339" s="7" t="s">
        <v>345</v>
      </c>
      <c r="C339" s="6" t="s">
        <v>346</v>
      </c>
      <c r="D339" s="8" t="s">
        <v>367</v>
      </c>
      <c r="E339" s="9" t="s">
        <v>1739</v>
      </c>
      <c r="F339" s="6" t="s">
        <v>1754</v>
      </c>
      <c r="G339" s="222"/>
    </row>
    <row r="340" spans="2:7">
      <c r="B340" s="7" t="s">
        <v>345</v>
      </c>
      <c r="C340" s="6" t="s">
        <v>346</v>
      </c>
      <c r="D340" s="8" t="s">
        <v>368</v>
      </c>
      <c r="E340" s="9" t="s">
        <v>1739</v>
      </c>
      <c r="F340" s="6" t="s">
        <v>1755</v>
      </c>
      <c r="G340" s="222"/>
    </row>
    <row r="341" spans="2:7">
      <c r="B341" s="7" t="s">
        <v>345</v>
      </c>
      <c r="C341" s="6" t="s">
        <v>346</v>
      </c>
      <c r="D341" s="8" t="s">
        <v>369</v>
      </c>
      <c r="E341" s="9" t="s">
        <v>1716</v>
      </c>
      <c r="F341" s="6" t="s">
        <v>1756</v>
      </c>
      <c r="G341" s="222"/>
    </row>
    <row r="342" spans="2:7">
      <c r="B342" s="10" t="s">
        <v>370</v>
      </c>
      <c r="C342" s="11" t="s">
        <v>371</v>
      </c>
      <c r="D342" s="12" t="s">
        <v>372</v>
      </c>
      <c r="E342" s="13" t="s">
        <v>1716</v>
      </c>
      <c r="F342" s="6" t="str">
        <f>_xlfn.XLOOKUP(D342,[6]Sheet1!$C:$C,[6]Sheet1!$F:$F,"-")</f>
        <v>Adang Suhara</v>
      </c>
      <c r="G342" s="222"/>
    </row>
    <row r="343" spans="2:7">
      <c r="B343" s="10" t="s">
        <v>370</v>
      </c>
      <c r="C343" s="11" t="s">
        <v>371</v>
      </c>
      <c r="D343" s="12" t="s">
        <v>373</v>
      </c>
      <c r="E343" s="13" t="s">
        <v>1716</v>
      </c>
      <c r="F343" s="6" t="str">
        <f>_xlfn.XLOOKUP(D343,[6]Sheet1!$C:$C,[6]Sheet1!$F:$F,"-")</f>
        <v>Aries Yudie Ahmadi, S.Kesos</v>
      </c>
      <c r="G343" s="222"/>
    </row>
    <row r="344" spans="2:7">
      <c r="B344" s="10" t="s">
        <v>370</v>
      </c>
      <c r="C344" s="11" t="s">
        <v>371</v>
      </c>
      <c r="D344" s="12" t="s">
        <v>374</v>
      </c>
      <c r="E344" s="13" t="s">
        <v>1716</v>
      </c>
      <c r="F344" s="6" t="str">
        <f>_xlfn.XLOOKUP(D344,[6]Sheet1!$C:$C,[6]Sheet1!$F:$F,"-")</f>
        <v>Budi Mulyana</v>
      </c>
      <c r="G344" s="222"/>
    </row>
    <row r="345" spans="2:7">
      <c r="B345" s="10" t="s">
        <v>370</v>
      </c>
      <c r="C345" s="11" t="s">
        <v>371</v>
      </c>
      <c r="D345" s="12" t="s">
        <v>375</v>
      </c>
      <c r="E345" s="13" t="s">
        <v>1716</v>
      </c>
      <c r="F345" s="6" t="str">
        <f>_xlfn.XLOOKUP(D345,[6]Sheet1!$C:$C,[6]Sheet1!$F:$F,"-")</f>
        <v>Deni Fathurrohman</v>
      </c>
      <c r="G345" s="222"/>
    </row>
    <row r="346" spans="2:7">
      <c r="B346" s="10" t="s">
        <v>370</v>
      </c>
      <c r="C346" s="11" t="s">
        <v>371</v>
      </c>
      <c r="D346" s="12" t="s">
        <v>376</v>
      </c>
      <c r="E346" s="13" t="s">
        <v>1716</v>
      </c>
      <c r="F346" s="6" t="str">
        <f>_xlfn.XLOOKUP(D346,[6]Sheet1!$C:$C,[6]Sheet1!$F:$F,"-")</f>
        <v>Didi Supriadi</v>
      </c>
      <c r="G346" s="222"/>
    </row>
    <row r="347" spans="2:7">
      <c r="B347" s="10" t="s">
        <v>370</v>
      </c>
      <c r="C347" s="11" t="s">
        <v>371</v>
      </c>
      <c r="D347" s="12" t="s">
        <v>377</v>
      </c>
      <c r="E347" s="13" t="s">
        <v>1716</v>
      </c>
      <c r="F347" s="6" t="str">
        <f>_xlfn.XLOOKUP(D347,[6]Sheet1!$C:$C,[6]Sheet1!$F:$F,"-")</f>
        <v>Dudin Joharudin</v>
      </c>
      <c r="G347" s="222"/>
    </row>
    <row r="348" spans="2:7">
      <c r="B348" s="10" t="s">
        <v>370</v>
      </c>
      <c r="C348" s="11" t="s">
        <v>371</v>
      </c>
      <c r="D348" s="12" t="s">
        <v>378</v>
      </c>
      <c r="E348" s="13" t="s">
        <v>1716</v>
      </c>
      <c r="F348" s="6" t="str">
        <f>_xlfn.XLOOKUP(D348,[6]Sheet1!$C:$C,[6]Sheet1!$F:$F,"-")</f>
        <v>Hikmat Maulana</v>
      </c>
      <c r="G348" s="222"/>
    </row>
    <row r="349" spans="2:7">
      <c r="B349" s="10" t="s">
        <v>370</v>
      </c>
      <c r="C349" s="11" t="s">
        <v>371</v>
      </c>
      <c r="D349" s="12" t="s">
        <v>379</v>
      </c>
      <c r="E349" s="13" t="s">
        <v>1716</v>
      </c>
      <c r="F349" s="6" t="str">
        <f>_xlfn.XLOOKUP(D349,[6]Sheet1!$C:$C,[6]Sheet1!$F:$F,"-")</f>
        <v>Iqbal Permana</v>
      </c>
      <c r="G349" s="222"/>
    </row>
    <row r="350" spans="2:7">
      <c r="B350" s="10" t="s">
        <v>370</v>
      </c>
      <c r="C350" s="11" t="s">
        <v>371</v>
      </c>
      <c r="D350" s="12" t="s">
        <v>380</v>
      </c>
      <c r="E350" s="13" t="s">
        <v>1716</v>
      </c>
      <c r="F350" s="6" t="str">
        <f>_xlfn.XLOOKUP(D350,[6]Sheet1!$C:$C,[6]Sheet1!$F:$F,"-")</f>
        <v>Nana suryana</v>
      </c>
      <c r="G350" s="222"/>
    </row>
    <row r="351" spans="2:7">
      <c r="B351" s="10" t="s">
        <v>370</v>
      </c>
      <c r="C351" s="11" t="s">
        <v>371</v>
      </c>
      <c r="D351" s="12" t="s">
        <v>381</v>
      </c>
      <c r="E351" s="13" t="s">
        <v>1716</v>
      </c>
      <c r="F351" s="6" t="str">
        <f>_xlfn.XLOOKUP(D351,[6]Sheet1!$C:$C,[6]Sheet1!$F:$F,"-")</f>
        <v>Paryono</v>
      </c>
      <c r="G351" s="222"/>
    </row>
    <row r="352" spans="2:7">
      <c r="B352" s="10" t="s">
        <v>370</v>
      </c>
      <c r="C352" s="11" t="s">
        <v>371</v>
      </c>
      <c r="D352" s="12" t="s">
        <v>382</v>
      </c>
      <c r="E352" s="13" t="s">
        <v>1716</v>
      </c>
      <c r="F352" s="6" t="str">
        <f>_xlfn.XLOOKUP(D352,[6]Sheet1!$C:$C,[6]Sheet1!$F:$F,"-")</f>
        <v>Vichi Ramadhan</v>
      </c>
      <c r="G352" s="222"/>
    </row>
    <row r="353" spans="2:7">
      <c r="B353" s="10" t="s">
        <v>370</v>
      </c>
      <c r="C353" s="11" t="s">
        <v>371</v>
      </c>
      <c r="D353" s="12" t="s">
        <v>383</v>
      </c>
      <c r="E353" s="13" t="s">
        <v>1716</v>
      </c>
      <c r="F353" s="6" t="str">
        <f>_xlfn.XLOOKUP(D353,[6]Sheet1!$C:$C,[6]Sheet1!$F:$F,"-")</f>
        <v>Yandi Cahyadi, SE</v>
      </c>
      <c r="G353" s="222"/>
    </row>
    <row r="354" spans="2:7">
      <c r="B354" s="10" t="s">
        <v>370</v>
      </c>
      <c r="C354" s="11" t="s">
        <v>371</v>
      </c>
      <c r="D354" s="12" t="s">
        <v>384</v>
      </c>
      <c r="E354" s="13" t="s">
        <v>1716</v>
      </c>
      <c r="F354" s="6" t="str">
        <f>_xlfn.XLOOKUP(D354,[6]Sheet1!$C:$C,[6]Sheet1!$F:$F,"-")</f>
        <v>-</v>
      </c>
      <c r="G354" s="222"/>
    </row>
    <row r="355" spans="2:7">
      <c r="B355" s="10" t="s">
        <v>370</v>
      </c>
      <c r="C355" s="11" t="s">
        <v>371</v>
      </c>
      <c r="D355" s="12" t="s">
        <v>385</v>
      </c>
      <c r="E355" s="13" t="s">
        <v>1739</v>
      </c>
      <c r="F355" s="6" t="str">
        <f>_xlfn.XLOOKUP(D355,[6]Sheet1!$C:$C,[6]Sheet1!$F:$F,"-")</f>
        <v>Bayu Triguna Putra</v>
      </c>
      <c r="G355" s="222"/>
    </row>
    <row r="356" spans="2:7">
      <c r="B356" s="10" t="s">
        <v>370</v>
      </c>
      <c r="C356" s="11" t="s">
        <v>371</v>
      </c>
      <c r="D356" s="12" t="s">
        <v>386</v>
      </c>
      <c r="E356" s="13" t="s">
        <v>1739</v>
      </c>
      <c r="F356" s="6" t="str">
        <f>_xlfn.XLOOKUP(D356,[6]Sheet1!$C:$C,[6]Sheet1!$F:$F,"-")</f>
        <v>Dadan Maulana</v>
      </c>
      <c r="G356" s="222"/>
    </row>
    <row r="357" spans="2:7">
      <c r="B357" s="10" t="s">
        <v>370</v>
      </c>
      <c r="C357" s="11" t="s">
        <v>371</v>
      </c>
      <c r="D357" s="12" t="s">
        <v>387</v>
      </c>
      <c r="E357" s="13" t="s">
        <v>1739</v>
      </c>
      <c r="F357" s="6" t="str">
        <f>_xlfn.XLOOKUP(D357,[6]Sheet1!$C:$C,[6]Sheet1!$F:$F,"-")</f>
        <v>Dandi Pardamean Nababan</v>
      </c>
      <c r="G357" s="222"/>
    </row>
    <row r="358" spans="2:7">
      <c r="B358" s="10" t="s">
        <v>370</v>
      </c>
      <c r="C358" s="11" t="s">
        <v>371</v>
      </c>
      <c r="D358" s="12" t="s">
        <v>388</v>
      </c>
      <c r="E358" s="13" t="s">
        <v>1739</v>
      </c>
      <c r="F358" s="6" t="str">
        <f>_xlfn.XLOOKUP(D358,[6]Sheet1!$C:$C,[6]Sheet1!$F:$F,"-")</f>
        <v>Danis</v>
      </c>
      <c r="G358" s="222"/>
    </row>
    <row r="359" spans="2:7">
      <c r="B359" s="10" t="s">
        <v>370</v>
      </c>
      <c r="C359" s="11" t="s">
        <v>371</v>
      </c>
      <c r="D359" s="12" t="s">
        <v>389</v>
      </c>
      <c r="E359" s="13" t="s">
        <v>1739</v>
      </c>
      <c r="F359" s="6" t="str">
        <f>_xlfn.XLOOKUP(D359,[6]Sheet1!$C:$C,[6]Sheet1!$F:$F,"-")</f>
        <v>Dicki Prayoga Irawan</v>
      </c>
      <c r="G359" s="222"/>
    </row>
    <row r="360" spans="2:7">
      <c r="B360" s="10" t="s">
        <v>370</v>
      </c>
      <c r="C360" s="11" t="s">
        <v>371</v>
      </c>
      <c r="D360" s="12" t="s">
        <v>390</v>
      </c>
      <c r="E360" s="13" t="s">
        <v>1739</v>
      </c>
      <c r="F360" s="6" t="str">
        <f>_xlfn.XLOOKUP(D360,[6]Sheet1!$C:$C,[6]Sheet1!$F:$F,"-")</f>
        <v>Eka Setiawan</v>
      </c>
      <c r="G360" s="222"/>
    </row>
    <row r="361" spans="2:7">
      <c r="B361" s="10" t="s">
        <v>370</v>
      </c>
      <c r="C361" s="11" t="s">
        <v>371</v>
      </c>
      <c r="D361" s="12" t="s">
        <v>391</v>
      </c>
      <c r="E361" s="13" t="s">
        <v>1739</v>
      </c>
      <c r="F361" s="6" t="str">
        <f>_xlfn.XLOOKUP(D361,[6]Sheet1!$C:$C,[6]Sheet1!$F:$F,"-")</f>
        <v>Luki Hardiyana</v>
      </c>
      <c r="G361" s="222"/>
    </row>
    <row r="362" spans="2:7">
      <c r="B362" s="10" t="s">
        <v>370</v>
      </c>
      <c r="C362" s="11" t="s">
        <v>371</v>
      </c>
      <c r="D362" s="12" t="s">
        <v>392</v>
      </c>
      <c r="E362" s="13" t="s">
        <v>1716</v>
      </c>
      <c r="F362" s="6" t="str">
        <f>_xlfn.XLOOKUP(D362,[6]Sheet1!$C:$C,[6]Sheet1!$F:$F,"-")</f>
        <v>Ade Ahmad Sail</v>
      </c>
      <c r="G362" s="222"/>
    </row>
    <row r="363" spans="2:7">
      <c r="B363" s="10" t="s">
        <v>370</v>
      </c>
      <c r="C363" s="11" t="s">
        <v>371</v>
      </c>
      <c r="D363" s="12" t="s">
        <v>393</v>
      </c>
      <c r="E363" s="13" t="s">
        <v>1716</v>
      </c>
      <c r="F363" s="6" t="str">
        <f>_xlfn.XLOOKUP(D363,[6]Sheet1!$C:$C,[6]Sheet1!$F:$F,"-")</f>
        <v>Dicki Setiawan</v>
      </c>
      <c r="G363" s="222"/>
    </row>
    <row r="364" spans="2:7">
      <c r="B364" s="10" t="s">
        <v>370</v>
      </c>
      <c r="C364" s="11" t="s">
        <v>371</v>
      </c>
      <c r="D364" s="12" t="s">
        <v>394</v>
      </c>
      <c r="E364" s="13" t="s">
        <v>1716</v>
      </c>
      <c r="F364" s="6" t="str">
        <f>_xlfn.XLOOKUP(D364,[6]Sheet1!$C:$C,[6]Sheet1!$F:$F,"-")</f>
        <v>Elvan Ihdinansyah Setiawan</v>
      </c>
      <c r="G364" s="222"/>
    </row>
    <row r="365" spans="2:7">
      <c r="B365" s="10" t="s">
        <v>370</v>
      </c>
      <c r="C365" s="11" t="s">
        <v>371</v>
      </c>
      <c r="D365" s="12" t="s">
        <v>395</v>
      </c>
      <c r="E365" s="13" t="s">
        <v>1716</v>
      </c>
      <c r="F365" s="6" t="str">
        <f>_xlfn.XLOOKUP(D365,[6]Sheet1!$C:$C,[6]Sheet1!$F:$F,"-")</f>
        <v>Febri Maulana</v>
      </c>
      <c r="G365" s="222"/>
    </row>
    <row r="366" spans="2:7">
      <c r="B366" s="10" t="s">
        <v>370</v>
      </c>
      <c r="C366" s="11" t="s">
        <v>371</v>
      </c>
      <c r="D366" s="12" t="s">
        <v>396</v>
      </c>
      <c r="E366" s="13" t="s">
        <v>1716</v>
      </c>
      <c r="F366" s="6" t="str">
        <f>_xlfn.XLOOKUP(D366,[6]Sheet1!$C:$C,[6]Sheet1!$F:$F,"-")</f>
        <v>Heri Kuswanto, S.Pd.</v>
      </c>
      <c r="G366" s="222"/>
    </row>
    <row r="367" spans="2:7">
      <c r="B367" s="10" t="s">
        <v>370</v>
      </c>
      <c r="C367" s="11" t="s">
        <v>371</v>
      </c>
      <c r="D367" s="12" t="s">
        <v>397</v>
      </c>
      <c r="E367" s="13" t="s">
        <v>1716</v>
      </c>
      <c r="F367" s="6" t="str">
        <f>_xlfn.XLOOKUP(D367,[6]Sheet1!$C:$C,[6]Sheet1!$F:$F,"-")</f>
        <v>Iqbal Aulia Rachman</v>
      </c>
      <c r="G367" s="222"/>
    </row>
    <row r="368" spans="2:7">
      <c r="B368" s="10" t="s">
        <v>370</v>
      </c>
      <c r="C368" s="11" t="s">
        <v>371</v>
      </c>
      <c r="D368" s="12" t="s">
        <v>398</v>
      </c>
      <c r="E368" s="13" t="s">
        <v>1716</v>
      </c>
      <c r="F368" s="6" t="str">
        <f>_xlfn.XLOOKUP(D368,[6]Sheet1!$C:$C,[6]Sheet1!$F:$F,"-")</f>
        <v>Muhamad Adit Nurcita</v>
      </c>
      <c r="G368" s="222"/>
    </row>
    <row r="369" spans="2:7">
      <c r="B369" s="10" t="s">
        <v>370</v>
      </c>
      <c r="C369" s="11" t="s">
        <v>371</v>
      </c>
      <c r="D369" s="12" t="s">
        <v>399</v>
      </c>
      <c r="E369" s="13" t="s">
        <v>1716</v>
      </c>
      <c r="F369" s="6" t="str">
        <f>_xlfn.XLOOKUP(D369,[6]Sheet1!$C:$C,[6]Sheet1!$F:$F,"-")</f>
        <v>Nur Fajar Abiyanto</v>
      </c>
      <c r="G369" s="222"/>
    </row>
    <row r="370" spans="2:7">
      <c r="B370" s="10" t="s">
        <v>370</v>
      </c>
      <c r="C370" s="11" t="s">
        <v>371</v>
      </c>
      <c r="D370" s="12" t="s">
        <v>400</v>
      </c>
      <c r="E370" s="13" t="s">
        <v>1716</v>
      </c>
      <c r="F370" s="6" t="str">
        <f>_xlfn.XLOOKUP(D370,[6]Sheet1!$C:$C,[6]Sheet1!$F:$F,"-")</f>
        <v>Romi Ajromi</v>
      </c>
      <c r="G370" s="222"/>
    </row>
    <row r="371" spans="2:7">
      <c r="B371" s="10" t="s">
        <v>370</v>
      </c>
      <c r="C371" s="11" t="s">
        <v>371</v>
      </c>
      <c r="D371" s="12" t="s">
        <v>401</v>
      </c>
      <c r="E371" s="13" t="s">
        <v>1716</v>
      </c>
      <c r="F371" s="6" t="str">
        <f>_xlfn.XLOOKUP(D371,[6]Sheet1!$C:$C,[6]Sheet1!$F:$F,"-")</f>
        <v>Sigit Prastio</v>
      </c>
      <c r="G371" s="222"/>
    </row>
    <row r="372" spans="2:7">
      <c r="B372" s="10" t="s">
        <v>370</v>
      </c>
      <c r="C372" s="11" t="s">
        <v>371</v>
      </c>
      <c r="D372" s="12" t="s">
        <v>402</v>
      </c>
      <c r="E372" s="13" t="s">
        <v>1716</v>
      </c>
      <c r="F372" s="6" t="str">
        <f>_xlfn.XLOOKUP(D372,[6]Sheet1!$C:$C,[6]Sheet1!$F:$F,"-")</f>
        <v>Yogi Faturahman</v>
      </c>
      <c r="G372" s="222"/>
    </row>
    <row r="373" spans="2:7">
      <c r="B373" s="10" t="s">
        <v>370</v>
      </c>
      <c r="C373" s="11" t="s">
        <v>371</v>
      </c>
      <c r="D373" s="12" t="s">
        <v>403</v>
      </c>
      <c r="E373" s="13" t="s">
        <v>1716</v>
      </c>
      <c r="F373" s="6" t="str">
        <f>_xlfn.XLOOKUP(D373,[6]Sheet1!$C:$C,[6]Sheet1!$F:$F,"-")</f>
        <v>Zaini Miftah</v>
      </c>
      <c r="G373" s="222"/>
    </row>
    <row r="374" spans="2:7">
      <c r="B374" s="10" t="s">
        <v>370</v>
      </c>
      <c r="C374" s="11" t="s">
        <v>371</v>
      </c>
      <c r="D374" s="12" t="s">
        <v>404</v>
      </c>
      <c r="E374" s="13" t="s">
        <v>1716</v>
      </c>
      <c r="F374" s="6" t="str">
        <f>_xlfn.XLOOKUP(D374,[6]Sheet1!$C:$C,[6]Sheet1!$F:$F,"-")</f>
        <v>Dian Wunandar</v>
      </c>
      <c r="G374" s="222"/>
    </row>
    <row r="375" spans="2:7">
      <c r="B375" s="10" t="s">
        <v>370</v>
      </c>
      <c r="C375" s="11" t="s">
        <v>371</v>
      </c>
      <c r="D375" s="12" t="s">
        <v>405</v>
      </c>
      <c r="E375" s="13" t="s">
        <v>1739</v>
      </c>
      <c r="F375" s="6" t="str">
        <f>_xlfn.XLOOKUP(D375,[6]Sheet1!$C:$C,[6]Sheet1!$F:$F,"-")</f>
        <v>Adam Supriatna</v>
      </c>
      <c r="G375" s="222"/>
    </row>
    <row r="376" spans="2:7">
      <c r="B376" s="10" t="s">
        <v>370</v>
      </c>
      <c r="C376" s="11" t="s">
        <v>371</v>
      </c>
      <c r="D376" s="12" t="s">
        <v>406</v>
      </c>
      <c r="E376" s="13" t="s">
        <v>1739</v>
      </c>
      <c r="F376" s="6" t="str">
        <f>_xlfn.XLOOKUP(D376,[6]Sheet1!$C:$C,[6]Sheet1!$F:$F,"-")</f>
        <v>Adi Firmansyah</v>
      </c>
      <c r="G376" s="222"/>
    </row>
    <row r="377" spans="2:7">
      <c r="B377" s="10" t="s">
        <v>370</v>
      </c>
      <c r="C377" s="11" t="s">
        <v>371</v>
      </c>
      <c r="D377" s="12" t="s">
        <v>407</v>
      </c>
      <c r="E377" s="13" t="s">
        <v>1739</v>
      </c>
      <c r="F377" s="6" t="str">
        <f>_xlfn.XLOOKUP(D377,[6]Sheet1!$C:$C,[6]Sheet1!$F:$F,"-")</f>
        <v>Adi Firmansyah</v>
      </c>
      <c r="G377" s="222"/>
    </row>
    <row r="378" spans="2:7">
      <c r="B378" s="10" t="s">
        <v>370</v>
      </c>
      <c r="C378" s="11" t="s">
        <v>371</v>
      </c>
      <c r="D378" s="12" t="s">
        <v>408</v>
      </c>
      <c r="E378" s="13" t="s">
        <v>1739</v>
      </c>
      <c r="F378" s="6" t="str">
        <f>_xlfn.XLOOKUP(D378,[6]Sheet1!$C:$C,[6]Sheet1!$F:$F,"-")</f>
        <v>Andri Henriyana</v>
      </c>
      <c r="G378" s="222"/>
    </row>
    <row r="379" spans="2:7">
      <c r="B379" s="10" t="s">
        <v>370</v>
      </c>
      <c r="C379" s="11" t="s">
        <v>371</v>
      </c>
      <c r="D379" s="12" t="s">
        <v>409</v>
      </c>
      <c r="E379" s="13" t="s">
        <v>1739</v>
      </c>
      <c r="F379" s="6" t="str">
        <f>_xlfn.XLOOKUP(D379,[6]Sheet1!$C:$C,[6]Sheet1!$F:$F,"-")</f>
        <v>Dedi Martin</v>
      </c>
      <c r="G379" s="222"/>
    </row>
    <row r="380" spans="2:7">
      <c r="B380" s="10" t="s">
        <v>370</v>
      </c>
      <c r="C380" s="11" t="s">
        <v>371</v>
      </c>
      <c r="D380" s="12" t="s">
        <v>410</v>
      </c>
      <c r="E380" s="13" t="s">
        <v>1739</v>
      </c>
      <c r="F380" s="6" t="str">
        <f>_xlfn.XLOOKUP(D380,[6]Sheet1!$C:$C,[6]Sheet1!$F:$F,"-")</f>
        <v>Deni Jaelani</v>
      </c>
      <c r="G380" s="222"/>
    </row>
    <row r="381" spans="2:7">
      <c r="B381" s="10" t="s">
        <v>370</v>
      </c>
      <c r="C381" s="11" t="s">
        <v>371</v>
      </c>
      <c r="D381" s="12" t="s">
        <v>411</v>
      </c>
      <c r="E381" s="13" t="s">
        <v>1739</v>
      </c>
      <c r="F381" s="6" t="str">
        <f>_xlfn.XLOOKUP(D381,[6]Sheet1!$C:$C,[6]Sheet1!$F:$F,"-")</f>
        <v>Edwin Iskandar</v>
      </c>
      <c r="G381" s="222"/>
    </row>
    <row r="382" spans="2:7">
      <c r="B382" s="10" t="s">
        <v>370</v>
      </c>
      <c r="C382" s="11" t="s">
        <v>371</v>
      </c>
      <c r="D382" s="12" t="s">
        <v>412</v>
      </c>
      <c r="E382" s="13" t="s">
        <v>1739</v>
      </c>
      <c r="F382" s="6" t="str">
        <f>_xlfn.XLOOKUP(D382,[6]Sheet1!$C:$C,[6]Sheet1!$F:$F,"-")</f>
        <v>Hasan Bisri</v>
      </c>
      <c r="G382" s="222"/>
    </row>
    <row r="383" spans="2:7">
      <c r="B383" s="10" t="s">
        <v>370</v>
      </c>
      <c r="C383" s="11" t="s">
        <v>371</v>
      </c>
      <c r="D383" s="12" t="s">
        <v>413</v>
      </c>
      <c r="E383" s="13" t="s">
        <v>1739</v>
      </c>
      <c r="F383" s="6" t="str">
        <f>_xlfn.XLOOKUP(D383,[6]Sheet1!$C:$C,[6]Sheet1!$F:$F,"-")</f>
        <v>Ichsan Purnama</v>
      </c>
      <c r="G383" s="222"/>
    </row>
    <row r="384" spans="2:7">
      <c r="B384" s="10" t="s">
        <v>370</v>
      </c>
      <c r="C384" s="11" t="s">
        <v>371</v>
      </c>
      <c r="D384" s="12" t="s">
        <v>414</v>
      </c>
      <c r="E384" s="13" t="s">
        <v>1739</v>
      </c>
      <c r="F384" s="6" t="str">
        <f>_xlfn.XLOOKUP(D384,[6]Sheet1!$C:$C,[6]Sheet1!$F:$F,"-")</f>
        <v>Kemal Nurjaman</v>
      </c>
      <c r="G384" s="222"/>
    </row>
    <row r="385" spans="2:7">
      <c r="B385" s="10" t="s">
        <v>370</v>
      </c>
      <c r="C385" s="11" t="s">
        <v>371</v>
      </c>
      <c r="D385" s="12" t="s">
        <v>415</v>
      </c>
      <c r="E385" s="13" t="s">
        <v>1739</v>
      </c>
      <c r="F385" s="6" t="str">
        <f>_xlfn.XLOOKUP(D385,[6]Sheet1!$C:$C,[6]Sheet1!$F:$F,"-")</f>
        <v>Lyusi Fathan Mubiena</v>
      </c>
      <c r="G385" s="222"/>
    </row>
    <row r="386" spans="2:7">
      <c r="B386" s="10" t="s">
        <v>370</v>
      </c>
      <c r="C386" s="11" t="s">
        <v>371</v>
      </c>
      <c r="D386" s="12" t="s">
        <v>416</v>
      </c>
      <c r="E386" s="13" t="s">
        <v>1739</v>
      </c>
      <c r="F386" s="6" t="str">
        <f>_xlfn.XLOOKUP(D386,[6]Sheet1!$C:$C,[6]Sheet1!$F:$F,"-")</f>
        <v>Maulana Hisbulloh</v>
      </c>
      <c r="G386" s="222"/>
    </row>
    <row r="387" spans="2:7">
      <c r="B387" s="10" t="s">
        <v>370</v>
      </c>
      <c r="C387" s="11" t="s">
        <v>371</v>
      </c>
      <c r="D387" s="12" t="s">
        <v>417</v>
      </c>
      <c r="E387" s="13" t="s">
        <v>1739</v>
      </c>
      <c r="F387" s="6" t="str">
        <f>_xlfn.XLOOKUP(D387,[6]Sheet1!$C:$C,[6]Sheet1!$F:$F,"-")</f>
        <v>Muhamad Ikhsan</v>
      </c>
      <c r="G387" s="222"/>
    </row>
    <row r="388" spans="2:7">
      <c r="B388" s="10" t="s">
        <v>370</v>
      </c>
      <c r="C388" s="11" t="s">
        <v>371</v>
      </c>
      <c r="D388" s="12" t="s">
        <v>418</v>
      </c>
      <c r="E388" s="13" t="s">
        <v>1739</v>
      </c>
      <c r="F388" s="6" t="str">
        <f>_xlfn.XLOOKUP(D388,[6]Sheet1!$C:$C,[6]Sheet1!$F:$F,"-")</f>
        <v>Neri Hidayat</v>
      </c>
      <c r="G388" s="222"/>
    </row>
    <row r="389" spans="2:7">
      <c r="B389" s="10" t="s">
        <v>370</v>
      </c>
      <c r="C389" s="11" t="s">
        <v>371</v>
      </c>
      <c r="D389" s="12" t="s">
        <v>419</v>
      </c>
      <c r="E389" s="13" t="s">
        <v>1739</v>
      </c>
      <c r="F389" s="6" t="str">
        <f>_xlfn.XLOOKUP(D389,[6]Sheet1!$C:$C,[6]Sheet1!$F:$F,"-")</f>
        <v>Regi Firmansyah</v>
      </c>
      <c r="G389" s="222"/>
    </row>
    <row r="390" spans="2:7">
      <c r="B390" s="10" t="s">
        <v>370</v>
      </c>
      <c r="C390" s="11" t="s">
        <v>371</v>
      </c>
      <c r="D390" s="12" t="s">
        <v>420</v>
      </c>
      <c r="E390" s="13" t="s">
        <v>1739</v>
      </c>
      <c r="F390" s="6" t="str">
        <f>_xlfn.XLOOKUP(D390,[6]Sheet1!$C:$C,[6]Sheet1!$F:$F,"-")</f>
        <v>Rifki Shafik Fadillah</v>
      </c>
      <c r="G390" s="222"/>
    </row>
    <row r="391" spans="2:7">
      <c r="B391" s="10" t="s">
        <v>370</v>
      </c>
      <c r="C391" s="11" t="s">
        <v>371</v>
      </c>
      <c r="D391" s="12" t="s">
        <v>421</v>
      </c>
      <c r="E391" s="13" t="s">
        <v>1739</v>
      </c>
      <c r="F391" s="6" t="str">
        <f>_xlfn.XLOOKUP(D391,[6]Sheet1!$C:$C,[6]Sheet1!$F:$F,"-")</f>
        <v>Rifki Shafik Fadillah</v>
      </c>
      <c r="G391" s="222"/>
    </row>
    <row r="392" spans="2:7">
      <c r="B392" s="10" t="s">
        <v>370</v>
      </c>
      <c r="C392" s="11" t="s">
        <v>371</v>
      </c>
      <c r="D392" s="12" t="s">
        <v>422</v>
      </c>
      <c r="E392" s="13" t="s">
        <v>1739</v>
      </c>
      <c r="F392" s="6" t="str">
        <f>_xlfn.XLOOKUP(D392,[6]Sheet1!$C:$C,[6]Sheet1!$F:$F,"-")</f>
        <v>Robi Ta'dim Nurdiansyah</v>
      </c>
      <c r="G392" s="222"/>
    </row>
    <row r="393" spans="2:7">
      <c r="B393" s="10" t="s">
        <v>370</v>
      </c>
      <c r="C393" s="11" t="s">
        <v>371</v>
      </c>
      <c r="D393" s="12" t="s">
        <v>423</v>
      </c>
      <c r="E393" s="13" t="s">
        <v>1739</v>
      </c>
      <c r="F393" s="6" t="str">
        <f>_xlfn.XLOOKUP(D393,[6]Sheet1!$C:$C,[6]Sheet1!$F:$F,"-")</f>
        <v>Rosi Riswanto</v>
      </c>
      <c r="G393" s="222"/>
    </row>
    <row r="394" spans="2:7">
      <c r="B394" s="10" t="s">
        <v>370</v>
      </c>
      <c r="C394" s="11" t="s">
        <v>371</v>
      </c>
      <c r="D394" s="12" t="s">
        <v>424</v>
      </c>
      <c r="E394" s="13" t="s">
        <v>1739</v>
      </c>
      <c r="F394" s="6" t="str">
        <f>_xlfn.XLOOKUP(D394,[6]Sheet1!$C:$C,[6]Sheet1!$F:$F,"-")</f>
        <v>Sayu Mulhasyim</v>
      </c>
      <c r="G394" s="222"/>
    </row>
    <row r="395" spans="2:7">
      <c r="B395" s="10" t="s">
        <v>370</v>
      </c>
      <c r="C395" s="11" t="s">
        <v>371</v>
      </c>
      <c r="D395" s="12" t="s">
        <v>425</v>
      </c>
      <c r="E395" s="13" t="s">
        <v>1739</v>
      </c>
      <c r="F395" s="6" t="str">
        <f>_xlfn.XLOOKUP(D395,[6]Sheet1!$C:$C,[6]Sheet1!$F:$F,"-")</f>
        <v>Syahrul Abu Bakar</v>
      </c>
      <c r="G395" s="222"/>
    </row>
    <row r="396" spans="2:7">
      <c r="B396" s="10" t="s">
        <v>370</v>
      </c>
      <c r="C396" s="11" t="s">
        <v>371</v>
      </c>
      <c r="D396" s="12" t="s">
        <v>426</v>
      </c>
      <c r="E396" s="13" t="s">
        <v>1739</v>
      </c>
      <c r="F396" s="6" t="str">
        <f>_xlfn.XLOOKUP(D396,[6]Sheet1!$C:$C,[6]Sheet1!$F:$F,"-")</f>
        <v>Undang Ramdani</v>
      </c>
      <c r="G396" s="222"/>
    </row>
    <row r="397" spans="2:7">
      <c r="B397" s="10" t="s">
        <v>370</v>
      </c>
      <c r="C397" s="11" t="s">
        <v>371</v>
      </c>
      <c r="D397" s="12" t="s">
        <v>427</v>
      </c>
      <c r="E397" s="13" t="s">
        <v>1739</v>
      </c>
      <c r="F397" s="6" t="str">
        <f>_xlfn.XLOOKUP(D397,[6]Sheet1!$C:$C,[6]Sheet1!$F:$F,"-")</f>
        <v>Undang Ramdani</v>
      </c>
      <c r="G397" s="222"/>
    </row>
    <row r="398" spans="2:7">
      <c r="B398" s="10" t="s">
        <v>370</v>
      </c>
      <c r="C398" s="11" t="s">
        <v>371</v>
      </c>
      <c r="D398" s="12" t="s">
        <v>428</v>
      </c>
      <c r="E398" s="13" t="s">
        <v>1739</v>
      </c>
      <c r="F398" s="6" t="str">
        <f>_xlfn.XLOOKUP(D398,[6]Sheet1!$C:$C,[6]Sheet1!$F:$F,"-")</f>
        <v>Usep kamaludin</v>
      </c>
      <c r="G398" s="222"/>
    </row>
    <row r="399" spans="2:7">
      <c r="B399" s="10" t="s">
        <v>370</v>
      </c>
      <c r="C399" s="11" t="s">
        <v>371</v>
      </c>
      <c r="D399" s="12" t="s">
        <v>429</v>
      </c>
      <c r="E399" s="13" t="s">
        <v>1739</v>
      </c>
      <c r="F399" s="6" t="str">
        <f>_xlfn.XLOOKUP(D399,[6]Sheet1!$C:$C,[6]Sheet1!$F:$F,"-")</f>
        <v>Ade Rahmat</v>
      </c>
      <c r="G399" s="222"/>
    </row>
    <row r="400" spans="2:7">
      <c r="B400" s="10" t="s">
        <v>370</v>
      </c>
      <c r="C400" s="11" t="s">
        <v>371</v>
      </c>
      <c r="D400" s="12" t="s">
        <v>430</v>
      </c>
      <c r="E400" s="13" t="s">
        <v>1739</v>
      </c>
      <c r="F400" s="6" t="str">
        <f>_xlfn.XLOOKUP(D400,[6]Sheet1!$C:$C,[6]Sheet1!$F:$F,"-")</f>
        <v>Anas Nazal Huda</v>
      </c>
      <c r="G400" s="222"/>
    </row>
    <row r="401" spans="2:7">
      <c r="B401" s="10" t="s">
        <v>370</v>
      </c>
      <c r="C401" s="11" t="s">
        <v>371</v>
      </c>
      <c r="D401" s="12" t="s">
        <v>431</v>
      </c>
      <c r="E401" s="13" t="s">
        <v>1739</v>
      </c>
      <c r="F401" s="6" t="str">
        <f>_xlfn.XLOOKUP(D401,[6]Sheet1!$C:$C,[6]Sheet1!$F:$F,"-")</f>
        <v>Andi Herdiansyah</v>
      </c>
      <c r="G401" s="222"/>
    </row>
    <row r="402" spans="2:7">
      <c r="B402" s="10" t="s">
        <v>370</v>
      </c>
      <c r="C402" s="11" t="s">
        <v>371</v>
      </c>
      <c r="D402" s="12" t="s">
        <v>432</v>
      </c>
      <c r="E402" s="13" t="s">
        <v>1739</v>
      </c>
      <c r="F402" s="6" t="str">
        <f>_xlfn.XLOOKUP(D402,[6]Sheet1!$C:$C,[6]Sheet1!$F:$F,"-")</f>
        <v>Andi Saeful Rahman</v>
      </c>
      <c r="G402" s="222"/>
    </row>
    <row r="403" spans="2:7">
      <c r="B403" s="10" t="s">
        <v>370</v>
      </c>
      <c r="C403" s="11" t="s">
        <v>371</v>
      </c>
      <c r="D403" s="12" t="s">
        <v>433</v>
      </c>
      <c r="E403" s="13" t="s">
        <v>1739</v>
      </c>
      <c r="F403" s="6" t="str">
        <f>_xlfn.XLOOKUP(D403,[6]Sheet1!$C:$C,[6]Sheet1!$F:$F,"-")</f>
        <v>Asep Romli</v>
      </c>
      <c r="G403" s="222"/>
    </row>
    <row r="404" spans="2:7">
      <c r="B404" s="10" t="s">
        <v>370</v>
      </c>
      <c r="C404" s="11" t="s">
        <v>371</v>
      </c>
      <c r="D404" s="12" t="s">
        <v>434</v>
      </c>
      <c r="E404" s="13" t="s">
        <v>1739</v>
      </c>
      <c r="F404" s="6" t="str">
        <f>_xlfn.XLOOKUP(D404,[6]Sheet1!$C:$C,[6]Sheet1!$F:$F,"-")</f>
        <v>Dani Alvin</v>
      </c>
      <c r="G404" s="222"/>
    </row>
    <row r="405" spans="2:7">
      <c r="B405" s="10" t="s">
        <v>370</v>
      </c>
      <c r="C405" s="11" t="s">
        <v>371</v>
      </c>
      <c r="D405" s="12" t="s">
        <v>435</v>
      </c>
      <c r="E405" s="13" t="s">
        <v>1739</v>
      </c>
      <c r="F405" s="6" t="str">
        <f>_xlfn.XLOOKUP(D405,[6]Sheet1!$C:$C,[6]Sheet1!$F:$F,"-")</f>
        <v>Denira Novalita</v>
      </c>
      <c r="G405" s="222"/>
    </row>
    <row r="406" spans="2:7">
      <c r="B406" s="10" t="s">
        <v>370</v>
      </c>
      <c r="C406" s="11" t="s">
        <v>371</v>
      </c>
      <c r="D406" s="12" t="s">
        <v>436</v>
      </c>
      <c r="E406" s="13" t="s">
        <v>1739</v>
      </c>
      <c r="F406" s="6" t="str">
        <f>_xlfn.XLOOKUP(D406,[6]Sheet1!$C:$C,[6]Sheet1!$F:$F,"-")</f>
        <v>Dionofan Kurnia Pratama</v>
      </c>
      <c r="G406" s="222"/>
    </row>
    <row r="407" spans="2:7">
      <c r="B407" s="10" t="s">
        <v>370</v>
      </c>
      <c r="C407" s="11" t="s">
        <v>371</v>
      </c>
      <c r="D407" s="12" t="s">
        <v>437</v>
      </c>
      <c r="E407" s="13" t="s">
        <v>1739</v>
      </c>
      <c r="F407" s="6" t="str">
        <f>_xlfn.XLOOKUP(D407,[6]Sheet1!$C:$C,[6]Sheet1!$F:$F,"-")</f>
        <v>Faisal Maisandi</v>
      </c>
      <c r="G407" s="222"/>
    </row>
    <row r="408" spans="2:7">
      <c r="B408" s="10" t="s">
        <v>370</v>
      </c>
      <c r="C408" s="11" t="s">
        <v>371</v>
      </c>
      <c r="D408" s="12" t="s">
        <v>438</v>
      </c>
      <c r="E408" s="13" t="s">
        <v>1739</v>
      </c>
      <c r="F408" s="6" t="str">
        <f>_xlfn.XLOOKUP(D408,[6]Sheet1!$C:$C,[6]Sheet1!$F:$F,"-")</f>
        <v>Ilham Achmad Muhadzir</v>
      </c>
      <c r="G408" s="222"/>
    </row>
    <row r="409" spans="2:7">
      <c r="B409" s="10" t="s">
        <v>370</v>
      </c>
      <c r="C409" s="11" t="s">
        <v>371</v>
      </c>
      <c r="D409" s="12" t="s">
        <v>439</v>
      </c>
      <c r="E409" s="13" t="s">
        <v>1739</v>
      </c>
      <c r="F409" s="6" t="str">
        <f>_xlfn.XLOOKUP(D409,[6]Sheet1!$C:$C,[6]Sheet1!$F:$F,"-")</f>
        <v>Mario Aditya Firmansyah</v>
      </c>
      <c r="G409" s="222"/>
    </row>
    <row r="410" spans="2:7">
      <c r="B410" s="10" t="s">
        <v>370</v>
      </c>
      <c r="C410" s="11" t="s">
        <v>371</v>
      </c>
      <c r="D410" s="12" t="s">
        <v>440</v>
      </c>
      <c r="E410" s="13" t="s">
        <v>1739</v>
      </c>
      <c r="F410" s="6" t="str">
        <f>_xlfn.XLOOKUP(D410,[6]Sheet1!$C:$C,[6]Sheet1!$F:$F,"-")</f>
        <v>Muhammad Salim Riyadul Gupron</v>
      </c>
      <c r="G410" s="222"/>
    </row>
    <row r="411" spans="2:7">
      <c r="B411" s="10" t="s">
        <v>370</v>
      </c>
      <c r="C411" s="11" t="s">
        <v>371</v>
      </c>
      <c r="D411" s="12" t="s">
        <v>441</v>
      </c>
      <c r="E411" s="13" t="s">
        <v>1739</v>
      </c>
      <c r="F411" s="6" t="str">
        <f>_xlfn.XLOOKUP(D411,[6]Sheet1!$C:$C,[6]Sheet1!$F:$F,"-")</f>
        <v>Novi Septriani</v>
      </c>
      <c r="G411" s="222"/>
    </row>
    <row r="412" spans="2:7">
      <c r="B412" s="10" t="s">
        <v>370</v>
      </c>
      <c r="C412" s="11" t="s">
        <v>371</v>
      </c>
      <c r="D412" s="12" t="s">
        <v>442</v>
      </c>
      <c r="E412" s="13" t="s">
        <v>1739</v>
      </c>
      <c r="F412" s="6" t="str">
        <f>_xlfn.XLOOKUP(D412,[6]Sheet1!$C:$C,[6]Sheet1!$F:$F,"-")</f>
        <v>Rizky Zidan Haris Muharomi</v>
      </c>
      <c r="G412" s="222"/>
    </row>
    <row r="413" spans="2:7">
      <c r="B413" s="10" t="s">
        <v>370</v>
      </c>
      <c r="C413" s="11" t="s">
        <v>371</v>
      </c>
      <c r="D413" s="12" t="s">
        <v>443</v>
      </c>
      <c r="E413" s="13" t="s">
        <v>1739</v>
      </c>
      <c r="F413" s="6" t="str">
        <f>_xlfn.XLOOKUP(D413,[6]Sheet1!$C:$C,[6]Sheet1!$F:$F,"-")</f>
        <v>Sendi Moh Rahayu</v>
      </c>
      <c r="G413" s="222"/>
    </row>
    <row r="414" spans="2:7">
      <c r="B414" s="10" t="s">
        <v>370</v>
      </c>
      <c r="C414" s="11" t="s">
        <v>371</v>
      </c>
      <c r="D414" s="12" t="s">
        <v>444</v>
      </c>
      <c r="E414" s="13" t="s">
        <v>1739</v>
      </c>
      <c r="F414" s="6" t="str">
        <f>_xlfn.XLOOKUP(D414,[6]Sheet1!$C:$C,[6]Sheet1!$F:$F,"-")</f>
        <v>Soni</v>
      </c>
      <c r="G414" s="222"/>
    </row>
    <row r="415" spans="2:7">
      <c r="B415" s="10" t="s">
        <v>370</v>
      </c>
      <c r="C415" s="11" t="s">
        <v>371</v>
      </c>
      <c r="D415" s="12" t="s">
        <v>445</v>
      </c>
      <c r="E415" s="13" t="s">
        <v>1739</v>
      </c>
      <c r="F415" s="6" t="str">
        <f>_xlfn.XLOOKUP(D415,[6]Sheet1!$C:$C,[6]Sheet1!$F:$F,"-")</f>
        <v>Soni</v>
      </c>
      <c r="G415" s="222"/>
    </row>
    <row r="416" spans="2:7">
      <c r="B416" s="10" t="s">
        <v>370</v>
      </c>
      <c r="C416" s="11" t="s">
        <v>371</v>
      </c>
      <c r="D416" s="12" t="s">
        <v>446</v>
      </c>
      <c r="E416" s="13" t="s">
        <v>1739</v>
      </c>
      <c r="F416" s="6" t="str">
        <f>_xlfn.XLOOKUP(D416,[6]Sheet1!$C:$C,[6]Sheet1!$F:$F,"-")</f>
        <v>Syifa Agustian</v>
      </c>
      <c r="G416" s="222"/>
    </row>
    <row r="417" spans="2:7">
      <c r="B417" s="10" t="s">
        <v>370</v>
      </c>
      <c r="C417" s="11" t="s">
        <v>371</v>
      </c>
      <c r="D417" s="12" t="s">
        <v>447</v>
      </c>
      <c r="E417" s="13" t="s">
        <v>1739</v>
      </c>
      <c r="F417" s="6" t="str">
        <f>_xlfn.XLOOKUP(D417,[6]Sheet1!$C:$C,[6]Sheet1!$F:$F,"-")</f>
        <v>Ansor Fauzi Fadillah</v>
      </c>
      <c r="G417" s="222"/>
    </row>
    <row r="418" spans="2:7">
      <c r="B418" s="10" t="s">
        <v>370</v>
      </c>
      <c r="C418" s="11" t="s">
        <v>371</v>
      </c>
      <c r="D418" s="12" t="s">
        <v>448</v>
      </c>
      <c r="E418" s="13" t="s">
        <v>1739</v>
      </c>
      <c r="F418" s="6" t="str">
        <f>_xlfn.XLOOKUP(D418,[6]Sheet1!$C:$C,[6]Sheet1!$F:$F,"-")</f>
        <v>Ansor Fauzi Fadillah</v>
      </c>
      <c r="G418" s="222"/>
    </row>
    <row r="419" spans="2:7">
      <c r="B419" s="10" t="s">
        <v>370</v>
      </c>
      <c r="C419" s="11" t="s">
        <v>371</v>
      </c>
      <c r="D419" s="12" t="s">
        <v>449</v>
      </c>
      <c r="E419" s="13" t="s">
        <v>1739</v>
      </c>
      <c r="F419" s="6" t="str">
        <f>_xlfn.XLOOKUP(D419,[6]Sheet1!$C:$C,[6]Sheet1!$F:$F,"-")</f>
        <v>Ari Budaeri Addawami</v>
      </c>
      <c r="G419" s="222"/>
    </row>
    <row r="420" spans="2:7">
      <c r="B420" s="10" t="s">
        <v>370</v>
      </c>
      <c r="C420" s="11" t="s">
        <v>371</v>
      </c>
      <c r="D420" s="12" t="s">
        <v>450</v>
      </c>
      <c r="E420" s="13" t="s">
        <v>1739</v>
      </c>
      <c r="F420" s="6" t="str">
        <f>_xlfn.XLOOKUP(D420,[6]Sheet1!$C:$C,[6]Sheet1!$F:$F,"-")</f>
        <v>Aril Ardiansyah</v>
      </c>
      <c r="G420" s="222"/>
    </row>
    <row r="421" spans="2:7">
      <c r="B421" s="10" t="s">
        <v>370</v>
      </c>
      <c r="C421" s="11" t="s">
        <v>371</v>
      </c>
      <c r="D421" s="12" t="s">
        <v>451</v>
      </c>
      <c r="E421" s="13" t="s">
        <v>1739</v>
      </c>
      <c r="F421" s="6" t="str">
        <f>_xlfn.XLOOKUP(D421,[6]Sheet1!$C:$C,[6]Sheet1!$F:$F,"-")</f>
        <v>Asep</v>
      </c>
      <c r="G421" s="222"/>
    </row>
    <row r="422" spans="2:7">
      <c r="B422" s="10" t="s">
        <v>370</v>
      </c>
      <c r="C422" s="11" t="s">
        <v>371</v>
      </c>
      <c r="D422" s="12" t="s">
        <v>452</v>
      </c>
      <c r="E422" s="13" t="s">
        <v>1739</v>
      </c>
      <c r="F422" s="6" t="str">
        <f>_xlfn.XLOOKUP(D422,[6]Sheet1!$C:$C,[6]Sheet1!$F:$F,"-")</f>
        <v>Dede Asikin</v>
      </c>
      <c r="G422" s="222"/>
    </row>
    <row r="423" spans="2:7">
      <c r="B423" s="10" t="s">
        <v>370</v>
      </c>
      <c r="C423" s="11" t="s">
        <v>371</v>
      </c>
      <c r="D423" s="12" t="s">
        <v>453</v>
      </c>
      <c r="E423" s="13" t="s">
        <v>1739</v>
      </c>
      <c r="F423" s="6" t="str">
        <f>_xlfn.XLOOKUP(D423,[6]Sheet1!$C:$C,[6]Sheet1!$F:$F,"-")</f>
        <v>Fauzi Alimashyar</v>
      </c>
      <c r="G423" s="222"/>
    </row>
    <row r="424" spans="2:7">
      <c r="B424" s="10" t="s">
        <v>370</v>
      </c>
      <c r="C424" s="11" t="s">
        <v>371</v>
      </c>
      <c r="D424" s="12" t="s">
        <v>454</v>
      </c>
      <c r="E424" s="13" t="s">
        <v>1739</v>
      </c>
      <c r="F424" s="6" t="str">
        <f>_xlfn.XLOOKUP(D424,[6]Sheet1!$C:$C,[6]Sheet1!$F:$F,"-")</f>
        <v>Indra Rukmana</v>
      </c>
      <c r="G424" s="222"/>
    </row>
    <row r="425" spans="2:7">
      <c r="B425" s="10" t="s">
        <v>370</v>
      </c>
      <c r="C425" s="11" t="s">
        <v>371</v>
      </c>
      <c r="D425" s="12" t="s">
        <v>455</v>
      </c>
      <c r="E425" s="13" t="s">
        <v>1739</v>
      </c>
      <c r="F425" s="6" t="str">
        <f>_xlfn.XLOOKUP(D425,[6]Sheet1!$C:$C,[6]Sheet1!$F:$F,"-")</f>
        <v>Indra Rukmana</v>
      </c>
      <c r="G425" s="222"/>
    </row>
    <row r="426" spans="2:7">
      <c r="B426" s="10" t="s">
        <v>370</v>
      </c>
      <c r="C426" s="11" t="s">
        <v>371</v>
      </c>
      <c r="D426" s="12" t="s">
        <v>456</v>
      </c>
      <c r="E426" s="13" t="s">
        <v>1739</v>
      </c>
      <c r="F426" s="6" t="str">
        <f>_xlfn.XLOOKUP(D426,[6]Sheet1!$C:$C,[6]Sheet1!$F:$F,"-")</f>
        <v>Januar Egy Panjayu</v>
      </c>
      <c r="G426" s="222"/>
    </row>
    <row r="427" spans="2:7">
      <c r="B427" s="10" t="s">
        <v>370</v>
      </c>
      <c r="C427" s="11" t="s">
        <v>371</v>
      </c>
      <c r="D427" s="12" t="s">
        <v>457</v>
      </c>
      <c r="E427" s="13" t="s">
        <v>1739</v>
      </c>
      <c r="F427" s="6" t="str">
        <f>_xlfn.XLOOKUP(D427,[6]Sheet1!$C:$C,[6]Sheet1!$F:$F,"-")</f>
        <v>Khoeruman Sunjaya</v>
      </c>
      <c r="G427" s="222"/>
    </row>
    <row r="428" spans="2:7">
      <c r="B428" s="10" t="s">
        <v>370</v>
      </c>
      <c r="C428" s="11" t="s">
        <v>371</v>
      </c>
      <c r="D428" s="12" t="s">
        <v>458</v>
      </c>
      <c r="E428" s="13" t="s">
        <v>1739</v>
      </c>
      <c r="F428" s="6" t="str">
        <f>_xlfn.XLOOKUP(D428,[6]Sheet1!$C:$C,[6]Sheet1!$F:$F,"-")</f>
        <v>Muhammad Agung Maulidia</v>
      </c>
      <c r="G428" s="222"/>
    </row>
    <row r="429" spans="2:7">
      <c r="B429" s="10" t="s">
        <v>370</v>
      </c>
      <c r="C429" s="11" t="s">
        <v>371</v>
      </c>
      <c r="D429" s="12" t="s">
        <v>459</v>
      </c>
      <c r="E429" s="13" t="s">
        <v>1739</v>
      </c>
      <c r="F429" s="6" t="str">
        <f>_xlfn.XLOOKUP(D429,[6]Sheet1!$C:$C,[6]Sheet1!$F:$F,"-")</f>
        <v>Muhammad Bagus Rifa'i</v>
      </c>
      <c r="G429" s="222"/>
    </row>
    <row r="430" spans="2:7">
      <c r="B430" s="10" t="s">
        <v>370</v>
      </c>
      <c r="C430" s="11" t="s">
        <v>371</v>
      </c>
      <c r="D430" s="12" t="s">
        <v>460</v>
      </c>
      <c r="E430" s="13" t="s">
        <v>1739</v>
      </c>
      <c r="F430" s="6" t="str">
        <f>_xlfn.XLOOKUP(D430,[6]Sheet1!$C:$C,[6]Sheet1!$F:$F,"-")</f>
        <v>Muhammad Rusdiyanto Dinata</v>
      </c>
      <c r="G430" s="222"/>
    </row>
    <row r="431" spans="2:7">
      <c r="B431" s="10" t="s">
        <v>370</v>
      </c>
      <c r="C431" s="11" t="s">
        <v>371</v>
      </c>
      <c r="D431" s="12" t="s">
        <v>461</v>
      </c>
      <c r="E431" s="13" t="s">
        <v>1739</v>
      </c>
      <c r="F431" s="6" t="str">
        <f>_xlfn.XLOOKUP(D431,[6]Sheet1!$C:$C,[6]Sheet1!$F:$F,"-")</f>
        <v>Nur Maulana Hasan</v>
      </c>
      <c r="G431" s="222"/>
    </row>
    <row r="432" spans="2:7">
      <c r="B432" s="10" t="s">
        <v>370</v>
      </c>
      <c r="C432" s="11" t="s">
        <v>371</v>
      </c>
      <c r="D432" s="12" t="s">
        <v>462</v>
      </c>
      <c r="E432" s="13" t="s">
        <v>1739</v>
      </c>
      <c r="F432" s="6" t="str">
        <f>_xlfn.XLOOKUP(D432,[6]Sheet1!$C:$C,[6]Sheet1!$F:$F,"-")</f>
        <v>Reza Zaqiyuddin</v>
      </c>
      <c r="G432" s="222"/>
    </row>
    <row r="433" spans="2:7">
      <c r="B433" s="10" t="s">
        <v>370</v>
      </c>
      <c r="C433" s="11" t="s">
        <v>371</v>
      </c>
      <c r="D433" s="12" t="s">
        <v>463</v>
      </c>
      <c r="E433" s="13" t="s">
        <v>1739</v>
      </c>
      <c r="F433" s="6" t="str">
        <f>_xlfn.XLOOKUP(D433,[6]Sheet1!$C:$C,[6]Sheet1!$F:$F,"-")</f>
        <v>Reza Zaqiyuddin</v>
      </c>
      <c r="G433" s="222"/>
    </row>
    <row r="434" spans="2:7">
      <c r="B434" s="10" t="s">
        <v>370</v>
      </c>
      <c r="C434" s="11" t="s">
        <v>371</v>
      </c>
      <c r="D434" s="12" t="s">
        <v>464</v>
      </c>
      <c r="E434" s="13" t="s">
        <v>1739</v>
      </c>
      <c r="F434" s="6" t="str">
        <f>_xlfn.XLOOKUP(D434,[6]Sheet1!$C:$C,[6]Sheet1!$F:$F,"-")</f>
        <v>Toni Anwar</v>
      </c>
      <c r="G434" s="222"/>
    </row>
    <row r="435" spans="2:7">
      <c r="B435" s="10" t="s">
        <v>370</v>
      </c>
      <c r="C435" s="11" t="s">
        <v>371</v>
      </c>
      <c r="D435" s="12" t="s">
        <v>465</v>
      </c>
      <c r="E435" s="13" t="s">
        <v>1739</v>
      </c>
      <c r="F435" s="6" t="str">
        <f>_xlfn.XLOOKUP(D435,[6]Sheet1!$C:$C,[6]Sheet1!$F:$F,"-")</f>
        <v>Yandi Sutardi</v>
      </c>
      <c r="G435" s="222"/>
    </row>
    <row r="436" spans="2:7">
      <c r="B436" s="10" t="s">
        <v>370</v>
      </c>
      <c r="C436" s="11" t="s">
        <v>371</v>
      </c>
      <c r="D436" s="12" t="s">
        <v>466</v>
      </c>
      <c r="E436" s="13" t="s">
        <v>1739</v>
      </c>
      <c r="F436" s="6" t="str">
        <f>_xlfn.XLOOKUP(D436,[6]Sheet1!$C:$C,[6]Sheet1!$F:$F,"-")</f>
        <v>Zezen Zaenul Arip</v>
      </c>
      <c r="G436" s="222"/>
    </row>
    <row r="437" spans="2:7">
      <c r="B437" s="10" t="s">
        <v>370</v>
      </c>
      <c r="C437" s="11" t="s">
        <v>371</v>
      </c>
      <c r="D437" s="12" t="s">
        <v>467</v>
      </c>
      <c r="E437" s="13" t="s">
        <v>1739</v>
      </c>
      <c r="F437" s="6" t="str">
        <f>_xlfn.XLOOKUP(D437,[6]Sheet1!$C:$C,[6]Sheet1!$F:$F,"-")</f>
        <v>Andriana Susanto</v>
      </c>
      <c r="G437" s="222"/>
    </row>
    <row r="438" spans="2:7">
      <c r="B438" s="10" t="s">
        <v>370</v>
      </c>
      <c r="C438" s="11" t="s">
        <v>371</v>
      </c>
      <c r="D438" s="12" t="s">
        <v>468</v>
      </c>
      <c r="E438" s="13" t="s">
        <v>1739</v>
      </c>
      <c r="F438" s="6" t="str">
        <f>_xlfn.XLOOKUP(D438,[6]Sheet1!$C:$C,[6]Sheet1!$F:$F,"-")</f>
        <v>Danil Sutiarso</v>
      </c>
      <c r="G438" s="222"/>
    </row>
    <row r="439" spans="2:7">
      <c r="B439" s="10" t="s">
        <v>370</v>
      </c>
      <c r="C439" s="11" t="s">
        <v>371</v>
      </c>
      <c r="D439" s="12" t="s">
        <v>469</v>
      </c>
      <c r="E439" s="13" t="s">
        <v>1739</v>
      </c>
      <c r="F439" s="6" t="str">
        <f>_xlfn.XLOOKUP(D439,[6]Sheet1!$C:$C,[6]Sheet1!$F:$F,"-")</f>
        <v>Dindin Irawan</v>
      </c>
      <c r="G439" s="222"/>
    </row>
    <row r="440" spans="2:7">
      <c r="B440" s="10" t="s">
        <v>370</v>
      </c>
      <c r="C440" s="11" t="s">
        <v>371</v>
      </c>
      <c r="D440" s="12" t="s">
        <v>470</v>
      </c>
      <c r="E440" s="13" t="s">
        <v>1739</v>
      </c>
      <c r="F440" s="6" t="str">
        <f>_xlfn.XLOOKUP(D440,[6]Sheet1!$C:$C,[6]Sheet1!$F:$F,"-")</f>
        <v>Faiz Achmad Yasin</v>
      </c>
      <c r="G440" s="222"/>
    </row>
    <row r="441" spans="2:7">
      <c r="B441" s="10" t="s">
        <v>370</v>
      </c>
      <c r="C441" s="11" t="s">
        <v>371</v>
      </c>
      <c r="D441" s="12" t="s">
        <v>471</v>
      </c>
      <c r="E441" s="13" t="s">
        <v>1739</v>
      </c>
      <c r="F441" s="6" t="str">
        <f>_xlfn.XLOOKUP(D441,[6]Sheet1!$C:$C,[6]Sheet1!$F:$F,"-")</f>
        <v>Faiz Achmad Yasin</v>
      </c>
      <c r="G441" s="222"/>
    </row>
    <row r="442" spans="2:7">
      <c r="B442" s="10" t="s">
        <v>370</v>
      </c>
      <c r="C442" s="11" t="s">
        <v>371</v>
      </c>
      <c r="D442" s="12" t="s">
        <v>472</v>
      </c>
      <c r="E442" s="13" t="s">
        <v>1739</v>
      </c>
      <c r="F442" s="6" t="str">
        <f>_xlfn.XLOOKUP(D442,[6]Sheet1!$C:$C,[6]Sheet1!$F:$F,"-")</f>
        <v>Hari Pardian</v>
      </c>
      <c r="G442" s="222"/>
    </row>
    <row r="443" spans="2:7">
      <c r="B443" s="10" t="s">
        <v>370</v>
      </c>
      <c r="C443" s="11" t="s">
        <v>371</v>
      </c>
      <c r="D443" s="12" t="s">
        <v>473</v>
      </c>
      <c r="E443" s="13" t="s">
        <v>1739</v>
      </c>
      <c r="F443" s="6" t="str">
        <f>_xlfn.XLOOKUP(D443,[6]Sheet1!$C:$C,[6]Sheet1!$F:$F,"-")</f>
        <v>Herdi Kurniawan</v>
      </c>
      <c r="G443" s="222"/>
    </row>
    <row r="444" spans="2:7">
      <c r="B444" s="10" t="s">
        <v>370</v>
      </c>
      <c r="C444" s="11" t="s">
        <v>371</v>
      </c>
      <c r="D444" s="12" t="s">
        <v>474</v>
      </c>
      <c r="E444" s="13" t="s">
        <v>1739</v>
      </c>
      <c r="F444" s="6" t="str">
        <f>_xlfn.XLOOKUP(D444,[6]Sheet1!$C:$C,[6]Sheet1!$F:$F,"-")</f>
        <v>Ipan Pathurrahman</v>
      </c>
      <c r="G444" s="222"/>
    </row>
    <row r="445" spans="2:7">
      <c r="B445" s="10" t="s">
        <v>370</v>
      </c>
      <c r="C445" s="11" t="s">
        <v>371</v>
      </c>
      <c r="D445" s="12" t="s">
        <v>475</v>
      </c>
      <c r="E445" s="13" t="s">
        <v>1739</v>
      </c>
      <c r="F445" s="6" t="str">
        <f>_xlfn.XLOOKUP(D445,[6]Sheet1!$C:$C,[6]Sheet1!$F:$F,"-")</f>
        <v>Jamjam ramdani</v>
      </c>
      <c r="G445" s="222"/>
    </row>
    <row r="446" spans="2:7">
      <c r="B446" s="10" t="s">
        <v>370</v>
      </c>
      <c r="C446" s="11" t="s">
        <v>371</v>
      </c>
      <c r="D446" s="12" t="s">
        <v>476</v>
      </c>
      <c r="E446" s="13" t="s">
        <v>1739</v>
      </c>
      <c r="F446" s="6" t="str">
        <f>_xlfn.XLOOKUP(D446,[6]Sheet1!$C:$C,[6]Sheet1!$F:$F,"-")</f>
        <v>Muhammad Abdul Rozi</v>
      </c>
      <c r="G446" s="222"/>
    </row>
    <row r="447" spans="2:7">
      <c r="B447" s="10" t="s">
        <v>370</v>
      </c>
      <c r="C447" s="11" t="s">
        <v>371</v>
      </c>
      <c r="D447" s="12" t="s">
        <v>477</v>
      </c>
      <c r="E447" s="13" t="s">
        <v>1739</v>
      </c>
      <c r="F447" s="6" t="str">
        <f>_xlfn.XLOOKUP(D447,[6]Sheet1!$C:$C,[6]Sheet1!$F:$F,"-")</f>
        <v>Muhammad Abdul Rozi</v>
      </c>
      <c r="G447" s="222"/>
    </row>
    <row r="448" spans="2:7">
      <c r="B448" s="10" t="s">
        <v>370</v>
      </c>
      <c r="C448" s="11" t="s">
        <v>371</v>
      </c>
      <c r="D448" s="12" t="s">
        <v>478</v>
      </c>
      <c r="E448" s="13" t="s">
        <v>1739</v>
      </c>
      <c r="F448" s="6" t="str">
        <f>_xlfn.XLOOKUP(D448,[6]Sheet1!$C:$C,[6]Sheet1!$F:$F,"-")</f>
        <v>Ridwan Ginanjar</v>
      </c>
      <c r="G448" s="222"/>
    </row>
    <row r="449" spans="2:7">
      <c r="B449" s="10" t="s">
        <v>370</v>
      </c>
      <c r="C449" s="11" t="s">
        <v>371</v>
      </c>
      <c r="D449" s="12" t="s">
        <v>479</v>
      </c>
      <c r="E449" s="13" t="s">
        <v>1739</v>
      </c>
      <c r="F449" s="6" t="str">
        <f>_xlfn.XLOOKUP(D449,[6]Sheet1!$C:$C,[6]Sheet1!$F:$F,"-")</f>
        <v>Sandi Mutakin</v>
      </c>
      <c r="G449" s="222"/>
    </row>
    <row r="450" spans="2:7">
      <c r="B450" s="10" t="s">
        <v>370</v>
      </c>
      <c r="C450" s="11" t="s">
        <v>371</v>
      </c>
      <c r="D450" s="12" t="s">
        <v>480</v>
      </c>
      <c r="E450" s="13" t="s">
        <v>1739</v>
      </c>
      <c r="F450" s="6" t="str">
        <f>_xlfn.XLOOKUP(D450,[6]Sheet1!$C:$C,[6]Sheet1!$F:$F,"-")</f>
        <v>Sandra Cahya Permana</v>
      </c>
      <c r="G450" s="222"/>
    </row>
    <row r="451" spans="2:7">
      <c r="B451" s="10" t="s">
        <v>370</v>
      </c>
      <c r="C451" s="11" t="s">
        <v>371</v>
      </c>
      <c r="D451" s="12" t="s">
        <v>481</v>
      </c>
      <c r="E451" s="13" t="s">
        <v>1739</v>
      </c>
      <c r="F451" s="6" t="str">
        <f>_xlfn.XLOOKUP(D451,[6]Sheet1!$C:$C,[6]Sheet1!$F:$F,"-")</f>
        <v>Tresha Oktariana</v>
      </c>
      <c r="G451" s="222"/>
    </row>
    <row r="452" spans="2:7">
      <c r="B452" s="10" t="s">
        <v>370</v>
      </c>
      <c r="C452" s="11" t="s">
        <v>371</v>
      </c>
      <c r="D452" s="12" t="s">
        <v>482</v>
      </c>
      <c r="E452" s="13" t="s">
        <v>1739</v>
      </c>
      <c r="F452" s="6" t="str">
        <f>_xlfn.XLOOKUP(D452,[6]Sheet1!$C:$C,[6]Sheet1!$F:$F,"-")</f>
        <v>Akbar Rizki Mulyana</v>
      </c>
      <c r="G452" s="222"/>
    </row>
    <row r="453" spans="2:7">
      <c r="B453" s="10" t="s">
        <v>370</v>
      </c>
      <c r="C453" s="11" t="s">
        <v>371</v>
      </c>
      <c r="D453" s="12" t="s">
        <v>483</v>
      </c>
      <c r="E453" s="13" t="s">
        <v>1739</v>
      </c>
      <c r="F453" s="6" t="str">
        <f>_xlfn.XLOOKUP(D453,[6]Sheet1!$C:$C,[6]Sheet1!$F:$F,"-")</f>
        <v>Deni Purnama</v>
      </c>
      <c r="G453" s="222"/>
    </row>
    <row r="454" spans="2:7">
      <c r="B454" s="10" t="s">
        <v>370</v>
      </c>
      <c r="C454" s="11" t="s">
        <v>371</v>
      </c>
      <c r="D454" s="12" t="s">
        <v>484</v>
      </c>
      <c r="E454" s="13" t="s">
        <v>1739</v>
      </c>
      <c r="F454" s="6" t="str">
        <f>_xlfn.XLOOKUP(D454,[6]Sheet1!$C:$C,[6]Sheet1!$F:$F,"-")</f>
        <v>Dicky Aditia</v>
      </c>
      <c r="G454" s="222"/>
    </row>
    <row r="455" spans="2:7">
      <c r="B455" s="10" t="s">
        <v>370</v>
      </c>
      <c r="C455" s="11" t="s">
        <v>371</v>
      </c>
      <c r="D455" s="12" t="s">
        <v>485</v>
      </c>
      <c r="E455" s="13" t="s">
        <v>1739</v>
      </c>
      <c r="F455" s="6" t="str">
        <f>_xlfn.XLOOKUP(D455,[6]Sheet1!$C:$C,[6]Sheet1!$F:$F,"-")</f>
        <v>Fikri Nurhidayat</v>
      </c>
      <c r="G455" s="222"/>
    </row>
    <row r="456" spans="2:7">
      <c r="B456" s="10" t="s">
        <v>370</v>
      </c>
      <c r="C456" s="11" t="s">
        <v>371</v>
      </c>
      <c r="D456" s="12" t="s">
        <v>486</v>
      </c>
      <c r="E456" s="13" t="s">
        <v>1739</v>
      </c>
      <c r="F456" s="6" t="str">
        <f>_xlfn.XLOOKUP(D456,[6]Sheet1!$C:$C,[6]Sheet1!$F:$F,"-")</f>
        <v>Irfan Abdur Rochim</v>
      </c>
      <c r="G456" s="222"/>
    </row>
    <row r="457" spans="2:7">
      <c r="B457" s="10" t="s">
        <v>370</v>
      </c>
      <c r="C457" s="11" t="s">
        <v>371</v>
      </c>
      <c r="D457" s="12" t="s">
        <v>487</v>
      </c>
      <c r="E457" s="13" t="s">
        <v>1739</v>
      </c>
      <c r="F457" s="6" t="str">
        <f>_xlfn.XLOOKUP(D457,[6]Sheet1!$C:$C,[6]Sheet1!$F:$F,"-")</f>
        <v>Irfan Abdur Rochim</v>
      </c>
      <c r="G457" s="222"/>
    </row>
    <row r="458" spans="2:7">
      <c r="B458" s="10" t="s">
        <v>370</v>
      </c>
      <c r="C458" s="11" t="s">
        <v>371</v>
      </c>
      <c r="D458" s="12" t="s">
        <v>488</v>
      </c>
      <c r="E458" s="13" t="s">
        <v>1739</v>
      </c>
      <c r="F458" s="6" t="str">
        <f>_xlfn.XLOOKUP(D458,[6]Sheet1!$C:$C,[6]Sheet1!$F:$F,"-")</f>
        <v>Iyan Diana</v>
      </c>
      <c r="G458" s="222"/>
    </row>
    <row r="459" spans="2:7">
      <c r="B459" s="10" t="s">
        <v>370</v>
      </c>
      <c r="C459" s="11" t="s">
        <v>371</v>
      </c>
      <c r="D459" s="12" t="s">
        <v>489</v>
      </c>
      <c r="E459" s="13" t="s">
        <v>1739</v>
      </c>
      <c r="F459" s="6" t="str">
        <f>_xlfn.XLOOKUP(D459,[6]Sheet1!$C:$C,[6]Sheet1!$F:$F,"-")</f>
        <v>Nunu Nugraha</v>
      </c>
      <c r="G459" s="222"/>
    </row>
    <row r="460" spans="2:7">
      <c r="B460" s="10" t="s">
        <v>370</v>
      </c>
      <c r="C460" s="11" t="s">
        <v>371</v>
      </c>
      <c r="D460" s="12" t="s">
        <v>490</v>
      </c>
      <c r="E460" s="13" t="s">
        <v>1739</v>
      </c>
      <c r="F460" s="6" t="str">
        <f>_xlfn.XLOOKUP(D460,[6]Sheet1!$C:$C,[6]Sheet1!$F:$F,"-")</f>
        <v>Nuralamsah</v>
      </c>
      <c r="G460" s="222"/>
    </row>
    <row r="461" spans="2:7">
      <c r="B461" s="10" t="s">
        <v>370</v>
      </c>
      <c r="C461" s="11" t="s">
        <v>371</v>
      </c>
      <c r="D461" s="12" t="s">
        <v>491</v>
      </c>
      <c r="E461" s="13" t="s">
        <v>1739</v>
      </c>
      <c r="F461" s="6" t="str">
        <f>_xlfn.XLOOKUP(D461,[6]Sheet1!$C:$C,[6]Sheet1!$F:$F,"-")</f>
        <v>Opie Gustriana</v>
      </c>
      <c r="G461" s="222"/>
    </row>
    <row r="462" spans="2:7">
      <c r="B462" s="10" t="s">
        <v>370</v>
      </c>
      <c r="C462" s="11" t="s">
        <v>371</v>
      </c>
      <c r="D462" s="12" t="s">
        <v>492</v>
      </c>
      <c r="E462" s="13" t="s">
        <v>1739</v>
      </c>
      <c r="F462" s="6" t="str">
        <f>_xlfn.XLOOKUP(D462,[6]Sheet1!$C:$C,[6]Sheet1!$F:$F,"-")</f>
        <v>Opie Gustriana</v>
      </c>
      <c r="G462" s="222"/>
    </row>
    <row r="463" spans="2:7">
      <c r="B463" s="10" t="s">
        <v>370</v>
      </c>
      <c r="C463" s="11" t="s">
        <v>371</v>
      </c>
      <c r="D463" s="12" t="s">
        <v>493</v>
      </c>
      <c r="E463" s="13" t="s">
        <v>1739</v>
      </c>
      <c r="F463" s="6" t="str">
        <f>_xlfn.XLOOKUP(D463,[6]Sheet1!$C:$C,[6]Sheet1!$F:$F,"-")</f>
        <v>Rachman Setyadi</v>
      </c>
      <c r="G463" s="222"/>
    </row>
    <row r="464" spans="2:7">
      <c r="B464" s="10" t="s">
        <v>370</v>
      </c>
      <c r="C464" s="11" t="s">
        <v>371</v>
      </c>
      <c r="D464" s="12" t="s">
        <v>494</v>
      </c>
      <c r="E464" s="13" t="s">
        <v>1739</v>
      </c>
      <c r="F464" s="6" t="str">
        <f>_xlfn.XLOOKUP(D464,[6]Sheet1!$C:$C,[6]Sheet1!$F:$F,"-")</f>
        <v>Redi Heriadi</v>
      </c>
      <c r="G464" s="222"/>
    </row>
    <row r="465" spans="2:7">
      <c r="B465" s="10" t="s">
        <v>370</v>
      </c>
      <c r="C465" s="11" t="s">
        <v>371</v>
      </c>
      <c r="D465" s="12" t="s">
        <v>495</v>
      </c>
      <c r="E465" s="13" t="s">
        <v>1739</v>
      </c>
      <c r="F465" s="6" t="str">
        <f>_xlfn.XLOOKUP(D465,[6]Sheet1!$C:$C,[6]Sheet1!$F:$F,"-")</f>
        <v>Rizki Kurniawan Akbar</v>
      </c>
      <c r="G465" s="222"/>
    </row>
    <row r="466" spans="2:7">
      <c r="B466" s="10" t="s">
        <v>370</v>
      </c>
      <c r="C466" s="11" t="s">
        <v>371</v>
      </c>
      <c r="D466" s="12" t="s">
        <v>496</v>
      </c>
      <c r="E466" s="13" t="s">
        <v>1739</v>
      </c>
      <c r="F466" s="6" t="str">
        <f>_xlfn.XLOOKUP(D466,[6]Sheet1!$C:$C,[6]Sheet1!$F:$F,"-")</f>
        <v>Rizki Kurniawan Akbar</v>
      </c>
      <c r="G466" s="222"/>
    </row>
    <row r="467" spans="2:7">
      <c r="B467" s="10" t="s">
        <v>370</v>
      </c>
      <c r="C467" s="11" t="s">
        <v>371</v>
      </c>
      <c r="D467" s="12" t="s">
        <v>497</v>
      </c>
      <c r="E467" s="13" t="s">
        <v>1739</v>
      </c>
      <c r="F467" s="6" t="str">
        <f>_xlfn.XLOOKUP(D467,[6]Sheet1!$C:$C,[6]Sheet1!$F:$F,"-")</f>
        <v>Septian Nuralamsyah</v>
      </c>
      <c r="G467" s="222"/>
    </row>
    <row r="468" spans="2:7">
      <c r="B468" s="10" t="s">
        <v>370</v>
      </c>
      <c r="C468" s="11" t="s">
        <v>371</v>
      </c>
      <c r="D468" s="12" t="s">
        <v>498</v>
      </c>
      <c r="E468" s="13" t="s">
        <v>1739</v>
      </c>
      <c r="F468" s="6" t="str">
        <f>_xlfn.XLOOKUP(D468,[6]Sheet1!$C:$C,[6]Sheet1!$F:$F,"-")</f>
        <v>Widodo Iqbal Baharudin</v>
      </c>
      <c r="G468" s="222"/>
    </row>
    <row r="469" spans="2:7">
      <c r="B469" s="10" t="s">
        <v>370</v>
      </c>
      <c r="C469" s="11" t="s">
        <v>371</v>
      </c>
      <c r="D469" s="12" t="s">
        <v>499</v>
      </c>
      <c r="E469" s="13" t="s">
        <v>1739</v>
      </c>
      <c r="F469" s="6" t="str">
        <f>_xlfn.XLOOKUP(D469,[6]Sheet1!$C:$C,[6]Sheet1!$F:$F,"-")</f>
        <v>Akhmad Wildan Heryanto</v>
      </c>
      <c r="G469" s="222"/>
    </row>
    <row r="470" spans="2:7">
      <c r="B470" s="10" t="s">
        <v>370</v>
      </c>
      <c r="C470" s="11" t="s">
        <v>371</v>
      </c>
      <c r="D470" s="12" t="s">
        <v>500</v>
      </c>
      <c r="E470" s="13" t="s">
        <v>1739</v>
      </c>
      <c r="F470" s="6" t="str">
        <f>_xlfn.XLOOKUP(D470,[6]Sheet1!$C:$C,[6]Sheet1!$F:$F,"-")</f>
        <v>Akhmad Wildan Heryanto</v>
      </c>
      <c r="G470" s="222"/>
    </row>
    <row r="471" spans="2:7">
      <c r="B471" s="10" t="s">
        <v>370</v>
      </c>
      <c r="C471" s="11" t="s">
        <v>371</v>
      </c>
      <c r="D471" s="12" t="s">
        <v>501</v>
      </c>
      <c r="E471" s="13" t="s">
        <v>1739</v>
      </c>
      <c r="F471" s="6" t="str">
        <f>_xlfn.XLOOKUP(D471,[6]Sheet1!$C:$C,[6]Sheet1!$F:$F,"-")</f>
        <v>Dwiyanto</v>
      </c>
      <c r="G471" s="222"/>
    </row>
    <row r="472" spans="2:7">
      <c r="B472" s="10" t="s">
        <v>370</v>
      </c>
      <c r="C472" s="11" t="s">
        <v>371</v>
      </c>
      <c r="D472" s="12" t="s">
        <v>502</v>
      </c>
      <c r="E472" s="13" t="s">
        <v>1739</v>
      </c>
      <c r="F472" s="6" t="str">
        <f>_xlfn.XLOOKUP(D472,[6]Sheet1!$C:$C,[6]Sheet1!$F:$F,"-")</f>
        <v>Endang Rudi Rohana</v>
      </c>
      <c r="G472" s="222"/>
    </row>
    <row r="473" spans="2:7">
      <c r="B473" s="10" t="s">
        <v>370</v>
      </c>
      <c r="C473" s="11" t="s">
        <v>371</v>
      </c>
      <c r="D473" s="12" t="s">
        <v>503</v>
      </c>
      <c r="E473" s="13" t="s">
        <v>1739</v>
      </c>
      <c r="F473" s="6" t="str">
        <f>_xlfn.XLOOKUP(D473,[6]Sheet1!$C:$C,[6]Sheet1!$F:$F,"-")</f>
        <v>Endang Rudi Rohana</v>
      </c>
      <c r="G473" s="222"/>
    </row>
    <row r="474" spans="2:7">
      <c r="B474" s="10" t="s">
        <v>370</v>
      </c>
      <c r="C474" s="11" t="s">
        <v>371</v>
      </c>
      <c r="D474" s="12" t="s">
        <v>504</v>
      </c>
      <c r="E474" s="13" t="s">
        <v>1739</v>
      </c>
      <c r="F474" s="6" t="str">
        <f>_xlfn.XLOOKUP(D474,[6]Sheet1!$C:$C,[6]Sheet1!$F:$F,"-")</f>
        <v>Indra Nuryanto</v>
      </c>
      <c r="G474" s="222"/>
    </row>
    <row r="475" spans="2:7">
      <c r="B475" s="10" t="s">
        <v>370</v>
      </c>
      <c r="C475" s="11" t="s">
        <v>371</v>
      </c>
      <c r="D475" s="12" t="s">
        <v>505</v>
      </c>
      <c r="E475" s="13" t="s">
        <v>1739</v>
      </c>
      <c r="F475" s="6" t="str">
        <f>_xlfn.XLOOKUP(D475,[6]Sheet1!$C:$C,[6]Sheet1!$F:$F,"-")</f>
        <v>Mochamad Taofik</v>
      </c>
      <c r="G475" s="222"/>
    </row>
    <row r="476" spans="2:7">
      <c r="B476" s="10" t="s">
        <v>370</v>
      </c>
      <c r="C476" s="11" t="s">
        <v>371</v>
      </c>
      <c r="D476" s="12" t="s">
        <v>506</v>
      </c>
      <c r="E476" s="13" t="s">
        <v>1739</v>
      </c>
      <c r="F476" s="6" t="str">
        <f>_xlfn.XLOOKUP(D476,[6]Sheet1!$C:$C,[6]Sheet1!$F:$F,"-")</f>
        <v>Muhammad Iqbal</v>
      </c>
      <c r="G476" s="222"/>
    </row>
    <row r="477" spans="2:7">
      <c r="B477" s="10" t="s">
        <v>370</v>
      </c>
      <c r="C477" s="11" t="s">
        <v>371</v>
      </c>
      <c r="D477" s="12" t="s">
        <v>507</v>
      </c>
      <c r="E477" s="13" t="s">
        <v>1739</v>
      </c>
      <c r="F477" s="6" t="str">
        <f>_xlfn.XLOOKUP(D477,[6]Sheet1!$C:$C,[6]Sheet1!$F:$F,"-")</f>
        <v>Muhammad Ramdhan</v>
      </c>
      <c r="G477" s="222"/>
    </row>
    <row r="478" spans="2:7">
      <c r="B478" s="10" t="s">
        <v>370</v>
      </c>
      <c r="C478" s="11" t="s">
        <v>371</v>
      </c>
      <c r="D478" s="12" t="s">
        <v>508</v>
      </c>
      <c r="E478" s="13" t="s">
        <v>1739</v>
      </c>
      <c r="F478" s="6" t="str">
        <f>_xlfn.XLOOKUP(D478,[6]Sheet1!$C:$C,[6]Sheet1!$F:$F,"-")</f>
        <v>Muhammad Ramdhan</v>
      </c>
      <c r="G478" s="222"/>
    </row>
    <row r="479" spans="2:7">
      <c r="B479" s="10" t="s">
        <v>370</v>
      </c>
      <c r="C479" s="11" t="s">
        <v>371</v>
      </c>
      <c r="D479" s="12" t="s">
        <v>509</v>
      </c>
      <c r="E479" s="13" t="s">
        <v>1739</v>
      </c>
      <c r="F479" s="6" t="str">
        <f>_xlfn.XLOOKUP(D479,[6]Sheet1!$C:$C,[6]Sheet1!$F:$F,"-")</f>
        <v>Rudi Hermawan</v>
      </c>
      <c r="G479" s="222"/>
    </row>
    <row r="480" spans="2:7">
      <c r="B480" s="10" t="s">
        <v>370</v>
      </c>
      <c r="C480" s="11" t="s">
        <v>371</v>
      </c>
      <c r="D480" s="12" t="s">
        <v>510</v>
      </c>
      <c r="E480" s="13" t="s">
        <v>1739</v>
      </c>
      <c r="F480" s="6" t="str">
        <f>_xlfn.XLOOKUP(D480,[6]Sheet1!$C:$C,[6]Sheet1!$F:$F,"-")</f>
        <v>Shevina Shevriyana</v>
      </c>
      <c r="G480" s="222"/>
    </row>
    <row r="481" spans="2:7">
      <c r="B481" s="10" t="s">
        <v>370</v>
      </c>
      <c r="C481" s="11" t="s">
        <v>371</v>
      </c>
      <c r="D481" s="12" t="s">
        <v>511</v>
      </c>
      <c r="E481" s="13" t="s">
        <v>1739</v>
      </c>
      <c r="F481" s="6" t="str">
        <f>_xlfn.XLOOKUP(D481,[6]Sheet1!$C:$C,[6]Sheet1!$F:$F,"-")</f>
        <v>Abdul Azid</v>
      </c>
      <c r="G481" s="222"/>
    </row>
    <row r="482" spans="2:7">
      <c r="B482" s="10" t="s">
        <v>370</v>
      </c>
      <c r="C482" s="11" t="s">
        <v>371</v>
      </c>
      <c r="D482" s="12" t="s">
        <v>512</v>
      </c>
      <c r="E482" s="13" t="s">
        <v>1739</v>
      </c>
      <c r="F482" s="6" t="str">
        <f>_xlfn.XLOOKUP(D482,[6]Sheet1!$C:$C,[6]Sheet1!$F:$F,"-")</f>
        <v>Agung Problema Huda</v>
      </c>
      <c r="G482" s="222"/>
    </row>
    <row r="483" spans="2:7">
      <c r="B483" s="10" t="s">
        <v>370</v>
      </c>
      <c r="C483" s="11" t="s">
        <v>371</v>
      </c>
      <c r="D483" s="12" t="s">
        <v>513</v>
      </c>
      <c r="E483" s="13" t="s">
        <v>1739</v>
      </c>
      <c r="F483" s="6" t="str">
        <f>_xlfn.XLOOKUP(D483,[6]Sheet1!$C:$C,[6]Sheet1!$F:$F,"-")</f>
        <v>Aris Sopiana</v>
      </c>
      <c r="G483" s="222"/>
    </row>
    <row r="484" spans="2:7">
      <c r="B484" s="10" t="s">
        <v>370</v>
      </c>
      <c r="C484" s="11" t="s">
        <v>371</v>
      </c>
      <c r="D484" s="12" t="s">
        <v>514</v>
      </c>
      <c r="E484" s="13" t="s">
        <v>1739</v>
      </c>
      <c r="F484" s="6" t="str">
        <f>_xlfn.XLOOKUP(D484,[6]Sheet1!$C:$C,[6]Sheet1!$F:$F,"-")</f>
        <v>Bambang Hermanto</v>
      </c>
      <c r="G484" s="222"/>
    </row>
    <row r="485" spans="2:7">
      <c r="B485" s="10" t="s">
        <v>370</v>
      </c>
      <c r="C485" s="11" t="s">
        <v>371</v>
      </c>
      <c r="D485" s="12" t="s">
        <v>515</v>
      </c>
      <c r="E485" s="13" t="s">
        <v>1739</v>
      </c>
      <c r="F485" s="6" t="str">
        <f>_xlfn.XLOOKUP(D485,[6]Sheet1!$C:$C,[6]Sheet1!$F:$F,"-")</f>
        <v>Dani Mardani</v>
      </c>
      <c r="G485" s="222"/>
    </row>
    <row r="486" spans="2:7">
      <c r="B486" s="10" t="s">
        <v>370</v>
      </c>
      <c r="C486" s="11" t="s">
        <v>371</v>
      </c>
      <c r="D486" s="12" t="s">
        <v>516</v>
      </c>
      <c r="E486" s="13" t="s">
        <v>1739</v>
      </c>
      <c r="F486" s="6" t="str">
        <f>_xlfn.XLOOKUP(D486,[6]Sheet1!$C:$C,[6]Sheet1!$F:$F,"-")</f>
        <v>Decky Verdian</v>
      </c>
      <c r="G486" s="222"/>
    </row>
    <row r="487" spans="2:7">
      <c r="B487" s="10" t="s">
        <v>370</v>
      </c>
      <c r="C487" s="11" t="s">
        <v>371</v>
      </c>
      <c r="D487" s="12" t="s">
        <v>517</v>
      </c>
      <c r="E487" s="13" t="s">
        <v>1739</v>
      </c>
      <c r="F487" s="6" t="str">
        <f>_xlfn.XLOOKUP(D487,[6]Sheet1!$C:$C,[6]Sheet1!$F:$F,"-")</f>
        <v>Dodi Rikiyandi</v>
      </c>
      <c r="G487" s="222"/>
    </row>
    <row r="488" spans="2:7">
      <c r="B488" s="10" t="s">
        <v>370</v>
      </c>
      <c r="C488" s="11" t="s">
        <v>371</v>
      </c>
      <c r="D488" s="12" t="s">
        <v>518</v>
      </c>
      <c r="E488" s="13" t="s">
        <v>1739</v>
      </c>
      <c r="F488" s="6" t="str">
        <f>_xlfn.XLOOKUP(D488,[6]Sheet1!$C:$C,[6]Sheet1!$F:$F,"-")</f>
        <v>Fadhlan Zazmi Hilman</v>
      </c>
      <c r="G488" s="222"/>
    </row>
    <row r="489" spans="2:7">
      <c r="B489" s="10" t="s">
        <v>370</v>
      </c>
      <c r="C489" s="11" t="s">
        <v>371</v>
      </c>
      <c r="D489" s="12" t="s">
        <v>519</v>
      </c>
      <c r="E489" s="13" t="s">
        <v>1739</v>
      </c>
      <c r="F489" s="6" t="str">
        <f>_xlfn.XLOOKUP(D489,[6]Sheet1!$C:$C,[6]Sheet1!$F:$F,"-")</f>
        <v>Fadillah Pratama Putra</v>
      </c>
      <c r="G489" s="222"/>
    </row>
    <row r="490" spans="2:7">
      <c r="B490" s="10" t="s">
        <v>370</v>
      </c>
      <c r="C490" s="11" t="s">
        <v>371</v>
      </c>
      <c r="D490" s="12" t="s">
        <v>520</v>
      </c>
      <c r="E490" s="13" t="s">
        <v>1739</v>
      </c>
      <c r="F490" s="6" t="str">
        <f>_xlfn.XLOOKUP(D490,[6]Sheet1!$C:$C,[6]Sheet1!$F:$F,"-")</f>
        <v>Herdiansyah</v>
      </c>
      <c r="G490" s="222"/>
    </row>
    <row r="491" spans="2:7">
      <c r="B491" s="10" t="s">
        <v>370</v>
      </c>
      <c r="C491" s="11" t="s">
        <v>371</v>
      </c>
      <c r="D491" s="12" t="s">
        <v>521</v>
      </c>
      <c r="E491" s="13" t="s">
        <v>1739</v>
      </c>
      <c r="F491" s="6" t="str">
        <f>_xlfn.XLOOKUP(D491,[6]Sheet1!$C:$C,[6]Sheet1!$F:$F,"-")</f>
        <v>Heriyanto</v>
      </c>
      <c r="G491" s="222"/>
    </row>
    <row r="492" spans="2:7">
      <c r="B492" s="10" t="s">
        <v>370</v>
      </c>
      <c r="C492" s="11" t="s">
        <v>371</v>
      </c>
      <c r="D492" s="12" t="s">
        <v>522</v>
      </c>
      <c r="E492" s="13" t="s">
        <v>1739</v>
      </c>
      <c r="F492" s="6" t="str">
        <f>_xlfn.XLOOKUP(D492,[6]Sheet1!$C:$C,[6]Sheet1!$F:$F,"-")</f>
        <v>Indra Gunawan</v>
      </c>
      <c r="G492" s="222"/>
    </row>
    <row r="493" spans="2:7">
      <c r="B493" s="10" t="s">
        <v>370</v>
      </c>
      <c r="C493" s="11" t="s">
        <v>371</v>
      </c>
      <c r="D493" s="12" t="s">
        <v>523</v>
      </c>
      <c r="E493" s="13" t="s">
        <v>1739</v>
      </c>
      <c r="F493" s="6" t="str">
        <f>_xlfn.XLOOKUP(D493,[6]Sheet1!$C:$C,[6]Sheet1!$F:$F,"-")</f>
        <v>Jamaludin</v>
      </c>
      <c r="G493" s="222"/>
    </row>
    <row r="494" spans="2:7">
      <c r="B494" s="10" t="s">
        <v>370</v>
      </c>
      <c r="C494" s="11" t="s">
        <v>371</v>
      </c>
      <c r="D494" s="12" t="s">
        <v>524</v>
      </c>
      <c r="E494" s="13" t="s">
        <v>1739</v>
      </c>
      <c r="F494" s="6" t="str">
        <f>_xlfn.XLOOKUP(D494,[6]Sheet1!$C:$C,[6]Sheet1!$F:$F,"-")</f>
        <v>Jamaludin</v>
      </c>
      <c r="G494" s="222"/>
    </row>
    <row r="495" spans="2:7">
      <c r="B495" s="10" t="s">
        <v>370</v>
      </c>
      <c r="C495" s="11" t="s">
        <v>371</v>
      </c>
      <c r="D495" s="12" t="s">
        <v>525</v>
      </c>
      <c r="E495" s="13" t="s">
        <v>1739</v>
      </c>
      <c r="F495" s="6" t="str">
        <f>_xlfn.XLOOKUP(D495,[6]Sheet1!$C:$C,[6]Sheet1!$F:$F,"-")</f>
        <v>Muhammad Mahfudin</v>
      </c>
      <c r="G495" s="222"/>
    </row>
    <row r="496" spans="2:7">
      <c r="B496" s="10" t="s">
        <v>370</v>
      </c>
      <c r="C496" s="11" t="s">
        <v>371</v>
      </c>
      <c r="D496" s="12" t="s">
        <v>526</v>
      </c>
      <c r="E496" s="13" t="s">
        <v>1739</v>
      </c>
      <c r="F496" s="6" t="str">
        <f>_xlfn.XLOOKUP(D496,[6]Sheet1!$C:$C,[6]Sheet1!$F:$F,"-")</f>
        <v>Nondi Rismaya</v>
      </c>
      <c r="G496" s="222"/>
    </row>
    <row r="497" spans="2:7">
      <c r="B497" s="10" t="s">
        <v>370</v>
      </c>
      <c r="C497" s="11" t="s">
        <v>371</v>
      </c>
      <c r="D497" s="12" t="s">
        <v>527</v>
      </c>
      <c r="E497" s="13" t="s">
        <v>1739</v>
      </c>
      <c r="F497" s="6" t="str">
        <f>_xlfn.XLOOKUP(D497,[6]Sheet1!$C:$C,[6]Sheet1!$F:$F,"-")</f>
        <v>Rahmat Fauzi</v>
      </c>
      <c r="G497" s="222"/>
    </row>
    <row r="498" spans="2:7">
      <c r="B498" s="10" t="s">
        <v>370</v>
      </c>
      <c r="C498" s="11" t="s">
        <v>371</v>
      </c>
      <c r="D498" s="12" t="s">
        <v>528</v>
      </c>
      <c r="E498" s="13" t="s">
        <v>1739</v>
      </c>
      <c r="F498" s="6" t="str">
        <f>_xlfn.XLOOKUP(D498,[6]Sheet1!$C:$C,[6]Sheet1!$F:$F,"-")</f>
        <v>Reja Suherlan</v>
      </c>
      <c r="G498" s="222"/>
    </row>
    <row r="499" spans="2:7">
      <c r="B499" s="10" t="s">
        <v>370</v>
      </c>
      <c r="C499" s="11" t="s">
        <v>371</v>
      </c>
      <c r="D499" s="12" t="s">
        <v>529</v>
      </c>
      <c r="E499" s="13" t="s">
        <v>1739</v>
      </c>
      <c r="F499" s="6" t="str">
        <f>_xlfn.XLOOKUP(D499,[6]Sheet1!$C:$C,[6]Sheet1!$F:$F,"-")</f>
        <v>Reja Suherlan</v>
      </c>
      <c r="G499" s="222"/>
    </row>
    <row r="500" spans="2:7">
      <c r="B500" s="10" t="s">
        <v>370</v>
      </c>
      <c r="C500" s="11" t="s">
        <v>371</v>
      </c>
      <c r="D500" s="12" t="s">
        <v>530</v>
      </c>
      <c r="E500" s="13" t="s">
        <v>1739</v>
      </c>
      <c r="F500" s="6" t="str">
        <f>_xlfn.XLOOKUP(D500,[6]Sheet1!$C:$C,[6]Sheet1!$F:$F,"-")</f>
        <v>Rendi Muhamad</v>
      </c>
      <c r="G500" s="222"/>
    </row>
    <row r="501" spans="2:7">
      <c r="B501" s="10" t="s">
        <v>370</v>
      </c>
      <c r="C501" s="11" t="s">
        <v>371</v>
      </c>
      <c r="D501" s="12" t="s">
        <v>531</v>
      </c>
      <c r="E501" s="13" t="s">
        <v>1739</v>
      </c>
      <c r="F501" s="6" t="str">
        <f>_xlfn.XLOOKUP(D501,[6]Sheet1!$C:$C,[6]Sheet1!$F:$F,"-")</f>
        <v>Restu Sanjaya</v>
      </c>
      <c r="G501" s="222"/>
    </row>
    <row r="502" spans="2:7">
      <c r="B502" s="10" t="s">
        <v>370</v>
      </c>
      <c r="C502" s="11" t="s">
        <v>371</v>
      </c>
      <c r="D502" s="12" t="s">
        <v>532</v>
      </c>
      <c r="E502" s="13" t="s">
        <v>1739</v>
      </c>
      <c r="F502" s="6" t="str">
        <f>_xlfn.XLOOKUP(D502,[6]Sheet1!$C:$C,[6]Sheet1!$F:$F,"-")</f>
        <v>Saepul Bahri</v>
      </c>
      <c r="G502" s="222"/>
    </row>
    <row r="503" spans="2:7">
      <c r="B503" s="10" t="s">
        <v>370</v>
      </c>
      <c r="C503" s="11" t="s">
        <v>371</v>
      </c>
      <c r="D503" s="12" t="s">
        <v>533</v>
      </c>
      <c r="E503" s="13" t="s">
        <v>1739</v>
      </c>
      <c r="F503" s="6" t="str">
        <f>_xlfn.XLOOKUP(D503,[6]Sheet1!$C:$C,[6]Sheet1!$F:$F,"-")</f>
        <v>Saepul Iman</v>
      </c>
      <c r="G503" s="222"/>
    </row>
    <row r="504" spans="2:7">
      <c r="B504" s="10" t="s">
        <v>370</v>
      </c>
      <c r="C504" s="11" t="s">
        <v>371</v>
      </c>
      <c r="D504" s="12" t="s">
        <v>534</v>
      </c>
      <c r="E504" s="13" t="s">
        <v>1739</v>
      </c>
      <c r="F504" s="6" t="str">
        <f>_xlfn.XLOOKUP(D504,[6]Sheet1!$C:$C,[6]Sheet1!$F:$F,"-")</f>
        <v>Sandi Purnama</v>
      </c>
      <c r="G504" s="222"/>
    </row>
    <row r="505" spans="2:7">
      <c r="B505" s="10" t="s">
        <v>370</v>
      </c>
      <c r="C505" s="11" t="s">
        <v>371</v>
      </c>
      <c r="D505" s="12" t="s">
        <v>535</v>
      </c>
      <c r="E505" s="13" t="s">
        <v>1739</v>
      </c>
      <c r="F505" s="6" t="str">
        <f>_xlfn.XLOOKUP(D505,[6]Sheet1!$C:$C,[6]Sheet1!$F:$F,"-")</f>
        <v>Yandi Ramdani</v>
      </c>
      <c r="G505" s="222"/>
    </row>
    <row r="506" spans="2:7">
      <c r="B506" s="10" t="s">
        <v>370</v>
      </c>
      <c r="C506" s="11" t="s">
        <v>371</v>
      </c>
      <c r="D506" s="12" t="s">
        <v>536</v>
      </c>
      <c r="E506" s="13" t="s">
        <v>1739</v>
      </c>
      <c r="F506" s="6" t="str">
        <f>_xlfn.XLOOKUP(D506,[6]Sheet1!$C:$C,[6]Sheet1!$F:$F,"-")</f>
        <v>Yogi Iskandar</v>
      </c>
      <c r="G506" s="222"/>
    </row>
    <row r="507" spans="2:7">
      <c r="B507" s="10" t="s">
        <v>370</v>
      </c>
      <c r="C507" s="11" t="s">
        <v>371</v>
      </c>
      <c r="D507" s="12" t="s">
        <v>537</v>
      </c>
      <c r="E507" s="13" t="s">
        <v>1739</v>
      </c>
      <c r="F507" s="6" t="str">
        <f>_xlfn.XLOOKUP(D507,[6]Sheet1!$C:$C,[6]Sheet1!$F:$F,"-")</f>
        <v>Yogi Iskandar</v>
      </c>
      <c r="G507" s="222"/>
    </row>
    <row r="508" spans="2:7">
      <c r="B508" s="10" t="s">
        <v>370</v>
      </c>
      <c r="C508" s="11" t="s">
        <v>371</v>
      </c>
      <c r="D508" s="12" t="s">
        <v>538</v>
      </c>
      <c r="E508" s="13" t="s">
        <v>1739</v>
      </c>
      <c r="F508" s="6" t="str">
        <f>_xlfn.XLOOKUP(D508,[6]Sheet1!$C:$C,[6]Sheet1!$F:$F,"-")</f>
        <v>Yunus Abdul Lyi Sadjidin</v>
      </c>
      <c r="G508" s="222"/>
    </row>
    <row r="509" spans="2:7">
      <c r="B509" s="10" t="s">
        <v>370</v>
      </c>
      <c r="C509" s="11" t="s">
        <v>371</v>
      </c>
      <c r="D509" s="12" t="s">
        <v>539</v>
      </c>
      <c r="E509" s="13" t="s">
        <v>1716</v>
      </c>
      <c r="F509" s="6" t="str">
        <f>_xlfn.XLOOKUP(D509,[6]Sheet1!$C:$C,[6]Sheet1!$F:$F,"-")</f>
        <v>Ardi Rahman Suwandi</v>
      </c>
      <c r="G509" s="222"/>
    </row>
    <row r="510" spans="2:7">
      <c r="B510" s="10" t="s">
        <v>370</v>
      </c>
      <c r="C510" s="11" t="s">
        <v>371</v>
      </c>
      <c r="D510" s="12" t="s">
        <v>540</v>
      </c>
      <c r="E510" s="13" t="s">
        <v>1716</v>
      </c>
      <c r="F510" s="6" t="str">
        <f>_xlfn.XLOOKUP(D510,[6]Sheet1!$C:$C,[6]Sheet1!$F:$F,"-")</f>
        <v>Argam Maulana</v>
      </c>
      <c r="G510" s="222"/>
    </row>
    <row r="511" spans="2:7">
      <c r="B511" s="10" t="s">
        <v>370</v>
      </c>
      <c r="C511" s="11" t="s">
        <v>371</v>
      </c>
      <c r="D511" s="12" t="s">
        <v>541</v>
      </c>
      <c r="E511" s="13" t="s">
        <v>1716</v>
      </c>
      <c r="F511" s="6" t="str">
        <f>_xlfn.XLOOKUP(D511,[6]Sheet1!$C:$C,[6]Sheet1!$F:$F,"-")</f>
        <v>Ari Apriadi</v>
      </c>
      <c r="G511" s="222"/>
    </row>
    <row r="512" spans="2:7">
      <c r="B512" s="10" t="s">
        <v>370</v>
      </c>
      <c r="C512" s="11" t="s">
        <v>371</v>
      </c>
      <c r="D512" s="12" t="s">
        <v>542</v>
      </c>
      <c r="E512" s="13" t="s">
        <v>1716</v>
      </c>
      <c r="F512" s="6" t="str">
        <f>_xlfn.XLOOKUP(D512,[6]Sheet1!$C:$C,[6]Sheet1!$F:$F,"-")</f>
        <v>Ari Apriadi</v>
      </c>
      <c r="G512" s="222"/>
    </row>
    <row r="513" spans="2:7">
      <c r="B513" s="10" t="s">
        <v>370</v>
      </c>
      <c r="C513" s="11" t="s">
        <v>371</v>
      </c>
      <c r="D513" s="12" t="s">
        <v>543</v>
      </c>
      <c r="E513" s="13" t="s">
        <v>1716</v>
      </c>
      <c r="F513" s="6" t="str">
        <f>_xlfn.XLOOKUP(D513,[6]Sheet1!$C:$C,[6]Sheet1!$F:$F,"-")</f>
        <v>Caswin Aprianto</v>
      </c>
      <c r="G513" s="222"/>
    </row>
    <row r="514" spans="2:7">
      <c r="B514" s="10" t="s">
        <v>370</v>
      </c>
      <c r="C514" s="11" t="s">
        <v>371</v>
      </c>
      <c r="D514" s="12" t="s">
        <v>544</v>
      </c>
      <c r="E514" s="13" t="s">
        <v>1716</v>
      </c>
      <c r="F514" s="6" t="str">
        <f>_xlfn.XLOOKUP(D514,[6]Sheet1!$C:$C,[6]Sheet1!$F:$F,"-")</f>
        <v>Dede Rino Mailudin</v>
      </c>
      <c r="G514" s="222"/>
    </row>
    <row r="515" spans="2:7">
      <c r="B515" s="10" t="s">
        <v>370</v>
      </c>
      <c r="C515" s="11" t="s">
        <v>371</v>
      </c>
      <c r="D515" s="12" t="s">
        <v>545</v>
      </c>
      <c r="E515" s="13" t="s">
        <v>1716</v>
      </c>
      <c r="F515" s="6" t="str">
        <f>_xlfn.XLOOKUP(D515,[6]Sheet1!$C:$C,[6]Sheet1!$F:$F,"-")</f>
        <v>Deden Maulana</v>
      </c>
      <c r="G515" s="222"/>
    </row>
    <row r="516" spans="2:7">
      <c r="B516" s="10" t="s">
        <v>370</v>
      </c>
      <c r="C516" s="11" t="s">
        <v>371</v>
      </c>
      <c r="D516" s="12" t="s">
        <v>546</v>
      </c>
      <c r="E516" s="13" t="s">
        <v>1716</v>
      </c>
      <c r="F516" s="6" t="str">
        <f>_xlfn.XLOOKUP(D516,[6]Sheet1!$C:$C,[6]Sheet1!$F:$F,"-")</f>
        <v>Deden Maulana</v>
      </c>
      <c r="G516" s="222"/>
    </row>
    <row r="517" spans="2:7">
      <c r="B517" s="10" t="s">
        <v>370</v>
      </c>
      <c r="C517" s="11" t="s">
        <v>371</v>
      </c>
      <c r="D517" s="12" t="s">
        <v>547</v>
      </c>
      <c r="E517" s="13" t="s">
        <v>1716</v>
      </c>
      <c r="F517" s="6" t="str">
        <f>_xlfn.XLOOKUP(D517,[6]Sheet1!$C:$C,[6]Sheet1!$F:$F,"-")</f>
        <v>Deni Herdian</v>
      </c>
      <c r="G517" s="222"/>
    </row>
    <row r="518" spans="2:7">
      <c r="B518" s="10" t="s">
        <v>370</v>
      </c>
      <c r="C518" s="11" t="s">
        <v>371</v>
      </c>
      <c r="D518" s="12" t="s">
        <v>548</v>
      </c>
      <c r="E518" s="13" t="s">
        <v>1716</v>
      </c>
      <c r="F518" s="6" t="str">
        <f>_xlfn.XLOOKUP(D518,[6]Sheet1!$C:$C,[6]Sheet1!$F:$F,"-")</f>
        <v>Fikri Hidayatuloh</v>
      </c>
      <c r="G518" s="222"/>
    </row>
    <row r="519" spans="2:7">
      <c r="B519" s="10" t="s">
        <v>370</v>
      </c>
      <c r="C519" s="11" t="s">
        <v>371</v>
      </c>
      <c r="D519" s="12" t="s">
        <v>549</v>
      </c>
      <c r="E519" s="13" t="s">
        <v>1716</v>
      </c>
      <c r="F519" s="6" t="str">
        <f>_xlfn.XLOOKUP(D519,[6]Sheet1!$C:$C,[6]Sheet1!$F:$F,"-")</f>
        <v>Ilyas Roya</v>
      </c>
      <c r="G519" s="222"/>
    </row>
    <row r="520" spans="2:7">
      <c r="B520" s="10" t="s">
        <v>370</v>
      </c>
      <c r="C520" s="11" t="s">
        <v>371</v>
      </c>
      <c r="D520" s="12" t="s">
        <v>550</v>
      </c>
      <c r="E520" s="13" t="s">
        <v>1716</v>
      </c>
      <c r="F520" s="6" t="str">
        <f>_xlfn.XLOOKUP(D520,[6]Sheet1!$C:$C,[6]Sheet1!$F:$F,"-")</f>
        <v>Ilyas Roya</v>
      </c>
      <c r="G520" s="222"/>
    </row>
    <row r="521" spans="2:7">
      <c r="B521" s="10" t="s">
        <v>370</v>
      </c>
      <c r="C521" s="11" t="s">
        <v>371</v>
      </c>
      <c r="D521" s="12" t="s">
        <v>551</v>
      </c>
      <c r="E521" s="13" t="s">
        <v>1716</v>
      </c>
      <c r="F521" s="6" t="str">
        <f>_xlfn.XLOOKUP(D521,[6]Sheet1!$C:$C,[6]Sheet1!$F:$F,"-")</f>
        <v>Ilyas Roya</v>
      </c>
      <c r="G521" s="222"/>
    </row>
    <row r="522" spans="2:7">
      <c r="B522" s="10" t="s">
        <v>370</v>
      </c>
      <c r="C522" s="11" t="s">
        <v>371</v>
      </c>
      <c r="D522" s="12" t="s">
        <v>552</v>
      </c>
      <c r="E522" s="13" t="s">
        <v>1716</v>
      </c>
      <c r="F522" s="6" t="str">
        <f>_xlfn.XLOOKUP(D522,[6]Sheet1!$C:$C,[6]Sheet1!$F:$F,"-")</f>
        <v>Muhamad Alimudin</v>
      </c>
      <c r="G522" s="222"/>
    </row>
    <row r="523" spans="2:7">
      <c r="B523" s="10" t="s">
        <v>370</v>
      </c>
      <c r="C523" s="11" t="s">
        <v>371</v>
      </c>
      <c r="D523" s="12" t="s">
        <v>553</v>
      </c>
      <c r="E523" s="13" t="s">
        <v>1716</v>
      </c>
      <c r="F523" s="6" t="str">
        <f>_xlfn.XLOOKUP(D523,[6]Sheet1!$C:$C,[6]Sheet1!$F:$F,"-")</f>
        <v>Regy Permana</v>
      </c>
      <c r="G523" s="222"/>
    </row>
    <row r="524" spans="2:7">
      <c r="B524" s="10" t="s">
        <v>370</v>
      </c>
      <c r="C524" s="11" t="s">
        <v>371</v>
      </c>
      <c r="D524" s="12" t="s">
        <v>554</v>
      </c>
      <c r="E524" s="13" t="s">
        <v>1716</v>
      </c>
      <c r="F524" s="6" t="str">
        <f>_xlfn.XLOOKUP(D524,[6]Sheet1!$C:$C,[6]Sheet1!$F:$F,"-")</f>
        <v>Regy Permana</v>
      </c>
      <c r="G524" s="222"/>
    </row>
    <row r="525" spans="2:7">
      <c r="B525" s="10" t="s">
        <v>370</v>
      </c>
      <c r="C525" s="11" t="s">
        <v>371</v>
      </c>
      <c r="D525" s="12" t="s">
        <v>555</v>
      </c>
      <c r="E525" s="13" t="s">
        <v>1716</v>
      </c>
      <c r="F525" s="6" t="str">
        <f>_xlfn.XLOOKUP(D525,[6]Sheet1!$C:$C,[6]Sheet1!$F:$F,"-")</f>
        <v>Rijal</v>
      </c>
      <c r="G525" s="222"/>
    </row>
    <row r="526" spans="2:7">
      <c r="B526" s="10" t="s">
        <v>370</v>
      </c>
      <c r="C526" s="11" t="s">
        <v>371</v>
      </c>
      <c r="D526" s="12" t="s">
        <v>556</v>
      </c>
      <c r="E526" s="13" t="s">
        <v>1739</v>
      </c>
      <c r="F526" s="6" t="str">
        <f>_xlfn.XLOOKUP(D526,[6]Sheet1!$C:$C,[6]Sheet1!$F:$F,"-")</f>
        <v>Agustian Sholeh</v>
      </c>
      <c r="G526" s="222"/>
    </row>
    <row r="527" spans="2:7">
      <c r="B527" s="10" t="s">
        <v>370</v>
      </c>
      <c r="C527" s="11" t="s">
        <v>371</v>
      </c>
      <c r="D527" s="12" t="s">
        <v>557</v>
      </c>
      <c r="E527" s="13" t="s">
        <v>1739</v>
      </c>
      <c r="F527" s="6" t="str">
        <f>_xlfn.XLOOKUP(D527,[6]Sheet1!$C:$C,[6]Sheet1!$F:$F,"-")</f>
        <v>Billy Jenawi</v>
      </c>
      <c r="G527" s="222"/>
    </row>
    <row r="528" spans="2:7">
      <c r="B528" s="10" t="s">
        <v>370</v>
      </c>
      <c r="C528" s="11" t="s">
        <v>371</v>
      </c>
      <c r="D528" s="12" t="s">
        <v>558</v>
      </c>
      <c r="E528" s="13" t="s">
        <v>1739</v>
      </c>
      <c r="F528" s="6" t="str">
        <f>_xlfn.XLOOKUP(D528,[6]Sheet1!$C:$C,[6]Sheet1!$F:$F,"-")</f>
        <v>Budi Sunandar</v>
      </c>
      <c r="G528" s="222"/>
    </row>
    <row r="529" spans="2:7">
      <c r="B529" s="10" t="s">
        <v>370</v>
      </c>
      <c r="C529" s="11" t="s">
        <v>371</v>
      </c>
      <c r="D529" s="12" t="s">
        <v>559</v>
      </c>
      <c r="E529" s="13" t="s">
        <v>1739</v>
      </c>
      <c r="F529" s="6" t="str">
        <f>_xlfn.XLOOKUP(D529,[6]Sheet1!$C:$C,[6]Sheet1!$F:$F,"-")</f>
        <v>Dadan Darusman</v>
      </c>
      <c r="G529" s="222"/>
    </row>
    <row r="530" spans="2:7">
      <c r="B530" s="10" t="s">
        <v>370</v>
      </c>
      <c r="C530" s="11" t="s">
        <v>371</v>
      </c>
      <c r="D530" s="12" t="s">
        <v>560</v>
      </c>
      <c r="E530" s="13" t="s">
        <v>1739</v>
      </c>
      <c r="F530" s="6" t="str">
        <f>_xlfn.XLOOKUP(D530,[6]Sheet1!$C:$C,[6]Sheet1!$F:$F,"-")</f>
        <v>Dede Kurnia</v>
      </c>
      <c r="G530" s="222"/>
    </row>
    <row r="531" spans="2:7">
      <c r="B531" s="10" t="s">
        <v>370</v>
      </c>
      <c r="C531" s="11" t="s">
        <v>371</v>
      </c>
      <c r="D531" s="12" t="s">
        <v>561</v>
      </c>
      <c r="E531" s="13" t="s">
        <v>1739</v>
      </c>
      <c r="F531" s="6" t="str">
        <f>_xlfn.XLOOKUP(D531,[6]Sheet1!$C:$C,[6]Sheet1!$F:$F,"-")</f>
        <v>Faisal Malik</v>
      </c>
      <c r="G531" s="222"/>
    </row>
    <row r="532" spans="2:7">
      <c r="B532" s="10" t="s">
        <v>370</v>
      </c>
      <c r="C532" s="11" t="s">
        <v>371</v>
      </c>
      <c r="D532" s="12" t="s">
        <v>562</v>
      </c>
      <c r="E532" s="13" t="s">
        <v>1739</v>
      </c>
      <c r="F532" s="6" t="str">
        <f>_xlfn.XLOOKUP(D532,[6]Sheet1!$C:$C,[6]Sheet1!$F:$F,"-")</f>
        <v>Gilang Maulana Yusuf</v>
      </c>
      <c r="G532" s="222"/>
    </row>
    <row r="533" spans="2:7">
      <c r="B533" s="10" t="s">
        <v>370</v>
      </c>
      <c r="C533" s="11" t="s">
        <v>371</v>
      </c>
      <c r="D533" s="12" t="s">
        <v>563</v>
      </c>
      <c r="E533" s="13" t="s">
        <v>1739</v>
      </c>
      <c r="F533" s="6" t="str">
        <f>_xlfn.XLOOKUP(D533,[6]Sheet1!$C:$C,[6]Sheet1!$F:$F,"-")</f>
        <v>Harry Satria Rachman</v>
      </c>
      <c r="G533" s="222"/>
    </row>
    <row r="534" spans="2:7">
      <c r="B534" s="10" t="s">
        <v>370</v>
      </c>
      <c r="C534" s="11" t="s">
        <v>371</v>
      </c>
      <c r="D534" s="12" t="s">
        <v>564</v>
      </c>
      <c r="E534" s="13" t="s">
        <v>1739</v>
      </c>
      <c r="F534" s="6" t="str">
        <f>_xlfn.XLOOKUP(D534,[6]Sheet1!$C:$C,[6]Sheet1!$F:$F,"-")</f>
        <v>Iman Sulaeman</v>
      </c>
      <c r="G534" s="222"/>
    </row>
    <row r="535" spans="2:7">
      <c r="B535" s="10" t="s">
        <v>370</v>
      </c>
      <c r="C535" s="11" t="s">
        <v>371</v>
      </c>
      <c r="D535" s="12" t="s">
        <v>565</v>
      </c>
      <c r="E535" s="13" t="s">
        <v>1739</v>
      </c>
      <c r="F535" s="6" t="str">
        <f>_xlfn.XLOOKUP(D535,[6]Sheet1!$C:$C,[6]Sheet1!$F:$F,"-")</f>
        <v>Jamaludin Syah</v>
      </c>
      <c r="G535" s="222"/>
    </row>
    <row r="536" spans="2:7">
      <c r="B536" s="10" t="s">
        <v>370</v>
      </c>
      <c r="C536" s="11" t="s">
        <v>371</v>
      </c>
      <c r="D536" s="12" t="s">
        <v>566</v>
      </c>
      <c r="E536" s="13" t="s">
        <v>1739</v>
      </c>
      <c r="F536" s="6" t="str">
        <f>_xlfn.XLOOKUP(D536,[6]Sheet1!$C:$C,[6]Sheet1!$F:$F,"-")</f>
        <v>Kamaludin</v>
      </c>
      <c r="G536" s="222"/>
    </row>
    <row r="537" spans="2:7">
      <c r="B537" s="10" t="s">
        <v>370</v>
      </c>
      <c r="C537" s="11" t="s">
        <v>371</v>
      </c>
      <c r="D537" s="12" t="s">
        <v>567</v>
      </c>
      <c r="E537" s="13" t="s">
        <v>1739</v>
      </c>
      <c r="F537" s="6" t="str">
        <f>_xlfn.XLOOKUP(D537,[6]Sheet1!$C:$C,[6]Sheet1!$F:$F,"-")</f>
        <v>Muhamad Hendar Ali</v>
      </c>
      <c r="G537" s="222"/>
    </row>
    <row r="538" spans="2:7">
      <c r="B538" s="10" t="s">
        <v>370</v>
      </c>
      <c r="C538" s="11" t="s">
        <v>371</v>
      </c>
      <c r="D538" s="12" t="s">
        <v>568</v>
      </c>
      <c r="E538" s="13" t="s">
        <v>1739</v>
      </c>
      <c r="F538" s="6" t="str">
        <f>_xlfn.XLOOKUP(D538,[6]Sheet1!$C:$C,[6]Sheet1!$F:$F,"-")</f>
        <v>Muhammad Nurani Kholis</v>
      </c>
      <c r="G538" s="222"/>
    </row>
    <row r="539" spans="2:7">
      <c r="B539" s="10" t="s">
        <v>370</v>
      </c>
      <c r="C539" s="11" t="s">
        <v>371</v>
      </c>
      <c r="D539" s="12" t="s">
        <v>569</v>
      </c>
      <c r="E539" s="13" t="s">
        <v>1739</v>
      </c>
      <c r="F539" s="6" t="str">
        <f>_xlfn.XLOOKUP(D539,[6]Sheet1!$C:$C,[6]Sheet1!$F:$F,"-")</f>
        <v>Rahmat Efendi</v>
      </c>
      <c r="G539" s="222"/>
    </row>
    <row r="540" spans="2:7">
      <c r="B540" s="10" t="s">
        <v>370</v>
      </c>
      <c r="C540" s="11" t="s">
        <v>371</v>
      </c>
      <c r="D540" s="12" t="s">
        <v>570</v>
      </c>
      <c r="E540" s="13" t="s">
        <v>1739</v>
      </c>
      <c r="F540" s="6" t="str">
        <f>_xlfn.XLOOKUP(D540,[6]Sheet1!$C:$C,[6]Sheet1!$F:$F,"-")</f>
        <v>Ricky Nurdiansyah</v>
      </c>
      <c r="G540" s="222"/>
    </row>
    <row r="541" spans="2:7">
      <c r="B541" s="10" t="s">
        <v>370</v>
      </c>
      <c r="C541" s="11" t="s">
        <v>371</v>
      </c>
      <c r="D541" s="12" t="s">
        <v>571</v>
      </c>
      <c r="E541" s="13" t="s">
        <v>1739</v>
      </c>
      <c r="F541" s="6" t="str">
        <f>_xlfn.XLOOKUP(D541,[6]Sheet1!$C:$C,[6]Sheet1!$F:$F,"-")</f>
        <v>Tanto Taufik</v>
      </c>
      <c r="G541" s="222"/>
    </row>
    <row r="542" spans="2:7">
      <c r="B542" s="10" t="s">
        <v>370</v>
      </c>
      <c r="C542" s="11" t="s">
        <v>371</v>
      </c>
      <c r="D542" s="12" t="s">
        <v>572</v>
      </c>
      <c r="E542" s="13" t="s">
        <v>1739</v>
      </c>
      <c r="F542" s="6" t="str">
        <f>_xlfn.XLOOKUP(D542,[6]Sheet1!$C:$C,[6]Sheet1!$F:$F,"-")</f>
        <v>Tanto Taufik</v>
      </c>
      <c r="G542" s="222"/>
    </row>
    <row r="543" spans="2:7">
      <c r="B543" s="10" t="s">
        <v>370</v>
      </c>
      <c r="C543" s="11" t="s">
        <v>371</v>
      </c>
      <c r="D543" s="12" t="s">
        <v>573</v>
      </c>
      <c r="E543" s="13" t="s">
        <v>1739</v>
      </c>
      <c r="F543" s="6" t="str">
        <f>_xlfn.XLOOKUP(D543,[6]Sheet1!$C:$C,[6]Sheet1!$F:$F,"-")</f>
        <v>Ujang Andi</v>
      </c>
      <c r="G543" s="222"/>
    </row>
    <row r="544" spans="2:7">
      <c r="B544" s="10" t="s">
        <v>370</v>
      </c>
      <c r="C544" s="11" t="s">
        <v>371</v>
      </c>
      <c r="D544" s="12" t="s">
        <v>574</v>
      </c>
      <c r="E544" s="13" t="s">
        <v>1739</v>
      </c>
      <c r="F544" s="6" t="str">
        <f>_xlfn.XLOOKUP(D544,[6]Sheet1!$C:$C,[6]Sheet1!$F:$F,"-")</f>
        <v>Zam zam Mugni fadil</v>
      </c>
      <c r="G544" s="222"/>
    </row>
    <row r="545" spans="2:7">
      <c r="B545" s="10" t="s">
        <v>370</v>
      </c>
      <c r="C545" s="11" t="s">
        <v>371</v>
      </c>
      <c r="D545" s="12" t="s">
        <v>575</v>
      </c>
      <c r="E545" s="13" t="s">
        <v>1739</v>
      </c>
      <c r="F545" s="6" t="str">
        <f>_xlfn.XLOOKUP(D545,[6]Sheet1!$C:$C,[6]Sheet1!$F:$F,"-")</f>
        <v>Andy Risqi Pratama S</v>
      </c>
      <c r="G545" s="222"/>
    </row>
    <row r="546" spans="2:7">
      <c r="B546" s="10" t="s">
        <v>370</v>
      </c>
      <c r="C546" s="11" t="s">
        <v>371</v>
      </c>
      <c r="D546" s="12" t="s">
        <v>576</v>
      </c>
      <c r="E546" s="13" t="s">
        <v>1739</v>
      </c>
      <c r="F546" s="6" t="str">
        <f>_xlfn.XLOOKUP(D546,[6]Sheet1!$C:$C,[6]Sheet1!$F:$F,"-")</f>
        <v>Darwanto</v>
      </c>
      <c r="G546" s="222"/>
    </row>
    <row r="547" spans="2:7">
      <c r="B547" s="10" t="s">
        <v>370</v>
      </c>
      <c r="C547" s="11" t="s">
        <v>371</v>
      </c>
      <c r="D547" s="12" t="s">
        <v>577</v>
      </c>
      <c r="E547" s="13" t="s">
        <v>1739</v>
      </c>
      <c r="F547" s="6" t="str">
        <f>_xlfn.XLOOKUP(D547,[6]Sheet1!$C:$C,[6]Sheet1!$F:$F,"-")</f>
        <v>Deni Sukmana</v>
      </c>
      <c r="G547" s="222"/>
    </row>
    <row r="548" spans="2:7">
      <c r="B548" s="10" t="s">
        <v>370</v>
      </c>
      <c r="C548" s="11" t="s">
        <v>371</v>
      </c>
      <c r="D548" s="12" t="s">
        <v>578</v>
      </c>
      <c r="E548" s="13" t="s">
        <v>1739</v>
      </c>
      <c r="F548" s="6" t="str">
        <f>_xlfn.XLOOKUP(D548,[6]Sheet1!$C:$C,[6]Sheet1!$F:$F,"-")</f>
        <v>Hafiz Muhammad Siddiq</v>
      </c>
      <c r="G548" s="222"/>
    </row>
    <row r="549" spans="2:7">
      <c r="B549" s="10" t="s">
        <v>370</v>
      </c>
      <c r="C549" s="11" t="s">
        <v>371</v>
      </c>
      <c r="D549" s="12" t="s">
        <v>579</v>
      </c>
      <c r="E549" s="13" t="s">
        <v>1739</v>
      </c>
      <c r="F549" s="6" t="str">
        <f>_xlfn.XLOOKUP(D549,[6]Sheet1!$C:$C,[6]Sheet1!$F:$F,"-")</f>
        <v>Haliman Apriyadi</v>
      </c>
      <c r="G549" s="222"/>
    </row>
    <row r="550" spans="2:7">
      <c r="B550" s="10" t="s">
        <v>370</v>
      </c>
      <c r="C550" s="11" t="s">
        <v>371</v>
      </c>
      <c r="D550" s="12" t="s">
        <v>580</v>
      </c>
      <c r="E550" s="13" t="s">
        <v>1739</v>
      </c>
      <c r="F550" s="6" t="str">
        <f>_xlfn.XLOOKUP(D550,[6]Sheet1!$C:$C,[6]Sheet1!$F:$F,"-")</f>
        <v>Jejen Jaenudin</v>
      </c>
      <c r="G550" s="222"/>
    </row>
    <row r="551" spans="2:7">
      <c r="B551" s="10" t="s">
        <v>370</v>
      </c>
      <c r="C551" s="11" t="s">
        <v>371</v>
      </c>
      <c r="D551" s="12" t="s">
        <v>581</v>
      </c>
      <c r="E551" s="13" t="s">
        <v>1739</v>
      </c>
      <c r="F551" s="6" t="str">
        <f>_xlfn.XLOOKUP(D551,[6]Sheet1!$C:$C,[6]Sheet1!$F:$F,"-")</f>
        <v>M. Sanusi</v>
      </c>
      <c r="G551" s="222"/>
    </row>
    <row r="552" spans="2:7">
      <c r="B552" s="10" t="s">
        <v>370</v>
      </c>
      <c r="C552" s="11" t="s">
        <v>371</v>
      </c>
      <c r="D552" s="12" t="s">
        <v>582</v>
      </c>
      <c r="E552" s="13" t="s">
        <v>1739</v>
      </c>
      <c r="F552" s="6" t="str">
        <f>_xlfn.XLOOKUP(D552,[6]Sheet1!$C:$C,[6]Sheet1!$F:$F,"-")</f>
        <v>Muhamad Ali Assegap</v>
      </c>
      <c r="G552" s="222"/>
    </row>
    <row r="553" spans="2:7">
      <c r="B553" s="10" t="s">
        <v>370</v>
      </c>
      <c r="C553" s="11" t="s">
        <v>371</v>
      </c>
      <c r="D553" s="12" t="s">
        <v>583</v>
      </c>
      <c r="E553" s="13" t="s">
        <v>1739</v>
      </c>
      <c r="F553" s="6" t="str">
        <f>_xlfn.XLOOKUP(D553,[6]Sheet1!$C:$C,[6]Sheet1!$F:$F,"-")</f>
        <v>Muhamad Basir Gusfian</v>
      </c>
      <c r="G553" s="222"/>
    </row>
    <row r="554" spans="2:7">
      <c r="B554" s="10" t="s">
        <v>370</v>
      </c>
      <c r="C554" s="11" t="s">
        <v>371</v>
      </c>
      <c r="D554" s="12" t="s">
        <v>584</v>
      </c>
      <c r="E554" s="13" t="s">
        <v>1739</v>
      </c>
      <c r="F554" s="6" t="str">
        <f>_xlfn.XLOOKUP(D554,[6]Sheet1!$C:$C,[6]Sheet1!$F:$F,"-")</f>
        <v>Nanang Kosim</v>
      </c>
      <c r="G554" s="222"/>
    </row>
    <row r="555" spans="2:7">
      <c r="B555" s="10" t="s">
        <v>370</v>
      </c>
      <c r="C555" s="11" t="s">
        <v>371</v>
      </c>
      <c r="D555" s="12" t="s">
        <v>585</v>
      </c>
      <c r="E555" s="13" t="s">
        <v>1739</v>
      </c>
      <c r="F555" s="6" t="str">
        <f>_xlfn.XLOOKUP(D555,[6]Sheet1!$C:$C,[6]Sheet1!$F:$F,"-")</f>
        <v>Rahayu Akbar Permana</v>
      </c>
      <c r="G555" s="222"/>
    </row>
    <row r="556" spans="2:7">
      <c r="B556" s="10" t="s">
        <v>370</v>
      </c>
      <c r="C556" s="11" t="s">
        <v>371</v>
      </c>
      <c r="D556" s="12" t="s">
        <v>586</v>
      </c>
      <c r="E556" s="13" t="s">
        <v>1739</v>
      </c>
      <c r="F556" s="6" t="str">
        <f>_xlfn.XLOOKUP(D556,[6]Sheet1!$C:$C,[6]Sheet1!$F:$F,"-")</f>
        <v>Reza Cahya Jamaludin</v>
      </c>
      <c r="G556" s="222"/>
    </row>
    <row r="557" spans="2:7">
      <c r="B557" s="10" t="s">
        <v>370</v>
      </c>
      <c r="C557" s="11" t="s">
        <v>371</v>
      </c>
      <c r="D557" s="12" t="s">
        <v>587</v>
      </c>
      <c r="E557" s="13" t="s">
        <v>1739</v>
      </c>
      <c r="F557" s="6" t="str">
        <f>_xlfn.XLOOKUP(D557,[6]Sheet1!$C:$C,[6]Sheet1!$F:$F,"-")</f>
        <v>Rifki Satria Nasution</v>
      </c>
      <c r="G557" s="222"/>
    </row>
    <row r="558" spans="2:7">
      <c r="B558" s="10" t="s">
        <v>370</v>
      </c>
      <c r="C558" s="11" t="s">
        <v>371</v>
      </c>
      <c r="D558" s="12" t="s">
        <v>588</v>
      </c>
      <c r="E558" s="13" t="s">
        <v>1739</v>
      </c>
      <c r="F558" s="6" t="str">
        <f>_xlfn.XLOOKUP(D558,[6]Sheet1!$C:$C,[6]Sheet1!$F:$F,"-")</f>
        <v>Sarip Nurdin</v>
      </c>
      <c r="G558" s="222"/>
    </row>
    <row r="559" spans="2:7">
      <c r="B559" s="10" t="s">
        <v>370</v>
      </c>
      <c r="C559" s="11" t="s">
        <v>371</v>
      </c>
      <c r="D559" s="12" t="s">
        <v>589</v>
      </c>
      <c r="E559" s="13" t="s">
        <v>1739</v>
      </c>
      <c r="F559" s="6" t="str">
        <f>_xlfn.XLOOKUP(D559,[6]Sheet1!$C:$C,[6]Sheet1!$F:$F,"-")</f>
        <v>Suheri</v>
      </c>
      <c r="G559" s="222"/>
    </row>
    <row r="560" spans="2:7">
      <c r="B560" s="10" t="s">
        <v>370</v>
      </c>
      <c r="C560" s="11" t="s">
        <v>371</v>
      </c>
      <c r="D560" s="12" t="s">
        <v>590</v>
      </c>
      <c r="E560" s="13" t="s">
        <v>1739</v>
      </c>
      <c r="F560" s="6" t="str">
        <f>_xlfn.XLOOKUP(D560,[6]Sheet1!$C:$C,[6]Sheet1!$F:$F,"-")</f>
        <v>Yanuar Firmansyah</v>
      </c>
      <c r="G560" s="222"/>
    </row>
    <row r="561" spans="2:7">
      <c r="B561" s="10" t="s">
        <v>370</v>
      </c>
      <c r="C561" s="11" t="s">
        <v>371</v>
      </c>
      <c r="D561" s="12" t="s">
        <v>591</v>
      </c>
      <c r="E561" s="13" t="s">
        <v>1739</v>
      </c>
      <c r="F561" s="6" t="str">
        <f>_xlfn.XLOOKUP(D561,[6]Sheet1!$C:$C,[6]Sheet1!$F:$F,"-")</f>
        <v>Deden Ahmad Saepudin</v>
      </c>
      <c r="G561" s="222"/>
    </row>
    <row r="562" spans="2:7">
      <c r="B562" s="10" t="s">
        <v>370</v>
      </c>
      <c r="C562" s="11" t="s">
        <v>371</v>
      </c>
      <c r="D562" s="12" t="s">
        <v>592</v>
      </c>
      <c r="E562" s="13" t="s">
        <v>1739</v>
      </c>
      <c r="F562" s="6" t="str">
        <f>_xlfn.XLOOKUP(D562,[6]Sheet1!$C:$C,[6]Sheet1!$F:$F,"-")</f>
        <v>Raza Alfianzy</v>
      </c>
      <c r="G562" s="222"/>
    </row>
    <row r="563" spans="2:7">
      <c r="B563" s="10" t="s">
        <v>370</v>
      </c>
      <c r="C563" s="11" t="s">
        <v>371</v>
      </c>
      <c r="D563" s="12" t="s">
        <v>593</v>
      </c>
      <c r="E563" s="13" t="s">
        <v>1739</v>
      </c>
      <c r="F563" s="6" t="str">
        <f>_xlfn.XLOOKUP(D563,[6]Sheet1!$C:$C,[6]Sheet1!$F:$F,"-")</f>
        <v>Adi Viki, S.E</v>
      </c>
      <c r="G563" s="222"/>
    </row>
    <row r="564" spans="2:7">
      <c r="B564" s="10" t="s">
        <v>370</v>
      </c>
      <c r="C564" s="11" t="s">
        <v>371</v>
      </c>
      <c r="D564" s="12" t="s">
        <v>594</v>
      </c>
      <c r="E564" s="13" t="s">
        <v>1739</v>
      </c>
      <c r="F564" s="6" t="str">
        <f>_xlfn.XLOOKUP(D564,[6]Sheet1!$C:$C,[6]Sheet1!$F:$F,"-")</f>
        <v>Agung Maulana</v>
      </c>
      <c r="G564" s="222"/>
    </row>
    <row r="565" spans="2:7">
      <c r="B565" s="10" t="s">
        <v>370</v>
      </c>
      <c r="C565" s="11" t="s">
        <v>371</v>
      </c>
      <c r="D565" s="12" t="s">
        <v>595</v>
      </c>
      <c r="E565" s="13" t="s">
        <v>1739</v>
      </c>
      <c r="F565" s="6" t="str">
        <f>_xlfn.XLOOKUP(D565,[6]Sheet1!$C:$C,[6]Sheet1!$F:$F,"-")</f>
        <v>Agung Maulana</v>
      </c>
      <c r="G565" s="222"/>
    </row>
    <row r="566" spans="2:7">
      <c r="B566" s="10" t="s">
        <v>370</v>
      </c>
      <c r="C566" s="11" t="s">
        <v>371</v>
      </c>
      <c r="D566" s="12" t="s">
        <v>596</v>
      </c>
      <c r="E566" s="13" t="s">
        <v>1716</v>
      </c>
      <c r="F566" s="6" t="str">
        <f>_xlfn.XLOOKUP(D566,[6]Sheet1!$C:$C,[6]Sheet1!$F:$F,"-")</f>
        <v>Arief Firmansyah</v>
      </c>
      <c r="G566" s="222"/>
    </row>
    <row r="567" spans="2:7">
      <c r="B567" s="10" t="s">
        <v>370</v>
      </c>
      <c r="C567" s="11" t="s">
        <v>371</v>
      </c>
      <c r="D567" s="12" t="s">
        <v>597</v>
      </c>
      <c r="E567" s="13" t="s">
        <v>1739</v>
      </c>
      <c r="F567" s="6" t="str">
        <f>_xlfn.XLOOKUP(D567,[6]Sheet1!$C:$C,[6]Sheet1!$F:$F,"-")</f>
        <v>Ervan Budi Nugraha, S.Kom</v>
      </c>
      <c r="G567" s="222"/>
    </row>
    <row r="568" spans="2:7">
      <c r="B568" s="10" t="s">
        <v>370</v>
      </c>
      <c r="C568" s="11" t="s">
        <v>371</v>
      </c>
      <c r="D568" s="12" t="s">
        <v>598</v>
      </c>
      <c r="E568" s="13" t="s">
        <v>1739</v>
      </c>
      <c r="F568" s="6" t="str">
        <f>_xlfn.XLOOKUP(D568,[6]Sheet1!$C:$C,[6]Sheet1!$F:$F,"-")</f>
        <v>Ervan Budi Nugraha, S.Kom</v>
      </c>
      <c r="G568" s="222"/>
    </row>
    <row r="569" spans="2:7">
      <c r="B569" s="10" t="s">
        <v>370</v>
      </c>
      <c r="C569" s="11" t="s">
        <v>371</v>
      </c>
      <c r="D569" s="12" t="s">
        <v>599</v>
      </c>
      <c r="E569" s="13" t="s">
        <v>1739</v>
      </c>
      <c r="F569" s="6" t="str">
        <f>_xlfn.XLOOKUP(D569,[6]Sheet1!$C:$C,[6]Sheet1!$F:$F,"-")</f>
        <v>Fahrul Rizal</v>
      </c>
      <c r="G569" s="222"/>
    </row>
    <row r="570" spans="2:7">
      <c r="B570" s="10" t="s">
        <v>370</v>
      </c>
      <c r="C570" s="11" t="s">
        <v>371</v>
      </c>
      <c r="D570" s="12" t="s">
        <v>600</v>
      </c>
      <c r="E570" s="13" t="s">
        <v>1739</v>
      </c>
      <c r="F570" s="6" t="str">
        <f>_xlfn.XLOOKUP(D570,[6]Sheet1!$C:$C,[6]Sheet1!$F:$F,"-")</f>
        <v>Haggi Hermawan, S.Pd</v>
      </c>
      <c r="G570" s="222"/>
    </row>
    <row r="571" spans="2:7">
      <c r="B571" s="10" t="s">
        <v>370</v>
      </c>
      <c r="C571" s="11" t="s">
        <v>371</v>
      </c>
      <c r="D571" s="12" t="s">
        <v>601</v>
      </c>
      <c r="E571" s="13" t="s">
        <v>1739</v>
      </c>
      <c r="F571" s="6" t="str">
        <f>_xlfn.XLOOKUP(D571,[6]Sheet1!$C:$C,[6]Sheet1!$F:$F,"-")</f>
        <v>Irfan Anwar Musyadad, S.Pd</v>
      </c>
      <c r="G571" s="222"/>
    </row>
    <row r="572" spans="2:7">
      <c r="B572" s="10" t="s">
        <v>370</v>
      </c>
      <c r="C572" s="11" t="s">
        <v>371</v>
      </c>
      <c r="D572" s="12" t="s">
        <v>602</v>
      </c>
      <c r="E572" s="13" t="s">
        <v>1739</v>
      </c>
      <c r="F572" s="6" t="str">
        <f>_xlfn.XLOOKUP(D572,[6]Sheet1!$C:$C,[6]Sheet1!$F:$F,"-")</f>
        <v>Jenal Yusuf</v>
      </c>
      <c r="G572" s="222"/>
    </row>
    <row r="573" spans="2:7">
      <c r="B573" s="10" t="s">
        <v>370</v>
      </c>
      <c r="C573" s="11" t="s">
        <v>371</v>
      </c>
      <c r="D573" s="12" t="s">
        <v>603</v>
      </c>
      <c r="E573" s="13" t="s">
        <v>1716</v>
      </c>
      <c r="F573" s="6" t="str">
        <f>_xlfn.XLOOKUP(D573,[6]Sheet1!$C:$C,[6]Sheet1!$F:$F,"-")</f>
        <v>Jujun Juandi</v>
      </c>
      <c r="G573" s="222"/>
    </row>
    <row r="574" spans="2:7">
      <c r="B574" s="10" t="s">
        <v>370</v>
      </c>
      <c r="C574" s="11" t="s">
        <v>371</v>
      </c>
      <c r="D574" s="12" t="s">
        <v>604</v>
      </c>
      <c r="E574" s="13" t="s">
        <v>1739</v>
      </c>
      <c r="F574" s="6" t="str">
        <f>_xlfn.XLOOKUP(D574,[6]Sheet1!$C:$C,[6]Sheet1!$F:$F,"-")</f>
        <v>Mahrus Ali</v>
      </c>
      <c r="G574" s="222"/>
    </row>
    <row r="575" spans="2:7">
      <c r="B575" s="10" t="s">
        <v>370</v>
      </c>
      <c r="C575" s="11" t="s">
        <v>371</v>
      </c>
      <c r="D575" s="12" t="s">
        <v>605</v>
      </c>
      <c r="E575" s="13" t="s">
        <v>1739</v>
      </c>
      <c r="F575" s="6" t="str">
        <f>_xlfn.XLOOKUP(D575,[6]Sheet1!$C:$C,[6]Sheet1!$F:$F,"-")</f>
        <v>Mochamad Alvin Viery Pratama</v>
      </c>
      <c r="G575" s="222"/>
    </row>
    <row r="576" spans="2:7">
      <c r="B576" s="10" t="s">
        <v>370</v>
      </c>
      <c r="C576" s="11" t="s">
        <v>371</v>
      </c>
      <c r="D576" s="12" t="s">
        <v>606</v>
      </c>
      <c r="E576" s="13" t="s">
        <v>1739</v>
      </c>
      <c r="F576" s="6" t="str">
        <f>_xlfn.XLOOKUP(D576,[6]Sheet1!$C:$C,[6]Sheet1!$F:$F,"-")</f>
        <v>Peri Rakasiwi, S.kom</v>
      </c>
      <c r="G576" s="222"/>
    </row>
    <row r="577" spans="2:7">
      <c r="B577" s="10" t="s">
        <v>370</v>
      </c>
      <c r="C577" s="11" t="s">
        <v>371</v>
      </c>
      <c r="D577" s="12" t="s">
        <v>607</v>
      </c>
      <c r="E577" s="13" t="s">
        <v>1739</v>
      </c>
      <c r="F577" s="6" t="str">
        <f>_xlfn.XLOOKUP(D577,[6]Sheet1!$C:$C,[6]Sheet1!$F:$F,"-")</f>
        <v>Ricki Wahyudi</v>
      </c>
      <c r="G577" s="222"/>
    </row>
    <row r="578" spans="2:7">
      <c r="B578" s="10" t="s">
        <v>370</v>
      </c>
      <c r="C578" s="11" t="s">
        <v>371</v>
      </c>
      <c r="D578" s="12" t="s">
        <v>608</v>
      </c>
      <c r="E578" s="13" t="s">
        <v>1739</v>
      </c>
      <c r="F578" s="6" t="str">
        <f>_xlfn.XLOOKUP(D578,[6]Sheet1!$C:$C,[6]Sheet1!$F:$F,"-")</f>
        <v>Ridwan Muhammad Abdul Baqi</v>
      </c>
      <c r="G578" s="222"/>
    </row>
    <row r="579" spans="2:7">
      <c r="B579" s="10" t="s">
        <v>370</v>
      </c>
      <c r="C579" s="11" t="s">
        <v>371</v>
      </c>
      <c r="D579" s="12" t="s">
        <v>609</v>
      </c>
      <c r="E579" s="13" t="s">
        <v>1739</v>
      </c>
      <c r="F579" s="6" t="str">
        <f>_xlfn.XLOOKUP(D579,[6]Sheet1!$C:$C,[6]Sheet1!$F:$F,"-")</f>
        <v>Rio Gilang Prakasa</v>
      </c>
      <c r="G579" s="222"/>
    </row>
    <row r="580" spans="2:7">
      <c r="B580" s="10" t="s">
        <v>370</v>
      </c>
      <c r="C580" s="11" t="s">
        <v>371</v>
      </c>
      <c r="D580" s="12" t="s">
        <v>610</v>
      </c>
      <c r="E580" s="13" t="s">
        <v>1739</v>
      </c>
      <c r="F580" s="6" t="str">
        <f>_xlfn.XLOOKUP(D580,[6]Sheet1!$C:$C,[6]Sheet1!$F:$F,"-")</f>
        <v>Rizki Harmawan</v>
      </c>
      <c r="G580" s="222"/>
    </row>
    <row r="581" spans="2:7">
      <c r="B581" s="10" t="s">
        <v>370</v>
      </c>
      <c r="C581" s="11" t="s">
        <v>371</v>
      </c>
      <c r="D581" s="12" t="s">
        <v>611</v>
      </c>
      <c r="E581" s="13" t="s">
        <v>1739</v>
      </c>
      <c r="F581" s="6" t="str">
        <f>_xlfn.XLOOKUP(D581,[6]Sheet1!$C:$C,[6]Sheet1!$F:$F,"-")</f>
        <v>Sansan Riswandi</v>
      </c>
      <c r="G581" s="222"/>
    </row>
    <row r="582" spans="2:7">
      <c r="B582" s="10" t="s">
        <v>370</v>
      </c>
      <c r="C582" s="11" t="s">
        <v>371</v>
      </c>
      <c r="D582" s="12" t="s">
        <v>612</v>
      </c>
      <c r="E582" s="13" t="s">
        <v>1739</v>
      </c>
      <c r="F582" s="6" t="str">
        <f>_xlfn.XLOOKUP(D582,[6]Sheet1!$C:$C,[6]Sheet1!$F:$F,"-")</f>
        <v>Soni Setiadi</v>
      </c>
      <c r="G582" s="222"/>
    </row>
    <row r="583" spans="2:7">
      <c r="B583" s="10" t="s">
        <v>370</v>
      </c>
      <c r="C583" s="11" t="s">
        <v>371</v>
      </c>
      <c r="D583" s="12" t="s">
        <v>613</v>
      </c>
      <c r="E583" s="13" t="s">
        <v>1739</v>
      </c>
      <c r="F583" s="6" t="str">
        <f>_xlfn.XLOOKUP(D583,[6]Sheet1!$C:$C,[6]Sheet1!$F:$F,"-")</f>
        <v>Soni Solehhudin</v>
      </c>
      <c r="G583" s="222"/>
    </row>
    <row r="584" spans="2:7">
      <c r="B584" s="10" t="s">
        <v>370</v>
      </c>
      <c r="C584" s="11" t="s">
        <v>371</v>
      </c>
      <c r="D584" s="12" t="s">
        <v>614</v>
      </c>
      <c r="E584" s="13" t="s">
        <v>1739</v>
      </c>
      <c r="F584" s="6" t="str">
        <f>_xlfn.XLOOKUP(D584,[6]Sheet1!$C:$C,[6]Sheet1!$F:$F,"-")</f>
        <v>Yopha Azizulindar</v>
      </c>
      <c r="G584" s="222"/>
    </row>
    <row r="585" spans="2:7">
      <c r="B585" s="10" t="s">
        <v>370</v>
      </c>
      <c r="C585" s="11" t="s">
        <v>371</v>
      </c>
      <c r="D585" s="12" t="s">
        <v>615</v>
      </c>
      <c r="E585" s="13" t="s">
        <v>1739</v>
      </c>
      <c r="F585" s="6" t="str">
        <f>_xlfn.XLOOKUP(D585,[6]Sheet1!$C:$C,[6]Sheet1!$F:$F,"-")</f>
        <v>Adam Muhammad Ramdan</v>
      </c>
      <c r="G585" s="222"/>
    </row>
    <row r="586" spans="2:7">
      <c r="B586" s="10" t="s">
        <v>370</v>
      </c>
      <c r="C586" s="11" t="s">
        <v>371</v>
      </c>
      <c r="D586" s="12" t="s">
        <v>616</v>
      </c>
      <c r="E586" s="13" t="s">
        <v>1739</v>
      </c>
      <c r="F586" s="6" t="str">
        <f>_xlfn.XLOOKUP(D586,[6]Sheet1!$C:$C,[6]Sheet1!$F:$F,"-")</f>
        <v>Adi Hapri Perdiansyah</v>
      </c>
      <c r="G586" s="222"/>
    </row>
    <row r="587" spans="2:7">
      <c r="B587" s="10" t="s">
        <v>370</v>
      </c>
      <c r="C587" s="11" t="s">
        <v>371</v>
      </c>
      <c r="D587" s="12" t="s">
        <v>617</v>
      </c>
      <c r="E587" s="13" t="s">
        <v>1739</v>
      </c>
      <c r="F587" s="6" t="str">
        <f>_xlfn.XLOOKUP(D587,[6]Sheet1!$C:$C,[6]Sheet1!$F:$F,"-")</f>
        <v>Ahmad Misik Akyas Al-Kaesy</v>
      </c>
      <c r="G587" s="222"/>
    </row>
    <row r="588" spans="2:7">
      <c r="B588" s="10" t="s">
        <v>370</v>
      </c>
      <c r="C588" s="11" t="s">
        <v>371</v>
      </c>
      <c r="D588" s="12" t="s">
        <v>618</v>
      </c>
      <c r="E588" s="13" t="s">
        <v>1716</v>
      </c>
      <c r="F588" s="6" t="str">
        <f>_xlfn.XLOOKUP(D588,[6]Sheet1!$C:$C,[6]Sheet1!$F:$F,"-")</f>
        <v>Ahmad Misik Akyas Al-Kaesy</v>
      </c>
      <c r="G588" s="222"/>
    </row>
    <row r="589" spans="2:7">
      <c r="B589" s="10" t="s">
        <v>370</v>
      </c>
      <c r="C589" s="11" t="s">
        <v>371</v>
      </c>
      <c r="D589" s="12" t="s">
        <v>619</v>
      </c>
      <c r="E589" s="13" t="s">
        <v>1739</v>
      </c>
      <c r="F589" s="6" t="str">
        <f>_xlfn.XLOOKUP(D589,[6]Sheet1!$C:$C,[6]Sheet1!$F:$F,"-")</f>
        <v>Cecep Ramadhan Heryana</v>
      </c>
      <c r="G589" s="222"/>
    </row>
    <row r="590" spans="2:7">
      <c r="B590" s="10" t="s">
        <v>370</v>
      </c>
      <c r="C590" s="11" t="s">
        <v>371</v>
      </c>
      <c r="D590" s="12" t="s">
        <v>620</v>
      </c>
      <c r="E590" s="13" t="s">
        <v>1739</v>
      </c>
      <c r="F590" s="6" t="str">
        <f>_xlfn.XLOOKUP(D590,[6]Sheet1!$C:$C,[6]Sheet1!$F:$F,"-")</f>
        <v>Cucun Iryanto</v>
      </c>
      <c r="G590" s="222"/>
    </row>
    <row r="591" spans="2:7">
      <c r="B591" s="10" t="s">
        <v>370</v>
      </c>
      <c r="C591" s="11" t="s">
        <v>371</v>
      </c>
      <c r="D591" s="12" t="s">
        <v>621</v>
      </c>
      <c r="E591" s="13" t="s">
        <v>1739</v>
      </c>
      <c r="F591" s="6" t="str">
        <f>_xlfn.XLOOKUP(D591,[6]Sheet1!$C:$C,[6]Sheet1!$F:$F,"-")</f>
        <v>J. Hilmy Malik</v>
      </c>
      <c r="G591" s="222"/>
    </row>
    <row r="592" spans="2:7">
      <c r="B592" s="10" t="s">
        <v>370</v>
      </c>
      <c r="C592" s="11" t="s">
        <v>371</v>
      </c>
      <c r="D592" s="12" t="s">
        <v>622</v>
      </c>
      <c r="E592" s="13" t="s">
        <v>1739</v>
      </c>
      <c r="F592" s="6" t="str">
        <f>_xlfn.XLOOKUP(D592,[6]Sheet1!$C:$C,[6]Sheet1!$F:$F,"-")</f>
        <v>Mochamad Wildan Fahddino</v>
      </c>
      <c r="G592" s="222"/>
    </row>
    <row r="593" spans="2:7">
      <c r="B593" s="10" t="s">
        <v>370</v>
      </c>
      <c r="C593" s="11" t="s">
        <v>371</v>
      </c>
      <c r="D593" s="12" t="s">
        <v>623</v>
      </c>
      <c r="E593" s="13" t="s">
        <v>1739</v>
      </c>
      <c r="F593" s="6" t="str">
        <f>_xlfn.XLOOKUP(D593,[6]Sheet1!$C:$C,[6]Sheet1!$F:$F,"-")</f>
        <v>Muhammad Dwi Fawzi Hakim</v>
      </c>
      <c r="G593" s="222"/>
    </row>
    <row r="594" spans="2:7">
      <c r="B594" s="10" t="s">
        <v>370</v>
      </c>
      <c r="C594" s="11" t="s">
        <v>371</v>
      </c>
      <c r="D594" s="12" t="s">
        <v>624</v>
      </c>
      <c r="E594" s="13" t="s">
        <v>1739</v>
      </c>
      <c r="F594" s="6" t="str">
        <f>_xlfn.XLOOKUP(D594,[6]Sheet1!$C:$C,[6]Sheet1!$F:$F,"-")</f>
        <v>Muhammad Dwi Fawzi Hakim</v>
      </c>
      <c r="G594" s="222"/>
    </row>
    <row r="595" spans="2:7">
      <c r="B595" s="10" t="s">
        <v>370</v>
      </c>
      <c r="C595" s="11" t="s">
        <v>371</v>
      </c>
      <c r="D595" s="12" t="s">
        <v>625</v>
      </c>
      <c r="E595" s="13" t="s">
        <v>1739</v>
      </c>
      <c r="F595" s="6" t="str">
        <f>_xlfn.XLOOKUP(D595,[6]Sheet1!$C:$C,[6]Sheet1!$F:$F,"-")</f>
        <v>Muhammad Fariz Arief Rachman</v>
      </c>
      <c r="G595" s="222"/>
    </row>
    <row r="596" spans="2:7">
      <c r="B596" s="10" t="s">
        <v>370</v>
      </c>
      <c r="C596" s="11" t="s">
        <v>371</v>
      </c>
      <c r="D596" s="12" t="s">
        <v>626</v>
      </c>
      <c r="E596" s="13" t="s">
        <v>1739</v>
      </c>
      <c r="F596" s="6" t="str">
        <f>_xlfn.XLOOKUP(D596,[6]Sheet1!$C:$C,[6]Sheet1!$F:$F,"-")</f>
        <v>Restu Fauzi</v>
      </c>
      <c r="G596" s="222"/>
    </row>
    <row r="597" spans="2:7">
      <c r="B597" s="10" t="s">
        <v>370</v>
      </c>
      <c r="C597" s="11" t="s">
        <v>371</v>
      </c>
      <c r="D597" s="12" t="s">
        <v>627</v>
      </c>
      <c r="E597" s="13" t="s">
        <v>1739</v>
      </c>
      <c r="F597" s="6" t="str">
        <f>_xlfn.XLOOKUP(D597,[6]Sheet1!$C:$C,[6]Sheet1!$F:$F,"-")</f>
        <v>Rian Anjaswara</v>
      </c>
      <c r="G597" s="222"/>
    </row>
    <row r="598" spans="2:7">
      <c r="B598" s="10" t="s">
        <v>370</v>
      </c>
      <c r="C598" s="11" t="s">
        <v>371</v>
      </c>
      <c r="D598" s="12" t="s">
        <v>628</v>
      </c>
      <c r="E598" s="13" t="s">
        <v>1739</v>
      </c>
      <c r="F598" s="6" t="str">
        <f>_xlfn.XLOOKUP(D598,[6]Sheet1!$C:$C,[6]Sheet1!$F:$F,"-")</f>
        <v>Rizki Gunawan</v>
      </c>
      <c r="G598" s="222"/>
    </row>
    <row r="599" spans="2:7">
      <c r="B599" s="10" t="s">
        <v>370</v>
      </c>
      <c r="C599" s="11" t="s">
        <v>371</v>
      </c>
      <c r="D599" s="12" t="s">
        <v>629</v>
      </c>
      <c r="E599" s="13" t="s">
        <v>1739</v>
      </c>
      <c r="F599" s="6" t="str">
        <f>_xlfn.XLOOKUP(D599,[6]Sheet1!$C:$C,[6]Sheet1!$F:$F,"-")</f>
        <v>Toni</v>
      </c>
      <c r="G599" s="222"/>
    </row>
    <row r="600" spans="2:7">
      <c r="B600" s="10" t="s">
        <v>370</v>
      </c>
      <c r="C600" s="11" t="s">
        <v>371</v>
      </c>
      <c r="D600" s="12" t="s">
        <v>630</v>
      </c>
      <c r="E600" s="13" t="s">
        <v>1739</v>
      </c>
      <c r="F600" s="6" t="str">
        <f>_xlfn.XLOOKUP(D600,[6]Sheet1!$C:$C,[6]Sheet1!$F:$F,"-")</f>
        <v>Adi Triandi</v>
      </c>
      <c r="G600" s="222"/>
    </row>
    <row r="601" spans="2:7">
      <c r="B601" s="10" t="s">
        <v>370</v>
      </c>
      <c r="C601" s="11" t="s">
        <v>371</v>
      </c>
      <c r="D601" s="12" t="s">
        <v>631</v>
      </c>
      <c r="E601" s="13" t="s">
        <v>1739</v>
      </c>
      <c r="F601" s="6" t="str">
        <f>_xlfn.XLOOKUP(D601,[6]Sheet1!$C:$C,[6]Sheet1!$F:$F,"-")</f>
        <v>Cahya Purnama</v>
      </c>
      <c r="G601" s="222"/>
    </row>
    <row r="602" spans="2:7">
      <c r="B602" s="10" t="s">
        <v>370</v>
      </c>
      <c r="C602" s="11" t="s">
        <v>371</v>
      </c>
      <c r="D602" s="12" t="s">
        <v>632</v>
      </c>
      <c r="E602" s="13" t="s">
        <v>1739</v>
      </c>
      <c r="F602" s="6" t="str">
        <f>_xlfn.XLOOKUP(D602,[6]Sheet1!$C:$C,[6]Sheet1!$F:$F,"-")</f>
        <v>Fani Grahamulya Gandamiharja</v>
      </c>
      <c r="G602" s="222"/>
    </row>
    <row r="603" spans="2:7">
      <c r="B603" s="10" t="s">
        <v>370</v>
      </c>
      <c r="C603" s="11" t="s">
        <v>371</v>
      </c>
      <c r="D603" s="12" t="s">
        <v>633</v>
      </c>
      <c r="E603" s="13" t="s">
        <v>1739</v>
      </c>
      <c r="F603" s="6" t="str">
        <f>_xlfn.XLOOKUP(D603,[6]Sheet1!$C:$C,[6]Sheet1!$F:$F,"-")</f>
        <v>Muhamad Iqbal Firdaus</v>
      </c>
      <c r="G603" s="222"/>
    </row>
    <row r="604" spans="2:7">
      <c r="B604" s="10" t="s">
        <v>370</v>
      </c>
      <c r="C604" s="11" t="s">
        <v>371</v>
      </c>
      <c r="D604" s="12" t="s">
        <v>634</v>
      </c>
      <c r="E604" s="13" t="s">
        <v>1739</v>
      </c>
      <c r="F604" s="6" t="str">
        <f>_xlfn.XLOOKUP(D604,[6]Sheet1!$C:$C,[6]Sheet1!$F:$F,"-")</f>
        <v>Muhamad Lukman Hakim</v>
      </c>
      <c r="G604" s="222"/>
    </row>
    <row r="605" spans="2:7">
      <c r="B605" s="10" t="s">
        <v>370</v>
      </c>
      <c r="C605" s="11" t="s">
        <v>371</v>
      </c>
      <c r="D605" s="12" t="s">
        <v>635</v>
      </c>
      <c r="E605" s="13" t="s">
        <v>1739</v>
      </c>
      <c r="F605" s="6" t="str">
        <f>_xlfn.XLOOKUP(D605,[6]Sheet1!$C:$C,[6]Sheet1!$F:$F,"-")</f>
        <v>Rachman Mulyawan</v>
      </c>
      <c r="G605" s="222"/>
    </row>
    <row r="606" spans="2:7">
      <c r="B606" s="10" t="s">
        <v>370</v>
      </c>
      <c r="C606" s="11" t="s">
        <v>371</v>
      </c>
      <c r="D606" s="12" t="s">
        <v>636</v>
      </c>
      <c r="E606" s="13" t="s">
        <v>1739</v>
      </c>
      <c r="F606" s="6" t="str">
        <f>_xlfn.XLOOKUP(D606,[6]Sheet1!$C:$C,[6]Sheet1!$F:$F,"-")</f>
        <v>Rizal Raetriansyah</v>
      </c>
      <c r="G606" s="222"/>
    </row>
    <row r="607" spans="2:7">
      <c r="B607" s="10" t="s">
        <v>370</v>
      </c>
      <c r="C607" s="11" t="s">
        <v>371</v>
      </c>
      <c r="D607" s="12" t="s">
        <v>637</v>
      </c>
      <c r="E607" s="13" t="s">
        <v>1739</v>
      </c>
      <c r="F607" s="6" t="str">
        <f>_xlfn.XLOOKUP(D607,[6]Sheet1!$C:$C,[6]Sheet1!$F:$F,"-")</f>
        <v>Rizki Ahmad Fauzi</v>
      </c>
      <c r="G607" s="222"/>
    </row>
    <row r="608" spans="2:7">
      <c r="B608" s="10" t="s">
        <v>370</v>
      </c>
      <c r="C608" s="11" t="s">
        <v>371</v>
      </c>
      <c r="D608" s="12" t="s">
        <v>638</v>
      </c>
      <c r="E608" s="13" t="s">
        <v>1739</v>
      </c>
      <c r="F608" s="6" t="str">
        <f>_xlfn.XLOOKUP(D608,[6]Sheet1!$C:$C,[6]Sheet1!$F:$F,"-")</f>
        <v>Aly Irsyad Robani</v>
      </c>
      <c r="G608" s="222"/>
    </row>
    <row r="609" spans="2:7">
      <c r="B609" s="10" t="s">
        <v>370</v>
      </c>
      <c r="C609" s="11" t="s">
        <v>371</v>
      </c>
      <c r="D609" s="12" t="s">
        <v>639</v>
      </c>
      <c r="E609" s="13" t="s">
        <v>1739</v>
      </c>
      <c r="F609" s="6" t="str">
        <f>_xlfn.XLOOKUP(D609,[6]Sheet1!$C:$C,[6]Sheet1!$F:$F,"-")</f>
        <v>Anggiardy Prayudha</v>
      </c>
      <c r="G609" s="222"/>
    </row>
    <row r="610" spans="2:7">
      <c r="B610" s="10" t="s">
        <v>370</v>
      </c>
      <c r="C610" s="11" t="s">
        <v>371</v>
      </c>
      <c r="D610" s="12" t="s">
        <v>640</v>
      </c>
      <c r="E610" s="13" t="s">
        <v>1739</v>
      </c>
      <c r="F610" s="6" t="str">
        <f>_xlfn.XLOOKUP(D610,[6]Sheet1!$C:$C,[6]Sheet1!$F:$F,"-")</f>
        <v>Azka Nujjiya Fauzan</v>
      </c>
      <c r="G610" s="222"/>
    </row>
    <row r="611" spans="2:7">
      <c r="B611" s="10" t="s">
        <v>370</v>
      </c>
      <c r="C611" s="11" t="s">
        <v>371</v>
      </c>
      <c r="D611" s="12" t="s">
        <v>641</v>
      </c>
      <c r="E611" s="13" t="s">
        <v>1739</v>
      </c>
      <c r="F611" s="6" t="str">
        <f>_xlfn.XLOOKUP(D611,[6]Sheet1!$C:$C,[6]Sheet1!$F:$F,"-")</f>
        <v>Dadan Firmansyah</v>
      </c>
      <c r="G611" s="222"/>
    </row>
    <row r="612" spans="2:7">
      <c r="B612" s="10" t="s">
        <v>370</v>
      </c>
      <c r="C612" s="11" t="s">
        <v>371</v>
      </c>
      <c r="D612" s="12" t="s">
        <v>642</v>
      </c>
      <c r="E612" s="13" t="s">
        <v>1739</v>
      </c>
      <c r="F612" s="6" t="str">
        <f>_xlfn.XLOOKUP(D612,[6]Sheet1!$C:$C,[6]Sheet1!$F:$F,"-")</f>
        <v>Deni Mardiana Ruswandi</v>
      </c>
      <c r="G612" s="222"/>
    </row>
    <row r="613" spans="2:7">
      <c r="B613" s="10" t="s">
        <v>370</v>
      </c>
      <c r="C613" s="11" t="s">
        <v>371</v>
      </c>
      <c r="D613" s="12" t="s">
        <v>643</v>
      </c>
      <c r="E613" s="13" t="s">
        <v>1739</v>
      </c>
      <c r="F613" s="6" t="str">
        <f>_xlfn.XLOOKUP(D613,[6]Sheet1!$C:$C,[6]Sheet1!$F:$F,"-")</f>
        <v>Kiptiah</v>
      </c>
      <c r="G613" s="222"/>
    </row>
    <row r="614" spans="2:7">
      <c r="B614" s="10" t="s">
        <v>370</v>
      </c>
      <c r="C614" s="11" t="s">
        <v>371</v>
      </c>
      <c r="D614" s="12" t="s">
        <v>644</v>
      </c>
      <c r="E614" s="13" t="s">
        <v>1739</v>
      </c>
      <c r="F614" s="6" t="str">
        <f>_xlfn.XLOOKUP(D614,[6]Sheet1!$C:$C,[6]Sheet1!$F:$F,"-")</f>
        <v>Krisna Aditya Putra</v>
      </c>
      <c r="G614" s="222"/>
    </row>
    <row r="615" spans="2:7">
      <c r="B615" s="10" t="s">
        <v>370</v>
      </c>
      <c r="C615" s="11" t="s">
        <v>371</v>
      </c>
      <c r="D615" s="12" t="s">
        <v>645</v>
      </c>
      <c r="E615" s="13" t="s">
        <v>1739</v>
      </c>
      <c r="F615" s="6" t="str">
        <f>_xlfn.XLOOKUP(D615,[6]Sheet1!$C:$C,[6]Sheet1!$F:$F,"-")</f>
        <v>Muchamad Yasir Komaeni</v>
      </c>
      <c r="G615" s="222"/>
    </row>
    <row r="616" spans="2:7">
      <c r="B616" s="10" t="s">
        <v>370</v>
      </c>
      <c r="C616" s="11" t="s">
        <v>371</v>
      </c>
      <c r="D616" s="12" t="s">
        <v>646</v>
      </c>
      <c r="E616" s="13" t="s">
        <v>1739</v>
      </c>
      <c r="F616" s="6" t="str">
        <f>_xlfn.XLOOKUP(D616,[6]Sheet1!$C:$C,[6]Sheet1!$F:$F,"-")</f>
        <v>Muhammad Farlan Dzulfikar</v>
      </c>
      <c r="G616" s="222"/>
    </row>
    <row r="617" spans="2:7">
      <c r="B617" s="10" t="s">
        <v>370</v>
      </c>
      <c r="C617" s="11" t="s">
        <v>371</v>
      </c>
      <c r="D617" s="12" t="s">
        <v>647</v>
      </c>
      <c r="E617" s="13" t="s">
        <v>1739</v>
      </c>
      <c r="F617" s="6" t="str">
        <f>_xlfn.XLOOKUP(D617,[6]Sheet1!$C:$C,[6]Sheet1!$F:$F,"-")</f>
        <v>Nezar Hikmatiar</v>
      </c>
      <c r="G617" s="222"/>
    </row>
    <row r="618" spans="2:7">
      <c r="B618" s="10" t="s">
        <v>370</v>
      </c>
      <c r="C618" s="11" t="s">
        <v>371</v>
      </c>
      <c r="D618" s="12" t="s">
        <v>648</v>
      </c>
      <c r="E618" s="13" t="s">
        <v>1739</v>
      </c>
      <c r="F618" s="6" t="str">
        <f>_xlfn.XLOOKUP(D618,[6]Sheet1!$C:$C,[6]Sheet1!$F:$F,"-")</f>
        <v>Ade Setiawan</v>
      </c>
      <c r="G618" s="222"/>
    </row>
    <row r="619" spans="2:7">
      <c r="B619" s="10" t="s">
        <v>370</v>
      </c>
      <c r="C619" s="11" t="s">
        <v>371</v>
      </c>
      <c r="D619" s="12" t="s">
        <v>649</v>
      </c>
      <c r="E619" s="13" t="s">
        <v>1739</v>
      </c>
      <c r="F619" s="6" t="str">
        <f>_xlfn.XLOOKUP(D619,[6]Sheet1!$C:$C,[6]Sheet1!$F:$F,"-")</f>
        <v>Adi Riyana</v>
      </c>
      <c r="G619" s="222"/>
    </row>
    <row r="620" spans="2:7">
      <c r="B620" s="10" t="s">
        <v>370</v>
      </c>
      <c r="C620" s="11" t="s">
        <v>371</v>
      </c>
      <c r="D620" s="12" t="s">
        <v>650</v>
      </c>
      <c r="E620" s="13" t="s">
        <v>1739</v>
      </c>
      <c r="F620" s="6" t="str">
        <f>_xlfn.XLOOKUP(D620,[6]Sheet1!$C:$C,[6]Sheet1!$F:$F,"-")</f>
        <v>Dadan Ramdan</v>
      </c>
      <c r="G620" s="222"/>
    </row>
    <row r="621" spans="2:7">
      <c r="B621" s="10" t="s">
        <v>370</v>
      </c>
      <c r="C621" s="11" t="s">
        <v>371</v>
      </c>
      <c r="D621" s="12" t="s">
        <v>651</v>
      </c>
      <c r="E621" s="13" t="s">
        <v>1739</v>
      </c>
      <c r="F621" s="6" t="str">
        <f>_xlfn.XLOOKUP(D621,[6]Sheet1!$C:$C,[6]Sheet1!$F:$F,"-")</f>
        <v>Dany Kurniawan</v>
      </c>
      <c r="G621" s="222"/>
    </row>
    <row r="622" spans="2:7">
      <c r="B622" s="10" t="s">
        <v>370</v>
      </c>
      <c r="C622" s="11" t="s">
        <v>371</v>
      </c>
      <c r="D622" s="12" t="s">
        <v>652</v>
      </c>
      <c r="E622" s="13" t="s">
        <v>1739</v>
      </c>
      <c r="F622" s="6" t="str">
        <f>_xlfn.XLOOKUP(D622,[6]Sheet1!$C:$C,[6]Sheet1!$F:$F,"-")</f>
        <v>Kiki Nugraha</v>
      </c>
      <c r="G622" s="222"/>
    </row>
    <row r="623" spans="2:7">
      <c r="B623" s="10" t="s">
        <v>370</v>
      </c>
      <c r="C623" s="11" t="s">
        <v>371</v>
      </c>
      <c r="D623" s="12" t="s">
        <v>653</v>
      </c>
      <c r="E623" s="13" t="s">
        <v>1739</v>
      </c>
      <c r="F623" s="6" t="str">
        <f>_xlfn.XLOOKUP(D623,[6]Sheet1!$C:$C,[6]Sheet1!$F:$F,"-")</f>
        <v>Kuswanto Hendriyana</v>
      </c>
      <c r="G623" s="222"/>
    </row>
    <row r="624" spans="2:7">
      <c r="B624" s="10" t="s">
        <v>370</v>
      </c>
      <c r="C624" s="11" t="s">
        <v>371</v>
      </c>
      <c r="D624" s="12" t="s">
        <v>654</v>
      </c>
      <c r="E624" s="13" t="s">
        <v>1739</v>
      </c>
      <c r="F624" s="6" t="str">
        <f>_xlfn.XLOOKUP(D624,[6]Sheet1!$C:$C,[6]Sheet1!$F:$F,"-")</f>
        <v>Muhammad Akbar Cokro Pamungkas</v>
      </c>
      <c r="G624" s="222"/>
    </row>
    <row r="625" spans="2:7">
      <c r="B625" s="10" t="s">
        <v>370</v>
      </c>
      <c r="C625" s="11" t="s">
        <v>371</v>
      </c>
      <c r="D625" s="12" t="s">
        <v>655</v>
      </c>
      <c r="E625" s="13" t="s">
        <v>1739</v>
      </c>
      <c r="F625" s="6" t="str">
        <f>_xlfn.XLOOKUP(D625,[6]Sheet1!$C:$C,[6]Sheet1!$F:$F,"-")</f>
        <v>Muhammad Rafi Febryawan</v>
      </c>
      <c r="G625" s="222"/>
    </row>
    <row r="626" spans="2:7">
      <c r="B626" s="10" t="s">
        <v>370</v>
      </c>
      <c r="C626" s="11" t="s">
        <v>371</v>
      </c>
      <c r="D626" s="12" t="s">
        <v>656</v>
      </c>
      <c r="E626" s="13" t="s">
        <v>1739</v>
      </c>
      <c r="F626" s="6" t="str">
        <f>_xlfn.XLOOKUP(D626,[6]Sheet1!$C:$C,[6]Sheet1!$F:$F,"-")</f>
        <v>Muhandani Gifari Razoni</v>
      </c>
      <c r="G626" s="222"/>
    </row>
    <row r="627" spans="2:7">
      <c r="B627" s="10" t="s">
        <v>370</v>
      </c>
      <c r="C627" s="11" t="s">
        <v>371</v>
      </c>
      <c r="D627" s="12" t="s">
        <v>657</v>
      </c>
      <c r="E627" s="13" t="s">
        <v>1739</v>
      </c>
      <c r="F627" s="6" t="str">
        <f>_xlfn.XLOOKUP(D627,[6]Sheet1!$C:$C,[6]Sheet1!$F:$F,"-")</f>
        <v>Nasruloh Abdul Zalil</v>
      </c>
      <c r="G627" s="222"/>
    </row>
    <row r="628" spans="2:7">
      <c r="B628" s="10" t="s">
        <v>370</v>
      </c>
      <c r="C628" s="11" t="s">
        <v>371</v>
      </c>
      <c r="D628" s="12" t="s">
        <v>658</v>
      </c>
      <c r="E628" s="13" t="s">
        <v>1739</v>
      </c>
      <c r="F628" s="6" t="str">
        <f>_xlfn.XLOOKUP(D628,[6]Sheet1!$C:$C,[6]Sheet1!$F:$F,"-")</f>
        <v>Rama Dicky Montana</v>
      </c>
      <c r="G628" s="222"/>
    </row>
    <row r="629" spans="2:7">
      <c r="B629" s="10" t="s">
        <v>370</v>
      </c>
      <c r="C629" s="11" t="s">
        <v>371</v>
      </c>
      <c r="D629" s="12" t="s">
        <v>659</v>
      </c>
      <c r="E629" s="13" t="s">
        <v>1739</v>
      </c>
      <c r="F629" s="6" t="str">
        <f>_xlfn.XLOOKUP(D629,[6]Sheet1!$C:$C,[6]Sheet1!$F:$F,"-")</f>
        <v>Rama Dicky Montana</v>
      </c>
      <c r="G629" s="222"/>
    </row>
    <row r="630" spans="2:7">
      <c r="B630" s="10" t="s">
        <v>370</v>
      </c>
      <c r="C630" s="11" t="s">
        <v>371</v>
      </c>
      <c r="D630" s="12" t="s">
        <v>660</v>
      </c>
      <c r="E630" s="13" t="s">
        <v>1739</v>
      </c>
      <c r="F630" s="6" t="str">
        <f>_xlfn.XLOOKUP(D630,[6]Sheet1!$C:$C,[6]Sheet1!$F:$F,"-")</f>
        <v>Riduan</v>
      </c>
      <c r="G630" s="222"/>
    </row>
    <row r="631" spans="2:7">
      <c r="B631" s="10" t="s">
        <v>370</v>
      </c>
      <c r="C631" s="11" t="s">
        <v>371</v>
      </c>
      <c r="D631" s="12" t="s">
        <v>661</v>
      </c>
      <c r="E631" s="13" t="s">
        <v>1739</v>
      </c>
      <c r="F631" s="6" t="str">
        <f>_xlfn.XLOOKUP(D631,[6]Sheet1!$C:$C,[6]Sheet1!$F:$F,"-")</f>
        <v>Rizal Adilla</v>
      </c>
      <c r="G631" s="222"/>
    </row>
    <row r="632" spans="2:7">
      <c r="B632" s="10" t="s">
        <v>370</v>
      </c>
      <c r="C632" s="11" t="s">
        <v>371</v>
      </c>
      <c r="D632" s="12" t="s">
        <v>662</v>
      </c>
      <c r="E632" s="13" t="s">
        <v>1739</v>
      </c>
      <c r="F632" s="6" t="str">
        <f>_xlfn.XLOOKUP(D632,[6]Sheet1!$C:$C,[6]Sheet1!$F:$F,"-")</f>
        <v>Sugianto</v>
      </c>
      <c r="G632" s="222"/>
    </row>
    <row r="633" spans="2:7">
      <c r="B633" s="10" t="s">
        <v>663</v>
      </c>
      <c r="C633" s="11" t="s">
        <v>664</v>
      </c>
      <c r="D633" s="12" t="s">
        <v>665</v>
      </c>
      <c r="E633" s="13" t="s">
        <v>1716</v>
      </c>
      <c r="F633" s="6" t="str">
        <f>_xlfn.XLOOKUP(D633,'[7]Database DP'!$C:$C,'[7]Database DP'!$F:$F,"Tidak Ditemukan")</f>
        <v>AGUS</v>
      </c>
      <c r="G633" s="222"/>
    </row>
    <row r="634" spans="2:7">
      <c r="B634" s="10" t="s">
        <v>663</v>
      </c>
      <c r="C634" s="11" t="s">
        <v>664</v>
      </c>
      <c r="D634" s="12" t="s">
        <v>666</v>
      </c>
      <c r="E634" s="13" t="s">
        <v>1716</v>
      </c>
      <c r="F634" s="6" t="str">
        <f>_xlfn.XLOOKUP(D634,'[7]Database DP'!$C:$C,'[7]Database DP'!$F:$F,"Tidak Ditemukan")</f>
        <v>AGUS</v>
      </c>
      <c r="G634" s="222"/>
    </row>
    <row r="635" spans="2:7">
      <c r="B635" s="10" t="s">
        <v>663</v>
      </c>
      <c r="C635" s="11" t="s">
        <v>664</v>
      </c>
      <c r="D635" s="12" t="s">
        <v>667</v>
      </c>
      <c r="E635" s="13" t="s">
        <v>1716</v>
      </c>
      <c r="F635" s="6" t="str">
        <f>_xlfn.XLOOKUP(D635,'[7]Database DP'!$C:$C,'[7]Database DP'!$F:$F,"Tidak Ditemukan")</f>
        <v>AGUS</v>
      </c>
      <c r="G635" s="222"/>
    </row>
    <row r="636" spans="2:7">
      <c r="B636" s="10" t="s">
        <v>663</v>
      </c>
      <c r="C636" s="11" t="s">
        <v>664</v>
      </c>
      <c r="D636" s="12" t="s">
        <v>668</v>
      </c>
      <c r="E636" s="13" t="s">
        <v>1716</v>
      </c>
      <c r="F636" s="6" t="str">
        <f>_xlfn.XLOOKUP(D636,'[7]Database DP'!$C:$C,'[7]Database DP'!$F:$F,"Tidak Ditemukan")</f>
        <v>AGUS</v>
      </c>
      <c r="G636" s="222"/>
    </row>
    <row r="637" spans="2:7">
      <c r="B637" s="10" t="s">
        <v>663</v>
      </c>
      <c r="C637" s="11" t="s">
        <v>664</v>
      </c>
      <c r="D637" s="12" t="s">
        <v>669</v>
      </c>
      <c r="E637" s="13" t="s">
        <v>1716</v>
      </c>
      <c r="F637" s="6" t="str">
        <f>_xlfn.XLOOKUP(D637,'[7]Database DP'!$C:$C,'[7]Database DP'!$F:$F,"Tidak Ditemukan")</f>
        <v>AGUS</v>
      </c>
      <c r="G637" s="222"/>
    </row>
    <row r="638" spans="2:7">
      <c r="B638" s="10" t="s">
        <v>663</v>
      </c>
      <c r="C638" s="11" t="s">
        <v>664</v>
      </c>
      <c r="D638" s="12" t="s">
        <v>670</v>
      </c>
      <c r="E638" s="13" t="s">
        <v>1716</v>
      </c>
      <c r="F638" s="6" t="str">
        <f>_xlfn.XLOOKUP(D638,'[7]Database DP'!$C:$C,'[7]Database DP'!$F:$F,"Tidak Ditemukan")</f>
        <v>AGUS</v>
      </c>
      <c r="G638" s="222"/>
    </row>
    <row r="639" spans="2:7">
      <c r="B639" s="10" t="s">
        <v>663</v>
      </c>
      <c r="C639" s="11" t="s">
        <v>664</v>
      </c>
      <c r="D639" s="12" t="s">
        <v>671</v>
      </c>
      <c r="E639" s="13" t="s">
        <v>1716</v>
      </c>
      <c r="F639" s="6" t="str">
        <f>_xlfn.XLOOKUP(D639,'[7]Database DP'!$C:$C,'[7]Database DP'!$F:$F,"Tidak Ditemukan")</f>
        <v>AGUS</v>
      </c>
      <c r="G639" s="222"/>
    </row>
    <row r="640" spans="2:7">
      <c r="B640" s="10" t="s">
        <v>663</v>
      </c>
      <c r="C640" s="11" t="s">
        <v>664</v>
      </c>
      <c r="D640" s="12" t="s">
        <v>672</v>
      </c>
      <c r="E640" s="13" t="s">
        <v>1716</v>
      </c>
      <c r="F640" s="6" t="str">
        <f>_xlfn.XLOOKUP(D640,'[7]Database DP'!$C:$C,'[7]Database DP'!$F:$F,"Tidak Ditemukan")</f>
        <v>AGUS</v>
      </c>
      <c r="G640" s="222"/>
    </row>
    <row r="641" spans="2:7">
      <c r="B641" s="10" t="s">
        <v>663</v>
      </c>
      <c r="C641" s="11" t="s">
        <v>664</v>
      </c>
      <c r="D641" s="12" t="s">
        <v>673</v>
      </c>
      <c r="E641" s="13" t="s">
        <v>1716</v>
      </c>
      <c r="F641" s="6" t="str">
        <f>_xlfn.XLOOKUP(D641,'[7]Database DP'!$C:$C,'[7]Database DP'!$F:$F,"Tidak Ditemukan")</f>
        <v>AGUS</v>
      </c>
      <c r="G641" s="222"/>
    </row>
    <row r="642" spans="2:7">
      <c r="B642" s="10" t="s">
        <v>663</v>
      </c>
      <c r="C642" s="11" t="s">
        <v>664</v>
      </c>
      <c r="D642" s="12" t="s">
        <v>674</v>
      </c>
      <c r="E642" s="13" t="s">
        <v>1716</v>
      </c>
      <c r="F642" s="6" t="str">
        <f>_xlfn.XLOOKUP(D642,'[7]Database DP'!$C:$C,'[7]Database DP'!$F:$F,"Tidak Ditemukan")</f>
        <v>AI RIFIAN</v>
      </c>
      <c r="G642" s="222"/>
    </row>
    <row r="643" spans="2:7">
      <c r="B643" s="10" t="s">
        <v>663</v>
      </c>
      <c r="C643" s="11" t="s">
        <v>664</v>
      </c>
      <c r="D643" s="12" t="s">
        <v>675</v>
      </c>
      <c r="E643" s="13" t="s">
        <v>1716</v>
      </c>
      <c r="F643" s="6" t="str">
        <f>_xlfn.XLOOKUP(D643,'[7]Database DP'!$C:$C,'[7]Database DP'!$F:$F,"Tidak Ditemukan")</f>
        <v>AI RIFIAN</v>
      </c>
      <c r="G643" s="222"/>
    </row>
    <row r="644" spans="2:7">
      <c r="B644" s="10" t="s">
        <v>663</v>
      </c>
      <c r="C644" s="11" t="s">
        <v>664</v>
      </c>
      <c r="D644" s="12" t="s">
        <v>676</v>
      </c>
      <c r="E644" s="13" t="s">
        <v>1716</v>
      </c>
      <c r="F644" s="6" t="str">
        <f>_xlfn.XLOOKUP(D644,'[7]Database DP'!$C:$C,'[7]Database DP'!$F:$F,"Tidak Ditemukan")</f>
        <v>AI RIFIAN</v>
      </c>
      <c r="G644" s="222"/>
    </row>
    <row r="645" spans="2:7">
      <c r="B645" s="10" t="s">
        <v>663</v>
      </c>
      <c r="C645" s="11" t="s">
        <v>664</v>
      </c>
      <c r="D645" s="12" t="s">
        <v>677</v>
      </c>
      <c r="E645" s="13" t="s">
        <v>1716</v>
      </c>
      <c r="F645" s="6" t="str">
        <f>_xlfn.XLOOKUP(D645,'[7]Database DP'!$C:$C,'[7]Database DP'!$F:$F,"Tidak Ditemukan")</f>
        <v>AI RIFIAN</v>
      </c>
      <c r="G645" s="222"/>
    </row>
    <row r="646" spans="2:7">
      <c r="B646" s="10" t="s">
        <v>663</v>
      </c>
      <c r="C646" s="11" t="s">
        <v>664</v>
      </c>
      <c r="D646" s="12" t="s">
        <v>678</v>
      </c>
      <c r="E646" s="13" t="s">
        <v>1716</v>
      </c>
      <c r="F646" s="6" t="str">
        <f>_xlfn.XLOOKUP(D646,'[7]Database DP'!$C:$C,'[7]Database DP'!$F:$F,"Tidak Ditemukan")</f>
        <v>AI RIFIAN</v>
      </c>
      <c r="G646" s="222"/>
    </row>
    <row r="647" spans="2:7">
      <c r="B647" s="10" t="s">
        <v>663</v>
      </c>
      <c r="C647" s="11" t="s">
        <v>664</v>
      </c>
      <c r="D647" s="12" t="s">
        <v>679</v>
      </c>
      <c r="E647" s="13" t="s">
        <v>1716</v>
      </c>
      <c r="F647" s="6" t="str">
        <f>_xlfn.XLOOKUP(D647,'[7]Database DP'!$C:$C,'[7]Database DP'!$F:$F,"Tidak Ditemukan")</f>
        <v>AI RIFIAN</v>
      </c>
      <c r="G647" s="222"/>
    </row>
    <row r="648" spans="2:7">
      <c r="B648" s="10" t="s">
        <v>663</v>
      </c>
      <c r="C648" s="11" t="s">
        <v>664</v>
      </c>
      <c r="D648" s="12" t="s">
        <v>680</v>
      </c>
      <c r="E648" s="13" t="s">
        <v>1716</v>
      </c>
      <c r="F648" s="6" t="str">
        <f>_xlfn.XLOOKUP(D648,'[7]Database DP'!$C:$C,'[7]Database DP'!$F:$F,"Tidak Ditemukan")</f>
        <v>AI RIFIAN</v>
      </c>
      <c r="G648" s="222"/>
    </row>
    <row r="649" spans="2:7">
      <c r="B649" s="10" t="s">
        <v>663</v>
      </c>
      <c r="C649" s="11" t="s">
        <v>664</v>
      </c>
      <c r="D649" s="12" t="s">
        <v>681</v>
      </c>
      <c r="E649" s="13" t="s">
        <v>1716</v>
      </c>
      <c r="F649" s="6" t="str">
        <f>_xlfn.XLOOKUP(D649,'[7]Database DP'!$C:$C,'[7]Database DP'!$F:$F,"Tidak Ditemukan")</f>
        <v>AI RIFIAN</v>
      </c>
      <c r="G649" s="222"/>
    </row>
    <row r="650" spans="2:7">
      <c r="B650" s="10" t="s">
        <v>663</v>
      </c>
      <c r="C650" s="11" t="s">
        <v>664</v>
      </c>
      <c r="D650" s="12" t="s">
        <v>682</v>
      </c>
      <c r="E650" s="13" t="s">
        <v>1716</v>
      </c>
      <c r="F650" s="6" t="str">
        <f>_xlfn.XLOOKUP(D650,'[7]Database DP'!$C:$C,'[7]Database DP'!$F:$F,"Tidak Ditemukan")</f>
        <v>AI RIFIAN</v>
      </c>
      <c r="G650" s="222"/>
    </row>
    <row r="651" spans="2:7">
      <c r="B651" s="10" t="s">
        <v>663</v>
      </c>
      <c r="C651" s="11" t="s">
        <v>664</v>
      </c>
      <c r="D651" s="12" t="s">
        <v>683</v>
      </c>
      <c r="E651" s="13" t="s">
        <v>1716</v>
      </c>
      <c r="F651" s="6" t="str">
        <f>_xlfn.XLOOKUP(D651,'[7]Database DP'!$C:$C,'[7]Database DP'!$F:$F,"Tidak Ditemukan")</f>
        <v>AI RIFIAN</v>
      </c>
      <c r="G651" s="222"/>
    </row>
    <row r="652" spans="2:7">
      <c r="B652" s="10" t="s">
        <v>663</v>
      </c>
      <c r="C652" s="11" t="s">
        <v>664</v>
      </c>
      <c r="D652" s="12" t="s">
        <v>684</v>
      </c>
      <c r="E652" s="13" t="s">
        <v>1739</v>
      </c>
      <c r="F652" s="6" t="str">
        <f>_xlfn.XLOOKUP(D652,'[7]Database DP'!$C:$C,'[7]Database DP'!$F:$F,"Tidak Ditemukan")</f>
        <v>BOWO</v>
      </c>
      <c r="G652" s="222"/>
    </row>
    <row r="653" spans="2:7">
      <c r="B653" s="10" t="s">
        <v>663</v>
      </c>
      <c r="C653" s="11" t="s">
        <v>664</v>
      </c>
      <c r="D653" s="12" t="s">
        <v>685</v>
      </c>
      <c r="E653" s="13" t="s">
        <v>1739</v>
      </c>
      <c r="F653" s="6" t="str">
        <f>_xlfn.XLOOKUP(D653,'[7]Database DP'!$C:$C,'[7]Database DP'!$F:$F,"Tidak Ditemukan")</f>
        <v>BOWO</v>
      </c>
      <c r="G653" s="222"/>
    </row>
    <row r="654" spans="2:7">
      <c r="B654" s="10" t="s">
        <v>663</v>
      </c>
      <c r="C654" s="11" t="s">
        <v>664</v>
      </c>
      <c r="D654" s="12" t="s">
        <v>686</v>
      </c>
      <c r="E654" s="13" t="s">
        <v>1739</v>
      </c>
      <c r="F654" s="6" t="str">
        <f>_xlfn.XLOOKUP(D654,'[7]Database DP'!$C:$C,'[7]Database DP'!$F:$F,"Tidak Ditemukan")</f>
        <v>BOWO</v>
      </c>
      <c r="G654" s="222"/>
    </row>
    <row r="655" spans="2:7">
      <c r="B655" s="10" t="s">
        <v>663</v>
      </c>
      <c r="C655" s="11" t="s">
        <v>664</v>
      </c>
      <c r="D655" s="12" t="s">
        <v>687</v>
      </c>
      <c r="E655" s="13" t="s">
        <v>1716</v>
      </c>
      <c r="F655" s="6" t="str">
        <f>_xlfn.XLOOKUP(D655,'[7]Database DP'!$C:$C,'[7]Database DP'!$F:$F,"Tidak Ditemukan")</f>
        <v>BOWO</v>
      </c>
      <c r="G655" s="222"/>
    </row>
    <row r="656" spans="2:7">
      <c r="B656" s="10" t="s">
        <v>663</v>
      </c>
      <c r="C656" s="11" t="s">
        <v>664</v>
      </c>
      <c r="D656" s="12" t="s">
        <v>688</v>
      </c>
      <c r="E656" s="13" t="s">
        <v>1716</v>
      </c>
      <c r="F656" s="6" t="str">
        <f>_xlfn.XLOOKUP(D656,'[7]Database DP'!$C:$C,'[7]Database DP'!$F:$F,"Tidak Ditemukan")</f>
        <v>BOWO</v>
      </c>
      <c r="G656" s="222"/>
    </row>
    <row r="657" spans="2:7">
      <c r="B657" s="10" t="s">
        <v>663</v>
      </c>
      <c r="C657" s="11" t="s">
        <v>664</v>
      </c>
      <c r="D657" s="12" t="s">
        <v>689</v>
      </c>
      <c r="E657" s="13" t="s">
        <v>1716</v>
      </c>
      <c r="F657" s="6" t="str">
        <f>_xlfn.XLOOKUP(D657,'[7]Database DP'!$C:$C,'[7]Database DP'!$F:$F,"Tidak Ditemukan")</f>
        <v>BOWO</v>
      </c>
      <c r="G657" s="222"/>
    </row>
    <row r="658" spans="2:7">
      <c r="B658" s="10" t="s">
        <v>663</v>
      </c>
      <c r="C658" s="11" t="s">
        <v>664</v>
      </c>
      <c r="D658" s="12" t="s">
        <v>690</v>
      </c>
      <c r="E658" s="13" t="s">
        <v>1716</v>
      </c>
      <c r="F658" s="6" t="str">
        <f>_xlfn.XLOOKUP(D658,'[7]Database DP'!$C:$C,'[7]Database DP'!$F:$F,"Tidak Ditemukan")</f>
        <v>BOWO</v>
      </c>
      <c r="G658" s="222"/>
    </row>
    <row r="659" spans="2:7">
      <c r="B659" s="10" t="s">
        <v>663</v>
      </c>
      <c r="C659" s="11" t="s">
        <v>664</v>
      </c>
      <c r="D659" s="12" t="s">
        <v>691</v>
      </c>
      <c r="E659" s="13" t="s">
        <v>1716</v>
      </c>
      <c r="F659" s="6" t="str">
        <f>_xlfn.XLOOKUP(D659,'[7]Database DP'!$C:$C,'[7]Database DP'!$F:$F,"Tidak Ditemukan")</f>
        <v>BOWO</v>
      </c>
      <c r="G659" s="222"/>
    </row>
    <row r="660" spans="2:7">
      <c r="B660" s="10" t="s">
        <v>663</v>
      </c>
      <c r="C660" s="11" t="s">
        <v>664</v>
      </c>
      <c r="D660" s="12" t="s">
        <v>692</v>
      </c>
      <c r="E660" s="13" t="s">
        <v>1716</v>
      </c>
      <c r="F660" s="6" t="str">
        <f>_xlfn.XLOOKUP(D660,'[7]Database DP'!$C:$C,'[7]Database DP'!$F:$F,"Tidak Ditemukan")</f>
        <v>DADANG</v>
      </c>
      <c r="G660" s="222"/>
    </row>
    <row r="661" spans="2:7">
      <c r="B661" s="10" t="s">
        <v>663</v>
      </c>
      <c r="C661" s="11" t="s">
        <v>664</v>
      </c>
      <c r="D661" s="12" t="s">
        <v>693</v>
      </c>
      <c r="E661" s="13" t="s">
        <v>1716</v>
      </c>
      <c r="F661" s="6" t="str">
        <f>_xlfn.XLOOKUP(D661,'[7]Database DP'!$C:$C,'[7]Database DP'!$F:$F,"Tidak Ditemukan")</f>
        <v>DADANG</v>
      </c>
      <c r="G661" s="222"/>
    </row>
    <row r="662" spans="2:7">
      <c r="B662" s="10" t="s">
        <v>663</v>
      </c>
      <c r="C662" s="11" t="s">
        <v>664</v>
      </c>
      <c r="D662" s="12" t="s">
        <v>694</v>
      </c>
      <c r="E662" s="13" t="s">
        <v>1716</v>
      </c>
      <c r="F662" s="6" t="str">
        <f>_xlfn.XLOOKUP(D662,'[7]Database DP'!$C:$C,'[7]Database DP'!$F:$F,"Tidak Ditemukan")</f>
        <v>DADANG</v>
      </c>
      <c r="G662" s="222"/>
    </row>
    <row r="663" spans="2:7">
      <c r="B663" s="10" t="s">
        <v>663</v>
      </c>
      <c r="C663" s="11" t="s">
        <v>664</v>
      </c>
      <c r="D663" s="12" t="s">
        <v>695</v>
      </c>
      <c r="E663" s="13" t="s">
        <v>1716</v>
      </c>
      <c r="F663" s="6" t="str">
        <f>_xlfn.XLOOKUP(D663,'[7]Database DP'!$C:$C,'[7]Database DP'!$F:$F,"Tidak Ditemukan")</f>
        <v>DADANG</v>
      </c>
      <c r="G663" s="222"/>
    </row>
    <row r="664" spans="2:7">
      <c r="B664" s="10" t="s">
        <v>663</v>
      </c>
      <c r="C664" s="11" t="s">
        <v>664</v>
      </c>
      <c r="D664" s="12" t="s">
        <v>696</v>
      </c>
      <c r="E664" s="13" t="s">
        <v>1716</v>
      </c>
      <c r="F664" s="6" t="str">
        <f>_xlfn.XLOOKUP(D664,'[7]Database DP'!$C:$C,'[7]Database DP'!$F:$F,"Tidak Ditemukan")</f>
        <v>DADANG</v>
      </c>
      <c r="G664" s="222"/>
    </row>
    <row r="665" spans="2:7">
      <c r="B665" s="10" t="s">
        <v>663</v>
      </c>
      <c r="C665" s="11" t="s">
        <v>664</v>
      </c>
      <c r="D665" s="12" t="s">
        <v>697</v>
      </c>
      <c r="E665" s="13" t="s">
        <v>1716</v>
      </c>
      <c r="F665" s="6" t="str">
        <f>_xlfn.XLOOKUP(D665,'[7]Database DP'!$C:$C,'[7]Database DP'!$F:$F,"Tidak Ditemukan")</f>
        <v>DADANG</v>
      </c>
      <c r="G665" s="222"/>
    </row>
    <row r="666" spans="2:7">
      <c r="B666" s="10" t="s">
        <v>663</v>
      </c>
      <c r="C666" s="11" t="s">
        <v>664</v>
      </c>
      <c r="D666" s="12" t="s">
        <v>698</v>
      </c>
      <c r="E666" s="13" t="s">
        <v>1716</v>
      </c>
      <c r="F666" s="6" t="str">
        <f>_xlfn.XLOOKUP(D666,'[7]Database DP'!$C:$C,'[7]Database DP'!$F:$F,"Tidak Ditemukan")</f>
        <v>DADANG</v>
      </c>
      <c r="G666" s="222"/>
    </row>
    <row r="667" spans="2:7">
      <c r="B667" s="10" t="s">
        <v>663</v>
      </c>
      <c r="C667" s="11" t="s">
        <v>664</v>
      </c>
      <c r="D667" s="12" t="s">
        <v>699</v>
      </c>
      <c r="E667" s="13" t="s">
        <v>1716</v>
      </c>
      <c r="F667" s="6" t="str">
        <f>_xlfn.XLOOKUP(D667,'[7]Database DP'!$C:$C,'[7]Database DP'!$F:$F,"Tidak Ditemukan")</f>
        <v>DADANG</v>
      </c>
      <c r="G667" s="222"/>
    </row>
    <row r="668" spans="2:7">
      <c r="B668" s="10" t="s">
        <v>663</v>
      </c>
      <c r="C668" s="11" t="s">
        <v>664</v>
      </c>
      <c r="D668" s="12" t="s">
        <v>700</v>
      </c>
      <c r="E668" s="13" t="s">
        <v>1716</v>
      </c>
      <c r="F668" s="6" t="str">
        <f>_xlfn.XLOOKUP(D668,'[7]Database DP'!$C:$C,'[7]Database DP'!$F:$F,"Tidak Ditemukan")</f>
        <v>DADANG</v>
      </c>
      <c r="G668" s="222"/>
    </row>
    <row r="669" spans="2:7">
      <c r="B669" s="10" t="s">
        <v>663</v>
      </c>
      <c r="C669" s="11" t="s">
        <v>664</v>
      </c>
      <c r="D669" s="12" t="s">
        <v>701</v>
      </c>
      <c r="E669" s="13" t="s">
        <v>1716</v>
      </c>
      <c r="F669" s="6" t="str">
        <f>_xlfn.XLOOKUP(D669,'[7]Database DP'!$C:$C,'[7]Database DP'!$F:$F,"Tidak Ditemukan")</f>
        <v>DADANG</v>
      </c>
      <c r="G669" s="222"/>
    </row>
    <row r="670" spans="2:7">
      <c r="B670" s="10" t="s">
        <v>663</v>
      </c>
      <c r="C670" s="11" t="s">
        <v>664</v>
      </c>
      <c r="D670" s="12" t="s">
        <v>702</v>
      </c>
      <c r="E670" s="13" t="s">
        <v>1716</v>
      </c>
      <c r="F670" s="6" t="str">
        <f>_xlfn.XLOOKUP(D670,'[7]Database DP'!$C:$C,'[7]Database DP'!$F:$F,"Tidak Ditemukan")</f>
        <v>DANIEL</v>
      </c>
      <c r="G670" s="222"/>
    </row>
    <row r="671" spans="2:7">
      <c r="B671" s="10" t="s">
        <v>663</v>
      </c>
      <c r="C671" s="11" t="s">
        <v>664</v>
      </c>
      <c r="D671" s="12" t="s">
        <v>703</v>
      </c>
      <c r="E671" s="13" t="s">
        <v>1716</v>
      </c>
      <c r="F671" s="6" t="str">
        <f>_xlfn.XLOOKUP(D671,'[7]Database DP'!$C:$C,'[7]Database DP'!$F:$F,"Tidak Ditemukan")</f>
        <v>DANIEL</v>
      </c>
      <c r="G671" s="222"/>
    </row>
    <row r="672" spans="2:7">
      <c r="B672" s="10" t="s">
        <v>663</v>
      </c>
      <c r="C672" s="11" t="s">
        <v>664</v>
      </c>
      <c r="D672" s="12" t="s">
        <v>704</v>
      </c>
      <c r="E672" s="13" t="s">
        <v>1716</v>
      </c>
      <c r="F672" s="6" t="str">
        <f>_xlfn.XLOOKUP(D672,'[7]Database DP'!$C:$C,'[7]Database DP'!$F:$F,"Tidak Ditemukan")</f>
        <v>DANIEL</v>
      </c>
      <c r="G672" s="222"/>
    </row>
    <row r="673" spans="2:7">
      <c r="B673" s="10" t="s">
        <v>663</v>
      </c>
      <c r="C673" s="11" t="s">
        <v>664</v>
      </c>
      <c r="D673" s="12" t="s">
        <v>705</v>
      </c>
      <c r="E673" s="13" t="s">
        <v>1716</v>
      </c>
      <c r="F673" s="6" t="str">
        <f>_xlfn.XLOOKUP(D673,'[7]Database DP'!$C:$C,'[7]Database DP'!$F:$F,"Tidak Ditemukan")</f>
        <v>DANIEL</v>
      </c>
      <c r="G673" s="222"/>
    </row>
    <row r="674" spans="2:7">
      <c r="B674" s="10" t="s">
        <v>663</v>
      </c>
      <c r="C674" s="11" t="s">
        <v>664</v>
      </c>
      <c r="D674" s="12" t="s">
        <v>706</v>
      </c>
      <c r="E674" s="13" t="s">
        <v>1716</v>
      </c>
      <c r="F674" s="6" t="str">
        <f>_xlfn.XLOOKUP(D674,'[7]Database DP'!$C:$C,'[7]Database DP'!$F:$F,"Tidak Ditemukan")</f>
        <v>DANIEL</v>
      </c>
      <c r="G674" s="222"/>
    </row>
    <row r="675" spans="2:7">
      <c r="B675" s="10" t="s">
        <v>663</v>
      </c>
      <c r="C675" s="11" t="s">
        <v>664</v>
      </c>
      <c r="D675" s="12" t="s">
        <v>707</v>
      </c>
      <c r="E675" s="13" t="s">
        <v>1716</v>
      </c>
      <c r="F675" s="6" t="str">
        <f>_xlfn.XLOOKUP(D675,'[7]Database DP'!$C:$C,'[7]Database DP'!$F:$F,"Tidak Ditemukan")</f>
        <v>DANIEL</v>
      </c>
      <c r="G675" s="222"/>
    </row>
    <row r="676" spans="2:7">
      <c r="B676" s="10" t="s">
        <v>663</v>
      </c>
      <c r="C676" s="11" t="s">
        <v>664</v>
      </c>
      <c r="D676" s="12" t="s">
        <v>708</v>
      </c>
      <c r="E676" s="13" t="s">
        <v>1716</v>
      </c>
      <c r="F676" s="6" t="str">
        <f>_xlfn.XLOOKUP(D676,'[7]Database DP'!$C:$C,'[7]Database DP'!$F:$F,"Tidak Ditemukan")</f>
        <v>DANIEL</v>
      </c>
      <c r="G676" s="222"/>
    </row>
    <row r="677" spans="2:7">
      <c r="B677" s="10" t="s">
        <v>663</v>
      </c>
      <c r="C677" s="11" t="s">
        <v>664</v>
      </c>
      <c r="D677" s="12" t="s">
        <v>709</v>
      </c>
      <c r="E677" s="13" t="s">
        <v>1716</v>
      </c>
      <c r="F677" s="6" t="str">
        <f>_xlfn.XLOOKUP(D677,'[7]Database DP'!$C:$C,'[7]Database DP'!$F:$F,"Tidak Ditemukan")</f>
        <v>DANIEL</v>
      </c>
      <c r="G677" s="222"/>
    </row>
    <row r="678" spans="2:7">
      <c r="B678" s="10" t="s">
        <v>663</v>
      </c>
      <c r="C678" s="11" t="s">
        <v>664</v>
      </c>
      <c r="D678" s="12" t="s">
        <v>710</v>
      </c>
      <c r="E678" s="13" t="s">
        <v>1716</v>
      </c>
      <c r="F678" s="6" t="str">
        <f>_xlfn.XLOOKUP(D678,'[7]Database DP'!$C:$C,'[7]Database DP'!$F:$F,"Tidak Ditemukan")</f>
        <v>GERRY</v>
      </c>
      <c r="G678" s="222"/>
    </row>
    <row r="679" spans="2:7">
      <c r="B679" s="10" t="s">
        <v>663</v>
      </c>
      <c r="C679" s="11" t="s">
        <v>664</v>
      </c>
      <c r="D679" s="12" t="s">
        <v>711</v>
      </c>
      <c r="E679" s="13" t="s">
        <v>1716</v>
      </c>
      <c r="F679" s="6" t="str">
        <f>_xlfn.XLOOKUP(D679,'[7]Database DP'!$C:$C,'[7]Database DP'!$F:$F,"Tidak Ditemukan")</f>
        <v>GERRY</v>
      </c>
      <c r="G679" s="222"/>
    </row>
    <row r="680" spans="2:7">
      <c r="B680" s="10" t="s">
        <v>663</v>
      </c>
      <c r="C680" s="11" t="s">
        <v>664</v>
      </c>
      <c r="D680" s="12" t="s">
        <v>712</v>
      </c>
      <c r="E680" s="13" t="s">
        <v>1716</v>
      </c>
      <c r="F680" s="6" t="str">
        <f>_xlfn.XLOOKUP(D680,'[7]Database DP'!$C:$C,'[7]Database DP'!$F:$F,"Tidak Ditemukan")</f>
        <v>GERRY</v>
      </c>
      <c r="G680" s="222"/>
    </row>
    <row r="681" spans="2:7">
      <c r="B681" s="10" t="s">
        <v>663</v>
      </c>
      <c r="C681" s="11" t="s">
        <v>664</v>
      </c>
      <c r="D681" s="12" t="s">
        <v>713</v>
      </c>
      <c r="E681" s="13" t="s">
        <v>1716</v>
      </c>
      <c r="F681" s="6" t="str">
        <f>_xlfn.XLOOKUP(D681,'[7]Database DP'!$C:$C,'[7]Database DP'!$F:$F,"Tidak Ditemukan")</f>
        <v>GERRY</v>
      </c>
      <c r="G681" s="222"/>
    </row>
    <row r="682" spans="2:7">
      <c r="B682" s="10" t="s">
        <v>663</v>
      </c>
      <c r="C682" s="11" t="s">
        <v>664</v>
      </c>
      <c r="D682" s="12" t="s">
        <v>714</v>
      </c>
      <c r="E682" s="13" t="s">
        <v>1716</v>
      </c>
      <c r="F682" s="6" t="str">
        <f>_xlfn.XLOOKUP(D682,'[7]Database DP'!$C:$C,'[7]Database DP'!$F:$F,"Tidak Ditemukan")</f>
        <v>GERRY</v>
      </c>
      <c r="G682" s="222"/>
    </row>
    <row r="683" spans="2:7">
      <c r="B683" s="10" t="s">
        <v>663</v>
      </c>
      <c r="C683" s="11" t="s">
        <v>664</v>
      </c>
      <c r="D683" s="12" t="s">
        <v>715</v>
      </c>
      <c r="E683" s="13" t="s">
        <v>1716</v>
      </c>
      <c r="F683" s="6" t="str">
        <f>_xlfn.XLOOKUP(D683,'[7]Database DP'!$C:$C,'[7]Database DP'!$F:$F,"Tidak Ditemukan")</f>
        <v>HERI</v>
      </c>
      <c r="G683" s="222"/>
    </row>
    <row r="684" spans="2:7">
      <c r="B684" s="10" t="s">
        <v>663</v>
      </c>
      <c r="C684" s="11" t="s">
        <v>664</v>
      </c>
      <c r="D684" s="12" t="s">
        <v>716</v>
      </c>
      <c r="E684" s="13" t="s">
        <v>1716</v>
      </c>
      <c r="F684" s="6" t="str">
        <f>_xlfn.XLOOKUP(D684,'[7]Database DP'!$C:$C,'[7]Database DP'!$F:$F,"Tidak Ditemukan")</f>
        <v>HERI</v>
      </c>
      <c r="G684" s="222"/>
    </row>
    <row r="685" spans="2:7">
      <c r="B685" s="10" t="s">
        <v>663</v>
      </c>
      <c r="C685" s="11" t="s">
        <v>664</v>
      </c>
      <c r="D685" s="12" t="s">
        <v>717</v>
      </c>
      <c r="E685" s="13" t="s">
        <v>1716</v>
      </c>
      <c r="F685" s="6" t="str">
        <f>_xlfn.XLOOKUP(D685,'[7]Database DP'!$C:$C,'[7]Database DP'!$F:$F,"Tidak Ditemukan")</f>
        <v>HERI</v>
      </c>
      <c r="G685" s="222"/>
    </row>
    <row r="686" spans="2:7">
      <c r="B686" s="10" t="s">
        <v>663</v>
      </c>
      <c r="C686" s="11" t="s">
        <v>664</v>
      </c>
      <c r="D686" s="12" t="s">
        <v>718</v>
      </c>
      <c r="E686" s="13" t="s">
        <v>1716</v>
      </c>
      <c r="F686" s="6" t="str">
        <f>_xlfn.XLOOKUP(D686,'[7]Database DP'!$C:$C,'[7]Database DP'!$F:$F,"Tidak Ditemukan")</f>
        <v>HERI</v>
      </c>
      <c r="G686" s="222"/>
    </row>
    <row r="687" spans="2:7">
      <c r="B687" s="10" t="s">
        <v>663</v>
      </c>
      <c r="C687" s="11" t="s">
        <v>664</v>
      </c>
      <c r="D687" s="12" t="s">
        <v>719</v>
      </c>
      <c r="E687" s="13" t="s">
        <v>1716</v>
      </c>
      <c r="F687" s="6" t="str">
        <f>_xlfn.XLOOKUP(D687,'[7]Database DP'!$C:$C,'[7]Database DP'!$F:$F,"Tidak Ditemukan")</f>
        <v>HERI</v>
      </c>
      <c r="G687" s="222"/>
    </row>
    <row r="688" spans="2:7">
      <c r="B688" s="10" t="s">
        <v>663</v>
      </c>
      <c r="C688" s="11" t="s">
        <v>664</v>
      </c>
      <c r="D688" s="12" t="s">
        <v>720</v>
      </c>
      <c r="E688" s="13" t="s">
        <v>1716</v>
      </c>
      <c r="F688" s="6" t="str">
        <f>_xlfn.XLOOKUP(D688,'[7]Database DP'!$C:$C,'[7]Database DP'!$F:$F,"Tidak Ditemukan")</f>
        <v>HERI</v>
      </c>
      <c r="G688" s="222"/>
    </row>
    <row r="689" spans="2:7">
      <c r="B689" s="10" t="s">
        <v>663</v>
      </c>
      <c r="C689" s="11" t="s">
        <v>664</v>
      </c>
      <c r="D689" s="12" t="s">
        <v>721</v>
      </c>
      <c r="E689" s="13" t="s">
        <v>1716</v>
      </c>
      <c r="F689" s="6" t="str">
        <f>_xlfn.XLOOKUP(D689,'[7]Database DP'!$C:$C,'[7]Database DP'!$F:$F,"Tidak Ditemukan")</f>
        <v>HERI</v>
      </c>
      <c r="G689" s="222"/>
    </row>
    <row r="690" spans="2:7">
      <c r="B690" s="10" t="s">
        <v>663</v>
      </c>
      <c r="C690" s="11" t="s">
        <v>664</v>
      </c>
      <c r="D690" s="12" t="s">
        <v>722</v>
      </c>
      <c r="E690" s="13" t="s">
        <v>1716</v>
      </c>
      <c r="F690" s="6" t="str">
        <f>_xlfn.XLOOKUP(D690,'[7]Database DP'!$C:$C,'[7]Database DP'!$F:$F,"Tidak Ditemukan")</f>
        <v>HERI</v>
      </c>
      <c r="G690" s="222"/>
    </row>
    <row r="691" spans="2:7">
      <c r="B691" s="10" t="s">
        <v>663</v>
      </c>
      <c r="C691" s="11" t="s">
        <v>664</v>
      </c>
      <c r="D691" s="12" t="s">
        <v>723</v>
      </c>
      <c r="E691" s="13" t="s">
        <v>1716</v>
      </c>
      <c r="F691" s="6" t="str">
        <f>_xlfn.XLOOKUP(D691,'[7]Database DP'!$C:$C,'[7]Database DP'!$F:$F,"Tidak Ditemukan")</f>
        <v>HERI</v>
      </c>
      <c r="G691" s="222"/>
    </row>
    <row r="692" spans="2:7">
      <c r="B692" s="10" t="s">
        <v>663</v>
      </c>
      <c r="C692" s="11" t="s">
        <v>664</v>
      </c>
      <c r="D692" s="12" t="s">
        <v>724</v>
      </c>
      <c r="E692" s="13" t="s">
        <v>1716</v>
      </c>
      <c r="F692" s="6" t="str">
        <f>_xlfn.XLOOKUP(D692,'[7]Database DP'!$C:$C,'[7]Database DP'!$F:$F,"Tidak Ditemukan")</f>
        <v>HERI</v>
      </c>
      <c r="G692" s="222"/>
    </row>
    <row r="693" spans="2:7">
      <c r="B693" s="10" t="s">
        <v>663</v>
      </c>
      <c r="C693" s="11" t="s">
        <v>664</v>
      </c>
      <c r="D693" s="12" t="s">
        <v>725</v>
      </c>
      <c r="E693" s="13" t="s">
        <v>1716</v>
      </c>
      <c r="F693" s="6" t="str">
        <f>_xlfn.XLOOKUP(D693,'[7]Database DP'!$C:$C,'[7]Database DP'!$F:$F,"Tidak Ditemukan")</f>
        <v>HERI</v>
      </c>
      <c r="G693" s="222"/>
    </row>
    <row r="694" spans="2:7">
      <c r="B694" s="10" t="s">
        <v>663</v>
      </c>
      <c r="C694" s="11" t="s">
        <v>664</v>
      </c>
      <c r="D694" s="12" t="s">
        <v>726</v>
      </c>
      <c r="E694" s="13" t="s">
        <v>1716</v>
      </c>
      <c r="F694" s="6" t="str">
        <f>_xlfn.XLOOKUP(D694,'[7]Database DP'!$C:$C,'[7]Database DP'!$F:$F,"Tidak Ditemukan")</f>
        <v>HERI</v>
      </c>
      <c r="G694" s="222"/>
    </row>
    <row r="695" spans="2:7">
      <c r="B695" s="10" t="s">
        <v>663</v>
      </c>
      <c r="C695" s="11" t="s">
        <v>664</v>
      </c>
      <c r="D695" s="12" t="s">
        <v>727</v>
      </c>
      <c r="E695" s="13" t="s">
        <v>1716</v>
      </c>
      <c r="F695" s="6" t="str">
        <f>_xlfn.XLOOKUP(D695,'[7]Database DP'!$C:$C,'[7]Database DP'!$F:$F,"Tidak Ditemukan")</f>
        <v>HERI</v>
      </c>
      <c r="G695" s="222"/>
    </row>
    <row r="696" spans="2:7">
      <c r="B696" s="10" t="s">
        <v>663</v>
      </c>
      <c r="C696" s="11" t="s">
        <v>664</v>
      </c>
      <c r="D696" s="12" t="s">
        <v>728</v>
      </c>
      <c r="E696" s="13" t="s">
        <v>1716</v>
      </c>
      <c r="F696" s="6" t="str">
        <f>_xlfn.XLOOKUP(D696,'[7]Database DP'!$C:$C,'[7]Database DP'!$F:$F,"Tidak Ditemukan")</f>
        <v>HERI</v>
      </c>
      <c r="G696" s="222"/>
    </row>
    <row r="697" spans="2:7">
      <c r="B697" s="10" t="s">
        <v>663</v>
      </c>
      <c r="C697" s="11" t="s">
        <v>664</v>
      </c>
      <c r="D697" s="12" t="s">
        <v>729</v>
      </c>
      <c r="E697" s="13" t="s">
        <v>1716</v>
      </c>
      <c r="F697" s="6" t="str">
        <f>_xlfn.XLOOKUP(D697,'[7]Database DP'!$C:$C,'[7]Database DP'!$F:$F,"Tidak Ditemukan")</f>
        <v>RISWANTO</v>
      </c>
      <c r="G697" s="222"/>
    </row>
    <row r="698" spans="2:7">
      <c r="B698" s="10" t="s">
        <v>663</v>
      </c>
      <c r="C698" s="11" t="s">
        <v>664</v>
      </c>
      <c r="D698" s="12" t="s">
        <v>730</v>
      </c>
      <c r="E698" s="13" t="s">
        <v>1716</v>
      </c>
      <c r="F698" s="6" t="str">
        <f>_xlfn.XLOOKUP(D698,'[7]Database DP'!$C:$C,'[7]Database DP'!$F:$F,"Tidak Ditemukan")</f>
        <v>RISWANTO</v>
      </c>
      <c r="G698" s="222"/>
    </row>
    <row r="699" spans="2:7">
      <c r="B699" s="10" t="s">
        <v>663</v>
      </c>
      <c r="C699" s="11" t="s">
        <v>664</v>
      </c>
      <c r="D699" s="12" t="s">
        <v>731</v>
      </c>
      <c r="E699" s="13" t="s">
        <v>1716</v>
      </c>
      <c r="F699" s="6" t="str">
        <f>_xlfn.XLOOKUP(D699,'[7]Database DP'!$C:$C,'[7]Database DP'!$F:$F,"Tidak Ditemukan")</f>
        <v>RISWANTO</v>
      </c>
      <c r="G699" s="222"/>
    </row>
    <row r="700" spans="2:7">
      <c r="B700" s="10" t="s">
        <v>663</v>
      </c>
      <c r="C700" s="11" t="s">
        <v>664</v>
      </c>
      <c r="D700" s="12" t="s">
        <v>732</v>
      </c>
      <c r="E700" s="13" t="s">
        <v>1716</v>
      </c>
      <c r="F700" s="6" t="str">
        <f>_xlfn.XLOOKUP(D700,'[7]Database DP'!$C:$C,'[7]Database DP'!$F:$F,"Tidak Ditemukan")</f>
        <v>RISWANTO</v>
      </c>
      <c r="G700" s="222"/>
    </row>
    <row r="701" spans="2:7">
      <c r="B701" s="10" t="s">
        <v>663</v>
      </c>
      <c r="C701" s="11" t="s">
        <v>664</v>
      </c>
      <c r="D701" s="12" t="s">
        <v>733</v>
      </c>
      <c r="E701" s="13" t="s">
        <v>1716</v>
      </c>
      <c r="F701" s="6" t="str">
        <f>_xlfn.XLOOKUP(D701,'[7]Database DP'!$C:$C,'[7]Database DP'!$F:$F,"Tidak Ditemukan")</f>
        <v>RISWANTO</v>
      </c>
      <c r="G701" s="222"/>
    </row>
    <row r="702" spans="2:7">
      <c r="B702" s="10" t="s">
        <v>663</v>
      </c>
      <c r="C702" s="11" t="s">
        <v>664</v>
      </c>
      <c r="D702" s="12" t="s">
        <v>734</v>
      </c>
      <c r="E702" s="13" t="s">
        <v>1716</v>
      </c>
      <c r="F702" s="6" t="str">
        <f>_xlfn.XLOOKUP(D702,'[7]Database DP'!$C:$C,'[7]Database DP'!$F:$F,"Tidak Ditemukan")</f>
        <v>RISWANTO</v>
      </c>
      <c r="G702" s="222"/>
    </row>
    <row r="703" spans="2:7">
      <c r="B703" s="10" t="s">
        <v>663</v>
      </c>
      <c r="C703" s="11" t="s">
        <v>664</v>
      </c>
      <c r="D703" s="12" t="s">
        <v>735</v>
      </c>
      <c r="E703" s="13" t="s">
        <v>1716</v>
      </c>
      <c r="F703" s="6" t="str">
        <f>_xlfn.XLOOKUP(D703,'[7]Database DP'!$C:$C,'[7]Database DP'!$F:$F,"Tidak Ditemukan")</f>
        <v>RISWANTO</v>
      </c>
      <c r="G703" s="222"/>
    </row>
    <row r="704" spans="2:7">
      <c r="B704" s="10" t="s">
        <v>663</v>
      </c>
      <c r="C704" s="11" t="s">
        <v>664</v>
      </c>
      <c r="D704" s="12" t="s">
        <v>736</v>
      </c>
      <c r="E704" s="13" t="s">
        <v>1716</v>
      </c>
      <c r="F704" s="6" t="str">
        <f>_xlfn.XLOOKUP(D704,'[7]Database DP'!$C:$C,'[7]Database DP'!$F:$F,"Tidak Ditemukan")</f>
        <v>RISWANTO</v>
      </c>
      <c r="G704" s="222"/>
    </row>
    <row r="705" spans="2:7">
      <c r="B705" s="10" t="s">
        <v>663</v>
      </c>
      <c r="C705" s="11" t="s">
        <v>664</v>
      </c>
      <c r="D705" s="12" t="s">
        <v>737</v>
      </c>
      <c r="E705" s="13" t="s">
        <v>1716</v>
      </c>
      <c r="F705" s="6" t="str">
        <f>_xlfn.XLOOKUP(D705,'[7]Database DP'!$C:$C,'[7]Database DP'!$F:$F,"Tidak Ditemukan")</f>
        <v>RISWANTO</v>
      </c>
      <c r="G705" s="222"/>
    </row>
    <row r="706" spans="2:7">
      <c r="B706" s="10" t="s">
        <v>663</v>
      </c>
      <c r="C706" s="11" t="s">
        <v>664</v>
      </c>
      <c r="D706" s="12" t="s">
        <v>738</v>
      </c>
      <c r="E706" s="13" t="s">
        <v>1716</v>
      </c>
      <c r="F706" s="6" t="str">
        <f>_xlfn.XLOOKUP(D706,'[7]Database DP'!$C:$C,'[7]Database DP'!$F:$F,"Tidak Ditemukan")</f>
        <v>RISWANTO</v>
      </c>
      <c r="G706" s="222"/>
    </row>
    <row r="707" spans="2:7">
      <c r="B707" s="10" t="s">
        <v>663</v>
      </c>
      <c r="C707" s="11" t="s">
        <v>664</v>
      </c>
      <c r="D707" s="12" t="s">
        <v>739</v>
      </c>
      <c r="E707" s="13" t="s">
        <v>1716</v>
      </c>
      <c r="F707" s="6" t="str">
        <f>_xlfn.XLOOKUP(D707,'[7]Database DP'!$C:$C,'[7]Database DP'!$F:$F,"Tidak Ditemukan")</f>
        <v>RISWANTO</v>
      </c>
      <c r="G707" s="222"/>
    </row>
    <row r="708" spans="2:7">
      <c r="B708" s="10" t="s">
        <v>663</v>
      </c>
      <c r="C708" s="11" t="s">
        <v>664</v>
      </c>
      <c r="D708" s="12" t="s">
        <v>740</v>
      </c>
      <c r="E708" s="13" t="s">
        <v>1716</v>
      </c>
      <c r="F708" s="6" t="str">
        <f>_xlfn.XLOOKUP(D708,'[7]Database DP'!$C:$C,'[7]Database DP'!$F:$F,"Tidak Ditemukan")</f>
        <v>RISWANTO</v>
      </c>
      <c r="G708" s="222"/>
    </row>
    <row r="709" spans="2:7">
      <c r="B709" s="10" t="s">
        <v>663</v>
      </c>
      <c r="C709" s="11" t="s">
        <v>664</v>
      </c>
      <c r="D709" s="12" t="s">
        <v>741</v>
      </c>
      <c r="E709" s="13" t="s">
        <v>1716</v>
      </c>
      <c r="F709" s="6" t="str">
        <f>_xlfn.XLOOKUP(D709,'[7]Database DP'!$C:$C,'[7]Database DP'!$F:$F,"Tidak Ditemukan")</f>
        <v>KHABIB</v>
      </c>
      <c r="G709" s="222"/>
    </row>
    <row r="710" spans="2:7">
      <c r="B710" s="10" t="s">
        <v>663</v>
      </c>
      <c r="C710" s="11" t="s">
        <v>664</v>
      </c>
      <c r="D710" s="12" t="s">
        <v>742</v>
      </c>
      <c r="E710" s="13" t="s">
        <v>1716</v>
      </c>
      <c r="F710" s="6" t="str">
        <f>_xlfn.XLOOKUP(D710,'[7]Database DP'!$C:$C,'[7]Database DP'!$F:$F,"Tidak Ditemukan")</f>
        <v>KHABIB</v>
      </c>
      <c r="G710" s="222"/>
    </row>
    <row r="711" spans="2:7">
      <c r="B711" s="10" t="s">
        <v>663</v>
      </c>
      <c r="C711" s="11" t="s">
        <v>664</v>
      </c>
      <c r="D711" s="12" t="s">
        <v>743</v>
      </c>
      <c r="E711" s="13" t="s">
        <v>1716</v>
      </c>
      <c r="F711" s="6" t="str">
        <f>_xlfn.XLOOKUP(D711,'[7]Database DP'!$C:$C,'[7]Database DP'!$F:$F,"Tidak Ditemukan")</f>
        <v>KHABIB</v>
      </c>
      <c r="G711" s="222"/>
    </row>
    <row r="712" spans="2:7">
      <c r="B712" s="10" t="s">
        <v>663</v>
      </c>
      <c r="C712" s="11" t="s">
        <v>664</v>
      </c>
      <c r="D712" s="12" t="s">
        <v>744</v>
      </c>
      <c r="E712" s="13" t="s">
        <v>1716</v>
      </c>
      <c r="F712" s="6" t="str">
        <f>_xlfn.XLOOKUP(D712,'[7]Database DP'!$C:$C,'[7]Database DP'!$F:$F,"Tidak Ditemukan")</f>
        <v>KHABIB</v>
      </c>
      <c r="G712" s="222"/>
    </row>
    <row r="713" spans="2:7">
      <c r="B713" s="10" t="s">
        <v>663</v>
      </c>
      <c r="C713" s="11" t="s">
        <v>664</v>
      </c>
      <c r="D713" s="12" t="s">
        <v>745</v>
      </c>
      <c r="E713" s="13" t="s">
        <v>1716</v>
      </c>
      <c r="F713" s="6" t="str">
        <f>_xlfn.XLOOKUP(D713,'[7]Database DP'!$C:$C,'[7]Database DP'!$F:$F,"Tidak Ditemukan")</f>
        <v>KHABIB</v>
      </c>
      <c r="G713" s="222"/>
    </row>
    <row r="714" spans="2:7">
      <c r="B714" s="10" t="s">
        <v>663</v>
      </c>
      <c r="C714" s="11" t="s">
        <v>664</v>
      </c>
      <c r="D714" s="12" t="s">
        <v>746</v>
      </c>
      <c r="E714" s="13" t="s">
        <v>1716</v>
      </c>
      <c r="F714" s="6" t="str">
        <f>_xlfn.XLOOKUP(D714,'[7]Database DP'!$C:$C,'[7]Database DP'!$F:$F,"Tidak Ditemukan")</f>
        <v>KHABIB</v>
      </c>
      <c r="G714" s="222"/>
    </row>
    <row r="715" spans="2:7">
      <c r="B715" s="10" t="s">
        <v>663</v>
      </c>
      <c r="C715" s="11" t="s">
        <v>664</v>
      </c>
      <c r="D715" s="12" t="s">
        <v>747</v>
      </c>
      <c r="E715" s="13" t="s">
        <v>1716</v>
      </c>
      <c r="F715" s="6" t="str">
        <f>_xlfn.XLOOKUP(D715,'[7]Database DP'!$C:$C,'[7]Database DP'!$F:$F,"Tidak Ditemukan")</f>
        <v>KHABIB</v>
      </c>
      <c r="G715" s="222"/>
    </row>
    <row r="716" spans="2:7">
      <c r="B716" s="10" t="s">
        <v>663</v>
      </c>
      <c r="C716" s="11" t="s">
        <v>664</v>
      </c>
      <c r="D716" s="12" t="s">
        <v>748</v>
      </c>
      <c r="E716" s="13" t="s">
        <v>1716</v>
      </c>
      <c r="F716" s="6" t="str">
        <f>_xlfn.XLOOKUP(D716,'[7]Database DP'!$C:$C,'[7]Database DP'!$F:$F,"Tidak Ditemukan")</f>
        <v>KHABIB</v>
      </c>
      <c r="G716" s="222"/>
    </row>
    <row r="717" spans="2:7">
      <c r="B717" s="10" t="s">
        <v>663</v>
      </c>
      <c r="C717" s="11" t="s">
        <v>664</v>
      </c>
      <c r="D717" s="12" t="s">
        <v>749</v>
      </c>
      <c r="E717" s="13" t="s">
        <v>1716</v>
      </c>
      <c r="F717" s="6" t="str">
        <f>_xlfn.XLOOKUP(D717,'[7]Database DP'!$C:$C,'[7]Database DP'!$F:$F,"Tidak Ditemukan")</f>
        <v>KHABIB</v>
      </c>
      <c r="G717" s="222"/>
    </row>
    <row r="718" spans="2:7">
      <c r="B718" s="10" t="s">
        <v>663</v>
      </c>
      <c r="C718" s="11" t="s">
        <v>664</v>
      </c>
      <c r="D718" s="12" t="s">
        <v>750</v>
      </c>
      <c r="E718" s="13" t="s">
        <v>1716</v>
      </c>
      <c r="F718" s="6" t="str">
        <f>_xlfn.XLOOKUP(D718,'[7]Database DP'!$C:$C,'[7]Database DP'!$F:$F,"Tidak Ditemukan")</f>
        <v>KHOLIK</v>
      </c>
      <c r="G718" s="222"/>
    </row>
    <row r="719" spans="2:7">
      <c r="B719" s="10" t="s">
        <v>663</v>
      </c>
      <c r="C719" s="11" t="s">
        <v>664</v>
      </c>
      <c r="D719" s="12" t="s">
        <v>751</v>
      </c>
      <c r="E719" s="13" t="s">
        <v>1716</v>
      </c>
      <c r="F719" s="6" t="str">
        <f>_xlfn.XLOOKUP(D719,'[7]Database DP'!$C:$C,'[7]Database DP'!$F:$F,"Tidak Ditemukan")</f>
        <v>KHOLIK</v>
      </c>
      <c r="G719" s="222"/>
    </row>
    <row r="720" spans="2:7">
      <c r="B720" s="10" t="s">
        <v>663</v>
      </c>
      <c r="C720" s="11" t="s">
        <v>664</v>
      </c>
      <c r="D720" s="12" t="s">
        <v>752</v>
      </c>
      <c r="E720" s="13" t="s">
        <v>1716</v>
      </c>
      <c r="F720" s="6" t="str">
        <f>_xlfn.XLOOKUP(D720,'[7]Database DP'!$C:$C,'[7]Database DP'!$F:$F,"Tidak Ditemukan")</f>
        <v>KHOLIK</v>
      </c>
      <c r="G720" s="222"/>
    </row>
    <row r="721" spans="2:7">
      <c r="B721" s="10" t="s">
        <v>663</v>
      </c>
      <c r="C721" s="11" t="s">
        <v>664</v>
      </c>
      <c r="D721" s="12" t="s">
        <v>753</v>
      </c>
      <c r="E721" s="13" t="s">
        <v>1716</v>
      </c>
      <c r="F721" s="6" t="str">
        <f>_xlfn.XLOOKUP(D721,'[7]Database DP'!$C:$C,'[7]Database DP'!$F:$F,"Tidak Ditemukan")</f>
        <v>KHOLIK</v>
      </c>
      <c r="G721" s="222"/>
    </row>
    <row r="722" spans="2:7">
      <c r="B722" s="10" t="s">
        <v>663</v>
      </c>
      <c r="C722" s="11" t="s">
        <v>664</v>
      </c>
      <c r="D722" s="12" t="s">
        <v>754</v>
      </c>
      <c r="E722" s="13" t="s">
        <v>1716</v>
      </c>
      <c r="F722" s="6" t="str">
        <f>_xlfn.XLOOKUP(D722,'[7]Database DP'!$C:$C,'[7]Database DP'!$F:$F,"Tidak Ditemukan")</f>
        <v>KHOLIK</v>
      </c>
      <c r="G722" s="222"/>
    </row>
    <row r="723" spans="2:7">
      <c r="B723" s="10" t="s">
        <v>663</v>
      </c>
      <c r="C723" s="11" t="s">
        <v>664</v>
      </c>
      <c r="D723" s="12" t="s">
        <v>755</v>
      </c>
      <c r="E723" s="13" t="s">
        <v>1716</v>
      </c>
      <c r="F723" s="6" t="str">
        <f>_xlfn.XLOOKUP(D723,'[7]Database DP'!$C:$C,'[7]Database DP'!$F:$F,"Tidak Ditemukan")</f>
        <v>KHOLIK</v>
      </c>
      <c r="G723" s="222"/>
    </row>
    <row r="724" spans="2:7">
      <c r="B724" s="10" t="s">
        <v>663</v>
      </c>
      <c r="C724" s="11" t="s">
        <v>664</v>
      </c>
      <c r="D724" s="12" t="s">
        <v>756</v>
      </c>
      <c r="E724" s="13" t="s">
        <v>1716</v>
      </c>
      <c r="F724" s="6" t="str">
        <f>_xlfn.XLOOKUP(D724,'[7]Database DP'!$C:$C,'[7]Database DP'!$F:$F,"Tidak Ditemukan")</f>
        <v>KHOLIK</v>
      </c>
      <c r="G724" s="222"/>
    </row>
    <row r="725" spans="2:7">
      <c r="B725" s="10" t="s">
        <v>663</v>
      </c>
      <c r="C725" s="11" t="s">
        <v>664</v>
      </c>
      <c r="D725" s="12" t="s">
        <v>757</v>
      </c>
      <c r="E725" s="13" t="s">
        <v>1716</v>
      </c>
      <c r="F725" s="6" t="str">
        <f>_xlfn.XLOOKUP(D725,'[7]Database DP'!$C:$C,'[7]Database DP'!$F:$F,"Tidak Ditemukan")</f>
        <v>KHOLIK</v>
      </c>
      <c r="G725" s="222"/>
    </row>
    <row r="726" spans="2:7">
      <c r="B726" s="10" t="s">
        <v>663</v>
      </c>
      <c r="C726" s="11" t="s">
        <v>664</v>
      </c>
      <c r="D726" s="12" t="s">
        <v>758</v>
      </c>
      <c r="E726" s="13" t="s">
        <v>1716</v>
      </c>
      <c r="F726" s="6" t="str">
        <f>_xlfn.XLOOKUP(D726,'[7]Database DP'!$C:$C,'[7]Database DP'!$F:$F,"Tidak Ditemukan")</f>
        <v>KHOLIK</v>
      </c>
      <c r="G726" s="222"/>
    </row>
    <row r="727" spans="2:7">
      <c r="B727" s="10" t="s">
        <v>663</v>
      </c>
      <c r="C727" s="11" t="s">
        <v>664</v>
      </c>
      <c r="D727" s="12" t="s">
        <v>759</v>
      </c>
      <c r="E727" s="13" t="s">
        <v>1716</v>
      </c>
      <c r="F727" s="6" t="str">
        <f>_xlfn.XLOOKUP(D727,'[7]Database DP'!$C:$C,'[7]Database DP'!$F:$F,"Tidak Ditemukan")</f>
        <v>KHOLIL</v>
      </c>
      <c r="G727" s="222"/>
    </row>
    <row r="728" spans="2:7">
      <c r="B728" s="10" t="s">
        <v>663</v>
      </c>
      <c r="C728" s="11" t="s">
        <v>664</v>
      </c>
      <c r="D728" s="12" t="s">
        <v>760</v>
      </c>
      <c r="E728" s="13" t="s">
        <v>1716</v>
      </c>
      <c r="F728" s="6" t="str">
        <f>_xlfn.XLOOKUP(D728,'[7]Database DP'!$C:$C,'[7]Database DP'!$F:$F,"Tidak Ditemukan")</f>
        <v>KHOLIL</v>
      </c>
      <c r="G728" s="222"/>
    </row>
    <row r="729" spans="2:7">
      <c r="B729" s="10" t="s">
        <v>663</v>
      </c>
      <c r="C729" s="11" t="s">
        <v>664</v>
      </c>
      <c r="D729" s="12" t="s">
        <v>761</v>
      </c>
      <c r="E729" s="13" t="s">
        <v>1716</v>
      </c>
      <c r="F729" s="6" t="str">
        <f>_xlfn.XLOOKUP(D729,'[7]Database DP'!$C:$C,'[7]Database DP'!$F:$F,"Tidak Ditemukan")</f>
        <v>KHOLIL</v>
      </c>
      <c r="G729" s="222"/>
    </row>
    <row r="730" spans="2:7">
      <c r="B730" s="10" t="s">
        <v>663</v>
      </c>
      <c r="C730" s="11" t="s">
        <v>664</v>
      </c>
      <c r="D730" s="12" t="s">
        <v>762</v>
      </c>
      <c r="E730" s="13" t="s">
        <v>1716</v>
      </c>
      <c r="F730" s="6" t="str">
        <f>_xlfn.XLOOKUP(D730,'[7]Database DP'!$C:$C,'[7]Database DP'!$F:$F,"Tidak Ditemukan")</f>
        <v>KHOLIL</v>
      </c>
      <c r="G730" s="222"/>
    </row>
    <row r="731" spans="2:7">
      <c r="B731" s="10" t="s">
        <v>663</v>
      </c>
      <c r="C731" s="11" t="s">
        <v>664</v>
      </c>
      <c r="D731" s="12" t="s">
        <v>763</v>
      </c>
      <c r="E731" s="13" t="s">
        <v>1716</v>
      </c>
      <c r="F731" s="6" t="str">
        <f>_xlfn.XLOOKUP(D731,'[7]Database DP'!$C:$C,'[7]Database DP'!$F:$F,"Tidak Ditemukan")</f>
        <v>KHOLIL</v>
      </c>
      <c r="G731" s="222"/>
    </row>
    <row r="732" spans="2:7">
      <c r="B732" s="10" t="s">
        <v>663</v>
      </c>
      <c r="C732" s="11" t="s">
        <v>664</v>
      </c>
      <c r="D732" s="12" t="s">
        <v>764</v>
      </c>
      <c r="E732" s="13" t="s">
        <v>1716</v>
      </c>
      <c r="F732" s="6" t="str">
        <f>_xlfn.XLOOKUP(D732,'[7]Database DP'!$C:$C,'[7]Database DP'!$F:$F,"Tidak Ditemukan")</f>
        <v>KHOLIL</v>
      </c>
      <c r="G732" s="222"/>
    </row>
    <row r="733" spans="2:7">
      <c r="B733" s="10" t="s">
        <v>663</v>
      </c>
      <c r="C733" s="11" t="s">
        <v>664</v>
      </c>
      <c r="D733" s="12" t="s">
        <v>765</v>
      </c>
      <c r="E733" s="13" t="s">
        <v>1716</v>
      </c>
      <c r="F733" s="6" t="str">
        <f>_xlfn.XLOOKUP(D733,'[7]Database DP'!$C:$C,'[7]Database DP'!$F:$F,"Tidak Ditemukan")</f>
        <v>KHOLIL</v>
      </c>
      <c r="G733" s="222"/>
    </row>
    <row r="734" spans="2:7">
      <c r="B734" s="10" t="s">
        <v>663</v>
      </c>
      <c r="C734" s="11" t="s">
        <v>664</v>
      </c>
      <c r="D734" s="12" t="s">
        <v>766</v>
      </c>
      <c r="E734" s="13" t="s">
        <v>1716</v>
      </c>
      <c r="F734" s="6" t="str">
        <f>_xlfn.XLOOKUP(D734,'[7]Database DP'!$C:$C,'[7]Database DP'!$F:$F,"Tidak Ditemukan")</f>
        <v>KHOLIL</v>
      </c>
      <c r="G734" s="222"/>
    </row>
    <row r="735" spans="2:7">
      <c r="B735" s="10" t="s">
        <v>663</v>
      </c>
      <c r="C735" s="11" t="s">
        <v>664</v>
      </c>
      <c r="D735" s="12" t="s">
        <v>767</v>
      </c>
      <c r="E735" s="13" t="s">
        <v>1716</v>
      </c>
      <c r="F735" s="6" t="str">
        <f>_xlfn.XLOOKUP(D735,'[7]Database DP'!$C:$C,'[7]Database DP'!$F:$F,"Tidak Ditemukan")</f>
        <v>KHOLIL</v>
      </c>
      <c r="G735" s="222"/>
    </row>
    <row r="736" spans="2:7">
      <c r="B736" s="10" t="s">
        <v>663</v>
      </c>
      <c r="C736" s="11" t="s">
        <v>664</v>
      </c>
      <c r="D736" s="12" t="s">
        <v>768</v>
      </c>
      <c r="E736" s="13" t="s">
        <v>1716</v>
      </c>
      <c r="F736" s="6" t="str">
        <f>_xlfn.XLOOKUP(D736,'[7]Database DP'!$C:$C,'[7]Database DP'!$F:$F,"Tidak Ditemukan")</f>
        <v>KHOLIL</v>
      </c>
      <c r="G736" s="222"/>
    </row>
    <row r="737" spans="2:7">
      <c r="B737" s="10" t="s">
        <v>663</v>
      </c>
      <c r="C737" s="11" t="s">
        <v>664</v>
      </c>
      <c r="D737" s="12" t="s">
        <v>769</v>
      </c>
      <c r="E737" s="13" t="s">
        <v>1716</v>
      </c>
      <c r="F737" s="6" t="str">
        <f>_xlfn.XLOOKUP(D737,'[7]Database DP'!$C:$C,'[7]Database DP'!$F:$F,"Tidak Ditemukan")</f>
        <v>KHOLIL</v>
      </c>
      <c r="G737" s="222"/>
    </row>
    <row r="738" spans="2:7">
      <c r="B738" s="10" t="s">
        <v>663</v>
      </c>
      <c r="C738" s="11" t="s">
        <v>664</v>
      </c>
      <c r="D738" s="12" t="s">
        <v>770</v>
      </c>
      <c r="E738" s="13" t="s">
        <v>1716</v>
      </c>
      <c r="F738" s="6" t="str">
        <f>_xlfn.XLOOKUP(D738,'[7]Database DP'!$C:$C,'[7]Database DP'!$F:$F,"Tidak Ditemukan")</f>
        <v>KHOLIL</v>
      </c>
      <c r="G738" s="222"/>
    </row>
    <row r="739" spans="2:7">
      <c r="B739" s="10" t="s">
        <v>663</v>
      </c>
      <c r="C739" s="11" t="s">
        <v>664</v>
      </c>
      <c r="D739" s="12" t="s">
        <v>771</v>
      </c>
      <c r="E739" s="13" t="s">
        <v>1716</v>
      </c>
      <c r="F739" s="6" t="str">
        <f>_xlfn.XLOOKUP(D739,'[7]Database DP'!$C:$C,'[7]Database DP'!$F:$F,"Tidak Ditemukan")</f>
        <v>SUPRIYADI</v>
      </c>
      <c r="G739" s="222"/>
    </row>
    <row r="740" spans="2:7">
      <c r="B740" s="10" t="s">
        <v>663</v>
      </c>
      <c r="C740" s="11" t="s">
        <v>664</v>
      </c>
      <c r="D740" s="12" t="s">
        <v>772</v>
      </c>
      <c r="E740" s="13" t="s">
        <v>1716</v>
      </c>
      <c r="F740" s="6" t="str">
        <f>_xlfn.XLOOKUP(D740,'[7]Database DP'!$C:$C,'[7]Database DP'!$F:$F,"Tidak Ditemukan")</f>
        <v>SUPRIYADI</v>
      </c>
      <c r="G740" s="222"/>
    </row>
    <row r="741" spans="2:7">
      <c r="B741" s="10" t="s">
        <v>663</v>
      </c>
      <c r="C741" s="11" t="s">
        <v>664</v>
      </c>
      <c r="D741" s="12" t="s">
        <v>773</v>
      </c>
      <c r="E741" s="13" t="s">
        <v>1716</v>
      </c>
      <c r="F741" s="6" t="str">
        <f>_xlfn.XLOOKUP(D741,'[7]Database DP'!$C:$C,'[7]Database DP'!$F:$F,"Tidak Ditemukan")</f>
        <v>SUPRIYADI</v>
      </c>
      <c r="G741" s="222"/>
    </row>
    <row r="742" spans="2:7">
      <c r="B742" s="10" t="s">
        <v>663</v>
      </c>
      <c r="C742" s="11" t="s">
        <v>664</v>
      </c>
      <c r="D742" s="12" t="s">
        <v>774</v>
      </c>
      <c r="E742" s="13" t="s">
        <v>1716</v>
      </c>
      <c r="F742" s="6" t="str">
        <f>_xlfn.XLOOKUP(D742,'[7]Database DP'!$C:$C,'[7]Database DP'!$F:$F,"Tidak Ditemukan")</f>
        <v>SUPRIYADI</v>
      </c>
      <c r="G742" s="222"/>
    </row>
    <row r="743" spans="2:7">
      <c r="B743" s="10" t="s">
        <v>663</v>
      </c>
      <c r="C743" s="11" t="s">
        <v>664</v>
      </c>
      <c r="D743" s="12" t="s">
        <v>775</v>
      </c>
      <c r="E743" s="13" t="s">
        <v>1716</v>
      </c>
      <c r="F743" s="6" t="str">
        <f>_xlfn.XLOOKUP(D743,'[7]Database DP'!$C:$C,'[7]Database DP'!$F:$F,"Tidak Ditemukan")</f>
        <v>SUPRIYADI</v>
      </c>
      <c r="G743" s="222"/>
    </row>
    <row r="744" spans="2:7">
      <c r="B744" s="10" t="s">
        <v>663</v>
      </c>
      <c r="C744" s="11" t="s">
        <v>664</v>
      </c>
      <c r="D744" s="12" t="s">
        <v>776</v>
      </c>
      <c r="E744" s="13" t="s">
        <v>1716</v>
      </c>
      <c r="F744" s="6" t="str">
        <f>_xlfn.XLOOKUP(D744,'[7]Database DP'!$C:$C,'[7]Database DP'!$F:$F,"Tidak Ditemukan")</f>
        <v>SUPRIYADI</v>
      </c>
      <c r="G744" s="222"/>
    </row>
    <row r="745" spans="2:7">
      <c r="B745" s="10" t="s">
        <v>663</v>
      </c>
      <c r="C745" s="11" t="s">
        <v>664</v>
      </c>
      <c r="D745" s="12" t="s">
        <v>777</v>
      </c>
      <c r="E745" s="13" t="s">
        <v>1716</v>
      </c>
      <c r="F745" s="6" t="str">
        <f>_xlfn.XLOOKUP(D745,'[7]Database DP'!$C:$C,'[7]Database DP'!$F:$F,"Tidak Ditemukan")</f>
        <v>SUPRIYADI</v>
      </c>
      <c r="G745" s="222"/>
    </row>
    <row r="746" spans="2:7">
      <c r="B746" s="10" t="s">
        <v>663</v>
      </c>
      <c r="C746" s="11" t="s">
        <v>664</v>
      </c>
      <c r="D746" s="12" t="s">
        <v>778</v>
      </c>
      <c r="E746" s="13" t="s">
        <v>1716</v>
      </c>
      <c r="F746" s="6" t="str">
        <f>_xlfn.XLOOKUP(D746,'[7]Database DP'!$C:$C,'[7]Database DP'!$F:$F,"Tidak Ditemukan")</f>
        <v>SUPRIYADI</v>
      </c>
      <c r="G746" s="222"/>
    </row>
    <row r="747" spans="2:7">
      <c r="B747" s="10" t="s">
        <v>663</v>
      </c>
      <c r="C747" s="11" t="s">
        <v>664</v>
      </c>
      <c r="D747" s="12" t="s">
        <v>779</v>
      </c>
      <c r="E747" s="13" t="s">
        <v>1716</v>
      </c>
      <c r="F747" s="6" t="str">
        <f>_xlfn.XLOOKUP(D747,'[7]Database DP'!$C:$C,'[7]Database DP'!$F:$F,"Tidak Ditemukan")</f>
        <v>SUPRIYADI</v>
      </c>
      <c r="G747" s="222"/>
    </row>
    <row r="748" spans="2:7">
      <c r="B748" s="10" t="s">
        <v>663</v>
      </c>
      <c r="C748" s="11" t="s">
        <v>664</v>
      </c>
      <c r="D748" s="12" t="s">
        <v>780</v>
      </c>
      <c r="E748" s="13" t="s">
        <v>1716</v>
      </c>
      <c r="F748" s="6" t="str">
        <f>_xlfn.XLOOKUP(D748,'[7]Database DP'!$C:$C,'[7]Database DP'!$F:$F,"Tidak Ditemukan")</f>
        <v>SUPRIYADI</v>
      </c>
      <c r="G748" s="222"/>
    </row>
    <row r="749" spans="2:7">
      <c r="B749" s="10" t="s">
        <v>663</v>
      </c>
      <c r="C749" s="11" t="s">
        <v>664</v>
      </c>
      <c r="D749" s="12" t="s">
        <v>781</v>
      </c>
      <c r="E749" s="13" t="s">
        <v>1716</v>
      </c>
      <c r="F749" s="6" t="str">
        <f>_xlfn.XLOOKUP(D749,'[7]Database DP'!$C:$C,'[7]Database DP'!$F:$F,"Tidak Ditemukan")</f>
        <v>SUPRIYADI</v>
      </c>
      <c r="G749" s="222"/>
    </row>
    <row r="750" spans="2:7">
      <c r="B750" s="10" t="s">
        <v>663</v>
      </c>
      <c r="C750" s="11" t="s">
        <v>664</v>
      </c>
      <c r="D750" s="12" t="s">
        <v>782</v>
      </c>
      <c r="E750" s="13" t="s">
        <v>1716</v>
      </c>
      <c r="F750" s="6" t="str">
        <f>_xlfn.XLOOKUP(D750,'[7]Database DP'!$C:$C,'[7]Database DP'!$F:$F,"Tidak Ditemukan")</f>
        <v>OKI</v>
      </c>
      <c r="G750" s="222"/>
    </row>
    <row r="751" spans="2:7">
      <c r="B751" s="10" t="s">
        <v>663</v>
      </c>
      <c r="C751" s="11" t="s">
        <v>664</v>
      </c>
      <c r="D751" s="12" t="s">
        <v>783</v>
      </c>
      <c r="E751" s="13" t="s">
        <v>1716</v>
      </c>
      <c r="F751" s="6" t="str">
        <f>_xlfn.XLOOKUP(D751,'[7]Database DP'!$C:$C,'[7]Database DP'!$F:$F,"Tidak Ditemukan")</f>
        <v>OKI</v>
      </c>
      <c r="G751" s="222"/>
    </row>
    <row r="752" spans="2:7">
      <c r="B752" s="10" t="s">
        <v>663</v>
      </c>
      <c r="C752" s="11" t="s">
        <v>664</v>
      </c>
      <c r="D752" s="12" t="s">
        <v>784</v>
      </c>
      <c r="E752" s="13" t="s">
        <v>1716</v>
      </c>
      <c r="F752" s="6" t="str">
        <f>_xlfn.XLOOKUP(D752,'[7]Database DP'!$C:$C,'[7]Database DP'!$F:$F,"Tidak Ditemukan")</f>
        <v>OKI</v>
      </c>
      <c r="G752" s="222"/>
    </row>
    <row r="753" spans="2:7">
      <c r="B753" s="10" t="s">
        <v>663</v>
      </c>
      <c r="C753" s="11" t="s">
        <v>664</v>
      </c>
      <c r="D753" s="12" t="s">
        <v>785</v>
      </c>
      <c r="E753" s="13" t="s">
        <v>1716</v>
      </c>
      <c r="F753" s="6" t="str">
        <f>_xlfn.XLOOKUP(D753,'[7]Database DP'!$C:$C,'[7]Database DP'!$F:$F,"Tidak Ditemukan")</f>
        <v>OKI</v>
      </c>
      <c r="G753" s="222"/>
    </row>
    <row r="754" spans="2:7">
      <c r="B754" s="10" t="s">
        <v>663</v>
      </c>
      <c r="C754" s="11" t="s">
        <v>664</v>
      </c>
      <c r="D754" s="12" t="s">
        <v>786</v>
      </c>
      <c r="E754" s="13" t="s">
        <v>1716</v>
      </c>
      <c r="F754" s="6" t="str">
        <f>_xlfn.XLOOKUP(D754,'[7]Database DP'!$C:$C,'[7]Database DP'!$F:$F,"Tidak Ditemukan")</f>
        <v>OKI</v>
      </c>
      <c r="G754" s="222"/>
    </row>
    <row r="755" spans="2:7">
      <c r="B755" s="10" t="s">
        <v>663</v>
      </c>
      <c r="C755" s="11" t="s">
        <v>664</v>
      </c>
      <c r="D755" s="12" t="s">
        <v>787</v>
      </c>
      <c r="E755" s="13" t="s">
        <v>1716</v>
      </c>
      <c r="F755" s="6" t="str">
        <f>_xlfn.XLOOKUP(D755,'[7]Database DP'!$C:$C,'[7]Database DP'!$F:$F,"Tidak Ditemukan")</f>
        <v>OKI</v>
      </c>
      <c r="G755" s="222"/>
    </row>
    <row r="756" spans="2:7">
      <c r="B756" s="10" t="s">
        <v>663</v>
      </c>
      <c r="C756" s="11" t="s">
        <v>664</v>
      </c>
      <c r="D756" s="12" t="s">
        <v>788</v>
      </c>
      <c r="E756" s="13" t="s">
        <v>1716</v>
      </c>
      <c r="F756" s="6" t="str">
        <f>_xlfn.XLOOKUP(D756,'[7]Database DP'!$C:$C,'[7]Database DP'!$F:$F,"Tidak Ditemukan")</f>
        <v>OKI</v>
      </c>
      <c r="G756" s="222"/>
    </row>
    <row r="757" spans="2:7">
      <c r="B757" s="10" t="s">
        <v>663</v>
      </c>
      <c r="C757" s="11" t="s">
        <v>664</v>
      </c>
      <c r="D757" s="12" t="s">
        <v>789</v>
      </c>
      <c r="E757" s="13" t="s">
        <v>1716</v>
      </c>
      <c r="F757" s="6" t="str">
        <f>_xlfn.XLOOKUP(D757,'[7]Database DP'!$C:$C,'[7]Database DP'!$F:$F,"Tidak Ditemukan")</f>
        <v>OKI</v>
      </c>
      <c r="G757" s="222"/>
    </row>
    <row r="758" spans="2:7">
      <c r="B758" s="10" t="s">
        <v>663</v>
      </c>
      <c r="C758" s="11" t="s">
        <v>664</v>
      </c>
      <c r="D758" s="12" t="s">
        <v>790</v>
      </c>
      <c r="E758" s="13" t="s">
        <v>1716</v>
      </c>
      <c r="F758" s="6" t="str">
        <f>_xlfn.XLOOKUP(D758,'[7]Database DP'!$C:$C,'[7]Database DP'!$F:$F,"Tidak Ditemukan")</f>
        <v>OKI</v>
      </c>
      <c r="G758" s="222"/>
    </row>
    <row r="759" spans="2:7">
      <c r="B759" s="10" t="s">
        <v>663</v>
      </c>
      <c r="C759" s="11" t="s">
        <v>664</v>
      </c>
      <c r="D759" s="12" t="s">
        <v>791</v>
      </c>
      <c r="E759" s="13" t="s">
        <v>1716</v>
      </c>
      <c r="F759" s="6" t="str">
        <f>_xlfn.XLOOKUP(D759,'[7]Database DP'!$C:$C,'[7]Database DP'!$F:$F,"Tidak Ditemukan")</f>
        <v>RAGIL</v>
      </c>
      <c r="G759" s="222"/>
    </row>
    <row r="760" spans="2:7">
      <c r="B760" s="10" t="s">
        <v>663</v>
      </c>
      <c r="C760" s="11" t="s">
        <v>664</v>
      </c>
      <c r="D760" s="12" t="s">
        <v>792</v>
      </c>
      <c r="E760" s="13" t="s">
        <v>1716</v>
      </c>
      <c r="F760" s="6" t="str">
        <f>_xlfn.XLOOKUP(D760,'[7]Database DP'!$C:$C,'[7]Database DP'!$F:$F,"Tidak Ditemukan")</f>
        <v>RAGIL</v>
      </c>
      <c r="G760" s="222"/>
    </row>
    <row r="761" spans="2:7">
      <c r="B761" s="10" t="s">
        <v>663</v>
      </c>
      <c r="C761" s="11" t="s">
        <v>664</v>
      </c>
      <c r="D761" s="12" t="s">
        <v>793</v>
      </c>
      <c r="E761" s="13" t="s">
        <v>1716</v>
      </c>
      <c r="F761" s="6" t="str">
        <f>_xlfn.XLOOKUP(D761,'[7]Database DP'!$C:$C,'[7]Database DP'!$F:$F,"Tidak Ditemukan")</f>
        <v>RAGIL</v>
      </c>
      <c r="G761" s="222"/>
    </row>
    <row r="762" spans="2:7">
      <c r="B762" s="10" t="s">
        <v>663</v>
      </c>
      <c r="C762" s="11" t="s">
        <v>664</v>
      </c>
      <c r="D762" s="12" t="s">
        <v>794</v>
      </c>
      <c r="E762" s="13" t="s">
        <v>1716</v>
      </c>
      <c r="F762" s="6" t="str">
        <f>_xlfn.XLOOKUP(D762,'[7]Database DP'!$C:$C,'[7]Database DP'!$F:$F,"Tidak Ditemukan")</f>
        <v>RAGIL</v>
      </c>
      <c r="G762" s="222"/>
    </row>
    <row r="763" spans="2:7">
      <c r="B763" s="10" t="s">
        <v>663</v>
      </c>
      <c r="C763" s="11" t="s">
        <v>664</v>
      </c>
      <c r="D763" s="12" t="s">
        <v>795</v>
      </c>
      <c r="E763" s="13" t="s">
        <v>1716</v>
      </c>
      <c r="F763" s="6" t="str">
        <f>_xlfn.XLOOKUP(D763,'[7]Database DP'!$C:$C,'[7]Database DP'!$F:$F,"Tidak Ditemukan")</f>
        <v>RAGIL</v>
      </c>
      <c r="G763" s="222"/>
    </row>
    <row r="764" spans="2:7">
      <c r="B764" s="10" t="s">
        <v>663</v>
      </c>
      <c r="C764" s="11" t="s">
        <v>664</v>
      </c>
      <c r="D764" s="12" t="s">
        <v>796</v>
      </c>
      <c r="E764" s="13" t="s">
        <v>1716</v>
      </c>
      <c r="F764" s="6" t="str">
        <f>_xlfn.XLOOKUP(D764,'[7]Database DP'!$C:$C,'[7]Database DP'!$F:$F,"Tidak Ditemukan")</f>
        <v>RAGIL</v>
      </c>
      <c r="G764" s="222"/>
    </row>
    <row r="765" spans="2:7">
      <c r="B765" s="10" t="s">
        <v>663</v>
      </c>
      <c r="C765" s="11" t="s">
        <v>664</v>
      </c>
      <c r="D765" s="12" t="s">
        <v>797</v>
      </c>
      <c r="E765" s="13" t="s">
        <v>1716</v>
      </c>
      <c r="F765" s="6" t="str">
        <f>_xlfn.XLOOKUP(D765,'[7]Database DP'!$C:$C,'[7]Database DP'!$F:$F,"Tidak Ditemukan")</f>
        <v>RAGIL</v>
      </c>
      <c r="G765" s="222"/>
    </row>
    <row r="766" spans="2:7">
      <c r="B766" s="10" t="s">
        <v>663</v>
      </c>
      <c r="C766" s="11" t="s">
        <v>664</v>
      </c>
      <c r="D766" s="12" t="s">
        <v>798</v>
      </c>
      <c r="E766" s="13" t="s">
        <v>1716</v>
      </c>
      <c r="F766" s="6" t="str">
        <f>_xlfn.XLOOKUP(D766,'[7]Database DP'!$C:$C,'[7]Database DP'!$F:$F,"Tidak Ditemukan")</f>
        <v>RAGIL</v>
      </c>
      <c r="G766" s="222"/>
    </row>
    <row r="767" spans="2:7">
      <c r="B767" s="10" t="s">
        <v>663</v>
      </c>
      <c r="C767" s="11" t="s">
        <v>664</v>
      </c>
      <c r="D767" s="12" t="s">
        <v>799</v>
      </c>
      <c r="E767" s="13" t="s">
        <v>1716</v>
      </c>
      <c r="F767" s="6" t="str">
        <f>_xlfn.XLOOKUP(D767,'[7]Database DP'!$C:$C,'[7]Database DP'!$F:$F,"Tidak Ditemukan")</f>
        <v>RAGIL</v>
      </c>
      <c r="G767" s="222"/>
    </row>
    <row r="768" spans="2:7">
      <c r="B768" s="10" t="s">
        <v>663</v>
      </c>
      <c r="C768" s="11" t="s">
        <v>664</v>
      </c>
      <c r="D768" s="12" t="s">
        <v>800</v>
      </c>
      <c r="E768" s="13" t="s">
        <v>1716</v>
      </c>
      <c r="F768" s="6" t="str">
        <f>_xlfn.XLOOKUP(D768,'[7]Database DP'!$C:$C,'[7]Database DP'!$F:$F,"Tidak Ditemukan")</f>
        <v>RAGIL</v>
      </c>
      <c r="G768" s="222"/>
    </row>
    <row r="769" spans="2:7">
      <c r="B769" s="10" t="s">
        <v>663</v>
      </c>
      <c r="C769" s="11" t="s">
        <v>664</v>
      </c>
      <c r="D769" s="12" t="s">
        <v>801</v>
      </c>
      <c r="E769" s="13" t="s">
        <v>1716</v>
      </c>
      <c r="F769" s="6" t="str">
        <f>_xlfn.XLOOKUP(D769,'[7]Database DP'!$C:$C,'[7]Database DP'!$F:$F,"Tidak Ditemukan")</f>
        <v>RAGIL</v>
      </c>
      <c r="G769" s="222"/>
    </row>
    <row r="770" spans="2:7">
      <c r="B770" s="10" t="s">
        <v>663</v>
      </c>
      <c r="C770" s="11" t="s">
        <v>664</v>
      </c>
      <c r="D770" s="12" t="s">
        <v>802</v>
      </c>
      <c r="E770" s="13" t="s">
        <v>1716</v>
      </c>
      <c r="F770" s="6" t="str">
        <f>_xlfn.XLOOKUP(D770,'[7]Database DP'!$C:$C,'[7]Database DP'!$F:$F,"Tidak Ditemukan")</f>
        <v>RAGIL</v>
      </c>
      <c r="G770" s="222"/>
    </row>
    <row r="771" spans="2:7">
      <c r="B771" s="10" t="s">
        <v>663</v>
      </c>
      <c r="C771" s="11" t="s">
        <v>664</v>
      </c>
      <c r="D771" s="12" t="s">
        <v>803</v>
      </c>
      <c r="E771" s="13" t="s">
        <v>1716</v>
      </c>
      <c r="F771" s="6" t="str">
        <f>_xlfn.XLOOKUP(D771,'[7]Database DP'!$C:$C,'[7]Database DP'!$F:$F,"Tidak Ditemukan")</f>
        <v>RENDRA</v>
      </c>
      <c r="G771" s="222"/>
    </row>
    <row r="772" spans="2:7">
      <c r="B772" s="10" t="s">
        <v>663</v>
      </c>
      <c r="C772" s="11" t="s">
        <v>664</v>
      </c>
      <c r="D772" s="12" t="s">
        <v>804</v>
      </c>
      <c r="E772" s="13" t="s">
        <v>1716</v>
      </c>
      <c r="F772" s="6" t="str">
        <f>_xlfn.XLOOKUP(D772,'[7]Database DP'!$C:$C,'[7]Database DP'!$F:$F,"Tidak Ditemukan")</f>
        <v>RENDRA</v>
      </c>
      <c r="G772" s="222"/>
    </row>
    <row r="773" spans="2:7">
      <c r="B773" s="10" t="s">
        <v>663</v>
      </c>
      <c r="C773" s="11" t="s">
        <v>664</v>
      </c>
      <c r="D773" s="12" t="s">
        <v>805</v>
      </c>
      <c r="E773" s="13" t="s">
        <v>1716</v>
      </c>
      <c r="F773" s="6" t="str">
        <f>_xlfn.XLOOKUP(D773,'[7]Database DP'!$C:$C,'[7]Database DP'!$F:$F,"Tidak Ditemukan")</f>
        <v>RENDRA</v>
      </c>
      <c r="G773" s="222"/>
    </row>
    <row r="774" spans="2:7">
      <c r="B774" s="10" t="s">
        <v>663</v>
      </c>
      <c r="C774" s="11" t="s">
        <v>664</v>
      </c>
      <c r="D774" s="12" t="s">
        <v>806</v>
      </c>
      <c r="E774" s="13" t="s">
        <v>1716</v>
      </c>
      <c r="F774" s="6" t="str">
        <f>_xlfn.XLOOKUP(D774,'[7]Database DP'!$C:$C,'[7]Database DP'!$F:$F,"Tidak Ditemukan")</f>
        <v>RENDRA</v>
      </c>
      <c r="G774" s="222"/>
    </row>
    <row r="775" spans="2:7">
      <c r="B775" s="10" t="s">
        <v>663</v>
      </c>
      <c r="C775" s="11" t="s">
        <v>664</v>
      </c>
      <c r="D775" s="12" t="s">
        <v>807</v>
      </c>
      <c r="E775" s="13" t="s">
        <v>1716</v>
      </c>
      <c r="F775" s="6" t="str">
        <f>_xlfn.XLOOKUP(D775,'[7]Database DP'!$C:$C,'[7]Database DP'!$F:$F,"Tidak Ditemukan")</f>
        <v>RENDRA</v>
      </c>
      <c r="G775" s="222"/>
    </row>
    <row r="776" spans="2:7">
      <c r="B776" s="10" t="s">
        <v>663</v>
      </c>
      <c r="C776" s="11" t="s">
        <v>664</v>
      </c>
      <c r="D776" s="12" t="s">
        <v>808</v>
      </c>
      <c r="E776" s="13" t="s">
        <v>1716</v>
      </c>
      <c r="F776" s="6" t="str">
        <f>_xlfn.XLOOKUP(D776,'[7]Database DP'!$C:$C,'[7]Database DP'!$F:$F,"Tidak Ditemukan")</f>
        <v>RENDRA</v>
      </c>
      <c r="G776" s="222"/>
    </row>
    <row r="777" spans="2:7">
      <c r="B777" s="10" t="s">
        <v>663</v>
      </c>
      <c r="C777" s="11" t="s">
        <v>664</v>
      </c>
      <c r="D777" s="12" t="s">
        <v>809</v>
      </c>
      <c r="E777" s="13" t="s">
        <v>1716</v>
      </c>
      <c r="F777" s="6" t="str">
        <f>_xlfn.XLOOKUP(D777,'[7]Database DP'!$C:$C,'[7]Database DP'!$F:$F,"Tidak Ditemukan")</f>
        <v>RENDRA</v>
      </c>
      <c r="G777" s="222"/>
    </row>
    <row r="778" spans="2:7">
      <c r="B778" s="10" t="s">
        <v>663</v>
      </c>
      <c r="C778" s="11" t="s">
        <v>664</v>
      </c>
      <c r="D778" s="12" t="s">
        <v>810</v>
      </c>
      <c r="E778" s="13" t="s">
        <v>1716</v>
      </c>
      <c r="F778" s="6" t="str">
        <f>_xlfn.XLOOKUP(D778,'[7]Database DP'!$C:$C,'[7]Database DP'!$F:$F,"Tidak Ditemukan")</f>
        <v>RENDRA</v>
      </c>
      <c r="G778" s="222"/>
    </row>
    <row r="779" spans="2:7">
      <c r="B779" s="10" t="s">
        <v>663</v>
      </c>
      <c r="C779" s="11" t="s">
        <v>664</v>
      </c>
      <c r="D779" s="12" t="s">
        <v>811</v>
      </c>
      <c r="E779" s="13" t="s">
        <v>1716</v>
      </c>
      <c r="F779" s="6" t="str">
        <f>_xlfn.XLOOKUP(D779,'[7]Database DP'!$C:$C,'[7]Database DP'!$F:$F,"Tidak Ditemukan")</f>
        <v>RENDRA</v>
      </c>
      <c r="G779" s="222"/>
    </row>
    <row r="780" spans="2:7">
      <c r="B780" s="10" t="s">
        <v>663</v>
      </c>
      <c r="C780" s="11" t="s">
        <v>664</v>
      </c>
      <c r="D780" s="12" t="s">
        <v>812</v>
      </c>
      <c r="E780" s="13" t="s">
        <v>1716</v>
      </c>
      <c r="F780" s="6" t="str">
        <f>_xlfn.XLOOKUP(D780,'[7]Database DP'!$C:$C,'[7]Database DP'!$F:$F,"Tidak Ditemukan")</f>
        <v>RENDRA</v>
      </c>
      <c r="G780" s="222"/>
    </row>
    <row r="781" spans="2:7">
      <c r="B781" s="10" t="s">
        <v>663</v>
      </c>
      <c r="C781" s="11" t="s">
        <v>664</v>
      </c>
      <c r="D781" s="12" t="s">
        <v>813</v>
      </c>
      <c r="E781" s="13" t="s">
        <v>1716</v>
      </c>
      <c r="F781" s="6" t="str">
        <f>_xlfn.XLOOKUP(D781,'[7]Database DP'!$C:$C,'[7]Database DP'!$F:$F,"Tidak Ditemukan")</f>
        <v>RENDRA</v>
      </c>
      <c r="G781" s="222"/>
    </row>
    <row r="782" spans="2:7">
      <c r="B782" s="10" t="s">
        <v>663</v>
      </c>
      <c r="C782" s="11" t="s">
        <v>664</v>
      </c>
      <c r="D782" s="12" t="s">
        <v>814</v>
      </c>
      <c r="E782" s="13" t="s">
        <v>1716</v>
      </c>
      <c r="F782" s="6" t="str">
        <f>_xlfn.XLOOKUP(D782,'[7]Database DP'!$C:$C,'[7]Database DP'!$F:$F,"Tidak Ditemukan")</f>
        <v>RENDRA</v>
      </c>
      <c r="G782" s="222"/>
    </row>
    <row r="783" spans="2:7">
      <c r="B783" s="10" t="s">
        <v>663</v>
      </c>
      <c r="C783" s="11" t="s">
        <v>664</v>
      </c>
      <c r="D783" s="12" t="s">
        <v>815</v>
      </c>
      <c r="E783" s="13" t="s">
        <v>1716</v>
      </c>
      <c r="F783" s="6" t="str">
        <f>_xlfn.XLOOKUP(D783,'[7]Database DP'!$C:$C,'[7]Database DP'!$F:$F,"Tidak Ditemukan")</f>
        <v>RENDRA</v>
      </c>
      <c r="G783" s="222"/>
    </row>
    <row r="784" spans="2:7">
      <c r="B784" s="10" t="s">
        <v>663</v>
      </c>
      <c r="C784" s="11" t="s">
        <v>664</v>
      </c>
      <c r="D784" s="12" t="s">
        <v>816</v>
      </c>
      <c r="E784" s="13" t="s">
        <v>1716</v>
      </c>
      <c r="F784" s="6" t="str">
        <f>_xlfn.XLOOKUP(D784,'[7]Database DP'!$C:$C,'[7]Database DP'!$F:$F,"Tidak Ditemukan")</f>
        <v>RENDRA</v>
      </c>
      <c r="G784" s="222"/>
    </row>
    <row r="785" spans="2:7">
      <c r="B785" s="10" t="s">
        <v>663</v>
      </c>
      <c r="C785" s="11" t="s">
        <v>664</v>
      </c>
      <c r="D785" s="12" t="s">
        <v>817</v>
      </c>
      <c r="E785" s="13" t="s">
        <v>1716</v>
      </c>
      <c r="F785" s="6" t="str">
        <f>_xlfn.XLOOKUP(D785,'[7]Database DP'!$C:$C,'[7]Database DP'!$F:$F,"Tidak Ditemukan")</f>
        <v>RENDRA</v>
      </c>
      <c r="G785" s="222"/>
    </row>
    <row r="786" spans="2:7">
      <c r="B786" s="10" t="s">
        <v>663</v>
      </c>
      <c r="C786" s="11" t="s">
        <v>664</v>
      </c>
      <c r="D786" s="12" t="s">
        <v>818</v>
      </c>
      <c r="E786" s="13" t="s">
        <v>1716</v>
      </c>
      <c r="F786" s="6" t="str">
        <f>_xlfn.XLOOKUP(D786,'[7]Database DP'!$C:$C,'[7]Database DP'!$F:$F,"Tidak Ditemukan")</f>
        <v>RENDRA</v>
      </c>
      <c r="G786" s="222"/>
    </row>
    <row r="787" spans="2:7">
      <c r="B787" s="10" t="s">
        <v>663</v>
      </c>
      <c r="C787" s="11" t="s">
        <v>664</v>
      </c>
      <c r="D787" s="12" t="s">
        <v>819</v>
      </c>
      <c r="E787" s="13" t="s">
        <v>1716</v>
      </c>
      <c r="F787" s="6" t="str">
        <f>_xlfn.XLOOKUP(D787,'[7]Database DP'!$C:$C,'[7]Database DP'!$F:$F,"Tidak Ditemukan")</f>
        <v>RENDRA</v>
      </c>
      <c r="G787" s="222"/>
    </row>
    <row r="788" spans="2:7">
      <c r="B788" s="10" t="s">
        <v>663</v>
      </c>
      <c r="C788" s="11" t="s">
        <v>664</v>
      </c>
      <c r="D788" s="12" t="s">
        <v>820</v>
      </c>
      <c r="E788" s="13" t="s">
        <v>1716</v>
      </c>
      <c r="F788" s="6" t="str">
        <f>_xlfn.XLOOKUP(D788,'[7]Database DP'!$C:$C,'[7]Database DP'!$F:$F,"Tidak Ditemukan")</f>
        <v>RENDRA</v>
      </c>
      <c r="G788" s="222"/>
    </row>
    <row r="789" spans="2:7">
      <c r="B789" s="10" t="s">
        <v>663</v>
      </c>
      <c r="C789" s="11" t="s">
        <v>664</v>
      </c>
      <c r="D789" s="12" t="s">
        <v>821</v>
      </c>
      <c r="E789" s="13" t="s">
        <v>1716</v>
      </c>
      <c r="F789" s="6" t="str">
        <f>_xlfn.XLOOKUP(D789,'[7]Database DP'!$C:$C,'[7]Database DP'!$F:$F,"Tidak Ditemukan")</f>
        <v>ARIF WIBOWO</v>
      </c>
      <c r="G789" s="222"/>
    </row>
    <row r="790" spans="2:7">
      <c r="B790" s="10" t="s">
        <v>663</v>
      </c>
      <c r="C790" s="11" t="s">
        <v>664</v>
      </c>
      <c r="D790" s="12" t="s">
        <v>822</v>
      </c>
      <c r="E790" s="13" t="s">
        <v>1716</v>
      </c>
      <c r="F790" s="6" t="str">
        <f>_xlfn.XLOOKUP(D790,'[7]Database DP'!$C:$C,'[7]Database DP'!$F:$F,"Tidak Ditemukan")</f>
        <v>ARIF WIBOWO</v>
      </c>
      <c r="G790" s="222"/>
    </row>
    <row r="791" spans="2:7">
      <c r="B791" s="10" t="s">
        <v>663</v>
      </c>
      <c r="C791" s="11" t="s">
        <v>664</v>
      </c>
      <c r="D791" s="12" t="s">
        <v>823</v>
      </c>
      <c r="E791" s="13" t="s">
        <v>1716</v>
      </c>
      <c r="F791" s="6" t="str">
        <f>_xlfn.XLOOKUP(D791,'[7]Database DP'!$C:$C,'[7]Database DP'!$F:$F,"Tidak Ditemukan")</f>
        <v>ARIF WIBOWO</v>
      </c>
      <c r="G791" s="222"/>
    </row>
    <row r="792" spans="2:7">
      <c r="B792" s="10" t="s">
        <v>663</v>
      </c>
      <c r="C792" s="11" t="s">
        <v>664</v>
      </c>
      <c r="D792" s="12" t="s">
        <v>824</v>
      </c>
      <c r="E792" s="13" t="s">
        <v>1716</v>
      </c>
      <c r="F792" s="6" t="str">
        <f>_xlfn.XLOOKUP(D792,'[7]Database DP'!$C:$C,'[7]Database DP'!$F:$F,"Tidak Ditemukan")</f>
        <v>ARIF WIBOWO</v>
      </c>
      <c r="G792" s="222"/>
    </row>
    <row r="793" spans="2:7">
      <c r="B793" s="10" t="s">
        <v>663</v>
      </c>
      <c r="C793" s="11" t="s">
        <v>664</v>
      </c>
      <c r="D793" s="12" t="s">
        <v>825</v>
      </c>
      <c r="E793" s="13" t="s">
        <v>1716</v>
      </c>
      <c r="F793" s="6" t="str">
        <f>_xlfn.XLOOKUP(D793,'[7]Database DP'!$C:$C,'[7]Database DP'!$F:$F,"Tidak Ditemukan")</f>
        <v>ARIF WIBOWO</v>
      </c>
      <c r="G793" s="222"/>
    </row>
    <row r="794" spans="2:7">
      <c r="B794" s="10" t="s">
        <v>663</v>
      </c>
      <c r="C794" s="11" t="s">
        <v>664</v>
      </c>
      <c r="D794" s="12" t="s">
        <v>826</v>
      </c>
      <c r="E794" s="13" t="s">
        <v>1716</v>
      </c>
      <c r="F794" s="6" t="str">
        <f>_xlfn.XLOOKUP(D794,'[7]Database DP'!$C:$C,'[7]Database DP'!$F:$F,"Tidak Ditemukan")</f>
        <v>ARIF WIBOWO</v>
      </c>
      <c r="G794" s="222"/>
    </row>
    <row r="795" spans="2:7">
      <c r="B795" s="10" t="s">
        <v>663</v>
      </c>
      <c r="C795" s="11" t="s">
        <v>664</v>
      </c>
      <c r="D795" s="12" t="s">
        <v>827</v>
      </c>
      <c r="E795" s="13" t="s">
        <v>1716</v>
      </c>
      <c r="F795" s="6" t="str">
        <f>_xlfn.XLOOKUP(D795,'[7]Database DP'!$C:$C,'[7]Database DP'!$F:$F,"Tidak Ditemukan")</f>
        <v>ARIF WIBOWO</v>
      </c>
      <c r="G795" s="222"/>
    </row>
    <row r="796" spans="2:7">
      <c r="B796" s="10" t="s">
        <v>663</v>
      </c>
      <c r="C796" s="11" t="s">
        <v>664</v>
      </c>
      <c r="D796" s="12" t="s">
        <v>828</v>
      </c>
      <c r="E796" s="13" t="s">
        <v>1716</v>
      </c>
      <c r="F796" s="6" t="str">
        <f>_xlfn.XLOOKUP(D796,'[7]Database DP'!$C:$C,'[7]Database DP'!$F:$F,"Tidak Ditemukan")</f>
        <v>ARIF WIBOWO</v>
      </c>
      <c r="G796" s="222"/>
    </row>
    <row r="797" spans="2:7">
      <c r="B797" s="10" t="s">
        <v>663</v>
      </c>
      <c r="C797" s="11" t="s">
        <v>664</v>
      </c>
      <c r="D797" s="12" t="s">
        <v>829</v>
      </c>
      <c r="E797" s="13" t="s">
        <v>1716</v>
      </c>
      <c r="F797" s="6" t="str">
        <f>_xlfn.XLOOKUP(D797,'[7]Database DP'!$C:$C,'[7]Database DP'!$F:$F,"Tidak Ditemukan")</f>
        <v>ARIF WIBOWO</v>
      </c>
      <c r="G797" s="222"/>
    </row>
    <row r="798" spans="2:7">
      <c r="B798" s="10" t="s">
        <v>663</v>
      </c>
      <c r="C798" s="11" t="s">
        <v>664</v>
      </c>
      <c r="D798" s="12" t="s">
        <v>830</v>
      </c>
      <c r="E798" s="13" t="s">
        <v>1716</v>
      </c>
      <c r="F798" s="6" t="str">
        <f>_xlfn.XLOOKUP(D798,'[7]Database DP'!$C:$C,'[7]Database DP'!$F:$F,"Tidak Ditemukan")</f>
        <v>RONY</v>
      </c>
      <c r="G798" s="222"/>
    </row>
    <row r="799" spans="2:7">
      <c r="B799" s="10" t="s">
        <v>663</v>
      </c>
      <c r="C799" s="11" t="s">
        <v>664</v>
      </c>
      <c r="D799" s="12" t="s">
        <v>831</v>
      </c>
      <c r="E799" s="13" t="s">
        <v>1716</v>
      </c>
      <c r="F799" s="6" t="str">
        <f>_xlfn.XLOOKUP(D799,'[7]Database DP'!$C:$C,'[7]Database DP'!$F:$F,"Tidak Ditemukan")</f>
        <v>RONY</v>
      </c>
      <c r="G799" s="222"/>
    </row>
    <row r="800" spans="2:7">
      <c r="B800" s="10" t="s">
        <v>663</v>
      </c>
      <c r="C800" s="11" t="s">
        <v>664</v>
      </c>
      <c r="D800" s="12" t="s">
        <v>832</v>
      </c>
      <c r="E800" s="13" t="s">
        <v>1716</v>
      </c>
      <c r="F800" s="6" t="str">
        <f>_xlfn.XLOOKUP(D800,'[7]Database DP'!$C:$C,'[7]Database DP'!$F:$F,"Tidak Ditemukan")</f>
        <v>RONY</v>
      </c>
      <c r="G800" s="222"/>
    </row>
    <row r="801" spans="2:7">
      <c r="B801" s="10" t="s">
        <v>663</v>
      </c>
      <c r="C801" s="11" t="s">
        <v>664</v>
      </c>
      <c r="D801" s="12" t="s">
        <v>833</v>
      </c>
      <c r="E801" s="13" t="s">
        <v>1716</v>
      </c>
      <c r="F801" s="6" t="str">
        <f>_xlfn.XLOOKUP(D801,'[7]Database DP'!$C:$C,'[7]Database DP'!$F:$F,"Tidak Ditemukan")</f>
        <v>RONY</v>
      </c>
      <c r="G801" s="222"/>
    </row>
    <row r="802" spans="2:7">
      <c r="B802" s="10" t="s">
        <v>663</v>
      </c>
      <c r="C802" s="11" t="s">
        <v>664</v>
      </c>
      <c r="D802" s="12" t="s">
        <v>834</v>
      </c>
      <c r="E802" s="13" t="s">
        <v>1716</v>
      </c>
      <c r="F802" s="6" t="str">
        <f>_xlfn.XLOOKUP(D802,'[7]Database DP'!$C:$C,'[7]Database DP'!$F:$F,"Tidak Ditemukan")</f>
        <v>RONY</v>
      </c>
      <c r="G802" s="222"/>
    </row>
    <row r="803" spans="2:7">
      <c r="B803" s="10" t="s">
        <v>663</v>
      </c>
      <c r="C803" s="11" t="s">
        <v>664</v>
      </c>
      <c r="D803" s="12" t="s">
        <v>835</v>
      </c>
      <c r="E803" s="13" t="s">
        <v>1739</v>
      </c>
      <c r="F803" s="6" t="str">
        <f>_xlfn.XLOOKUP(D803,'[7]Database DP'!$C:$C,'[7]Database DP'!$F:$F,"Tidak Ditemukan")</f>
        <v>RONY</v>
      </c>
      <c r="G803" s="222"/>
    </row>
    <row r="804" spans="2:7">
      <c r="B804" s="10" t="s">
        <v>663</v>
      </c>
      <c r="C804" s="11" t="s">
        <v>664</v>
      </c>
      <c r="D804" s="12" t="s">
        <v>836</v>
      </c>
      <c r="E804" s="13" t="s">
        <v>1739</v>
      </c>
      <c r="F804" s="6" t="str">
        <f>_xlfn.XLOOKUP(D804,'[7]Database DP'!$C:$C,'[7]Database DP'!$F:$F,"Tidak Ditemukan")</f>
        <v>RONY</v>
      </c>
      <c r="G804" s="222"/>
    </row>
    <row r="805" spans="2:7">
      <c r="B805" s="10" t="s">
        <v>663</v>
      </c>
      <c r="C805" s="11" t="s">
        <v>664</v>
      </c>
      <c r="D805" s="12" t="s">
        <v>837</v>
      </c>
      <c r="E805" s="13" t="s">
        <v>1739</v>
      </c>
      <c r="F805" s="6" t="str">
        <f>_xlfn.XLOOKUP(D805,'[7]Database DP'!$C:$C,'[7]Database DP'!$F:$F,"Tidak Ditemukan")</f>
        <v>RONY</v>
      </c>
      <c r="G805" s="222"/>
    </row>
    <row r="806" spans="2:7">
      <c r="B806" s="10" t="s">
        <v>663</v>
      </c>
      <c r="C806" s="11" t="s">
        <v>664</v>
      </c>
      <c r="D806" s="12" t="s">
        <v>838</v>
      </c>
      <c r="E806" s="13" t="s">
        <v>1716</v>
      </c>
      <c r="F806" s="6" t="str">
        <f>_xlfn.XLOOKUP(D806,'[7]Database DP'!$C:$C,'[7]Database DP'!$F:$F,"Tidak Ditemukan")</f>
        <v>RONY</v>
      </c>
      <c r="G806" s="222"/>
    </row>
    <row r="807" spans="2:7">
      <c r="B807" s="10" t="s">
        <v>663</v>
      </c>
      <c r="C807" s="11" t="s">
        <v>664</v>
      </c>
      <c r="D807" s="12" t="s">
        <v>839</v>
      </c>
      <c r="E807" s="13" t="s">
        <v>1716</v>
      </c>
      <c r="F807" s="6" t="str">
        <f>_xlfn.XLOOKUP(D807,'[7]Database DP'!$C:$C,'[7]Database DP'!$F:$F,"Tidak Ditemukan")</f>
        <v>RONY</v>
      </c>
      <c r="G807" s="222"/>
    </row>
    <row r="808" spans="2:7">
      <c r="B808" s="10" t="s">
        <v>663</v>
      </c>
      <c r="C808" s="11" t="s">
        <v>664</v>
      </c>
      <c r="D808" s="12" t="s">
        <v>840</v>
      </c>
      <c r="E808" s="13" t="s">
        <v>1716</v>
      </c>
      <c r="F808" s="6" t="str">
        <f>_xlfn.XLOOKUP(D808,'[7]Database DP'!$C:$C,'[7]Database DP'!$F:$F,"Tidak Ditemukan")</f>
        <v>SULIS</v>
      </c>
      <c r="G808" s="222"/>
    </row>
    <row r="809" spans="2:7">
      <c r="B809" s="10" t="s">
        <v>663</v>
      </c>
      <c r="C809" s="11" t="s">
        <v>664</v>
      </c>
      <c r="D809" s="12" t="s">
        <v>841</v>
      </c>
      <c r="E809" s="13" t="s">
        <v>1716</v>
      </c>
      <c r="F809" s="6" t="str">
        <f>_xlfn.XLOOKUP(D809,'[7]Database DP'!$C:$C,'[7]Database DP'!$F:$F,"Tidak Ditemukan")</f>
        <v>SULIS</v>
      </c>
      <c r="G809" s="222"/>
    </row>
    <row r="810" spans="2:7">
      <c r="B810" s="10" t="s">
        <v>663</v>
      </c>
      <c r="C810" s="11" t="s">
        <v>664</v>
      </c>
      <c r="D810" s="12" t="s">
        <v>842</v>
      </c>
      <c r="E810" s="13" t="s">
        <v>1716</v>
      </c>
      <c r="F810" s="6" t="str">
        <f>_xlfn.XLOOKUP(D810,'[7]Database DP'!$C:$C,'[7]Database DP'!$F:$F,"Tidak Ditemukan")</f>
        <v>SULIS</v>
      </c>
      <c r="G810" s="222"/>
    </row>
    <row r="811" spans="2:7">
      <c r="B811" s="10" t="s">
        <v>663</v>
      </c>
      <c r="C811" s="11" t="s">
        <v>664</v>
      </c>
      <c r="D811" s="12" t="s">
        <v>843</v>
      </c>
      <c r="E811" s="13" t="s">
        <v>1716</v>
      </c>
      <c r="F811" s="6" t="str">
        <f>_xlfn.XLOOKUP(D811,'[7]Database DP'!$C:$C,'[7]Database DP'!$F:$F,"Tidak Ditemukan")</f>
        <v>SULIS</v>
      </c>
      <c r="G811" s="222"/>
    </row>
    <row r="812" spans="2:7">
      <c r="B812" s="10" t="s">
        <v>663</v>
      </c>
      <c r="C812" s="11" t="s">
        <v>664</v>
      </c>
      <c r="D812" s="12" t="s">
        <v>844</v>
      </c>
      <c r="E812" s="13" t="s">
        <v>1716</v>
      </c>
      <c r="F812" s="6" t="str">
        <f>_xlfn.XLOOKUP(D812,'[7]Database DP'!$C:$C,'[7]Database DP'!$F:$F,"Tidak Ditemukan")</f>
        <v>SULIS</v>
      </c>
      <c r="G812" s="222"/>
    </row>
    <row r="813" spans="2:7">
      <c r="B813" s="10" t="s">
        <v>663</v>
      </c>
      <c r="C813" s="11" t="s">
        <v>664</v>
      </c>
      <c r="D813" s="12" t="s">
        <v>845</v>
      </c>
      <c r="E813" s="13" t="s">
        <v>1716</v>
      </c>
      <c r="F813" s="6" t="str">
        <f>_xlfn.XLOOKUP(D813,'[7]Database DP'!$C:$C,'[7]Database DP'!$F:$F,"Tidak Ditemukan")</f>
        <v>SULIS</v>
      </c>
      <c r="G813" s="222"/>
    </row>
    <row r="814" spans="2:7">
      <c r="B814" s="10" t="s">
        <v>663</v>
      </c>
      <c r="C814" s="11" t="s">
        <v>664</v>
      </c>
      <c r="D814" s="12" t="s">
        <v>846</v>
      </c>
      <c r="E814" s="13" t="s">
        <v>1716</v>
      </c>
      <c r="F814" s="6" t="str">
        <f>_xlfn.XLOOKUP(D814,'[7]Database DP'!$C:$C,'[7]Database DP'!$F:$F,"Tidak Ditemukan")</f>
        <v>SULIS</v>
      </c>
      <c r="G814" s="222"/>
    </row>
    <row r="815" spans="2:7">
      <c r="B815" s="10" t="s">
        <v>663</v>
      </c>
      <c r="C815" s="11" t="s">
        <v>664</v>
      </c>
      <c r="D815" s="12" t="s">
        <v>847</v>
      </c>
      <c r="E815" s="13" t="s">
        <v>1716</v>
      </c>
      <c r="F815" s="6" t="str">
        <f>_xlfn.XLOOKUP(D815,'[7]Database DP'!$C:$C,'[7]Database DP'!$F:$F,"Tidak Ditemukan")</f>
        <v>SULIS</v>
      </c>
      <c r="G815" s="222"/>
    </row>
    <row r="816" spans="2:7">
      <c r="B816" s="10" t="s">
        <v>663</v>
      </c>
      <c r="C816" s="11" t="s">
        <v>664</v>
      </c>
      <c r="D816" s="12" t="s">
        <v>848</v>
      </c>
      <c r="E816" s="13" t="s">
        <v>1716</v>
      </c>
      <c r="F816" s="6" t="str">
        <f>_xlfn.XLOOKUP(D816,'[7]Database DP'!$C:$C,'[7]Database DP'!$F:$F,"Tidak Ditemukan")</f>
        <v>RIZKY</v>
      </c>
      <c r="G816" s="222"/>
    </row>
    <row r="817" spans="2:7">
      <c r="B817" s="10" t="s">
        <v>663</v>
      </c>
      <c r="C817" s="11" t="s">
        <v>664</v>
      </c>
      <c r="D817" s="12" t="s">
        <v>849</v>
      </c>
      <c r="E817" s="13" t="s">
        <v>1716</v>
      </c>
      <c r="F817" s="6" t="str">
        <f>_xlfn.XLOOKUP(D817,'[7]Database DP'!$C:$C,'[7]Database DP'!$F:$F,"Tidak Ditemukan")</f>
        <v>RIZKY</v>
      </c>
      <c r="G817" s="222"/>
    </row>
    <row r="818" spans="2:7">
      <c r="B818" s="10" t="s">
        <v>663</v>
      </c>
      <c r="C818" s="11" t="s">
        <v>664</v>
      </c>
      <c r="D818" s="12" t="s">
        <v>850</v>
      </c>
      <c r="E818" s="13" t="s">
        <v>1716</v>
      </c>
      <c r="F818" s="6" t="str">
        <f>_xlfn.XLOOKUP(D818,'[7]Database DP'!$C:$C,'[7]Database DP'!$F:$F,"Tidak Ditemukan")</f>
        <v>RIZKY</v>
      </c>
      <c r="G818" s="222"/>
    </row>
    <row r="819" spans="2:7">
      <c r="B819" s="10" t="s">
        <v>663</v>
      </c>
      <c r="C819" s="11" t="s">
        <v>664</v>
      </c>
      <c r="D819" s="12" t="s">
        <v>851</v>
      </c>
      <c r="E819" s="13" t="s">
        <v>1716</v>
      </c>
      <c r="F819" s="6" t="str">
        <f>_xlfn.XLOOKUP(D819,'[7]Database DP'!$C:$C,'[7]Database DP'!$F:$F,"Tidak Ditemukan")</f>
        <v>RIZKY</v>
      </c>
      <c r="G819" s="222"/>
    </row>
    <row r="820" spans="2:7">
      <c r="B820" s="10" t="s">
        <v>663</v>
      </c>
      <c r="C820" s="11" t="s">
        <v>664</v>
      </c>
      <c r="D820" s="12" t="s">
        <v>852</v>
      </c>
      <c r="E820" s="13" t="s">
        <v>1716</v>
      </c>
      <c r="F820" s="6" t="str">
        <f>_xlfn.XLOOKUP(D820,'[7]Database DP'!$C:$C,'[7]Database DP'!$F:$F,"Tidak Ditemukan")</f>
        <v>RIZKY</v>
      </c>
      <c r="G820" s="222"/>
    </row>
    <row r="821" spans="2:7">
      <c r="B821" s="10" t="s">
        <v>663</v>
      </c>
      <c r="C821" s="11" t="s">
        <v>664</v>
      </c>
      <c r="D821" s="12" t="s">
        <v>853</v>
      </c>
      <c r="E821" s="13" t="s">
        <v>1716</v>
      </c>
      <c r="F821" s="6" t="str">
        <f>_xlfn.XLOOKUP(D821,'[7]Database DP'!$C:$C,'[7]Database DP'!$F:$F,"Tidak Ditemukan")</f>
        <v>RIZKY</v>
      </c>
      <c r="G821" s="222"/>
    </row>
    <row r="822" spans="2:7">
      <c r="B822" s="10" t="s">
        <v>663</v>
      </c>
      <c r="C822" s="11" t="s">
        <v>664</v>
      </c>
      <c r="D822" s="12" t="s">
        <v>854</v>
      </c>
      <c r="E822" s="13" t="s">
        <v>1716</v>
      </c>
      <c r="F822" s="6" t="str">
        <f>_xlfn.XLOOKUP(D822,'[7]Database DP'!$C:$C,'[7]Database DP'!$F:$F,"Tidak Ditemukan")</f>
        <v>RIZKY</v>
      </c>
      <c r="G822" s="222"/>
    </row>
    <row r="823" spans="2:7">
      <c r="B823" s="10" t="s">
        <v>663</v>
      </c>
      <c r="C823" s="11" t="s">
        <v>664</v>
      </c>
      <c r="D823" s="12" t="s">
        <v>855</v>
      </c>
      <c r="E823" s="13" t="s">
        <v>1716</v>
      </c>
      <c r="F823" s="6" t="str">
        <f>_xlfn.XLOOKUP(D823,'[7]Database DP'!$C:$C,'[7]Database DP'!$F:$F,"Tidak Ditemukan")</f>
        <v>WAWAN</v>
      </c>
      <c r="G823" s="222"/>
    </row>
    <row r="824" spans="2:7">
      <c r="B824" s="10" t="s">
        <v>663</v>
      </c>
      <c r="C824" s="11" t="s">
        <v>664</v>
      </c>
      <c r="D824" s="12" t="s">
        <v>856</v>
      </c>
      <c r="E824" s="13" t="s">
        <v>1716</v>
      </c>
      <c r="F824" s="6" t="str">
        <f>_xlfn.XLOOKUP(D824,'[7]Database DP'!$C:$C,'[7]Database DP'!$F:$F,"Tidak Ditemukan")</f>
        <v>WAWAN</v>
      </c>
      <c r="G824" s="222"/>
    </row>
    <row r="825" spans="2:7">
      <c r="B825" s="10" t="s">
        <v>663</v>
      </c>
      <c r="C825" s="11" t="s">
        <v>664</v>
      </c>
      <c r="D825" s="12" t="s">
        <v>857</v>
      </c>
      <c r="E825" s="13" t="s">
        <v>1716</v>
      </c>
      <c r="F825" s="6" t="str">
        <f>_xlfn.XLOOKUP(D825,'[7]Database DP'!$C:$C,'[7]Database DP'!$F:$F,"Tidak Ditemukan")</f>
        <v>WAWAN</v>
      </c>
      <c r="G825" s="222"/>
    </row>
    <row r="826" spans="2:7">
      <c r="B826" s="10" t="s">
        <v>663</v>
      </c>
      <c r="C826" s="11" t="s">
        <v>664</v>
      </c>
      <c r="D826" s="12" t="s">
        <v>858</v>
      </c>
      <c r="E826" s="13" t="s">
        <v>1716</v>
      </c>
      <c r="F826" s="6" t="str">
        <f>_xlfn.XLOOKUP(D826,'[7]Database DP'!$C:$C,'[7]Database DP'!$F:$F,"Tidak Ditemukan")</f>
        <v>WAWAN</v>
      </c>
      <c r="G826" s="222"/>
    </row>
    <row r="827" spans="2:7">
      <c r="B827" s="10" t="s">
        <v>663</v>
      </c>
      <c r="C827" s="11" t="s">
        <v>664</v>
      </c>
      <c r="D827" s="12" t="s">
        <v>859</v>
      </c>
      <c r="E827" s="13" t="s">
        <v>1716</v>
      </c>
      <c r="F827" s="6" t="str">
        <f>_xlfn.XLOOKUP(D827,'[7]Database DP'!$C:$C,'[7]Database DP'!$F:$F,"Tidak Ditemukan")</f>
        <v>WAWAN</v>
      </c>
      <c r="G827" s="222"/>
    </row>
    <row r="828" spans="2:7">
      <c r="B828" s="10" t="s">
        <v>663</v>
      </c>
      <c r="C828" s="11" t="s">
        <v>664</v>
      </c>
      <c r="D828" s="12" t="s">
        <v>860</v>
      </c>
      <c r="E828" s="13" t="s">
        <v>1716</v>
      </c>
      <c r="F828" s="6" t="str">
        <f>_xlfn.XLOOKUP(D828,'[7]Database DP'!$C:$C,'[7]Database DP'!$F:$F,"Tidak Ditemukan")</f>
        <v>WAWAN</v>
      </c>
      <c r="G828" s="222"/>
    </row>
    <row r="829" spans="2:7">
      <c r="B829" s="10" t="s">
        <v>663</v>
      </c>
      <c r="C829" s="11" t="s">
        <v>664</v>
      </c>
      <c r="D829" s="12" t="s">
        <v>861</v>
      </c>
      <c r="E829" s="13" t="s">
        <v>1716</v>
      </c>
      <c r="F829" s="6" t="str">
        <f>_xlfn.XLOOKUP(D829,'[7]Database DP'!$C:$C,'[7]Database DP'!$F:$F,"Tidak Ditemukan")</f>
        <v>WAWAN</v>
      </c>
      <c r="G829" s="222"/>
    </row>
    <row r="830" spans="2:7">
      <c r="B830" s="10" t="s">
        <v>663</v>
      </c>
      <c r="C830" s="11" t="s">
        <v>664</v>
      </c>
      <c r="D830" s="12" t="s">
        <v>862</v>
      </c>
      <c r="E830" s="13" t="s">
        <v>1716</v>
      </c>
      <c r="F830" s="6" t="str">
        <f>_xlfn.XLOOKUP(D830,'[7]Database DP'!$C:$C,'[7]Database DP'!$F:$F,"Tidak Ditemukan")</f>
        <v>WAWAN</v>
      </c>
      <c r="G830" s="222"/>
    </row>
    <row r="831" spans="2:7">
      <c r="B831" s="10" t="s">
        <v>663</v>
      </c>
      <c r="C831" s="11" t="s">
        <v>664</v>
      </c>
      <c r="D831" s="12" t="s">
        <v>863</v>
      </c>
      <c r="E831" s="13" t="s">
        <v>1716</v>
      </c>
      <c r="F831" s="6" t="str">
        <f>_xlfn.XLOOKUP(D831,'[7]Database DP'!$C:$C,'[7]Database DP'!$F:$F,"Tidak Ditemukan")</f>
        <v>WAWAN</v>
      </c>
      <c r="G831" s="222"/>
    </row>
    <row r="832" spans="2:7">
      <c r="B832" s="10" t="s">
        <v>663</v>
      </c>
      <c r="C832" s="11" t="s">
        <v>664</v>
      </c>
      <c r="D832" s="12" t="s">
        <v>864</v>
      </c>
      <c r="E832" s="13" t="s">
        <v>1716</v>
      </c>
      <c r="F832" s="6" t="str">
        <f>_xlfn.XLOOKUP(D832,'[7]Database DP'!$C:$C,'[7]Database DP'!$F:$F,"Tidak Ditemukan")</f>
        <v>WAWAN</v>
      </c>
      <c r="G832" s="222"/>
    </row>
    <row r="833" spans="2:7">
      <c r="B833" s="10" t="s">
        <v>663</v>
      </c>
      <c r="C833" s="11" t="s">
        <v>664</v>
      </c>
      <c r="D833" s="12" t="s">
        <v>865</v>
      </c>
      <c r="E833" s="13" t="s">
        <v>1716</v>
      </c>
      <c r="F833" s="6" t="str">
        <f>_xlfn.XLOOKUP(D833,'[7]Database DP'!$C:$C,'[7]Database DP'!$F:$F,"Tidak Ditemukan")</f>
        <v>WAWAN</v>
      </c>
      <c r="G833" s="222"/>
    </row>
    <row r="834" spans="2:7">
      <c r="B834" s="10" t="s">
        <v>663</v>
      </c>
      <c r="C834" s="11" t="s">
        <v>664</v>
      </c>
      <c r="D834" s="12" t="s">
        <v>866</v>
      </c>
      <c r="E834" s="13" t="s">
        <v>1716</v>
      </c>
      <c r="F834" s="6" t="str">
        <f>_xlfn.XLOOKUP(D834,'[7]Database DP'!$C:$C,'[7]Database DP'!$F:$F,"Tidak Ditemukan")</f>
        <v>WAWAN</v>
      </c>
      <c r="G834" s="222"/>
    </row>
    <row r="835" spans="2:7">
      <c r="B835" s="10" t="s">
        <v>663</v>
      </c>
      <c r="C835" s="11" t="s">
        <v>664</v>
      </c>
      <c r="D835" s="12" t="s">
        <v>867</v>
      </c>
      <c r="E835" s="13" t="s">
        <v>1716</v>
      </c>
      <c r="F835" s="6" t="str">
        <f>_xlfn.XLOOKUP(D835,'[7]Database DP'!$C:$C,'[7]Database DP'!$F:$F,"Tidak Ditemukan")</f>
        <v>YANUAR</v>
      </c>
      <c r="G835" s="222"/>
    </row>
    <row r="836" spans="2:7">
      <c r="B836" s="10" t="s">
        <v>663</v>
      </c>
      <c r="C836" s="11" t="s">
        <v>664</v>
      </c>
      <c r="D836" s="12" t="s">
        <v>868</v>
      </c>
      <c r="E836" s="13" t="s">
        <v>1716</v>
      </c>
      <c r="F836" s="6" t="str">
        <f>_xlfn.XLOOKUP(D836,'[7]Database DP'!$C:$C,'[7]Database DP'!$F:$F,"Tidak Ditemukan")</f>
        <v>YANUAR</v>
      </c>
      <c r="G836" s="222"/>
    </row>
    <row r="837" spans="2:7">
      <c r="B837" s="10" t="s">
        <v>663</v>
      </c>
      <c r="C837" s="11" t="s">
        <v>664</v>
      </c>
      <c r="D837" s="12" t="s">
        <v>869</v>
      </c>
      <c r="E837" s="13" t="s">
        <v>1716</v>
      </c>
      <c r="F837" s="6" t="str">
        <f>_xlfn.XLOOKUP(D837,'[7]Database DP'!$C:$C,'[7]Database DP'!$F:$F,"Tidak Ditemukan")</f>
        <v>YANUAR</v>
      </c>
      <c r="G837" s="222"/>
    </row>
    <row r="838" spans="2:7">
      <c r="B838" s="10" t="s">
        <v>663</v>
      </c>
      <c r="C838" s="11" t="s">
        <v>664</v>
      </c>
      <c r="D838" s="12" t="s">
        <v>870</v>
      </c>
      <c r="E838" s="13" t="s">
        <v>1716</v>
      </c>
      <c r="F838" s="6" t="str">
        <f>_xlfn.XLOOKUP(D838,'[7]Database DP'!$C:$C,'[7]Database DP'!$F:$F,"Tidak Ditemukan")</f>
        <v>YANUAR</v>
      </c>
      <c r="G838" s="222"/>
    </row>
    <row r="839" spans="2:7">
      <c r="B839" s="10" t="s">
        <v>663</v>
      </c>
      <c r="C839" s="11" t="s">
        <v>664</v>
      </c>
      <c r="D839" s="12" t="s">
        <v>871</v>
      </c>
      <c r="E839" s="13" t="s">
        <v>1716</v>
      </c>
      <c r="F839" s="6" t="str">
        <f>_xlfn.XLOOKUP(D839,'[7]Database DP'!$C:$C,'[7]Database DP'!$F:$F,"Tidak Ditemukan")</f>
        <v>YANUAR</v>
      </c>
      <c r="G839" s="222"/>
    </row>
    <row r="840" spans="2:7">
      <c r="B840" s="10" t="s">
        <v>663</v>
      </c>
      <c r="C840" s="11" t="s">
        <v>664</v>
      </c>
      <c r="D840" s="12" t="s">
        <v>872</v>
      </c>
      <c r="E840" s="13" t="s">
        <v>1716</v>
      </c>
      <c r="F840" s="6" t="str">
        <f>_xlfn.XLOOKUP(D840,'[7]Database DP'!$C:$C,'[7]Database DP'!$F:$F,"Tidak Ditemukan")</f>
        <v>YANUAR</v>
      </c>
      <c r="G840" s="222"/>
    </row>
    <row r="841" spans="2:7">
      <c r="B841" s="10" t="s">
        <v>663</v>
      </c>
      <c r="C841" s="11" t="s">
        <v>664</v>
      </c>
      <c r="D841" s="12" t="s">
        <v>873</v>
      </c>
      <c r="E841" s="13" t="s">
        <v>1716</v>
      </c>
      <c r="F841" s="6" t="str">
        <f>_xlfn.XLOOKUP(D841,'[7]Database DP'!$C:$C,'[7]Database DP'!$F:$F,"Tidak Ditemukan")</f>
        <v>YANUAR</v>
      </c>
      <c r="G841" s="222"/>
    </row>
    <row r="842" spans="2:7">
      <c r="B842" s="10" t="s">
        <v>663</v>
      </c>
      <c r="C842" s="11" t="s">
        <v>664</v>
      </c>
      <c r="D842" s="12" t="s">
        <v>874</v>
      </c>
      <c r="E842" s="13" t="s">
        <v>1716</v>
      </c>
      <c r="F842" s="6" t="str">
        <f>_xlfn.XLOOKUP(D842,'[7]Database DP'!$C:$C,'[7]Database DP'!$F:$F,"Tidak Ditemukan")</f>
        <v>YANUAR</v>
      </c>
      <c r="G842" s="222"/>
    </row>
    <row r="843" spans="2:7">
      <c r="B843" s="10" t="s">
        <v>663</v>
      </c>
      <c r="C843" s="11" t="s">
        <v>664</v>
      </c>
      <c r="D843" s="12" t="s">
        <v>875</v>
      </c>
      <c r="E843" s="13" t="s">
        <v>1716</v>
      </c>
      <c r="F843" s="6" t="str">
        <f>_xlfn.XLOOKUP(D843,'[7]Database DP'!$C:$C,'[7]Database DP'!$F:$F,"Tidak Ditemukan")</f>
        <v>YANUAR</v>
      </c>
      <c r="G843" s="222"/>
    </row>
    <row r="844" spans="2:7">
      <c r="B844" s="10" t="s">
        <v>663</v>
      </c>
      <c r="C844" s="11" t="s">
        <v>664</v>
      </c>
      <c r="D844" s="12" t="s">
        <v>876</v>
      </c>
      <c r="E844" s="13" t="s">
        <v>1716</v>
      </c>
      <c r="F844" s="6" t="str">
        <f>_xlfn.XLOOKUP(D844,'[7]Database DP'!$C:$C,'[7]Database DP'!$F:$F,"Tidak Ditemukan")</f>
        <v>YANUAR</v>
      </c>
      <c r="G844" s="222"/>
    </row>
    <row r="845" spans="2:7">
      <c r="B845" s="10" t="s">
        <v>663</v>
      </c>
      <c r="C845" s="11" t="s">
        <v>664</v>
      </c>
      <c r="D845" s="12" t="s">
        <v>877</v>
      </c>
      <c r="E845" s="13" t="s">
        <v>1716</v>
      </c>
      <c r="F845" s="6" t="str">
        <f>_xlfn.XLOOKUP(D845,'[7]Database DP'!$C:$C,'[7]Database DP'!$F:$F,"Tidak Ditemukan")</f>
        <v>YANUAR</v>
      </c>
      <c r="G845" s="222"/>
    </row>
    <row r="846" spans="2:7">
      <c r="B846" s="10" t="s">
        <v>663</v>
      </c>
      <c r="C846" s="11" t="s">
        <v>664</v>
      </c>
      <c r="D846" s="12" t="s">
        <v>878</v>
      </c>
      <c r="E846" s="13" t="s">
        <v>1716</v>
      </c>
      <c r="F846" s="6" t="str">
        <f>_xlfn.XLOOKUP(D846,'[7]Database DP'!$C:$C,'[7]Database DP'!$F:$F,"Tidak Ditemukan")</f>
        <v>YUDHA BRB</v>
      </c>
      <c r="G846" s="222"/>
    </row>
    <row r="847" spans="2:7">
      <c r="B847" s="10" t="s">
        <v>663</v>
      </c>
      <c r="C847" s="11" t="s">
        <v>664</v>
      </c>
      <c r="D847" s="12" t="s">
        <v>879</v>
      </c>
      <c r="E847" s="13" t="s">
        <v>1716</v>
      </c>
      <c r="F847" s="6" t="str">
        <f>_xlfn.XLOOKUP(D847,'[7]Database DP'!$C:$C,'[7]Database DP'!$F:$F,"Tidak Ditemukan")</f>
        <v>YUDHA BRB</v>
      </c>
      <c r="G847" s="222"/>
    </row>
    <row r="848" spans="2:7">
      <c r="B848" s="10" t="s">
        <v>663</v>
      </c>
      <c r="C848" s="11" t="s">
        <v>664</v>
      </c>
      <c r="D848" s="12" t="s">
        <v>880</v>
      </c>
      <c r="E848" s="13" t="s">
        <v>1716</v>
      </c>
      <c r="F848" s="6" t="str">
        <f>_xlfn.XLOOKUP(D848,'[7]Database DP'!$C:$C,'[7]Database DP'!$F:$F,"Tidak Ditemukan")</f>
        <v>YUDHA BRB</v>
      </c>
      <c r="G848" s="222"/>
    </row>
    <row r="849" spans="2:7">
      <c r="B849" s="10" t="s">
        <v>663</v>
      </c>
      <c r="C849" s="11" t="s">
        <v>664</v>
      </c>
      <c r="D849" s="12" t="s">
        <v>881</v>
      </c>
      <c r="E849" s="13" t="s">
        <v>1716</v>
      </c>
      <c r="F849" s="6" t="str">
        <f>_xlfn.XLOOKUP(D849,'[7]Database DP'!$C:$C,'[7]Database DP'!$F:$F,"Tidak Ditemukan")</f>
        <v>YUDHA BRB</v>
      </c>
      <c r="G849" s="222"/>
    </row>
    <row r="850" spans="2:7">
      <c r="B850" s="10" t="s">
        <v>663</v>
      </c>
      <c r="C850" s="11" t="s">
        <v>664</v>
      </c>
      <c r="D850" s="12" t="s">
        <v>882</v>
      </c>
      <c r="E850" s="13" t="s">
        <v>1716</v>
      </c>
      <c r="F850" s="6" t="str">
        <f>_xlfn.XLOOKUP(D850,'[7]Database DP'!$C:$C,'[7]Database DP'!$F:$F,"Tidak Ditemukan")</f>
        <v>YUDHA BRB</v>
      </c>
      <c r="G850" s="222"/>
    </row>
    <row r="851" spans="2:7">
      <c r="B851" s="10" t="s">
        <v>663</v>
      </c>
      <c r="C851" s="11" t="s">
        <v>664</v>
      </c>
      <c r="D851" s="12" t="s">
        <v>883</v>
      </c>
      <c r="E851" s="13" t="s">
        <v>1716</v>
      </c>
      <c r="F851" s="6" t="str">
        <f>_xlfn.XLOOKUP(D851,'[7]Database DP'!$C:$C,'[7]Database DP'!$F:$F,"Tidak Ditemukan")</f>
        <v>YUDHA BRB</v>
      </c>
      <c r="G851" s="222"/>
    </row>
    <row r="852" spans="2:7">
      <c r="B852" s="10" t="s">
        <v>663</v>
      </c>
      <c r="C852" s="11" t="s">
        <v>664</v>
      </c>
      <c r="D852" s="12" t="s">
        <v>884</v>
      </c>
      <c r="E852" s="13" t="s">
        <v>1716</v>
      </c>
      <c r="F852" s="6" t="str">
        <f>_xlfn.XLOOKUP(D852,'[7]Database DP'!$C:$C,'[7]Database DP'!$F:$F,"Tidak Ditemukan")</f>
        <v>YUDHA BRB</v>
      </c>
      <c r="G852" s="222"/>
    </row>
    <row r="853" spans="2:7">
      <c r="B853" s="10" t="s">
        <v>663</v>
      </c>
      <c r="C853" s="11" t="s">
        <v>664</v>
      </c>
      <c r="D853" s="12" t="s">
        <v>885</v>
      </c>
      <c r="E853" s="13" t="s">
        <v>1716</v>
      </c>
      <c r="F853" s="6" t="str">
        <f>_xlfn.XLOOKUP(D853,'[7]Database DP'!$C:$C,'[7]Database DP'!$F:$F,"Tidak Ditemukan")</f>
        <v>YUDHA BRB</v>
      </c>
      <c r="G853" s="222"/>
    </row>
    <row r="854" spans="2:7">
      <c r="B854" s="10" t="s">
        <v>663</v>
      </c>
      <c r="C854" s="11" t="s">
        <v>664</v>
      </c>
      <c r="D854" s="12" t="s">
        <v>886</v>
      </c>
      <c r="E854" s="13" t="s">
        <v>1716</v>
      </c>
      <c r="F854" s="6" t="str">
        <f>_xlfn.XLOOKUP(D854,'[7]Database DP'!$C:$C,'[7]Database DP'!$F:$F,"Tidak Ditemukan")</f>
        <v>YUDHA BRB</v>
      </c>
      <c r="G854" s="222"/>
    </row>
    <row r="855" spans="2:7">
      <c r="B855" s="10" t="s">
        <v>663</v>
      </c>
      <c r="C855" s="11" t="s">
        <v>664</v>
      </c>
      <c r="D855" s="12" t="s">
        <v>887</v>
      </c>
      <c r="E855" s="13" t="s">
        <v>1716</v>
      </c>
      <c r="F855" s="6" t="str">
        <f>_xlfn.XLOOKUP(D855,'[7]Database DP'!$C:$C,'[7]Database DP'!$F:$F,"Tidak Ditemukan")</f>
        <v>YUDHA BRB</v>
      </c>
      <c r="G855" s="222"/>
    </row>
    <row r="856" spans="2:7">
      <c r="B856" s="10" t="s">
        <v>663</v>
      </c>
      <c r="C856" s="11" t="s">
        <v>664</v>
      </c>
      <c r="D856" s="12" t="s">
        <v>888</v>
      </c>
      <c r="E856" s="13" t="s">
        <v>1716</v>
      </c>
      <c r="F856" s="6" t="str">
        <f>_xlfn.XLOOKUP(D856,'[7]Database DP'!$C:$C,'[7]Database DP'!$F:$F,"Tidak Ditemukan")</f>
        <v>YUDHA BRB</v>
      </c>
      <c r="G856" s="222"/>
    </row>
    <row r="857" spans="2:7">
      <c r="B857" s="10" t="s">
        <v>663</v>
      </c>
      <c r="C857" s="11" t="s">
        <v>664</v>
      </c>
      <c r="D857" s="12" t="s">
        <v>889</v>
      </c>
      <c r="E857" s="13" t="s">
        <v>1716</v>
      </c>
      <c r="F857" s="6" t="str">
        <f>_xlfn.XLOOKUP(D857,'[7]Database DP'!$C:$C,'[7]Database DP'!$F:$F,"Tidak Ditemukan")</f>
        <v>YUDHA BRB</v>
      </c>
      <c r="G857" s="222"/>
    </row>
    <row r="858" spans="2:7">
      <c r="B858" s="10" t="s">
        <v>663</v>
      </c>
      <c r="C858" s="11" t="s">
        <v>664</v>
      </c>
      <c r="D858" s="12" t="s">
        <v>890</v>
      </c>
      <c r="E858" s="13" t="s">
        <v>1716</v>
      </c>
      <c r="F858" s="6" t="str">
        <f>_xlfn.XLOOKUP(D858,'[7]Database DP'!$C:$C,'[7]Database DP'!$F:$F,"Tidak Ditemukan")</f>
        <v>YUDHA BRB</v>
      </c>
      <c r="G858" s="222"/>
    </row>
    <row r="859" spans="2:7">
      <c r="B859" s="10" t="s">
        <v>663</v>
      </c>
      <c r="C859" s="11" t="s">
        <v>664</v>
      </c>
      <c r="D859" s="12" t="s">
        <v>891</v>
      </c>
      <c r="E859" s="13" t="s">
        <v>1716</v>
      </c>
      <c r="F859" s="6" t="str">
        <f>_xlfn.XLOOKUP(D859,'[7]Database DP'!$C:$C,'[7]Database DP'!$F:$F,"Tidak Ditemukan")</f>
        <v>YUDHA BRB</v>
      </c>
      <c r="G859" s="222"/>
    </row>
    <row r="860" spans="2:7">
      <c r="B860" s="10" t="s">
        <v>663</v>
      </c>
      <c r="C860" s="11" t="s">
        <v>664</v>
      </c>
      <c r="D860" s="12" t="s">
        <v>892</v>
      </c>
      <c r="E860" s="13" t="s">
        <v>1716</v>
      </c>
      <c r="F860" s="6" t="str">
        <f>_xlfn.XLOOKUP(D860,'[7]Database DP'!$C:$C,'[7]Database DP'!$F:$F,"Tidak Ditemukan")</f>
        <v>YUDHA BRB</v>
      </c>
      <c r="G860" s="222"/>
    </row>
    <row r="861" spans="2:7">
      <c r="B861" s="10" t="s">
        <v>663</v>
      </c>
      <c r="C861" s="11" t="s">
        <v>664</v>
      </c>
      <c r="D861" s="12" t="s">
        <v>893</v>
      </c>
      <c r="E861" s="13" t="s">
        <v>1716</v>
      </c>
      <c r="F861" s="6" t="str">
        <f>_xlfn.XLOOKUP(D861,'[7]Database DP'!$C:$C,'[7]Database DP'!$F:$F,"Tidak Ditemukan")</f>
        <v>ZAENAL</v>
      </c>
      <c r="G861" s="222"/>
    </row>
    <row r="862" spans="2:7">
      <c r="B862" s="10" t="s">
        <v>663</v>
      </c>
      <c r="C862" s="11" t="s">
        <v>664</v>
      </c>
      <c r="D862" s="12" t="s">
        <v>894</v>
      </c>
      <c r="E862" s="13" t="s">
        <v>1716</v>
      </c>
      <c r="F862" s="6" t="str">
        <f>_xlfn.XLOOKUP(D862,'[7]Database DP'!$C:$C,'[7]Database DP'!$F:$F,"Tidak Ditemukan")</f>
        <v>ZAENAL</v>
      </c>
      <c r="G862" s="222"/>
    </row>
    <row r="863" spans="2:7">
      <c r="B863" s="10" t="s">
        <v>663</v>
      </c>
      <c r="C863" s="11" t="s">
        <v>664</v>
      </c>
      <c r="D863" s="12" t="s">
        <v>895</v>
      </c>
      <c r="E863" s="13" t="s">
        <v>1716</v>
      </c>
      <c r="F863" s="6" t="str">
        <f>_xlfn.XLOOKUP(D863,'[7]Database DP'!$C:$C,'[7]Database DP'!$F:$F,"Tidak Ditemukan")</f>
        <v>ZAENAL</v>
      </c>
      <c r="G863" s="222"/>
    </row>
    <row r="864" spans="2:7">
      <c r="B864" s="10" t="s">
        <v>663</v>
      </c>
      <c r="C864" s="11" t="s">
        <v>664</v>
      </c>
      <c r="D864" s="12" t="s">
        <v>896</v>
      </c>
      <c r="E864" s="13" t="s">
        <v>1716</v>
      </c>
      <c r="F864" s="6" t="str">
        <f>_xlfn.XLOOKUP(D864,'[7]Database DP'!$C:$C,'[7]Database DP'!$F:$F,"Tidak Ditemukan")</f>
        <v>ZAENAL</v>
      </c>
      <c r="G864" s="222"/>
    </row>
    <row r="865" spans="2:7">
      <c r="B865" s="10" t="s">
        <v>663</v>
      </c>
      <c r="C865" s="11" t="s">
        <v>664</v>
      </c>
      <c r="D865" s="12" t="s">
        <v>897</v>
      </c>
      <c r="E865" s="13" t="s">
        <v>1716</v>
      </c>
      <c r="F865" s="6" t="str">
        <f>_xlfn.XLOOKUP(D865,'[7]Database DP'!$C:$C,'[7]Database DP'!$F:$F,"Tidak Ditemukan")</f>
        <v>ZAENAL</v>
      </c>
      <c r="G865" s="222"/>
    </row>
    <row r="866" spans="2:7">
      <c r="B866" s="10" t="s">
        <v>663</v>
      </c>
      <c r="C866" s="11" t="s">
        <v>664</v>
      </c>
      <c r="D866" s="12" t="s">
        <v>898</v>
      </c>
      <c r="E866" s="13" t="s">
        <v>1716</v>
      </c>
      <c r="F866" s="6" t="str">
        <f>_xlfn.XLOOKUP(D866,'[7]Database DP'!$C:$C,'[7]Database DP'!$F:$F,"Tidak Ditemukan")</f>
        <v>ZAENAL</v>
      </c>
      <c r="G866" s="222"/>
    </row>
    <row r="867" spans="2:7">
      <c r="B867" s="10" t="s">
        <v>663</v>
      </c>
      <c r="C867" s="11" t="s">
        <v>664</v>
      </c>
      <c r="D867" s="12" t="s">
        <v>899</v>
      </c>
      <c r="E867" s="13" t="s">
        <v>1716</v>
      </c>
      <c r="F867" s="6" t="str">
        <f>_xlfn.XLOOKUP(D867,'[7]Database DP'!$C:$C,'[7]Database DP'!$F:$F,"Tidak Ditemukan")</f>
        <v>ZAENAL</v>
      </c>
      <c r="G867" s="222"/>
    </row>
    <row r="868" spans="2:7">
      <c r="B868" s="10" t="s">
        <v>663</v>
      </c>
      <c r="C868" s="11" t="s">
        <v>664</v>
      </c>
      <c r="D868" s="12" t="s">
        <v>900</v>
      </c>
      <c r="E868" s="13" t="s">
        <v>1716</v>
      </c>
      <c r="F868" s="6" t="str">
        <f>_xlfn.XLOOKUP(D868,'[7]Database DP'!$C:$C,'[7]Database DP'!$F:$F,"Tidak Ditemukan")</f>
        <v>ZAENAL</v>
      </c>
      <c r="G868" s="222"/>
    </row>
    <row r="869" spans="2:7">
      <c r="B869" s="10" t="s">
        <v>663</v>
      </c>
      <c r="C869" s="11" t="s">
        <v>664</v>
      </c>
      <c r="D869" s="12" t="s">
        <v>901</v>
      </c>
      <c r="E869" s="13" t="s">
        <v>1716</v>
      </c>
      <c r="F869" s="6" t="str">
        <f>_xlfn.XLOOKUP(D869,'[7]Database DP'!$C:$C,'[7]Database DP'!$F:$F,"Tidak Ditemukan")</f>
        <v>ZAENAL</v>
      </c>
      <c r="G869" s="222"/>
    </row>
    <row r="870" spans="2:7">
      <c r="B870" s="10" t="s">
        <v>663</v>
      </c>
      <c r="C870" s="11" t="s">
        <v>664</v>
      </c>
      <c r="D870" s="12" t="s">
        <v>902</v>
      </c>
      <c r="E870" s="13" t="s">
        <v>1716</v>
      </c>
      <c r="F870" s="6" t="str">
        <f>_xlfn.XLOOKUP(D870,'[7]Database DP'!$C:$C,'[7]Database DP'!$F:$F,"Tidak Ditemukan")</f>
        <v>ZAENAL</v>
      </c>
      <c r="G870" s="222"/>
    </row>
    <row r="871" spans="2:7">
      <c r="B871" s="10" t="s">
        <v>663</v>
      </c>
      <c r="C871" s="11" t="s">
        <v>664</v>
      </c>
      <c r="D871" s="12" t="s">
        <v>903</v>
      </c>
      <c r="E871" s="13" t="s">
        <v>1716</v>
      </c>
      <c r="F871" s="6" t="str">
        <f>_xlfn.XLOOKUP(D871,'[7]Database DP'!$C:$C,'[7]Database DP'!$F:$F,"Tidak Ditemukan")</f>
        <v>ZAENAL</v>
      </c>
      <c r="G871" s="222"/>
    </row>
    <row r="872" spans="2:7">
      <c r="B872" s="10" t="s">
        <v>663</v>
      </c>
      <c r="C872" s="11" t="s">
        <v>664</v>
      </c>
      <c r="D872" s="12" t="s">
        <v>904</v>
      </c>
      <c r="E872" s="13" t="s">
        <v>1716</v>
      </c>
      <c r="F872" s="6" t="str">
        <f>_xlfn.XLOOKUP(D872,'[7]Database DP'!$C:$C,'[7]Database DP'!$F:$F,"Tidak Ditemukan")</f>
        <v>ZAENAL</v>
      </c>
      <c r="G872" s="222"/>
    </row>
    <row r="873" spans="2:7">
      <c r="B873" s="10" t="s">
        <v>663</v>
      </c>
      <c r="C873" s="11" t="s">
        <v>664</v>
      </c>
      <c r="D873" s="12" t="s">
        <v>905</v>
      </c>
      <c r="E873" s="13" t="s">
        <v>1716</v>
      </c>
      <c r="F873" s="6" t="str">
        <f>_xlfn.XLOOKUP(D873,'[7]Database DP'!$C:$C,'[7]Database DP'!$F:$F,"Tidak Ditemukan")</f>
        <v>DIAZ</v>
      </c>
      <c r="G873" s="222"/>
    </row>
    <row r="874" spans="2:7">
      <c r="B874" s="10" t="s">
        <v>663</v>
      </c>
      <c r="C874" s="11" t="s">
        <v>664</v>
      </c>
      <c r="D874" s="12" t="s">
        <v>906</v>
      </c>
      <c r="E874" s="13" t="s">
        <v>1716</v>
      </c>
      <c r="F874" s="6" t="str">
        <f>_xlfn.XLOOKUP(D874,'[7]Database DP'!$C:$C,'[7]Database DP'!$F:$F,"Tidak Ditemukan")</f>
        <v>DIAZ</v>
      </c>
      <c r="G874" s="222"/>
    </row>
    <row r="875" spans="2:7">
      <c r="B875" s="10" t="s">
        <v>663</v>
      </c>
      <c r="C875" s="11" t="s">
        <v>664</v>
      </c>
      <c r="D875" s="12" t="s">
        <v>907</v>
      </c>
      <c r="E875" s="13" t="s">
        <v>1716</v>
      </c>
      <c r="F875" s="6" t="str">
        <f>_xlfn.XLOOKUP(D875,'[7]Database DP'!$C:$C,'[7]Database DP'!$F:$F,"Tidak Ditemukan")</f>
        <v>DIAZ</v>
      </c>
      <c r="G875" s="222"/>
    </row>
    <row r="876" spans="2:7">
      <c r="B876" s="10" t="s">
        <v>663</v>
      </c>
      <c r="C876" s="11" t="s">
        <v>664</v>
      </c>
      <c r="D876" s="12" t="s">
        <v>908</v>
      </c>
      <c r="E876" s="13" t="s">
        <v>1716</v>
      </c>
      <c r="F876" s="6" t="str">
        <f>_xlfn.XLOOKUP(D876,'[7]Database DP'!$C:$C,'[7]Database DP'!$F:$F,"Tidak Ditemukan")</f>
        <v>DIAZ</v>
      </c>
      <c r="G876" s="222"/>
    </row>
    <row r="877" spans="2:7">
      <c r="B877" s="10" t="s">
        <v>663</v>
      </c>
      <c r="C877" s="11" t="s">
        <v>664</v>
      </c>
      <c r="D877" s="12" t="s">
        <v>909</v>
      </c>
      <c r="E877" s="13" t="s">
        <v>1716</v>
      </c>
      <c r="F877" s="6" t="str">
        <f>_xlfn.XLOOKUP(D877,'[7]Database DP'!$C:$C,'[7]Database DP'!$F:$F,"Tidak Ditemukan")</f>
        <v>HERI</v>
      </c>
      <c r="G877" s="222"/>
    </row>
    <row r="878" spans="2:7">
      <c r="B878" s="10" t="s">
        <v>663</v>
      </c>
      <c r="C878" s="11" t="s">
        <v>664</v>
      </c>
      <c r="D878" s="12" t="s">
        <v>910</v>
      </c>
      <c r="E878" s="13" t="s">
        <v>1716</v>
      </c>
      <c r="F878" s="6" t="str">
        <f>_xlfn.XLOOKUP(D878,'[7]Database DP'!$C:$C,'[7]Database DP'!$F:$F,"Tidak Ditemukan")</f>
        <v>HERI</v>
      </c>
      <c r="G878" s="222"/>
    </row>
    <row r="879" spans="2:7">
      <c r="B879" s="10" t="s">
        <v>663</v>
      </c>
      <c r="C879" s="11" t="s">
        <v>664</v>
      </c>
      <c r="D879" s="12" t="s">
        <v>911</v>
      </c>
      <c r="E879" s="13" t="s">
        <v>1716</v>
      </c>
      <c r="F879" s="6" t="str">
        <f>_xlfn.XLOOKUP(D879,'[7]Database DP'!$C:$C,'[7]Database DP'!$F:$F,"Tidak Ditemukan")</f>
        <v>IRWAN</v>
      </c>
      <c r="G879" s="222"/>
    </row>
    <row r="880" spans="2:7">
      <c r="B880" s="10" t="s">
        <v>663</v>
      </c>
      <c r="C880" s="11" t="s">
        <v>664</v>
      </c>
      <c r="D880" s="12" t="s">
        <v>912</v>
      </c>
      <c r="E880" s="13" t="s">
        <v>1716</v>
      </c>
      <c r="F880" s="6" t="str">
        <f>_xlfn.XLOOKUP(D880,'[7]Database DP'!$C:$C,'[7]Database DP'!$F:$F,"Tidak Ditemukan")</f>
        <v>KHABIB</v>
      </c>
      <c r="G880" s="222"/>
    </row>
    <row r="881" spans="2:7">
      <c r="B881" s="10" t="s">
        <v>663</v>
      </c>
      <c r="C881" s="11" t="s">
        <v>664</v>
      </c>
      <c r="D881" s="12" t="s">
        <v>913</v>
      </c>
      <c r="E881" s="13" t="s">
        <v>1716</v>
      </c>
      <c r="F881" s="6" t="str">
        <f>_xlfn.XLOOKUP(D881,'[7]Database DP'!$C:$C,'[7]Database DP'!$F:$F,"Tidak Ditemukan")</f>
        <v>RAGIL</v>
      </c>
      <c r="G881" s="222"/>
    </row>
    <row r="882" spans="2:7">
      <c r="B882" s="10" t="s">
        <v>663</v>
      </c>
      <c r="C882" s="11" t="s">
        <v>664</v>
      </c>
      <c r="D882" s="12" t="s">
        <v>914</v>
      </c>
      <c r="E882" s="13" t="s">
        <v>1716</v>
      </c>
      <c r="F882" s="6" t="str">
        <f>_xlfn.XLOOKUP(D882,'[7]Database DP'!$C:$C,'[7]Database DP'!$F:$F,"Tidak Ditemukan")</f>
        <v>RAGIL</v>
      </c>
      <c r="G882" s="222"/>
    </row>
    <row r="883" spans="2:7">
      <c r="B883" s="10" t="s">
        <v>663</v>
      </c>
      <c r="C883" s="11" t="s">
        <v>664</v>
      </c>
      <c r="D883" s="12" t="s">
        <v>915</v>
      </c>
      <c r="E883" s="13" t="s">
        <v>1716</v>
      </c>
      <c r="F883" s="6" t="str">
        <f>_xlfn.XLOOKUP(D883,'[7]Database DP'!$C:$C,'[7]Database DP'!$F:$F,"Tidak Ditemukan")</f>
        <v>RAGIL</v>
      </c>
      <c r="G883" s="222"/>
    </row>
    <row r="884" spans="2:7">
      <c r="B884" s="10" t="s">
        <v>663</v>
      </c>
      <c r="C884" s="11" t="s">
        <v>664</v>
      </c>
      <c r="D884" s="12" t="s">
        <v>916</v>
      </c>
      <c r="E884" s="13" t="s">
        <v>1716</v>
      </c>
      <c r="F884" s="6" t="str">
        <f>_xlfn.XLOOKUP(D884,'[7]Database DP'!$C:$C,'[7]Database DP'!$F:$F,"Tidak Ditemukan")</f>
        <v>RAGIL</v>
      </c>
      <c r="G884" s="222"/>
    </row>
    <row r="885" spans="2:7">
      <c r="B885" s="10" t="s">
        <v>663</v>
      </c>
      <c r="C885" s="11" t="s">
        <v>664</v>
      </c>
      <c r="D885" s="12" t="s">
        <v>917</v>
      </c>
      <c r="E885" s="13" t="s">
        <v>1716</v>
      </c>
      <c r="F885" s="6" t="str">
        <f>_xlfn.XLOOKUP(D885,'[7]Database DP'!$C:$C,'[7]Database DP'!$F:$F,"Tidak Ditemukan")</f>
        <v>RONY</v>
      </c>
      <c r="G885" s="222"/>
    </row>
    <row r="886" spans="2:7">
      <c r="B886" s="10" t="s">
        <v>663</v>
      </c>
      <c r="C886" s="11" t="s">
        <v>664</v>
      </c>
      <c r="D886" s="12" t="s">
        <v>918</v>
      </c>
      <c r="E886" s="13" t="s">
        <v>1716</v>
      </c>
      <c r="F886" s="6" t="str">
        <f>_xlfn.XLOOKUP(D886,'[7]Database DP'!$C:$C,'[7]Database DP'!$F:$F,"Tidak Ditemukan")</f>
        <v>RONY</v>
      </c>
      <c r="G886" s="222"/>
    </row>
    <row r="887" spans="2:7">
      <c r="B887" s="10" t="s">
        <v>663</v>
      </c>
      <c r="C887" s="11" t="s">
        <v>664</v>
      </c>
      <c r="D887" s="12" t="s">
        <v>919</v>
      </c>
      <c r="E887" s="13" t="s">
        <v>1716</v>
      </c>
      <c r="F887" s="6" t="str">
        <f>_xlfn.XLOOKUP(D887,'[7]Database DP'!$C:$C,'[7]Database DP'!$F:$F,"Tidak Ditemukan")</f>
        <v>RONY</v>
      </c>
      <c r="G887" s="222"/>
    </row>
    <row r="888" spans="2:7">
      <c r="B888" s="10" t="s">
        <v>663</v>
      </c>
      <c r="C888" s="11" t="s">
        <v>664</v>
      </c>
      <c r="D888" s="12" t="s">
        <v>920</v>
      </c>
      <c r="E888" s="13" t="s">
        <v>1716</v>
      </c>
      <c r="F888" s="6" t="str">
        <f>_xlfn.XLOOKUP(D888,'[7]Database DP'!$C:$C,'[7]Database DP'!$F:$F,"Tidak Ditemukan")</f>
        <v>DIAZ</v>
      </c>
      <c r="G888" s="222"/>
    </row>
    <row r="889" spans="2:7">
      <c r="B889" s="10" t="s">
        <v>921</v>
      </c>
      <c r="C889" s="11" t="s">
        <v>922</v>
      </c>
      <c r="D889" s="12" t="s">
        <v>923</v>
      </c>
      <c r="E889" s="13" t="s">
        <v>1716</v>
      </c>
      <c r="F889" s="6" t="str">
        <f>_xlfn.XLOOKUP(D889,'[8]AGUSTUS 2026'!$B:$B,'[8]AGUSTUS 2026'!$I:$I,"Tidak Ditemukan")</f>
        <v>BIMO WALGITO</v>
      </c>
      <c r="G889" s="222"/>
    </row>
    <row r="890" spans="2:7">
      <c r="B890" s="10" t="s">
        <v>921</v>
      </c>
      <c r="C890" s="11" t="s">
        <v>922</v>
      </c>
      <c r="D890" s="12" t="s">
        <v>924</v>
      </c>
      <c r="E890" s="13" t="s">
        <v>1716</v>
      </c>
      <c r="F890" s="6" t="str">
        <f>_xlfn.XLOOKUP(D890,'[8]AGUSTUS 2026'!$B:$B,'[8]AGUSTUS 2026'!$I:$I,"Tidak Ditemukan")</f>
        <v>BIMO WALGITO</v>
      </c>
      <c r="G890" s="222"/>
    </row>
    <row r="891" spans="2:7">
      <c r="B891" s="10" t="s">
        <v>921</v>
      </c>
      <c r="C891" s="11" t="s">
        <v>922</v>
      </c>
      <c r="D891" s="12" t="s">
        <v>925</v>
      </c>
      <c r="E891" s="13" t="s">
        <v>1716</v>
      </c>
      <c r="F891" s="6" t="str">
        <f>_xlfn.XLOOKUP(D891,'[8]AGUSTUS 2026'!$B:$B,'[8]AGUSTUS 2026'!$I:$I,"Tidak Ditemukan")</f>
        <v>BIMO WALGITO</v>
      </c>
      <c r="G891" s="222"/>
    </row>
    <row r="892" spans="2:7">
      <c r="B892" s="10" t="s">
        <v>921</v>
      </c>
      <c r="C892" s="11" t="s">
        <v>922</v>
      </c>
      <c r="D892" s="12" t="s">
        <v>926</v>
      </c>
      <c r="E892" s="13" t="s">
        <v>1716</v>
      </c>
      <c r="F892" s="6" t="str">
        <f>_xlfn.XLOOKUP(D892,'[8]AGUSTUS 2026'!$B:$B,'[8]AGUSTUS 2026'!$I:$I,"Tidak Ditemukan")</f>
        <v>BIMO WALGITO</v>
      </c>
      <c r="G892" s="222"/>
    </row>
    <row r="893" spans="2:7">
      <c r="B893" s="10" t="s">
        <v>921</v>
      </c>
      <c r="C893" s="11" t="s">
        <v>922</v>
      </c>
      <c r="D893" s="12" t="s">
        <v>927</v>
      </c>
      <c r="E893" s="13" t="s">
        <v>1716</v>
      </c>
      <c r="F893" s="6" t="str">
        <f>_xlfn.XLOOKUP(D893,'[8]AGUSTUS 2026'!$B:$B,'[8]AGUSTUS 2026'!$I:$I,"Tidak Ditemukan")</f>
        <v>BIMO WALGITO</v>
      </c>
      <c r="G893" s="222"/>
    </row>
    <row r="894" spans="2:7">
      <c r="B894" s="10" t="s">
        <v>921</v>
      </c>
      <c r="C894" s="11" t="s">
        <v>922</v>
      </c>
      <c r="D894" s="12" t="s">
        <v>928</v>
      </c>
      <c r="E894" s="13" t="s">
        <v>1716</v>
      </c>
      <c r="F894" s="6" t="str">
        <f>_xlfn.XLOOKUP(D894,'[8]AGUSTUS 2026'!$B:$B,'[8]AGUSTUS 2026'!$I:$I,"Tidak Ditemukan")</f>
        <v>BIMO WALGITO</v>
      </c>
      <c r="G894" s="222"/>
    </row>
    <row r="895" spans="2:7">
      <c r="B895" s="10" t="s">
        <v>921</v>
      </c>
      <c r="C895" s="11" t="s">
        <v>922</v>
      </c>
      <c r="D895" s="12" t="s">
        <v>929</v>
      </c>
      <c r="E895" s="13" t="s">
        <v>1716</v>
      </c>
      <c r="F895" s="6" t="str">
        <f>_xlfn.XLOOKUP(D895,'[8]AGUSTUS 2026'!$B:$B,'[8]AGUSTUS 2026'!$I:$I,"Tidak Ditemukan")</f>
        <v>BIMO WALGITO</v>
      </c>
      <c r="G895" s="222"/>
    </row>
    <row r="896" spans="2:7">
      <c r="B896" s="10" t="s">
        <v>921</v>
      </c>
      <c r="C896" s="11" t="s">
        <v>922</v>
      </c>
      <c r="D896" s="12" t="s">
        <v>930</v>
      </c>
      <c r="E896" s="13" t="s">
        <v>1716</v>
      </c>
      <c r="F896" s="6" t="str">
        <f>_xlfn.XLOOKUP(D896,'[8]AGUSTUS 2026'!$B:$B,'[8]AGUSTUS 2026'!$I:$I,"Tidak Ditemukan")</f>
        <v>BIMO WALGITO</v>
      </c>
      <c r="G896" s="222"/>
    </row>
    <row r="897" spans="2:7">
      <c r="B897" s="10" t="s">
        <v>921</v>
      </c>
      <c r="C897" s="11" t="s">
        <v>922</v>
      </c>
      <c r="D897" s="12" t="s">
        <v>931</v>
      </c>
      <c r="E897" s="13" t="s">
        <v>1716</v>
      </c>
      <c r="F897" s="6" t="str">
        <f>_xlfn.XLOOKUP(D897,'[8]AGUSTUS 2026'!$B:$B,'[8]AGUSTUS 2026'!$I:$I,"Tidak Ditemukan")</f>
        <v>BIMO WALGITO</v>
      </c>
      <c r="G897" s="222"/>
    </row>
    <row r="898" spans="2:7">
      <c r="B898" s="10" t="s">
        <v>921</v>
      </c>
      <c r="C898" s="11" t="s">
        <v>922</v>
      </c>
      <c r="D898" s="12" t="s">
        <v>932</v>
      </c>
      <c r="E898" s="13" t="s">
        <v>1716</v>
      </c>
      <c r="F898" s="6" t="str">
        <f>_xlfn.XLOOKUP(D898,'[8]AGUSTUS 2026'!$B:$B,'[8]AGUSTUS 2026'!$I:$I,"Tidak Ditemukan")</f>
        <v>RIZKI NOFRIA WAHYUDI</v>
      </c>
      <c r="G898" s="222"/>
    </row>
    <row r="899" spans="2:7">
      <c r="B899" s="10" t="s">
        <v>921</v>
      </c>
      <c r="C899" s="11" t="s">
        <v>922</v>
      </c>
      <c r="D899" s="12" t="s">
        <v>933</v>
      </c>
      <c r="E899" s="13" t="s">
        <v>1716</v>
      </c>
      <c r="F899" s="6" t="str">
        <f>_xlfn.XLOOKUP(D899,'[8]AGUSTUS 2026'!$B:$B,'[8]AGUSTUS 2026'!$I:$I,"Tidak Ditemukan")</f>
        <v>RIZKI NOFRIA WAHYUDI</v>
      </c>
      <c r="G899" s="222"/>
    </row>
    <row r="900" spans="2:7">
      <c r="B900" s="10" t="s">
        <v>921</v>
      </c>
      <c r="C900" s="11" t="s">
        <v>922</v>
      </c>
      <c r="D900" s="12" t="s">
        <v>934</v>
      </c>
      <c r="E900" s="13" t="s">
        <v>1716</v>
      </c>
      <c r="F900" s="6" t="str">
        <f>_xlfn.XLOOKUP(D900,'[8]AGUSTUS 2026'!$B:$B,'[8]AGUSTUS 2026'!$I:$I,"Tidak Ditemukan")</f>
        <v>RIZKI NOFRIA WAHYUDI</v>
      </c>
      <c r="G900" s="222"/>
    </row>
    <row r="901" spans="2:7">
      <c r="B901" s="10" t="s">
        <v>921</v>
      </c>
      <c r="C901" s="11" t="s">
        <v>922</v>
      </c>
      <c r="D901" s="12" t="s">
        <v>935</v>
      </c>
      <c r="E901" s="13" t="s">
        <v>1716</v>
      </c>
      <c r="F901" s="6" t="str">
        <f>_xlfn.XLOOKUP(D901,'[8]AGUSTUS 2026'!$B:$B,'[8]AGUSTUS 2026'!$I:$I,"Tidak Ditemukan")</f>
        <v>RIZKI NOFRIA WAHYUDI</v>
      </c>
      <c r="G901" s="222"/>
    </row>
    <row r="902" spans="2:7">
      <c r="B902" s="10" t="s">
        <v>921</v>
      </c>
      <c r="C902" s="11" t="s">
        <v>922</v>
      </c>
      <c r="D902" s="12" t="s">
        <v>936</v>
      </c>
      <c r="E902" s="13" t="s">
        <v>1716</v>
      </c>
      <c r="F902" s="6" t="str">
        <f>_xlfn.XLOOKUP(D902,'[8]AGUSTUS 2026'!$B:$B,'[8]AGUSTUS 2026'!$I:$I,"Tidak Ditemukan")</f>
        <v>RIZKI NOFRIA WAHYUDI</v>
      </c>
      <c r="G902" s="222"/>
    </row>
    <row r="903" spans="2:7">
      <c r="B903" s="10" t="s">
        <v>921</v>
      </c>
      <c r="C903" s="11" t="s">
        <v>922</v>
      </c>
      <c r="D903" s="12" t="s">
        <v>937</v>
      </c>
      <c r="E903" s="13" t="s">
        <v>1716</v>
      </c>
      <c r="F903" s="6" t="str">
        <f>_xlfn.XLOOKUP(D903,'[8]AGUSTUS 2026'!$B:$B,'[8]AGUSTUS 2026'!$I:$I,"Tidak Ditemukan")</f>
        <v>RIZKI NOFRIA WAHYUDI</v>
      </c>
      <c r="G903" s="222"/>
    </row>
    <row r="904" spans="2:7">
      <c r="B904" s="10" t="s">
        <v>921</v>
      </c>
      <c r="C904" s="11" t="s">
        <v>922</v>
      </c>
      <c r="D904" s="12" t="s">
        <v>938</v>
      </c>
      <c r="E904" s="13" t="s">
        <v>1716</v>
      </c>
      <c r="F904" s="6" t="str">
        <f>_xlfn.XLOOKUP(D904,'[8]AGUSTUS 2026'!$B:$B,'[8]AGUSTUS 2026'!$I:$I,"Tidak Ditemukan")</f>
        <v>RIZKI NOFRIA WAHYUDI</v>
      </c>
      <c r="G904" s="222"/>
    </row>
    <row r="905" spans="2:7">
      <c r="B905" s="10" t="s">
        <v>921</v>
      </c>
      <c r="C905" s="11" t="s">
        <v>922</v>
      </c>
      <c r="D905" s="12" t="s">
        <v>939</v>
      </c>
      <c r="E905" s="13" t="s">
        <v>1716</v>
      </c>
      <c r="F905" s="6" t="str">
        <f>_xlfn.XLOOKUP(D905,'[8]AGUSTUS 2026'!$B:$B,'[8]AGUSTUS 2026'!$I:$I,"Tidak Ditemukan")</f>
        <v>RIZKI NOFRIA WAHYUDI</v>
      </c>
      <c r="G905" s="222"/>
    </row>
    <row r="906" spans="2:7">
      <c r="B906" s="10" t="s">
        <v>921</v>
      </c>
      <c r="C906" s="11" t="s">
        <v>922</v>
      </c>
      <c r="D906" s="12" t="s">
        <v>940</v>
      </c>
      <c r="E906" s="13" t="s">
        <v>1716</v>
      </c>
      <c r="F906" s="6" t="str">
        <f>_xlfn.XLOOKUP(D906,'[8]AGUSTUS 2026'!$B:$B,'[8]AGUSTUS 2026'!$I:$I,"Tidak Ditemukan")</f>
        <v>RIZKI NOFRIA WAHYUDI</v>
      </c>
      <c r="G906" s="222"/>
    </row>
    <row r="907" spans="2:7">
      <c r="B907" s="10" t="s">
        <v>921</v>
      </c>
      <c r="C907" s="11" t="s">
        <v>922</v>
      </c>
      <c r="D907" s="12" t="s">
        <v>941</v>
      </c>
      <c r="E907" s="13" t="s">
        <v>1716</v>
      </c>
      <c r="F907" s="6" t="str">
        <f>_xlfn.XLOOKUP(D907,'[8]AGUSTUS 2026'!$B:$B,'[8]AGUSTUS 2026'!$I:$I,"Tidak Ditemukan")</f>
        <v>RIZKI NOFRIA WAHYUDI</v>
      </c>
      <c r="G907" s="222"/>
    </row>
    <row r="908" spans="2:7">
      <c r="B908" s="10" t="s">
        <v>921</v>
      </c>
      <c r="C908" s="11" t="s">
        <v>922</v>
      </c>
      <c r="D908" s="12" t="s">
        <v>942</v>
      </c>
      <c r="E908" s="13" t="s">
        <v>1716</v>
      </c>
      <c r="F908" s="6" t="str">
        <f>_xlfn.XLOOKUP(D908,'[8]AGUSTUS 2026'!$B:$B,'[8]AGUSTUS 2026'!$I:$I,"Tidak Ditemukan")</f>
        <v>RIZKI NOFRIA WAHYUDI</v>
      </c>
      <c r="G908" s="222"/>
    </row>
    <row r="909" spans="2:7">
      <c r="B909" s="10" t="s">
        <v>921</v>
      </c>
      <c r="C909" s="11" t="s">
        <v>922</v>
      </c>
      <c r="D909" s="12" t="s">
        <v>943</v>
      </c>
      <c r="E909" s="13" t="s">
        <v>1716</v>
      </c>
      <c r="F909" s="6" t="str">
        <f>_xlfn.XLOOKUP(D909,'[8]AGUSTUS 2026'!$B:$B,'[8]AGUSTUS 2026'!$I:$I,"Tidak Ditemukan")</f>
        <v>RIZKI NOFRIA WAHYUDI</v>
      </c>
      <c r="G909" s="222"/>
    </row>
    <row r="910" spans="2:7">
      <c r="B910" s="10" t="s">
        <v>921</v>
      </c>
      <c r="C910" s="11" t="s">
        <v>922</v>
      </c>
      <c r="D910" s="12" t="s">
        <v>944</v>
      </c>
      <c r="E910" s="13" t="s">
        <v>1716</v>
      </c>
      <c r="F910" s="6" t="str">
        <f>_xlfn.XLOOKUP(D910,'[8]AGUSTUS 2026'!$B:$B,'[8]AGUSTUS 2026'!$I:$I,"Tidak Ditemukan")</f>
        <v>DIMAS DANU SOHIBAN</v>
      </c>
      <c r="G910" s="222"/>
    </row>
    <row r="911" spans="2:7">
      <c r="B911" s="10" t="s">
        <v>921</v>
      </c>
      <c r="C911" s="11" t="s">
        <v>922</v>
      </c>
      <c r="D911" s="12" t="s">
        <v>945</v>
      </c>
      <c r="E911" s="13" t="s">
        <v>1716</v>
      </c>
      <c r="F911" s="6" t="str">
        <f>_xlfn.XLOOKUP(D911,'[8]AGUSTUS 2026'!$B:$B,'[8]AGUSTUS 2026'!$I:$I,"Tidak Ditemukan")</f>
        <v>IFAN SUTIONO</v>
      </c>
      <c r="G911" s="222"/>
    </row>
    <row r="912" spans="2:7">
      <c r="B912" s="10" t="s">
        <v>921</v>
      </c>
      <c r="C912" s="11" t="s">
        <v>922</v>
      </c>
      <c r="D912" s="12" t="s">
        <v>946</v>
      </c>
      <c r="E912" s="13" t="s">
        <v>1716</v>
      </c>
      <c r="F912" s="6" t="str">
        <f>_xlfn.XLOOKUP(D912,'[8]AGUSTUS 2026'!$B:$B,'[8]AGUSTUS 2026'!$I:$I,"Tidak Ditemukan")</f>
        <v>DIMAS DANU SOHIBAN</v>
      </c>
      <c r="G912" s="222"/>
    </row>
    <row r="913" spans="2:7">
      <c r="B913" s="10" t="s">
        <v>921</v>
      </c>
      <c r="C913" s="11" t="s">
        <v>922</v>
      </c>
      <c r="D913" s="12" t="s">
        <v>947</v>
      </c>
      <c r="E913" s="13" t="s">
        <v>1716</v>
      </c>
      <c r="F913" s="6" t="str">
        <f>_xlfn.XLOOKUP(D913,'[8]AGUSTUS 2026'!$B:$B,'[8]AGUSTUS 2026'!$I:$I,"Tidak Ditemukan")</f>
        <v>DIMAS DANU SOHIBAN</v>
      </c>
      <c r="G913" s="222"/>
    </row>
    <row r="914" spans="2:7">
      <c r="B914" s="10" t="s">
        <v>921</v>
      </c>
      <c r="C914" s="11" t="s">
        <v>922</v>
      </c>
      <c r="D914" s="12" t="s">
        <v>948</v>
      </c>
      <c r="E914" s="13" t="s">
        <v>1716</v>
      </c>
      <c r="F914" s="6" t="str">
        <f>_xlfn.XLOOKUP(D914,'[8]AGUSTUS 2026'!$B:$B,'[8]AGUSTUS 2026'!$I:$I,"Tidak Ditemukan")</f>
        <v>IFAN SUTIONO</v>
      </c>
      <c r="G914" s="222"/>
    </row>
    <row r="915" spans="2:7">
      <c r="B915" s="10" t="s">
        <v>921</v>
      </c>
      <c r="C915" s="11" t="s">
        <v>922</v>
      </c>
      <c r="D915" s="12" t="s">
        <v>949</v>
      </c>
      <c r="E915" s="13" t="s">
        <v>1716</v>
      </c>
      <c r="F915" s="6" t="str">
        <f>_xlfn.XLOOKUP(D915,'[8]AGUSTUS 2026'!$B:$B,'[8]AGUSTUS 2026'!$I:$I,"Tidak Ditemukan")</f>
        <v>DIMAS DANU SOHIBAN</v>
      </c>
      <c r="G915" s="222"/>
    </row>
    <row r="916" spans="2:7">
      <c r="B916" s="10" t="s">
        <v>921</v>
      </c>
      <c r="C916" s="11" t="s">
        <v>922</v>
      </c>
      <c r="D916" s="12" t="s">
        <v>950</v>
      </c>
      <c r="E916" s="13" t="s">
        <v>1716</v>
      </c>
      <c r="F916" s="6" t="str">
        <f>_xlfn.XLOOKUP(D916,'[8]AGUSTUS 2026'!$B:$B,'[8]AGUSTUS 2026'!$I:$I,"Tidak Ditemukan")</f>
        <v>IFAN SUTIONO</v>
      </c>
      <c r="G916" s="222"/>
    </row>
    <row r="917" spans="2:7">
      <c r="B917" s="10" t="s">
        <v>921</v>
      </c>
      <c r="C917" s="11" t="s">
        <v>922</v>
      </c>
      <c r="D917" s="12" t="s">
        <v>951</v>
      </c>
      <c r="E917" s="13" t="s">
        <v>1716</v>
      </c>
      <c r="F917" s="6" t="str">
        <f>_xlfn.XLOOKUP(D917,'[8]AGUSTUS 2026'!$B:$B,'[8]AGUSTUS 2026'!$I:$I,"Tidak Ditemukan")</f>
        <v>IFAN SUTIONO</v>
      </c>
      <c r="G917" s="222"/>
    </row>
    <row r="918" spans="2:7">
      <c r="B918" s="10" t="s">
        <v>921</v>
      </c>
      <c r="C918" s="11" t="s">
        <v>922</v>
      </c>
      <c r="D918" s="12" t="s">
        <v>952</v>
      </c>
      <c r="E918" s="13" t="s">
        <v>1716</v>
      </c>
      <c r="F918" s="6" t="str">
        <f>_xlfn.XLOOKUP(D918,'[8]AGUSTUS 2026'!$B:$B,'[8]AGUSTUS 2026'!$I:$I,"Tidak Ditemukan")</f>
        <v>DIMAS DANU SOHIBAN</v>
      </c>
      <c r="G918" s="222"/>
    </row>
    <row r="919" spans="2:7">
      <c r="B919" s="10" t="s">
        <v>921</v>
      </c>
      <c r="C919" s="11" t="s">
        <v>922</v>
      </c>
      <c r="D919" s="12" t="s">
        <v>953</v>
      </c>
      <c r="E919" s="13" t="s">
        <v>1716</v>
      </c>
      <c r="F919" s="6" t="str">
        <f>_xlfn.XLOOKUP(D919,'[8]AGUSTUS 2026'!$B:$B,'[8]AGUSTUS 2026'!$I:$I,"Tidak Ditemukan")</f>
        <v>DIMAS DANU SOHIBAN</v>
      </c>
      <c r="G919" s="222"/>
    </row>
    <row r="920" spans="2:7">
      <c r="B920" s="10" t="s">
        <v>921</v>
      </c>
      <c r="C920" s="11" t="s">
        <v>922</v>
      </c>
      <c r="D920" s="12" t="s">
        <v>954</v>
      </c>
      <c r="E920" s="13" t="s">
        <v>1716</v>
      </c>
      <c r="F920" s="6" t="str">
        <f>_xlfn.XLOOKUP(D920,'[8]AGUSTUS 2026'!$B:$B,'[8]AGUSTUS 2026'!$I:$I,"Tidak Ditemukan")</f>
        <v>DIMAS DANU SOHIBAN</v>
      </c>
      <c r="G920" s="222"/>
    </row>
    <row r="921" spans="2:7">
      <c r="B921" s="10" t="s">
        <v>921</v>
      </c>
      <c r="C921" s="11" t="s">
        <v>922</v>
      </c>
      <c r="D921" s="12" t="s">
        <v>955</v>
      </c>
      <c r="E921" s="13" t="s">
        <v>1716</v>
      </c>
      <c r="F921" s="6" t="str">
        <f>_xlfn.XLOOKUP(D921,'[8]AGUSTUS 2026'!$B:$B,'[8]AGUSTUS 2026'!$I:$I,"Tidak Ditemukan")</f>
        <v>IFAN SUTIONO</v>
      </c>
      <c r="G921" s="222"/>
    </row>
    <row r="922" spans="2:7">
      <c r="B922" s="10" t="s">
        <v>921</v>
      </c>
      <c r="C922" s="11" t="s">
        <v>922</v>
      </c>
      <c r="D922" s="12" t="s">
        <v>956</v>
      </c>
      <c r="E922" s="13" t="s">
        <v>1716</v>
      </c>
      <c r="F922" s="6" t="str">
        <f>_xlfn.XLOOKUP(D922,'[8]AGUSTUS 2026'!$B:$B,'[8]AGUSTUS 2026'!$I:$I,"Tidak Ditemukan")</f>
        <v>IFAN SUTIONO</v>
      </c>
      <c r="G922" s="222"/>
    </row>
    <row r="923" spans="2:7">
      <c r="B923" s="10" t="s">
        <v>921</v>
      </c>
      <c r="C923" s="11" t="s">
        <v>922</v>
      </c>
      <c r="D923" s="12" t="s">
        <v>957</v>
      </c>
      <c r="E923" s="13" t="s">
        <v>1716</v>
      </c>
      <c r="F923" s="6" t="str">
        <f>_xlfn.XLOOKUP(D923,'[8]AGUSTUS 2026'!$B:$B,'[8]AGUSTUS 2026'!$I:$I,"Tidak Ditemukan")</f>
        <v>SURYA DWI J</v>
      </c>
      <c r="G923" s="222"/>
    </row>
    <row r="924" spans="2:7">
      <c r="B924" s="10" t="s">
        <v>921</v>
      </c>
      <c r="C924" s="11" t="s">
        <v>922</v>
      </c>
      <c r="D924" s="12" t="s">
        <v>958</v>
      </c>
      <c r="E924" s="13" t="s">
        <v>1716</v>
      </c>
      <c r="F924" s="6" t="str">
        <f>_xlfn.XLOOKUP(D924,'[8]AGUSTUS 2026'!$B:$B,'[8]AGUSTUS 2026'!$I:$I,"Tidak Ditemukan")</f>
        <v>SURYA DWI J</v>
      </c>
      <c r="G924" s="222"/>
    </row>
    <row r="925" spans="2:7">
      <c r="B925" s="10" t="s">
        <v>921</v>
      </c>
      <c r="C925" s="11" t="s">
        <v>922</v>
      </c>
      <c r="D925" s="12" t="s">
        <v>959</v>
      </c>
      <c r="E925" s="13" t="s">
        <v>1716</v>
      </c>
      <c r="F925" s="6" t="str">
        <f>_xlfn.XLOOKUP(D925,'[8]AGUSTUS 2026'!$B:$B,'[8]AGUSTUS 2026'!$I:$I,"Tidak Ditemukan")</f>
        <v>SURYA DWI J</v>
      </c>
      <c r="G925" s="222"/>
    </row>
    <row r="926" spans="2:7">
      <c r="B926" s="10" t="s">
        <v>921</v>
      </c>
      <c r="C926" s="11" t="s">
        <v>922</v>
      </c>
      <c r="D926" s="12" t="s">
        <v>960</v>
      </c>
      <c r="E926" s="13" t="s">
        <v>1716</v>
      </c>
      <c r="F926" s="6" t="str">
        <f>_xlfn.XLOOKUP(D926,'[8]AGUSTUS 2026'!$B:$B,'[8]AGUSTUS 2026'!$I:$I,"Tidak Ditemukan")</f>
        <v>SURYA DWI J</v>
      </c>
      <c r="G926" s="222"/>
    </row>
    <row r="927" spans="2:7">
      <c r="B927" s="10" t="s">
        <v>921</v>
      </c>
      <c r="C927" s="11" t="s">
        <v>922</v>
      </c>
      <c r="D927" s="12" t="s">
        <v>961</v>
      </c>
      <c r="E927" s="13" t="s">
        <v>1716</v>
      </c>
      <c r="F927" s="6" t="str">
        <f>_xlfn.XLOOKUP(D927,'[8]AGUSTUS 2026'!$B:$B,'[8]AGUSTUS 2026'!$I:$I,"Tidak Ditemukan")</f>
        <v>SURYA DWI J</v>
      </c>
      <c r="G927" s="222"/>
    </row>
    <row r="928" spans="2:7">
      <c r="B928" s="10" t="s">
        <v>921</v>
      </c>
      <c r="C928" s="11" t="s">
        <v>922</v>
      </c>
      <c r="D928" s="12" t="s">
        <v>962</v>
      </c>
      <c r="E928" s="13" t="s">
        <v>1716</v>
      </c>
      <c r="F928" s="6" t="str">
        <f>_xlfn.XLOOKUP(D928,'[8]AGUSTUS 2026'!$B:$B,'[8]AGUSTUS 2026'!$I:$I,"Tidak Ditemukan")</f>
        <v>SURYA DWI J</v>
      </c>
      <c r="G928" s="222"/>
    </row>
    <row r="929" spans="2:7">
      <c r="B929" s="10" t="s">
        <v>921</v>
      </c>
      <c r="C929" s="11" t="s">
        <v>922</v>
      </c>
      <c r="D929" s="12" t="s">
        <v>963</v>
      </c>
      <c r="E929" s="13" t="s">
        <v>1716</v>
      </c>
      <c r="F929" s="6" t="str">
        <f>_xlfn.XLOOKUP(D929,'[8]AGUSTUS 2026'!$B:$B,'[8]AGUSTUS 2026'!$I:$I,"Tidak Ditemukan")</f>
        <v>OKI WILLYANTO</v>
      </c>
      <c r="G929" s="222"/>
    </row>
    <row r="930" spans="2:7">
      <c r="B930" s="10" t="s">
        <v>921</v>
      </c>
      <c r="C930" s="11" t="s">
        <v>922</v>
      </c>
      <c r="D930" s="12" t="s">
        <v>964</v>
      </c>
      <c r="E930" s="13" t="s">
        <v>1716</v>
      </c>
      <c r="F930" s="6" t="str">
        <f>_xlfn.XLOOKUP(D930,'[8]AGUSTUS 2026'!$B:$B,'[8]AGUSTUS 2026'!$I:$I,"Tidak Ditemukan")</f>
        <v>FATAH MUSTOFA B</v>
      </c>
      <c r="G930" s="222"/>
    </row>
    <row r="931" spans="2:7">
      <c r="B931" s="10" t="s">
        <v>921</v>
      </c>
      <c r="C931" s="11" t="s">
        <v>922</v>
      </c>
      <c r="D931" s="12" t="s">
        <v>965</v>
      </c>
      <c r="E931" s="13" t="s">
        <v>1716</v>
      </c>
      <c r="F931" s="6" t="str">
        <f>_xlfn.XLOOKUP(D931,'[8]AGUSTUS 2026'!$B:$B,'[8]AGUSTUS 2026'!$I:$I,"Tidak Ditemukan")</f>
        <v>FATAH MUSTOFA B</v>
      </c>
      <c r="G931" s="222"/>
    </row>
    <row r="932" spans="2:7">
      <c r="B932" s="10" t="s">
        <v>921</v>
      </c>
      <c r="C932" s="11" t="s">
        <v>922</v>
      </c>
      <c r="D932" s="12" t="s">
        <v>966</v>
      </c>
      <c r="E932" s="13" t="s">
        <v>1716</v>
      </c>
      <c r="F932" s="6" t="str">
        <f>_xlfn.XLOOKUP(D932,'[8]AGUSTUS 2026'!$B:$B,'[8]AGUSTUS 2026'!$I:$I,"Tidak Ditemukan")</f>
        <v>FATAH MUSTOFA B</v>
      </c>
      <c r="G932" s="222"/>
    </row>
    <row r="933" spans="2:7">
      <c r="B933" s="10" t="s">
        <v>921</v>
      </c>
      <c r="C933" s="11" t="s">
        <v>922</v>
      </c>
      <c r="D933" s="12" t="s">
        <v>967</v>
      </c>
      <c r="E933" s="13" t="s">
        <v>1716</v>
      </c>
      <c r="F933" s="6" t="str">
        <f>_xlfn.XLOOKUP(D933,'[8]AGUSTUS 2026'!$B:$B,'[8]AGUSTUS 2026'!$I:$I,"Tidak Ditemukan")</f>
        <v>FATAH MUSTOFA B</v>
      </c>
      <c r="G933" s="222"/>
    </row>
    <row r="934" spans="2:7">
      <c r="B934" s="10" t="s">
        <v>921</v>
      </c>
      <c r="C934" s="11" t="s">
        <v>922</v>
      </c>
      <c r="D934" s="12" t="s">
        <v>968</v>
      </c>
      <c r="E934" s="13" t="s">
        <v>1716</v>
      </c>
      <c r="F934" s="6" t="str">
        <f>_xlfn.XLOOKUP(D934,'[8]AGUSTUS 2026'!$B:$B,'[8]AGUSTUS 2026'!$I:$I,"Tidak Ditemukan")</f>
        <v>FATAH MUSTOFA B</v>
      </c>
      <c r="G934" s="222"/>
    </row>
    <row r="935" spans="2:7">
      <c r="B935" s="10" t="s">
        <v>921</v>
      </c>
      <c r="C935" s="11" t="s">
        <v>922</v>
      </c>
      <c r="D935" s="12" t="s">
        <v>969</v>
      </c>
      <c r="E935" s="13" t="s">
        <v>1716</v>
      </c>
      <c r="F935" s="6" t="str">
        <f>_xlfn.XLOOKUP(D935,'[8]AGUSTUS 2026'!$B:$B,'[8]AGUSTUS 2026'!$I:$I,"Tidak Ditemukan")</f>
        <v>FATAH MUSTOFA B</v>
      </c>
      <c r="G935" s="222"/>
    </row>
    <row r="936" spans="2:7">
      <c r="B936" s="10" t="s">
        <v>921</v>
      </c>
      <c r="C936" s="11" t="s">
        <v>922</v>
      </c>
      <c r="D936" s="12" t="s">
        <v>970</v>
      </c>
      <c r="E936" s="13" t="s">
        <v>1716</v>
      </c>
      <c r="F936" s="6" t="str">
        <f>_xlfn.XLOOKUP(D936,'[8]AGUSTUS 2026'!$B:$B,'[8]AGUSTUS 2026'!$I:$I,"Tidak Ditemukan")</f>
        <v>FATAH MUSTOFA B</v>
      </c>
      <c r="G936" s="222"/>
    </row>
    <row r="937" spans="2:7">
      <c r="B937" s="10" t="s">
        <v>921</v>
      </c>
      <c r="C937" s="11" t="s">
        <v>922</v>
      </c>
      <c r="D937" s="12" t="s">
        <v>971</v>
      </c>
      <c r="E937" s="13" t="s">
        <v>1716</v>
      </c>
      <c r="F937" s="6" t="str">
        <f>_xlfn.XLOOKUP(D937,'[8]AGUSTUS 2026'!$B:$B,'[8]AGUSTUS 2026'!$I:$I,"Tidak Ditemukan")</f>
        <v>OKI WILLYANTO</v>
      </c>
      <c r="G937" s="222"/>
    </row>
    <row r="938" spans="2:7">
      <c r="B938" s="10" t="s">
        <v>921</v>
      </c>
      <c r="C938" s="11" t="s">
        <v>922</v>
      </c>
      <c r="D938" s="12" t="s">
        <v>972</v>
      </c>
      <c r="E938" s="13" t="s">
        <v>1716</v>
      </c>
      <c r="F938" s="6" t="str">
        <f>_xlfn.XLOOKUP(D938,'[8]AGUSTUS 2026'!$B:$B,'[8]AGUSTUS 2026'!$I:$I,"Tidak Ditemukan")</f>
        <v>FATAH MUSTOFA B</v>
      </c>
      <c r="G938" s="222"/>
    </row>
    <row r="939" spans="2:7">
      <c r="B939" s="10" t="s">
        <v>921</v>
      </c>
      <c r="C939" s="11" t="s">
        <v>922</v>
      </c>
      <c r="D939" s="12" t="s">
        <v>973</v>
      </c>
      <c r="E939" s="13" t="s">
        <v>1716</v>
      </c>
      <c r="F939" s="6" t="str">
        <f>_xlfn.XLOOKUP(D939,'[8]AGUSTUS 2026'!$B:$B,'[8]AGUSTUS 2026'!$I:$I,"Tidak Ditemukan")</f>
        <v>FATAH MUSTOFA B</v>
      </c>
      <c r="G939" s="222"/>
    </row>
    <row r="940" spans="2:7">
      <c r="B940" s="10" t="s">
        <v>921</v>
      </c>
      <c r="C940" s="11" t="s">
        <v>922</v>
      </c>
      <c r="D940" s="12" t="s">
        <v>974</v>
      </c>
      <c r="E940" s="13" t="s">
        <v>1716</v>
      </c>
      <c r="F940" s="6" t="str">
        <f>_xlfn.XLOOKUP(D940,'[8]AGUSTUS 2026'!$B:$B,'[8]AGUSTUS 2026'!$I:$I,"Tidak Ditemukan")</f>
        <v>LUTFI HARIYANTO</v>
      </c>
      <c r="G940" s="222"/>
    </row>
    <row r="941" spans="2:7">
      <c r="B941" s="10" t="s">
        <v>921</v>
      </c>
      <c r="C941" s="11" t="s">
        <v>922</v>
      </c>
      <c r="D941" s="12" t="s">
        <v>975</v>
      </c>
      <c r="E941" s="13" t="s">
        <v>1716</v>
      </c>
      <c r="F941" s="6" t="str">
        <f>_xlfn.XLOOKUP(D941,'[8]AGUSTUS 2026'!$B:$B,'[8]AGUSTUS 2026'!$I:$I,"Tidak Ditemukan")</f>
        <v>LUTFI HARIYANTO</v>
      </c>
      <c r="G941" s="222"/>
    </row>
    <row r="942" spans="2:7">
      <c r="B942" s="10" t="s">
        <v>921</v>
      </c>
      <c r="C942" s="11" t="s">
        <v>922</v>
      </c>
      <c r="D942" s="12" t="s">
        <v>976</v>
      </c>
      <c r="E942" s="13" t="s">
        <v>1716</v>
      </c>
      <c r="F942" s="6" t="str">
        <f>_xlfn.XLOOKUP(D942,'[8]AGUSTUS 2026'!$B:$B,'[8]AGUSTUS 2026'!$I:$I,"Tidak Ditemukan")</f>
        <v>LUTFI HARIYANTO</v>
      </c>
      <c r="G942" s="222"/>
    </row>
    <row r="943" spans="2:7">
      <c r="B943" s="10" t="s">
        <v>921</v>
      </c>
      <c r="C943" s="11" t="s">
        <v>922</v>
      </c>
      <c r="D943" s="12" t="s">
        <v>977</v>
      </c>
      <c r="E943" s="13" t="s">
        <v>1716</v>
      </c>
      <c r="F943" s="6" t="str">
        <f>_xlfn.XLOOKUP(D943,'[8]AGUSTUS 2026'!$B:$B,'[8]AGUSTUS 2026'!$I:$I,"Tidak Ditemukan")</f>
        <v>LUTFI HARIYANTO</v>
      </c>
      <c r="G943" s="222"/>
    </row>
    <row r="944" spans="2:7">
      <c r="B944" s="10" t="s">
        <v>921</v>
      </c>
      <c r="C944" s="11" t="s">
        <v>922</v>
      </c>
      <c r="D944" s="12" t="s">
        <v>978</v>
      </c>
      <c r="E944" s="13" t="s">
        <v>1716</v>
      </c>
      <c r="F944" s="6" t="str">
        <f>_xlfn.XLOOKUP(D944,'[8]AGUSTUS 2026'!$B:$B,'[8]AGUSTUS 2026'!$I:$I,"Tidak Ditemukan")</f>
        <v>LUTFI HARIYANTO</v>
      </c>
      <c r="G944" s="222"/>
    </row>
    <row r="945" spans="2:7">
      <c r="B945" s="10" t="s">
        <v>921</v>
      </c>
      <c r="C945" s="11" t="s">
        <v>922</v>
      </c>
      <c r="D945" s="12" t="s">
        <v>979</v>
      </c>
      <c r="E945" s="13" t="s">
        <v>1716</v>
      </c>
      <c r="F945" s="6" t="str">
        <f>_xlfn.XLOOKUP(D945,'[8]AGUSTUS 2026'!$B:$B,'[8]AGUSTUS 2026'!$I:$I,"Tidak Ditemukan")</f>
        <v>LUTFI HARIYANTO</v>
      </c>
      <c r="G945" s="222"/>
    </row>
    <row r="946" spans="2:7">
      <c r="B946" s="10" t="s">
        <v>921</v>
      </c>
      <c r="C946" s="11" t="s">
        <v>922</v>
      </c>
      <c r="D946" s="12" t="s">
        <v>980</v>
      </c>
      <c r="E946" s="13" t="s">
        <v>1716</v>
      </c>
      <c r="F946" s="6" t="str">
        <f>_xlfn.XLOOKUP(D946,'[8]AGUSTUS 2026'!$B:$B,'[8]AGUSTUS 2026'!$I:$I,"Tidak Ditemukan")</f>
        <v>LUTFI HARIYANTO</v>
      </c>
      <c r="G946" s="222"/>
    </row>
    <row r="947" spans="2:7">
      <c r="B947" s="10" t="s">
        <v>921</v>
      </c>
      <c r="C947" s="11" t="s">
        <v>922</v>
      </c>
      <c r="D947" s="12" t="s">
        <v>981</v>
      </c>
      <c r="E947" s="13" t="s">
        <v>1716</v>
      </c>
      <c r="F947" s="6" t="str">
        <f>_xlfn.XLOOKUP(D947,'[8]AGUSTUS 2026'!$B:$B,'[8]AGUSTUS 2026'!$I:$I,"Tidak Ditemukan")</f>
        <v>LUTFI HARIYANTO</v>
      </c>
      <c r="G947" s="222"/>
    </row>
    <row r="948" spans="2:7">
      <c r="B948" s="10" t="s">
        <v>921</v>
      </c>
      <c r="C948" s="11" t="s">
        <v>922</v>
      </c>
      <c r="D948" s="12" t="s">
        <v>982</v>
      </c>
      <c r="E948" s="13" t="s">
        <v>1716</v>
      </c>
      <c r="F948" s="6" t="str">
        <f>_xlfn.XLOOKUP(D948,'[8]AGUSTUS 2026'!$B:$B,'[8]AGUSTUS 2026'!$I:$I,"Tidak Ditemukan")</f>
        <v>LUTFI HARIYANTO</v>
      </c>
      <c r="G948" s="222"/>
    </row>
    <row r="949" spans="2:7">
      <c r="B949" s="10" t="s">
        <v>921</v>
      </c>
      <c r="C949" s="11" t="s">
        <v>922</v>
      </c>
      <c r="D949" s="12" t="s">
        <v>983</v>
      </c>
      <c r="E949" s="13" t="s">
        <v>1716</v>
      </c>
      <c r="F949" s="6" t="str">
        <f>_xlfn.XLOOKUP(D949,'[8]AGUSTUS 2026'!$B:$B,'[8]AGUSTUS 2026'!$I:$I,"Tidak Ditemukan")</f>
        <v>RASTO ZANU MUBIARTO</v>
      </c>
      <c r="G949" s="222"/>
    </row>
    <row r="950" spans="2:7">
      <c r="B950" s="10" t="s">
        <v>921</v>
      </c>
      <c r="C950" s="11" t="s">
        <v>922</v>
      </c>
      <c r="D950" s="12" t="s">
        <v>984</v>
      </c>
      <c r="E950" s="13" t="s">
        <v>1716</v>
      </c>
      <c r="F950" s="6" t="str">
        <f>_xlfn.XLOOKUP(D950,'[8]AGUSTUS 2026'!$B:$B,'[8]AGUSTUS 2026'!$I:$I,"Tidak Ditemukan")</f>
        <v>RASTO ZANU MUBIARTO</v>
      </c>
      <c r="G950" s="222"/>
    </row>
    <row r="951" spans="2:7">
      <c r="B951" s="10" t="s">
        <v>921</v>
      </c>
      <c r="C951" s="11" t="s">
        <v>922</v>
      </c>
      <c r="D951" s="12" t="s">
        <v>985</v>
      </c>
      <c r="E951" s="13" t="s">
        <v>1716</v>
      </c>
      <c r="F951" s="6" t="str">
        <f>_xlfn.XLOOKUP(D951,'[8]AGUSTUS 2026'!$B:$B,'[8]AGUSTUS 2026'!$I:$I,"Tidak Ditemukan")</f>
        <v>RASTO ZANU MUBIARTO</v>
      </c>
      <c r="G951" s="222"/>
    </row>
    <row r="952" spans="2:7">
      <c r="B952" s="10" t="s">
        <v>921</v>
      </c>
      <c r="C952" s="11" t="s">
        <v>922</v>
      </c>
      <c r="D952" s="12" t="s">
        <v>986</v>
      </c>
      <c r="E952" s="13" t="s">
        <v>1716</v>
      </c>
      <c r="F952" s="6" t="str">
        <f>_xlfn.XLOOKUP(D952,'[8]AGUSTUS 2026'!$B:$B,'[8]AGUSTUS 2026'!$I:$I,"Tidak Ditemukan")</f>
        <v>RASTO ZANU MUBIARTO</v>
      </c>
      <c r="G952" s="222"/>
    </row>
    <row r="953" spans="2:7">
      <c r="B953" s="10" t="s">
        <v>921</v>
      </c>
      <c r="C953" s="11" t="s">
        <v>922</v>
      </c>
      <c r="D953" s="12" t="s">
        <v>987</v>
      </c>
      <c r="E953" s="13" t="s">
        <v>1716</v>
      </c>
      <c r="F953" s="6" t="str">
        <f>_xlfn.XLOOKUP(D953,'[8]AGUSTUS 2026'!$B:$B,'[8]AGUSTUS 2026'!$I:$I,"Tidak Ditemukan")</f>
        <v>ADIMAS BAYU RADITYO</v>
      </c>
      <c r="G953" s="222"/>
    </row>
    <row r="954" spans="2:7">
      <c r="B954" s="10" t="s">
        <v>921</v>
      </c>
      <c r="C954" s="11" t="s">
        <v>922</v>
      </c>
      <c r="D954" s="12" t="s">
        <v>988</v>
      </c>
      <c r="E954" s="13" t="s">
        <v>1716</v>
      </c>
      <c r="F954" s="6" t="str">
        <f>_xlfn.XLOOKUP(D954,'[8]AGUSTUS 2026'!$B:$B,'[8]AGUSTUS 2026'!$I:$I,"Tidak Ditemukan")</f>
        <v>ADIMAS BAYU RADITYO</v>
      </c>
      <c r="G954" s="222"/>
    </row>
    <row r="955" spans="2:7">
      <c r="B955" s="10" t="s">
        <v>921</v>
      </c>
      <c r="C955" s="11" t="s">
        <v>922</v>
      </c>
      <c r="D955" s="12" t="s">
        <v>989</v>
      </c>
      <c r="E955" s="13" t="s">
        <v>1716</v>
      </c>
      <c r="F955" s="6" t="str">
        <f>_xlfn.XLOOKUP(D955,'[8]AGUSTUS 2026'!$B:$B,'[8]AGUSTUS 2026'!$I:$I,"Tidak Ditemukan")</f>
        <v>ADIMAS BAYU RADITYO</v>
      </c>
      <c r="G955" s="222"/>
    </row>
    <row r="956" spans="2:7">
      <c r="B956" s="10" t="s">
        <v>921</v>
      </c>
      <c r="C956" s="11" t="s">
        <v>922</v>
      </c>
      <c r="D956" s="12" t="s">
        <v>990</v>
      </c>
      <c r="E956" s="13" t="s">
        <v>1716</v>
      </c>
      <c r="F956" s="6" t="str">
        <f>_xlfn.XLOOKUP(D956,'[8]AGUSTUS 2026'!$B:$B,'[8]AGUSTUS 2026'!$I:$I,"Tidak Ditemukan")</f>
        <v>ADIMAS BAYU RADITYO</v>
      </c>
      <c r="G956" s="222"/>
    </row>
    <row r="957" spans="2:7">
      <c r="B957" s="10" t="s">
        <v>921</v>
      </c>
      <c r="C957" s="11" t="s">
        <v>922</v>
      </c>
      <c r="D957" s="12" t="s">
        <v>991</v>
      </c>
      <c r="E957" s="13" t="s">
        <v>1716</v>
      </c>
      <c r="F957" s="6" t="str">
        <f>_xlfn.XLOOKUP(D957,'[8]AGUSTUS 2026'!$B:$B,'[8]AGUSTUS 2026'!$I:$I,"Tidak Ditemukan")</f>
        <v>ADIMAS BAYU RADITYO</v>
      </c>
      <c r="G957" s="222"/>
    </row>
    <row r="958" spans="2:7">
      <c r="B958" s="10" t="s">
        <v>921</v>
      </c>
      <c r="C958" s="11" t="s">
        <v>922</v>
      </c>
      <c r="D958" s="12" t="s">
        <v>992</v>
      </c>
      <c r="E958" s="13" t="s">
        <v>1716</v>
      </c>
      <c r="F958" s="6" t="str">
        <f>_xlfn.XLOOKUP(D958,'[8]AGUSTUS 2026'!$B:$B,'[8]AGUSTUS 2026'!$I:$I,"Tidak Ditemukan")</f>
        <v>ADIMAS BAYU RADITYO</v>
      </c>
      <c r="G958" s="222"/>
    </row>
    <row r="959" spans="2:7">
      <c r="B959" s="10" t="s">
        <v>921</v>
      </c>
      <c r="C959" s="11" t="s">
        <v>922</v>
      </c>
      <c r="D959" s="12" t="s">
        <v>993</v>
      </c>
      <c r="E959" s="13" t="s">
        <v>1716</v>
      </c>
      <c r="F959" s="6" t="str">
        <f>_xlfn.XLOOKUP(D959,'[8]AGUSTUS 2026'!$B:$B,'[8]AGUSTUS 2026'!$I:$I,"Tidak Ditemukan")</f>
        <v>ADIMAS BAYU RADITYO</v>
      </c>
      <c r="G959" s="222"/>
    </row>
    <row r="960" spans="2:7">
      <c r="B960" s="10" t="s">
        <v>921</v>
      </c>
      <c r="C960" s="11" t="s">
        <v>922</v>
      </c>
      <c r="D960" s="12" t="s">
        <v>994</v>
      </c>
      <c r="E960" s="13" t="s">
        <v>1716</v>
      </c>
      <c r="F960" s="6" t="str">
        <f>_xlfn.XLOOKUP(D960,'[8]AGUSTUS 2026'!$B:$B,'[8]AGUSTUS 2026'!$I:$I,"Tidak Ditemukan")</f>
        <v>ADIMAS BAYU RADITYO</v>
      </c>
      <c r="G960" s="222"/>
    </row>
    <row r="961" spans="2:7">
      <c r="B961" s="10" t="s">
        <v>921</v>
      </c>
      <c r="C961" s="11" t="s">
        <v>922</v>
      </c>
      <c r="D961" s="12" t="s">
        <v>995</v>
      </c>
      <c r="E961" s="13" t="s">
        <v>1716</v>
      </c>
      <c r="F961" s="6" t="str">
        <f>_xlfn.XLOOKUP(D961,'[8]AGUSTUS 2026'!$B:$B,'[8]AGUSTUS 2026'!$I:$I,"Tidak Ditemukan")</f>
        <v>ADIMAS BAYU RADITYO</v>
      </c>
      <c r="G961" s="222"/>
    </row>
    <row r="962" spans="2:7">
      <c r="B962" s="10" t="s">
        <v>921</v>
      </c>
      <c r="C962" s="11" t="s">
        <v>922</v>
      </c>
      <c r="D962" s="12" t="s">
        <v>996</v>
      </c>
      <c r="E962" s="13" t="s">
        <v>1716</v>
      </c>
      <c r="F962" s="6" t="str">
        <f>_xlfn.XLOOKUP(D962,'[8]AGUSTUS 2026'!$B:$B,'[8]AGUSTUS 2026'!$I:$I,"Tidak Ditemukan")</f>
        <v>ADIMAS BAYU RADITYO</v>
      </c>
      <c r="G962" s="222"/>
    </row>
    <row r="963" spans="2:7">
      <c r="B963" s="10" t="s">
        <v>921</v>
      </c>
      <c r="C963" s="11" t="s">
        <v>922</v>
      </c>
      <c r="D963" s="12" t="s">
        <v>997</v>
      </c>
      <c r="E963" s="13" t="s">
        <v>1716</v>
      </c>
      <c r="F963" s="6" t="str">
        <f>_xlfn.XLOOKUP(D963,'[8]AGUSTUS 2026'!$B:$B,'[8]AGUSTUS 2026'!$I:$I,"Tidak Ditemukan")</f>
        <v>ADIMAS BAYU RADITYO</v>
      </c>
      <c r="G963" s="222"/>
    </row>
    <row r="964" spans="2:7">
      <c r="B964" s="10" t="s">
        <v>921</v>
      </c>
      <c r="C964" s="11" t="s">
        <v>922</v>
      </c>
      <c r="D964" s="12" t="s">
        <v>998</v>
      </c>
      <c r="E964" s="13" t="s">
        <v>1716</v>
      </c>
      <c r="F964" s="6" t="str">
        <f>_xlfn.XLOOKUP(D964,'[8]AGUSTUS 2026'!$B:$B,'[8]AGUSTUS 2026'!$I:$I,"Tidak Ditemukan")</f>
        <v>ADIMAS BAYU RADITYO</v>
      </c>
      <c r="G964" s="222"/>
    </row>
    <row r="965" spans="2:7">
      <c r="B965" s="10" t="s">
        <v>921</v>
      </c>
      <c r="C965" s="11" t="s">
        <v>922</v>
      </c>
      <c r="D965" s="12" t="s">
        <v>999</v>
      </c>
      <c r="E965" s="13" t="s">
        <v>1716</v>
      </c>
      <c r="F965" s="6" t="str">
        <f>_xlfn.XLOOKUP(D965,'[8]AGUSTUS 2026'!$B:$B,'[8]AGUSTUS 2026'!$I:$I,"Tidak Ditemukan")</f>
        <v>MUHAMMAD DENI HENDRO SUSILO</v>
      </c>
      <c r="G965" s="222"/>
    </row>
    <row r="966" spans="2:7">
      <c r="B966" s="10" t="s">
        <v>921</v>
      </c>
      <c r="C966" s="11" t="s">
        <v>922</v>
      </c>
      <c r="D966" s="12" t="s">
        <v>1000</v>
      </c>
      <c r="E966" s="13" t="s">
        <v>1716</v>
      </c>
      <c r="F966" s="6" t="str">
        <f>_xlfn.XLOOKUP(D966,'[8]AGUSTUS 2026'!$B:$B,'[8]AGUSTUS 2026'!$I:$I,"Tidak Ditemukan")</f>
        <v>MUHAMMAD DENI HENDRO SUSILO</v>
      </c>
      <c r="G966" s="222"/>
    </row>
    <row r="967" spans="2:7">
      <c r="B967" s="10" t="s">
        <v>921</v>
      </c>
      <c r="C967" s="11" t="s">
        <v>922</v>
      </c>
      <c r="D967" s="12" t="s">
        <v>1001</v>
      </c>
      <c r="E967" s="13" t="s">
        <v>1716</v>
      </c>
      <c r="F967" s="6" t="str">
        <f>_xlfn.XLOOKUP(D967,'[8]AGUSTUS 2026'!$B:$B,'[8]AGUSTUS 2026'!$I:$I,"Tidak Ditemukan")</f>
        <v>MUHAMMAD DENI HENDRO SUSILO</v>
      </c>
      <c r="G967" s="222"/>
    </row>
    <row r="968" spans="2:7">
      <c r="B968" s="10" t="s">
        <v>921</v>
      </c>
      <c r="C968" s="11" t="s">
        <v>922</v>
      </c>
      <c r="D968" s="12" t="s">
        <v>1002</v>
      </c>
      <c r="E968" s="13" t="s">
        <v>1716</v>
      </c>
      <c r="F968" s="6" t="str">
        <f>_xlfn.XLOOKUP(D968,'[8]AGUSTUS 2026'!$B:$B,'[8]AGUSTUS 2026'!$I:$I,"Tidak Ditemukan")</f>
        <v>MUHAMMAD DENI HENDRO SUSILO</v>
      </c>
      <c r="G968" s="222"/>
    </row>
    <row r="969" spans="2:7">
      <c r="B969" s="10" t="s">
        <v>921</v>
      </c>
      <c r="C969" s="11" t="s">
        <v>922</v>
      </c>
      <c r="D969" s="12" t="s">
        <v>1003</v>
      </c>
      <c r="E969" s="13" t="s">
        <v>1716</v>
      </c>
      <c r="F969" s="6" t="str">
        <f>_xlfn.XLOOKUP(D969,'[8]AGUSTUS 2026'!$B:$B,'[8]AGUSTUS 2026'!$I:$I,"Tidak Ditemukan")</f>
        <v>MUHAMMAD DENI HENDRO SUSILO</v>
      </c>
      <c r="G969" s="222"/>
    </row>
    <row r="970" spans="2:7">
      <c r="B970" s="10" t="s">
        <v>921</v>
      </c>
      <c r="C970" s="11" t="s">
        <v>922</v>
      </c>
      <c r="D970" s="12" t="s">
        <v>1004</v>
      </c>
      <c r="E970" s="13" t="s">
        <v>1716</v>
      </c>
      <c r="F970" s="6" t="str">
        <f>_xlfn.XLOOKUP(D970,'[8]AGUSTUS 2026'!$B:$B,'[8]AGUSTUS 2026'!$I:$I,"Tidak Ditemukan")</f>
        <v>MUHAMMAD DENI HENDRO SUSILO</v>
      </c>
      <c r="G970" s="222"/>
    </row>
    <row r="971" spans="2:7">
      <c r="B971" s="10" t="s">
        <v>921</v>
      </c>
      <c r="C971" s="11" t="s">
        <v>922</v>
      </c>
      <c r="D971" s="12" t="s">
        <v>1005</v>
      </c>
      <c r="E971" s="13" t="s">
        <v>1716</v>
      </c>
      <c r="F971" s="6" t="str">
        <f>_xlfn.XLOOKUP(D971,'[8]AGUSTUS 2026'!$B:$B,'[8]AGUSTUS 2026'!$I:$I,"Tidak Ditemukan")</f>
        <v>MUHAMMAD DENI HENDRO SUSILO</v>
      </c>
      <c r="G971" s="222"/>
    </row>
    <row r="972" spans="2:7">
      <c r="B972" s="10" t="s">
        <v>921</v>
      </c>
      <c r="C972" s="11" t="s">
        <v>922</v>
      </c>
      <c r="D972" s="12" t="s">
        <v>1006</v>
      </c>
      <c r="E972" s="13" t="s">
        <v>1716</v>
      </c>
      <c r="F972" s="6" t="str">
        <f>_xlfn.XLOOKUP(D972,'[8]AGUSTUS 2026'!$B:$B,'[8]AGUSTUS 2026'!$I:$I,"Tidak Ditemukan")</f>
        <v>MUHAMMAD DENI HENDRO SUSILO</v>
      </c>
      <c r="G972" s="222"/>
    </row>
    <row r="973" spans="2:7">
      <c r="B973" s="10" t="s">
        <v>921</v>
      </c>
      <c r="C973" s="11" t="s">
        <v>922</v>
      </c>
      <c r="D973" s="12" t="s">
        <v>1007</v>
      </c>
      <c r="E973" s="13" t="s">
        <v>1716</v>
      </c>
      <c r="F973" s="6" t="str">
        <f>_xlfn.XLOOKUP(D973,'[8]AGUSTUS 2026'!$B:$B,'[8]AGUSTUS 2026'!$I:$I,"Tidak Ditemukan")</f>
        <v>MUHAMMAD DENI HENDRO SUSILO</v>
      </c>
      <c r="G973" s="222"/>
    </row>
    <row r="974" spans="2:7">
      <c r="B974" s="10" t="s">
        <v>921</v>
      </c>
      <c r="C974" s="11" t="s">
        <v>922</v>
      </c>
      <c r="D974" s="12" t="s">
        <v>1008</v>
      </c>
      <c r="E974" s="13" t="s">
        <v>1716</v>
      </c>
      <c r="F974" s="6" t="str">
        <f>_xlfn.XLOOKUP(D974,'[8]AGUSTUS 2026'!$B:$B,'[8]AGUSTUS 2026'!$I:$I,"Tidak Ditemukan")</f>
        <v>MUHAMMAD DENI HENDRO SUSILO</v>
      </c>
      <c r="G974" s="222"/>
    </row>
    <row r="975" spans="2:7">
      <c r="B975" s="10" t="s">
        <v>921</v>
      </c>
      <c r="C975" s="11" t="s">
        <v>922</v>
      </c>
      <c r="D975" s="12" t="s">
        <v>1009</v>
      </c>
      <c r="E975" s="13" t="s">
        <v>1716</v>
      </c>
      <c r="F975" s="6" t="str">
        <f>_xlfn.XLOOKUP(D975,'[8]AGUSTUS 2026'!$B:$B,'[8]AGUSTUS 2026'!$I:$I,"Tidak Ditemukan")</f>
        <v>MUHAMMAD DENI HENDRO SUSILO</v>
      </c>
      <c r="G975" s="222"/>
    </row>
    <row r="976" spans="2:7">
      <c r="B976" s="10" t="s">
        <v>921</v>
      </c>
      <c r="C976" s="11" t="s">
        <v>922</v>
      </c>
      <c r="D976" s="12" t="s">
        <v>1010</v>
      </c>
      <c r="E976" s="13" t="s">
        <v>1716</v>
      </c>
      <c r="F976" s="6" t="str">
        <f>_xlfn.XLOOKUP(D976,'[8]AGUSTUS 2026'!$B:$B,'[8]AGUSTUS 2026'!$I:$I,"Tidak Ditemukan")</f>
        <v>PAIMUN</v>
      </c>
      <c r="G976" s="222"/>
    </row>
    <row r="977" spans="2:7">
      <c r="B977" s="10" t="s">
        <v>921</v>
      </c>
      <c r="C977" s="11" t="s">
        <v>922</v>
      </c>
      <c r="D977" s="12" t="s">
        <v>1011</v>
      </c>
      <c r="E977" s="13" t="s">
        <v>1716</v>
      </c>
      <c r="F977" s="6" t="str">
        <f>_xlfn.XLOOKUP(D977,'[8]AGUSTUS 2026'!$B:$B,'[8]AGUSTUS 2026'!$I:$I,"Tidak Ditemukan")</f>
        <v>PAIMUN</v>
      </c>
      <c r="G977" s="222"/>
    </row>
    <row r="978" spans="2:7">
      <c r="B978" s="10" t="s">
        <v>921</v>
      </c>
      <c r="C978" s="11" t="s">
        <v>922</v>
      </c>
      <c r="D978" s="12" t="s">
        <v>1012</v>
      </c>
      <c r="E978" s="13" t="s">
        <v>1716</v>
      </c>
      <c r="F978" s="6" t="str">
        <f>_xlfn.XLOOKUP(D978,'[8]AGUSTUS 2026'!$B:$B,'[8]AGUSTUS 2026'!$I:$I,"Tidak Ditemukan")</f>
        <v>PAIMUN</v>
      </c>
      <c r="G978" s="222"/>
    </row>
    <row r="979" spans="2:7">
      <c r="B979" s="10" t="s">
        <v>921</v>
      </c>
      <c r="C979" s="11" t="s">
        <v>922</v>
      </c>
      <c r="D979" s="12" t="s">
        <v>1013</v>
      </c>
      <c r="E979" s="13" t="s">
        <v>1716</v>
      </c>
      <c r="F979" s="6" t="str">
        <f>_xlfn.XLOOKUP(D979,'[8]AGUSTUS 2026'!$B:$B,'[8]AGUSTUS 2026'!$I:$I,"Tidak Ditemukan")</f>
        <v>PAIMUN</v>
      </c>
      <c r="G979" s="222"/>
    </row>
    <row r="980" spans="2:7">
      <c r="B980" s="10" t="s">
        <v>921</v>
      </c>
      <c r="C980" s="11" t="s">
        <v>922</v>
      </c>
      <c r="D980" s="12" t="s">
        <v>1014</v>
      </c>
      <c r="E980" s="13" t="s">
        <v>1716</v>
      </c>
      <c r="F980" s="6" t="str">
        <f>_xlfn.XLOOKUP(D980,'[8]AGUSTUS 2026'!$B:$B,'[8]AGUSTUS 2026'!$I:$I,"Tidak Ditemukan")</f>
        <v>PAIMUN</v>
      </c>
      <c r="G980" s="222"/>
    </row>
    <row r="981" spans="2:7">
      <c r="B981" s="10" t="s">
        <v>921</v>
      </c>
      <c r="C981" s="11" t="s">
        <v>922</v>
      </c>
      <c r="D981" s="12" t="s">
        <v>1015</v>
      </c>
      <c r="E981" s="13" t="s">
        <v>1716</v>
      </c>
      <c r="F981" s="6" t="str">
        <f>_xlfn.XLOOKUP(D981,'[8]AGUSTUS 2026'!$B:$B,'[8]AGUSTUS 2026'!$I:$I,"Tidak Ditemukan")</f>
        <v>PAIMUN</v>
      </c>
      <c r="G981" s="222"/>
    </row>
    <row r="982" spans="2:7">
      <c r="B982" s="10" t="s">
        <v>921</v>
      </c>
      <c r="C982" s="11" t="s">
        <v>922</v>
      </c>
      <c r="D982" s="12" t="s">
        <v>1016</v>
      </c>
      <c r="E982" s="13" t="s">
        <v>1716</v>
      </c>
      <c r="F982" s="6" t="str">
        <f>_xlfn.XLOOKUP(D982,'[8]AGUSTUS 2026'!$B:$B,'[8]AGUSTUS 2026'!$I:$I,"Tidak Ditemukan")</f>
        <v>FARIS JAGAD SANTOSA</v>
      </c>
      <c r="G982" s="222"/>
    </row>
    <row r="983" spans="2:7">
      <c r="B983" s="10" t="s">
        <v>921</v>
      </c>
      <c r="C983" s="11" t="s">
        <v>922</v>
      </c>
      <c r="D983" s="12" t="s">
        <v>1017</v>
      </c>
      <c r="E983" s="13" t="s">
        <v>1716</v>
      </c>
      <c r="F983" s="6" t="str">
        <f>_xlfn.XLOOKUP(D983,'[8]AGUSTUS 2026'!$B:$B,'[8]AGUSTUS 2026'!$I:$I,"Tidak Ditemukan")</f>
        <v>RASTO ZANU MUBIARTO</v>
      </c>
      <c r="G983" s="222"/>
    </row>
    <row r="984" spans="2:7">
      <c r="B984" s="10" t="s">
        <v>921</v>
      </c>
      <c r="C984" s="11" t="s">
        <v>922</v>
      </c>
      <c r="D984" s="12" t="s">
        <v>1018</v>
      </c>
      <c r="E984" s="13" t="s">
        <v>1716</v>
      </c>
      <c r="F984" s="6" t="str">
        <f>_xlfn.XLOOKUP(D984,'[8]AGUSTUS 2026'!$B:$B,'[8]AGUSTUS 2026'!$I:$I,"Tidak Ditemukan")</f>
        <v>FARIS JAGAD SANTOSA</v>
      </c>
      <c r="G984" s="222"/>
    </row>
    <row r="985" spans="2:7">
      <c r="B985" s="10" t="s">
        <v>921</v>
      </c>
      <c r="C985" s="11" t="s">
        <v>922</v>
      </c>
      <c r="D985" s="12" t="s">
        <v>1019</v>
      </c>
      <c r="E985" s="13" t="s">
        <v>1716</v>
      </c>
      <c r="F985" s="6" t="str">
        <f>_xlfn.XLOOKUP(D985,'[8]AGUSTUS 2026'!$B:$B,'[8]AGUSTUS 2026'!$I:$I,"Tidak Ditemukan")</f>
        <v>RASTO ZANU MUBIARTO</v>
      </c>
      <c r="G985" s="222"/>
    </row>
    <row r="986" spans="2:7">
      <c r="B986" s="10" t="s">
        <v>921</v>
      </c>
      <c r="C986" s="11" t="s">
        <v>922</v>
      </c>
      <c r="D986" s="12" t="s">
        <v>1020</v>
      </c>
      <c r="E986" s="13" t="s">
        <v>1716</v>
      </c>
      <c r="F986" s="6" t="str">
        <f>_xlfn.XLOOKUP(D986,'[8]AGUSTUS 2026'!$B:$B,'[8]AGUSTUS 2026'!$I:$I,"Tidak Ditemukan")</f>
        <v>RASTO ZANU MUBIARTO</v>
      </c>
      <c r="G986" s="222"/>
    </row>
    <row r="987" spans="2:7">
      <c r="B987" s="10" t="s">
        <v>921</v>
      </c>
      <c r="C987" s="11" t="s">
        <v>922</v>
      </c>
      <c r="D987" s="12" t="s">
        <v>1021</v>
      </c>
      <c r="E987" s="13" t="s">
        <v>1716</v>
      </c>
      <c r="F987" s="6" t="str">
        <f>_xlfn.XLOOKUP(D987,'[8]AGUSTUS 2026'!$B:$B,'[8]AGUSTUS 2026'!$I:$I,"Tidak Ditemukan")</f>
        <v>FARIS JAGAD SANTOSA</v>
      </c>
      <c r="G987" s="222"/>
    </row>
    <row r="988" spans="2:7">
      <c r="B988" s="10" t="s">
        <v>921</v>
      </c>
      <c r="C988" s="11" t="s">
        <v>922</v>
      </c>
      <c r="D988" s="12" t="s">
        <v>1022</v>
      </c>
      <c r="E988" s="13" t="s">
        <v>1716</v>
      </c>
      <c r="F988" s="6" t="str">
        <f>_xlfn.XLOOKUP(D988,'[8]AGUSTUS 2026'!$B:$B,'[8]AGUSTUS 2026'!$I:$I,"Tidak Ditemukan")</f>
        <v>FARIS JAGAD SANTOSA</v>
      </c>
      <c r="G988" s="222"/>
    </row>
    <row r="989" spans="2:7">
      <c r="B989" s="10" t="s">
        <v>921</v>
      </c>
      <c r="C989" s="11" t="s">
        <v>922</v>
      </c>
      <c r="D989" s="12" t="s">
        <v>1023</v>
      </c>
      <c r="E989" s="13" t="s">
        <v>1716</v>
      </c>
      <c r="F989" s="6" t="str">
        <f>_xlfn.XLOOKUP(D989,'[8]AGUSTUS 2026'!$B:$B,'[8]AGUSTUS 2026'!$I:$I,"Tidak Ditemukan")</f>
        <v>FARIS JAGAD SANTOSA</v>
      </c>
      <c r="G989" s="222"/>
    </row>
    <row r="990" spans="2:7">
      <c r="B990" s="10" t="s">
        <v>921</v>
      </c>
      <c r="C990" s="11" t="s">
        <v>922</v>
      </c>
      <c r="D990" s="12" t="s">
        <v>1024</v>
      </c>
      <c r="E990" s="13" t="s">
        <v>1716</v>
      </c>
      <c r="F990" s="6" t="str">
        <f>_xlfn.XLOOKUP(D990,'[8]AGUSTUS 2026'!$B:$B,'[8]AGUSTUS 2026'!$I:$I,"Tidak Ditemukan")</f>
        <v>FARIS JAGAD SANTOSA</v>
      </c>
      <c r="G990" s="222"/>
    </row>
    <row r="991" spans="2:7">
      <c r="B991" s="10" t="s">
        <v>921</v>
      </c>
      <c r="C991" s="11" t="s">
        <v>922</v>
      </c>
      <c r="D991" s="12" t="s">
        <v>1025</v>
      </c>
      <c r="E991" s="13" t="s">
        <v>1716</v>
      </c>
      <c r="F991" s="6" t="str">
        <f>_xlfn.XLOOKUP(D991,'[8]AGUSTUS 2026'!$B:$B,'[8]AGUSTUS 2026'!$I:$I,"Tidak Ditemukan")</f>
        <v>RASTO ZANU MUBIARTO</v>
      </c>
      <c r="G991" s="222"/>
    </row>
    <row r="992" spans="2:7">
      <c r="B992" s="10" t="s">
        <v>921</v>
      </c>
      <c r="C992" s="11" t="s">
        <v>922</v>
      </c>
      <c r="D992" s="12" t="s">
        <v>1026</v>
      </c>
      <c r="E992" s="13" t="s">
        <v>1716</v>
      </c>
      <c r="F992" s="6" t="str">
        <f>_xlfn.XLOOKUP(D992,'[8]AGUSTUS 2026'!$B:$B,'[8]AGUSTUS 2026'!$I:$I,"Tidak Ditemukan")</f>
        <v>RASTO ZANU MUBIARTO</v>
      </c>
      <c r="G992" s="222"/>
    </row>
    <row r="993" spans="2:7">
      <c r="B993" s="10" t="s">
        <v>921</v>
      </c>
      <c r="C993" s="11" t="s">
        <v>922</v>
      </c>
      <c r="D993" s="12" t="s">
        <v>1027</v>
      </c>
      <c r="E993" s="13" t="s">
        <v>1716</v>
      </c>
      <c r="F993" s="6" t="str">
        <f>_xlfn.XLOOKUP(D993,'[8]AGUSTUS 2026'!$B:$B,'[8]AGUSTUS 2026'!$I:$I,"Tidak Ditemukan")</f>
        <v>FARIS JAGAD SANTOSA</v>
      </c>
      <c r="G993" s="222"/>
    </row>
    <row r="994" spans="2:7">
      <c r="B994" s="10" t="s">
        <v>921</v>
      </c>
      <c r="C994" s="11" t="s">
        <v>922</v>
      </c>
      <c r="D994" s="12" t="s">
        <v>1028</v>
      </c>
      <c r="E994" s="13" t="s">
        <v>1716</v>
      </c>
      <c r="F994" s="6" t="str">
        <f>_xlfn.XLOOKUP(D994,'[8]AGUSTUS 2026'!$B:$B,'[8]AGUSTUS 2026'!$I:$I,"Tidak Ditemukan")</f>
        <v>FARIS JAGAD SANTOSA</v>
      </c>
      <c r="G994" s="222"/>
    </row>
    <row r="995" spans="2:7">
      <c r="B995" s="10" t="s">
        <v>921</v>
      </c>
      <c r="C995" s="11" t="s">
        <v>922</v>
      </c>
      <c r="D995" s="12" t="s">
        <v>1029</v>
      </c>
      <c r="E995" s="13" t="s">
        <v>1716</v>
      </c>
      <c r="F995" s="6" t="str">
        <f>_xlfn.XLOOKUP(D995,'[8]AGUSTUS 2026'!$B:$B,'[8]AGUSTUS 2026'!$I:$I,"Tidak Ditemukan")</f>
        <v>FARIS JAGAD SANTOSA</v>
      </c>
      <c r="G995" s="222"/>
    </row>
    <row r="996" spans="2:7">
      <c r="B996" s="10" t="s">
        <v>921</v>
      </c>
      <c r="C996" s="11" t="s">
        <v>922</v>
      </c>
      <c r="D996" s="12" t="s">
        <v>1030</v>
      </c>
      <c r="E996" s="13" t="s">
        <v>1716</v>
      </c>
      <c r="F996" s="6" t="str">
        <f>_xlfn.XLOOKUP(D996,'[8]AGUSTUS 2026'!$B:$B,'[8]AGUSTUS 2026'!$I:$I,"Tidak Ditemukan")</f>
        <v>RASTO ZANU MUBIARTO</v>
      </c>
      <c r="G996" s="222"/>
    </row>
    <row r="997" spans="2:7">
      <c r="B997" s="10" t="s">
        <v>921</v>
      </c>
      <c r="C997" s="11" t="s">
        <v>922</v>
      </c>
      <c r="D997" s="12" t="s">
        <v>1031</v>
      </c>
      <c r="E997" s="13" t="s">
        <v>1716</v>
      </c>
      <c r="F997" s="6" t="str">
        <f>_xlfn.XLOOKUP(D997,'[8]AGUSTUS 2026'!$B:$B,'[8]AGUSTUS 2026'!$I:$I,"Tidak Ditemukan")</f>
        <v>RASTO ZANU MUBIARTO</v>
      </c>
      <c r="G997" s="222"/>
    </row>
    <row r="998" spans="2:7">
      <c r="B998" s="10" t="s">
        <v>921</v>
      </c>
      <c r="C998" s="11" t="s">
        <v>922</v>
      </c>
      <c r="D998" s="12" t="s">
        <v>1032</v>
      </c>
      <c r="E998" s="13" t="s">
        <v>1716</v>
      </c>
      <c r="F998" s="6" t="str">
        <f>_xlfn.XLOOKUP(D998,'[8]AGUSTUS 2026'!$B:$B,'[8]AGUSTUS 2026'!$I:$I,"Tidak Ditemukan")</f>
        <v>RASTO ZANU MUBIARTO</v>
      </c>
      <c r="G998" s="222"/>
    </row>
    <row r="999" spans="2:7">
      <c r="B999" s="10" t="s">
        <v>921</v>
      </c>
      <c r="C999" s="11" t="s">
        <v>922</v>
      </c>
      <c r="D999" s="12" t="s">
        <v>1033</v>
      </c>
      <c r="E999" s="13" t="s">
        <v>1716</v>
      </c>
      <c r="F999" s="6" t="str">
        <f>_xlfn.XLOOKUP(D999,'[8]AGUSTUS 2026'!$B:$B,'[8]AGUSTUS 2026'!$I:$I,"Tidak Ditemukan")</f>
        <v>FARIS JAGAD SANTOSA</v>
      </c>
      <c r="G999" s="222"/>
    </row>
    <row r="1000" spans="2:7">
      <c r="B1000" s="10" t="s">
        <v>921</v>
      </c>
      <c r="C1000" s="11" t="s">
        <v>922</v>
      </c>
      <c r="D1000" s="12" t="s">
        <v>1034</v>
      </c>
      <c r="E1000" s="13" t="s">
        <v>1716</v>
      </c>
      <c r="F1000" s="6" t="str">
        <f>_xlfn.XLOOKUP(D1000,'[8]AGUSTUS 2026'!$B:$B,'[8]AGUSTUS 2026'!$I:$I,"Tidak Ditemukan")</f>
        <v>OKI WILLYANTO</v>
      </c>
      <c r="G1000" s="222"/>
    </row>
    <row r="1001" spans="2:7">
      <c r="B1001" s="10" t="s">
        <v>921</v>
      </c>
      <c r="C1001" s="11" t="s">
        <v>922</v>
      </c>
      <c r="D1001" s="12" t="s">
        <v>1035</v>
      </c>
      <c r="E1001" s="13" t="s">
        <v>1716</v>
      </c>
      <c r="F1001" s="6" t="str">
        <f>_xlfn.XLOOKUP(D1001,'[8]AGUSTUS 2026'!$B:$B,'[8]AGUSTUS 2026'!$I:$I,"Tidak Ditemukan")</f>
        <v>MUHAMMAD CHAIRIL ANAM</v>
      </c>
      <c r="G1001" s="222"/>
    </row>
    <row r="1002" spans="2:7">
      <c r="B1002" s="10" t="s">
        <v>921</v>
      </c>
      <c r="C1002" s="11" t="s">
        <v>922</v>
      </c>
      <c r="D1002" s="12" t="s">
        <v>1036</v>
      </c>
      <c r="E1002" s="13" t="s">
        <v>1716</v>
      </c>
      <c r="F1002" s="6" t="str">
        <f>_xlfn.XLOOKUP(D1002,'[8]AGUSTUS 2026'!$B:$B,'[8]AGUSTUS 2026'!$I:$I,"Tidak Ditemukan")</f>
        <v>FAJAR MAFAZAKI</v>
      </c>
      <c r="G1002" s="222"/>
    </row>
    <row r="1003" spans="2:7">
      <c r="B1003" s="10" t="s">
        <v>921</v>
      </c>
      <c r="C1003" s="11" t="s">
        <v>922</v>
      </c>
      <c r="D1003" s="12" t="s">
        <v>1037</v>
      </c>
      <c r="E1003" s="13" t="s">
        <v>1716</v>
      </c>
      <c r="F1003" s="6" t="str">
        <f>_xlfn.XLOOKUP(D1003,'[8]AGUSTUS 2026'!$B:$B,'[8]AGUSTUS 2026'!$I:$I,"Tidak Ditemukan")</f>
        <v>FAJAR MAFAZAKI</v>
      </c>
      <c r="G1003" s="222"/>
    </row>
    <row r="1004" spans="2:7">
      <c r="B1004" s="10" t="s">
        <v>921</v>
      </c>
      <c r="C1004" s="11" t="s">
        <v>922</v>
      </c>
      <c r="D1004" s="12" t="s">
        <v>1038</v>
      </c>
      <c r="E1004" s="13" t="s">
        <v>1716</v>
      </c>
      <c r="F1004" s="6" t="str">
        <f>_xlfn.XLOOKUP(D1004,'[8]AGUSTUS 2026'!$B:$B,'[8]AGUSTUS 2026'!$I:$I,"Tidak Ditemukan")</f>
        <v>OKI WILLYANTO</v>
      </c>
      <c r="G1004" s="222"/>
    </row>
    <row r="1005" spans="2:7">
      <c r="B1005" s="10" t="s">
        <v>921</v>
      </c>
      <c r="C1005" s="11" t="s">
        <v>922</v>
      </c>
      <c r="D1005" s="12" t="s">
        <v>1039</v>
      </c>
      <c r="E1005" s="13" t="s">
        <v>1716</v>
      </c>
      <c r="F1005" s="6" t="str">
        <f>_xlfn.XLOOKUP(D1005,'[8]AGUSTUS 2026'!$B:$B,'[8]AGUSTUS 2026'!$I:$I,"Tidak Ditemukan")</f>
        <v>FAJAR MAFAZAKI</v>
      </c>
      <c r="G1005" s="222"/>
    </row>
    <row r="1006" spans="2:7">
      <c r="B1006" s="10" t="s">
        <v>921</v>
      </c>
      <c r="C1006" s="11" t="s">
        <v>922</v>
      </c>
      <c r="D1006" s="12" t="s">
        <v>1040</v>
      </c>
      <c r="E1006" s="13" t="s">
        <v>1716</v>
      </c>
      <c r="F1006" s="6" t="str">
        <f>_xlfn.XLOOKUP(D1006,'[8]AGUSTUS 2026'!$B:$B,'[8]AGUSTUS 2026'!$I:$I,"Tidak Ditemukan")</f>
        <v>FAJAR MAFAZAKI</v>
      </c>
      <c r="G1006" s="222"/>
    </row>
    <row r="1007" spans="2:7">
      <c r="B1007" s="10" t="s">
        <v>921</v>
      </c>
      <c r="C1007" s="11" t="s">
        <v>922</v>
      </c>
      <c r="D1007" s="12" t="s">
        <v>1041</v>
      </c>
      <c r="E1007" s="13" t="s">
        <v>1716</v>
      </c>
      <c r="F1007" s="6" t="str">
        <f>_xlfn.XLOOKUP(D1007,'[8]AGUSTUS 2026'!$B:$B,'[8]AGUSTUS 2026'!$I:$I,"Tidak Ditemukan")</f>
        <v>FAJAR MAFAZAKI</v>
      </c>
      <c r="G1007" s="222"/>
    </row>
    <row r="1008" spans="2:7">
      <c r="B1008" s="10" t="s">
        <v>921</v>
      </c>
      <c r="C1008" s="11" t="s">
        <v>922</v>
      </c>
      <c r="D1008" s="12" t="s">
        <v>1042</v>
      </c>
      <c r="E1008" s="13" t="s">
        <v>1716</v>
      </c>
      <c r="F1008" s="6" t="str">
        <f>_xlfn.XLOOKUP(D1008,'[8]AGUSTUS 2026'!$B:$B,'[8]AGUSTUS 2026'!$I:$I,"Tidak Ditemukan")</f>
        <v>FAJAR MAFAZAKI</v>
      </c>
      <c r="G1008" s="222"/>
    </row>
    <row r="1009" spans="2:7">
      <c r="B1009" s="10" t="s">
        <v>921</v>
      </c>
      <c r="C1009" s="11" t="s">
        <v>922</v>
      </c>
      <c r="D1009" s="12" t="s">
        <v>1043</v>
      </c>
      <c r="E1009" s="13" t="s">
        <v>1716</v>
      </c>
      <c r="F1009" s="6" t="str">
        <f>_xlfn.XLOOKUP(D1009,'[8]AGUSTUS 2026'!$B:$B,'[8]AGUSTUS 2026'!$I:$I,"Tidak Ditemukan")</f>
        <v>FAJAR MAFAZAKI</v>
      </c>
      <c r="G1009" s="222"/>
    </row>
    <row r="1010" spans="2:7">
      <c r="B1010" s="10" t="s">
        <v>921</v>
      </c>
      <c r="C1010" s="11" t="s">
        <v>922</v>
      </c>
      <c r="D1010" s="12" t="s">
        <v>1044</v>
      </c>
      <c r="E1010" s="13" t="s">
        <v>1716</v>
      </c>
      <c r="F1010" s="6" t="str">
        <f>_xlfn.XLOOKUP(D1010,'[8]AGUSTUS 2026'!$B:$B,'[8]AGUSTUS 2026'!$I:$I,"Tidak Ditemukan")</f>
        <v>FAJAR MAFAZAKI</v>
      </c>
      <c r="G1010" s="222"/>
    </row>
    <row r="1011" spans="2:7">
      <c r="B1011" s="10" t="s">
        <v>921</v>
      </c>
      <c r="C1011" s="11" t="s">
        <v>922</v>
      </c>
      <c r="D1011" s="12" t="s">
        <v>1045</v>
      </c>
      <c r="E1011" s="13" t="s">
        <v>1716</v>
      </c>
      <c r="F1011" s="6" t="str">
        <f>_xlfn.XLOOKUP(D1011,'[8]AGUSTUS 2026'!$B:$B,'[8]AGUSTUS 2026'!$I:$I,"Tidak Ditemukan")</f>
        <v>OKI WILLYANTO</v>
      </c>
      <c r="G1011" s="222"/>
    </row>
    <row r="1012" spans="2:7">
      <c r="B1012" s="10" t="s">
        <v>921</v>
      </c>
      <c r="C1012" s="11" t="s">
        <v>922</v>
      </c>
      <c r="D1012" s="12" t="s">
        <v>1046</v>
      </c>
      <c r="E1012" s="13" t="s">
        <v>1716</v>
      </c>
      <c r="F1012" s="6" t="str">
        <f>_xlfn.XLOOKUP(D1012,'[8]AGUSTUS 2026'!$B:$B,'[8]AGUSTUS 2026'!$I:$I,"Tidak Ditemukan")</f>
        <v>OKI WILLYANTO</v>
      </c>
      <c r="G1012" s="222"/>
    </row>
    <row r="1013" spans="2:7">
      <c r="B1013" s="10" t="s">
        <v>921</v>
      </c>
      <c r="C1013" s="11" t="s">
        <v>922</v>
      </c>
      <c r="D1013" s="12" t="s">
        <v>1047</v>
      </c>
      <c r="E1013" s="13" t="s">
        <v>1716</v>
      </c>
      <c r="F1013" s="6" t="str">
        <f>_xlfn.XLOOKUP(D1013,'[8]AGUSTUS 2026'!$B:$B,'[8]AGUSTUS 2026'!$I:$I,"Tidak Ditemukan")</f>
        <v>OKI WILLYANTO</v>
      </c>
      <c r="G1013" s="222"/>
    </row>
    <row r="1014" spans="2:7">
      <c r="B1014" s="10" t="s">
        <v>921</v>
      </c>
      <c r="C1014" s="11" t="s">
        <v>922</v>
      </c>
      <c r="D1014" s="12" t="s">
        <v>1048</v>
      </c>
      <c r="E1014" s="13" t="s">
        <v>1716</v>
      </c>
      <c r="F1014" s="6" t="str">
        <f>_xlfn.XLOOKUP(D1014,'[8]AGUSTUS 2026'!$B:$B,'[8]AGUSTUS 2026'!$I:$I,"Tidak Ditemukan")</f>
        <v>FAJAR MAFAZAKI</v>
      </c>
      <c r="G1014" s="222"/>
    </row>
    <row r="1015" spans="2:7">
      <c r="B1015" s="10" t="s">
        <v>921</v>
      </c>
      <c r="C1015" s="11" t="s">
        <v>922</v>
      </c>
      <c r="D1015" s="12" t="s">
        <v>1049</v>
      </c>
      <c r="E1015" s="13" t="s">
        <v>1716</v>
      </c>
      <c r="F1015" s="6" t="str">
        <f>_xlfn.XLOOKUP(D1015,'[8]AGUSTUS 2026'!$B:$B,'[8]AGUSTUS 2026'!$I:$I,"Tidak Ditemukan")</f>
        <v>FAJAR MAFAZAKI</v>
      </c>
      <c r="G1015" s="222"/>
    </row>
    <row r="1016" spans="2:7">
      <c r="B1016" s="10" t="s">
        <v>921</v>
      </c>
      <c r="C1016" s="11" t="s">
        <v>922</v>
      </c>
      <c r="D1016" s="12" t="s">
        <v>1050</v>
      </c>
      <c r="E1016" s="13" t="s">
        <v>1716</v>
      </c>
      <c r="F1016" s="6" t="str">
        <f>_xlfn.XLOOKUP(D1016,'[8]AGUSTUS 2026'!$B:$B,'[8]AGUSTUS 2026'!$I:$I,"Tidak Ditemukan")</f>
        <v>FERY SAPUTRO</v>
      </c>
      <c r="G1016" s="222"/>
    </row>
    <row r="1017" spans="2:7">
      <c r="B1017" s="10" t="s">
        <v>921</v>
      </c>
      <c r="C1017" s="11" t="s">
        <v>922</v>
      </c>
      <c r="D1017" s="12" t="s">
        <v>1051</v>
      </c>
      <c r="E1017" s="13" t="s">
        <v>1716</v>
      </c>
      <c r="F1017" s="6" t="str">
        <f>_xlfn.XLOOKUP(D1017,'[8]AGUSTUS 2026'!$B:$B,'[8]AGUSTUS 2026'!$I:$I,"Tidak Ditemukan")</f>
        <v>FERY SAPUTRO</v>
      </c>
      <c r="G1017" s="222"/>
    </row>
    <row r="1018" spans="2:7">
      <c r="B1018" s="10" t="s">
        <v>921</v>
      </c>
      <c r="C1018" s="11" t="s">
        <v>922</v>
      </c>
      <c r="D1018" s="12" t="s">
        <v>1052</v>
      </c>
      <c r="E1018" s="13" t="s">
        <v>1716</v>
      </c>
      <c r="F1018" s="6" t="str">
        <f>_xlfn.XLOOKUP(D1018,'[8]AGUSTUS 2026'!$B:$B,'[8]AGUSTUS 2026'!$I:$I,"Tidak Ditemukan")</f>
        <v>FERY SAPUTRO</v>
      </c>
      <c r="G1018" s="222"/>
    </row>
    <row r="1019" spans="2:7">
      <c r="B1019" s="10" t="s">
        <v>921</v>
      </c>
      <c r="C1019" s="11" t="s">
        <v>922</v>
      </c>
      <c r="D1019" s="12" t="s">
        <v>1053</v>
      </c>
      <c r="E1019" s="13" t="s">
        <v>1716</v>
      </c>
      <c r="F1019" s="6" t="str">
        <f>_xlfn.XLOOKUP(D1019,'[8]AGUSTUS 2026'!$B:$B,'[8]AGUSTUS 2026'!$I:$I,"Tidak Ditemukan")</f>
        <v>FERY SAPUTRO</v>
      </c>
      <c r="G1019" s="222"/>
    </row>
    <row r="1020" spans="2:7">
      <c r="B1020" s="10" t="s">
        <v>921</v>
      </c>
      <c r="C1020" s="11" t="s">
        <v>922</v>
      </c>
      <c r="D1020" s="12" t="s">
        <v>1054</v>
      </c>
      <c r="E1020" s="13" t="s">
        <v>1716</v>
      </c>
      <c r="F1020" s="6" t="str">
        <f>_xlfn.XLOOKUP(D1020,'[8]AGUSTUS 2026'!$B:$B,'[8]AGUSTUS 2026'!$I:$I,"Tidak Ditemukan")</f>
        <v>FERY SAPUTRO</v>
      </c>
      <c r="G1020" s="222"/>
    </row>
    <row r="1021" spans="2:7">
      <c r="B1021" s="10" t="s">
        <v>921</v>
      </c>
      <c r="C1021" s="11" t="s">
        <v>922</v>
      </c>
      <c r="D1021" s="12" t="s">
        <v>1055</v>
      </c>
      <c r="E1021" s="13" t="s">
        <v>1716</v>
      </c>
      <c r="F1021" s="6" t="str">
        <f>_xlfn.XLOOKUP(D1021,'[8]AGUSTUS 2026'!$B:$B,'[8]AGUSTUS 2026'!$I:$I,"Tidak Ditemukan")</f>
        <v>FERY SAPUTRO</v>
      </c>
      <c r="G1021" s="222"/>
    </row>
    <row r="1022" spans="2:7">
      <c r="B1022" s="10" t="s">
        <v>921</v>
      </c>
      <c r="C1022" s="11" t="s">
        <v>922</v>
      </c>
      <c r="D1022" s="12" t="s">
        <v>1056</v>
      </c>
      <c r="E1022" s="13" t="s">
        <v>1716</v>
      </c>
      <c r="F1022" s="6" t="str">
        <f>_xlfn.XLOOKUP(D1022,'[8]AGUSTUS 2026'!$B:$B,'[8]AGUSTUS 2026'!$I:$I,"Tidak Ditemukan")</f>
        <v>FERY SAPUTRO</v>
      </c>
      <c r="G1022" s="222"/>
    </row>
    <row r="1023" spans="2:7">
      <c r="B1023" s="10" t="s">
        <v>921</v>
      </c>
      <c r="C1023" s="11" t="s">
        <v>922</v>
      </c>
      <c r="D1023" s="12" t="s">
        <v>1057</v>
      </c>
      <c r="E1023" s="13" t="s">
        <v>1716</v>
      </c>
      <c r="F1023" s="6" t="str">
        <f>_xlfn.XLOOKUP(D1023,'[8]AGUSTUS 2026'!$B:$B,'[8]AGUSTUS 2026'!$I:$I,"Tidak Ditemukan")</f>
        <v>FERY SAPUTRO</v>
      </c>
      <c r="G1023" s="222"/>
    </row>
    <row r="1024" spans="2:7">
      <c r="B1024" s="10" t="s">
        <v>921</v>
      </c>
      <c r="C1024" s="11" t="s">
        <v>922</v>
      </c>
      <c r="D1024" s="12" t="s">
        <v>1058</v>
      </c>
      <c r="E1024" s="13" t="s">
        <v>1716</v>
      </c>
      <c r="F1024" s="6" t="str">
        <f>_xlfn.XLOOKUP(D1024,'[8]AGUSTUS 2026'!$B:$B,'[8]AGUSTUS 2026'!$I:$I,"Tidak Ditemukan")</f>
        <v>MUHAMMAD CHAIRIL ANAM</v>
      </c>
      <c r="G1024" s="222"/>
    </row>
    <row r="1025" spans="2:7">
      <c r="B1025" s="10" t="s">
        <v>921</v>
      </c>
      <c r="C1025" s="11" t="s">
        <v>922</v>
      </c>
      <c r="D1025" s="12" t="s">
        <v>1059</v>
      </c>
      <c r="E1025" s="13" t="s">
        <v>1716</v>
      </c>
      <c r="F1025" s="6" t="str">
        <f>_xlfn.XLOOKUP(D1025,'[8]AGUSTUS 2026'!$B:$B,'[8]AGUSTUS 2026'!$I:$I,"Tidak Ditemukan")</f>
        <v>MUHAMMAD CHAIRIL ANAM</v>
      </c>
      <c r="G1025" s="222"/>
    </row>
    <row r="1026" spans="2:7">
      <c r="B1026" s="10" t="s">
        <v>921</v>
      </c>
      <c r="C1026" s="11" t="s">
        <v>922</v>
      </c>
      <c r="D1026" s="12" t="s">
        <v>1060</v>
      </c>
      <c r="E1026" s="13" t="s">
        <v>1716</v>
      </c>
      <c r="F1026" s="6" t="str">
        <f>_xlfn.XLOOKUP(D1026,'[8]AGUSTUS 2026'!$B:$B,'[8]AGUSTUS 2026'!$I:$I,"Tidak Ditemukan")</f>
        <v>MUHAMMAD CHAIRIL ANAM</v>
      </c>
      <c r="G1026" s="222"/>
    </row>
    <row r="1027" spans="2:7">
      <c r="B1027" s="10" t="s">
        <v>921</v>
      </c>
      <c r="C1027" s="11" t="s">
        <v>922</v>
      </c>
      <c r="D1027" s="12" t="s">
        <v>1061</v>
      </c>
      <c r="E1027" s="13" t="s">
        <v>1716</v>
      </c>
      <c r="F1027" s="6" t="str">
        <f>_xlfn.XLOOKUP(D1027,'[8]AGUSTUS 2026'!$B:$B,'[8]AGUSTUS 2026'!$I:$I,"Tidak Ditemukan")</f>
        <v>MUHAMMAD CHAIRIL ANAM</v>
      </c>
      <c r="G1027" s="222"/>
    </row>
    <row r="1028" spans="2:7">
      <c r="B1028" s="10" t="s">
        <v>921</v>
      </c>
      <c r="C1028" s="11" t="s">
        <v>922</v>
      </c>
      <c r="D1028" s="12" t="s">
        <v>1062</v>
      </c>
      <c r="E1028" s="13" t="s">
        <v>1716</v>
      </c>
      <c r="F1028" s="6" t="str">
        <f>_xlfn.XLOOKUP(D1028,'[8]AGUSTUS 2026'!$B:$B,'[8]AGUSTUS 2026'!$I:$I,"Tidak Ditemukan")</f>
        <v>MUHAMMAD CHAIRIL ANAM</v>
      </c>
      <c r="G1028" s="222"/>
    </row>
    <row r="1029" spans="2:7">
      <c r="B1029" s="10" t="s">
        <v>921</v>
      </c>
      <c r="C1029" s="11" t="s">
        <v>922</v>
      </c>
      <c r="D1029" s="12" t="s">
        <v>1063</v>
      </c>
      <c r="E1029" s="13" t="s">
        <v>1716</v>
      </c>
      <c r="F1029" s="6" t="str">
        <f>_xlfn.XLOOKUP(D1029,'[8]AGUSTUS 2026'!$B:$B,'[8]AGUSTUS 2026'!$I:$I,"Tidak Ditemukan")</f>
        <v>MUHAMMAD CHAIRIL ANAM</v>
      </c>
      <c r="G1029" s="222"/>
    </row>
    <row r="1030" spans="2:7">
      <c r="B1030" s="10" t="s">
        <v>921</v>
      </c>
      <c r="C1030" s="11" t="s">
        <v>922</v>
      </c>
      <c r="D1030" s="12" t="s">
        <v>1064</v>
      </c>
      <c r="E1030" s="13" t="s">
        <v>1716</v>
      </c>
      <c r="F1030" s="6" t="str">
        <f>_xlfn.XLOOKUP(D1030,'[8]AGUSTUS 2026'!$B:$B,'[8]AGUSTUS 2026'!$I:$I,"Tidak Ditemukan")</f>
        <v>MUHAMMAD CHAIRIL ANAM</v>
      </c>
      <c r="G1030" s="222"/>
    </row>
    <row r="1031" spans="2:7">
      <c r="B1031" s="10" t="s">
        <v>921</v>
      </c>
      <c r="C1031" s="11" t="s">
        <v>922</v>
      </c>
      <c r="D1031" s="12" t="s">
        <v>1065</v>
      </c>
      <c r="E1031" s="13" t="s">
        <v>1716</v>
      </c>
      <c r="F1031" s="6" t="str">
        <f>_xlfn.XLOOKUP(D1031,'[8]AGUSTUS 2026'!$B:$B,'[8]AGUSTUS 2026'!$I:$I,"Tidak Ditemukan")</f>
        <v>MUHAMMAD CHAIRIL ANAM</v>
      </c>
      <c r="G1031" s="222"/>
    </row>
    <row r="1032" spans="2:7">
      <c r="B1032" s="10" t="s">
        <v>921</v>
      </c>
      <c r="C1032" s="11" t="s">
        <v>922</v>
      </c>
      <c r="D1032" s="12" t="s">
        <v>1066</v>
      </c>
      <c r="E1032" s="13" t="s">
        <v>1716</v>
      </c>
      <c r="F1032" s="6" t="str">
        <f>_xlfn.XLOOKUP(D1032,'[8]AGUSTUS 2026'!$B:$B,'[8]AGUSTUS 2026'!$I:$I,"Tidak Ditemukan")</f>
        <v>MUHAMMAD CHAIRIL ANAM</v>
      </c>
      <c r="G1032" s="222"/>
    </row>
    <row r="1033" spans="2:7">
      <c r="B1033" s="10" t="s">
        <v>921</v>
      </c>
      <c r="C1033" s="11" t="s">
        <v>922</v>
      </c>
      <c r="D1033" s="12" t="s">
        <v>1067</v>
      </c>
      <c r="E1033" s="13" t="s">
        <v>1716</v>
      </c>
      <c r="F1033" s="6" t="str">
        <f>_xlfn.XLOOKUP(D1033,'[8]AGUSTUS 2026'!$B:$B,'[8]AGUSTUS 2026'!$I:$I,"Tidak Ditemukan")</f>
        <v>JOKO NDARU FEBRIYANTO</v>
      </c>
      <c r="G1033" s="222"/>
    </row>
    <row r="1034" spans="2:7">
      <c r="B1034" s="10" t="s">
        <v>921</v>
      </c>
      <c r="C1034" s="11" t="s">
        <v>922</v>
      </c>
      <c r="D1034" s="12" t="s">
        <v>1068</v>
      </c>
      <c r="E1034" s="13" t="s">
        <v>1716</v>
      </c>
      <c r="F1034" s="6" t="str">
        <f>_xlfn.XLOOKUP(D1034,'[8]AGUSTUS 2026'!$B:$B,'[8]AGUSTUS 2026'!$I:$I,"Tidak Ditemukan")</f>
        <v>JOKO NDARU FEBRIYANTO</v>
      </c>
      <c r="G1034" s="222"/>
    </row>
    <row r="1035" spans="2:7">
      <c r="B1035" s="10" t="s">
        <v>921</v>
      </c>
      <c r="C1035" s="11" t="s">
        <v>922</v>
      </c>
      <c r="D1035" s="12" t="s">
        <v>1069</v>
      </c>
      <c r="E1035" s="13" t="s">
        <v>1716</v>
      </c>
      <c r="F1035" s="6" t="str">
        <f>_xlfn.XLOOKUP(D1035,'[8]AGUSTUS 2026'!$B:$B,'[8]AGUSTUS 2026'!$I:$I,"Tidak Ditemukan")</f>
        <v>JOKO NDARU FEBRIYANTO</v>
      </c>
      <c r="G1035" s="222"/>
    </row>
    <row r="1036" spans="2:7">
      <c r="B1036" s="10" t="s">
        <v>921</v>
      </c>
      <c r="C1036" s="11" t="s">
        <v>922</v>
      </c>
      <c r="D1036" s="12" t="s">
        <v>1070</v>
      </c>
      <c r="E1036" s="13" t="s">
        <v>1716</v>
      </c>
      <c r="F1036" s="6" t="str">
        <f>_xlfn.XLOOKUP(D1036,'[8]AGUSTUS 2026'!$B:$B,'[8]AGUSTUS 2026'!$I:$I,"Tidak Ditemukan")</f>
        <v>JOKO NDARU FEBRIYANTO</v>
      </c>
      <c r="G1036" s="222"/>
    </row>
    <row r="1037" spans="2:7">
      <c r="B1037" s="10" t="s">
        <v>921</v>
      </c>
      <c r="C1037" s="11" t="s">
        <v>922</v>
      </c>
      <c r="D1037" s="12" t="s">
        <v>1071</v>
      </c>
      <c r="E1037" s="13" t="s">
        <v>1716</v>
      </c>
      <c r="F1037" s="6" t="str">
        <f>_xlfn.XLOOKUP(D1037,'[8]AGUSTUS 2026'!$B:$B,'[8]AGUSTUS 2026'!$I:$I,"Tidak Ditemukan")</f>
        <v>JOKO NDARU FEBRIYANTO</v>
      </c>
      <c r="G1037" s="222"/>
    </row>
    <row r="1038" spans="2:7">
      <c r="B1038" s="10" t="s">
        <v>921</v>
      </c>
      <c r="C1038" s="11" t="s">
        <v>922</v>
      </c>
      <c r="D1038" s="12" t="s">
        <v>1072</v>
      </c>
      <c r="E1038" s="13" t="s">
        <v>1716</v>
      </c>
      <c r="F1038" s="6" t="str">
        <f>_xlfn.XLOOKUP(D1038,'[8]AGUSTUS 2026'!$B:$B,'[8]AGUSTUS 2026'!$I:$I,"Tidak Ditemukan")</f>
        <v>JOKO NDARU FEBRIYANTO</v>
      </c>
      <c r="G1038" s="222"/>
    </row>
    <row r="1039" spans="2:7">
      <c r="B1039" s="10" t="s">
        <v>921</v>
      </c>
      <c r="C1039" s="11" t="s">
        <v>922</v>
      </c>
      <c r="D1039" s="12" t="s">
        <v>1073</v>
      </c>
      <c r="E1039" s="13" t="s">
        <v>1716</v>
      </c>
      <c r="F1039" s="6" t="str">
        <f>_xlfn.XLOOKUP(D1039,'[8]AGUSTUS 2026'!$B:$B,'[8]AGUSTUS 2026'!$I:$I,"Tidak Ditemukan")</f>
        <v>JOKO NDARU FEBRIYANTO</v>
      </c>
      <c r="G1039" s="222"/>
    </row>
    <row r="1040" spans="2:7">
      <c r="B1040" s="10" t="s">
        <v>921</v>
      </c>
      <c r="C1040" s="11" t="s">
        <v>922</v>
      </c>
      <c r="D1040" s="12" t="s">
        <v>1074</v>
      </c>
      <c r="E1040" s="13" t="s">
        <v>1716</v>
      </c>
      <c r="F1040" s="6" t="str">
        <f>_xlfn.XLOOKUP(D1040,'[8]AGUSTUS 2026'!$B:$B,'[8]AGUSTUS 2026'!$I:$I,"Tidak Ditemukan")</f>
        <v>JOKO NDARU FEBRIYANTO</v>
      </c>
      <c r="G1040" s="222"/>
    </row>
    <row r="1041" spans="2:7">
      <c r="B1041" s="10" t="s">
        <v>921</v>
      </c>
      <c r="C1041" s="11" t="s">
        <v>922</v>
      </c>
      <c r="D1041" s="12" t="s">
        <v>1075</v>
      </c>
      <c r="E1041" s="13" t="s">
        <v>1716</v>
      </c>
      <c r="F1041" s="6" t="str">
        <f>_xlfn.XLOOKUP(D1041,'[8]AGUSTUS 2026'!$B:$B,'[8]AGUSTUS 2026'!$I:$I,"Tidak Ditemukan")</f>
        <v>JOKO NDARU FEBRIYANTO</v>
      </c>
      <c r="G1041" s="222"/>
    </row>
    <row r="1042" spans="2:7">
      <c r="B1042" s="10" t="s">
        <v>921</v>
      </c>
      <c r="C1042" s="11" t="s">
        <v>922</v>
      </c>
      <c r="D1042" s="12" t="s">
        <v>1076</v>
      </c>
      <c r="E1042" s="13" t="s">
        <v>1716</v>
      </c>
      <c r="F1042" s="6" t="str">
        <f>_xlfn.XLOOKUP(D1042,'[8]AGUSTUS 2026'!$B:$B,'[8]AGUSTUS 2026'!$I:$I,"Tidak Ditemukan")</f>
        <v>SURYA DWI J</v>
      </c>
      <c r="G1042" s="222"/>
    </row>
    <row r="1043" spans="2:7">
      <c r="B1043" s="10" t="s">
        <v>921</v>
      </c>
      <c r="C1043" s="11" t="s">
        <v>922</v>
      </c>
      <c r="D1043" s="12" t="s">
        <v>1077</v>
      </c>
      <c r="E1043" s="13" t="s">
        <v>1716</v>
      </c>
      <c r="F1043" s="6" t="str">
        <f>_xlfn.XLOOKUP(D1043,'[8]AGUSTUS 2026'!$B:$B,'[8]AGUSTUS 2026'!$I:$I,"Tidak Ditemukan")</f>
        <v>SURYA DWI J</v>
      </c>
      <c r="G1043" s="222"/>
    </row>
    <row r="1044" spans="2:7">
      <c r="B1044" s="10" t="s">
        <v>921</v>
      </c>
      <c r="C1044" s="11" t="s">
        <v>922</v>
      </c>
      <c r="D1044" s="12" t="s">
        <v>1078</v>
      </c>
      <c r="E1044" s="13" t="s">
        <v>1716</v>
      </c>
      <c r="F1044" s="6" t="str">
        <f>_xlfn.XLOOKUP(D1044,'[8]AGUSTUS 2026'!$B:$B,'[8]AGUSTUS 2026'!$I:$I,"Tidak Ditemukan")</f>
        <v>SURYA DWI J</v>
      </c>
      <c r="G1044" s="222"/>
    </row>
    <row r="1045" spans="2:7">
      <c r="B1045" s="10" t="s">
        <v>1079</v>
      </c>
      <c r="C1045" s="11" t="s">
        <v>1080</v>
      </c>
      <c r="D1045" s="12" t="s">
        <v>1081</v>
      </c>
      <c r="E1045" s="13" t="s">
        <v>1716</v>
      </c>
      <c r="F1045" s="6" t="str">
        <f>_xlfn.XLOOKUP(D1045,[9]Sheet2!$C:$C,[9]Sheet2!$E:$E,"-")</f>
        <v>Fahmi Nur Muhamad</v>
      </c>
      <c r="G1045" s="222"/>
    </row>
    <row r="1046" spans="2:7">
      <c r="B1046" s="10" t="s">
        <v>1079</v>
      </c>
      <c r="C1046" s="11" t="s">
        <v>1080</v>
      </c>
      <c r="D1046" s="12" t="s">
        <v>1082</v>
      </c>
      <c r="E1046" s="13" t="s">
        <v>1716</v>
      </c>
      <c r="F1046" s="6" t="str">
        <f>_xlfn.XLOOKUP(D1046,[9]Sheet2!$C:$C,[9]Sheet2!$E:$E,"-")</f>
        <v>Imam Khudori</v>
      </c>
      <c r="G1046" s="222"/>
    </row>
    <row r="1047" spans="2:7">
      <c r="B1047" s="10" t="s">
        <v>1079</v>
      </c>
      <c r="C1047" s="11" t="s">
        <v>1080</v>
      </c>
      <c r="D1047" s="12" t="s">
        <v>1083</v>
      </c>
      <c r="E1047" s="13" t="s">
        <v>1716</v>
      </c>
      <c r="F1047" s="6" t="str">
        <f>_xlfn.XLOOKUP(D1047,[9]Sheet2!$C:$C,[9]Sheet2!$E:$E,"-")</f>
        <v>Dwi Murdianto</v>
      </c>
      <c r="G1047" s="222"/>
    </row>
    <row r="1048" spans="2:7">
      <c r="B1048" s="10" t="s">
        <v>1079</v>
      </c>
      <c r="C1048" s="11" t="s">
        <v>1080</v>
      </c>
      <c r="D1048" s="12" t="s">
        <v>1084</v>
      </c>
      <c r="E1048" s="13" t="s">
        <v>1716</v>
      </c>
      <c r="F1048" s="6" t="str">
        <f>_xlfn.XLOOKUP(D1048,[9]Sheet2!$C:$C,[9]Sheet2!$E:$E,"-")</f>
        <v>Ali Subeki</v>
      </c>
      <c r="G1048" s="222"/>
    </row>
    <row r="1049" spans="2:7">
      <c r="B1049" s="10" t="s">
        <v>1079</v>
      </c>
      <c r="C1049" s="11" t="s">
        <v>1080</v>
      </c>
      <c r="D1049" s="12" t="s">
        <v>1085</v>
      </c>
      <c r="E1049" s="13" t="s">
        <v>1716</v>
      </c>
      <c r="F1049" s="6" t="str">
        <f>_xlfn.XLOOKUP(D1049,[9]Sheet2!$C:$C,[9]Sheet2!$E:$E,"-")</f>
        <v>Dwi Murdianto</v>
      </c>
      <c r="G1049" s="222"/>
    </row>
    <row r="1050" spans="2:7">
      <c r="B1050" s="10" t="s">
        <v>1079</v>
      </c>
      <c r="C1050" s="11" t="s">
        <v>1080</v>
      </c>
      <c r="D1050" s="12" t="s">
        <v>1086</v>
      </c>
      <c r="E1050" s="13" t="s">
        <v>1716</v>
      </c>
      <c r="F1050" s="6" t="str">
        <f>_xlfn.XLOOKUP(D1050,[9]Sheet2!$C:$C,[9]Sheet2!$E:$E,"-")</f>
        <v>Mochamad Robi Hidayat</v>
      </c>
      <c r="G1050" s="222"/>
    </row>
    <row r="1051" spans="2:7">
      <c r="B1051" s="10" t="s">
        <v>1079</v>
      </c>
      <c r="C1051" s="11" t="s">
        <v>1080</v>
      </c>
      <c r="D1051" s="12" t="s">
        <v>1087</v>
      </c>
      <c r="E1051" s="13" t="s">
        <v>1716</v>
      </c>
      <c r="F1051" s="6" t="str">
        <f>_xlfn.XLOOKUP(D1051,[9]Sheet2!$C:$C,[9]Sheet2!$E:$E,"-")</f>
        <v>Fahmi Nur Muhamad</v>
      </c>
      <c r="G1051" s="222"/>
    </row>
    <row r="1052" spans="2:7">
      <c r="B1052" s="10" t="s">
        <v>1079</v>
      </c>
      <c r="C1052" s="11" t="s">
        <v>1080</v>
      </c>
      <c r="D1052" s="12" t="s">
        <v>1088</v>
      </c>
      <c r="E1052" s="13" t="s">
        <v>1716</v>
      </c>
      <c r="F1052" s="6" t="str">
        <f>_xlfn.XLOOKUP(D1052,[9]Sheet2!$C:$C,[9]Sheet2!$E:$E,"-")</f>
        <v>Imam Khudori</v>
      </c>
      <c r="G1052" s="222"/>
    </row>
    <row r="1053" spans="2:7">
      <c r="B1053" s="10" t="s">
        <v>1079</v>
      </c>
      <c r="C1053" s="11" t="s">
        <v>1080</v>
      </c>
      <c r="D1053" s="12" t="s">
        <v>1089</v>
      </c>
      <c r="E1053" s="13" t="s">
        <v>1716</v>
      </c>
      <c r="F1053" s="6" t="str">
        <f>_xlfn.XLOOKUP(D1053,[9]Sheet2!$C:$C,[9]Sheet2!$E:$E,"-")</f>
        <v>Mochamad Robi Hidayat</v>
      </c>
      <c r="G1053" s="222"/>
    </row>
    <row r="1054" spans="2:7">
      <c r="B1054" s="10" t="s">
        <v>1079</v>
      </c>
      <c r="C1054" s="11" t="s">
        <v>1080</v>
      </c>
      <c r="D1054" s="12" t="s">
        <v>1090</v>
      </c>
      <c r="E1054" s="13" t="s">
        <v>1716</v>
      </c>
      <c r="F1054" s="6" t="str">
        <f>_xlfn.XLOOKUP(D1054,[9]Sheet2!$C:$C,[9]Sheet2!$E:$E,"-")</f>
        <v>Ali Subeki</v>
      </c>
      <c r="G1054" s="222"/>
    </row>
    <row r="1055" spans="2:7">
      <c r="B1055" s="10" t="s">
        <v>1079</v>
      </c>
      <c r="C1055" s="11" t="s">
        <v>1080</v>
      </c>
      <c r="D1055" s="12" t="s">
        <v>1091</v>
      </c>
      <c r="E1055" s="13" t="s">
        <v>1716</v>
      </c>
      <c r="F1055" s="6" t="str">
        <f>_xlfn.XLOOKUP(D1055,[9]Sheet2!$C:$C,[9]Sheet2!$E:$E,"-")</f>
        <v>Budianto</v>
      </c>
      <c r="G1055" s="222"/>
    </row>
    <row r="1056" spans="2:7">
      <c r="B1056" s="10" t="s">
        <v>1079</v>
      </c>
      <c r="C1056" s="11" t="s">
        <v>1080</v>
      </c>
      <c r="D1056" s="12" t="s">
        <v>1092</v>
      </c>
      <c r="E1056" s="13" t="s">
        <v>1716</v>
      </c>
      <c r="F1056" s="6" t="str">
        <f>_xlfn.XLOOKUP(D1056,[9]Sheet2!$C:$C,[9]Sheet2!$E:$E,"-")</f>
        <v>Andy Kistiwantono</v>
      </c>
      <c r="G1056" s="222"/>
    </row>
    <row r="1057" spans="2:7">
      <c r="B1057" s="10" t="s">
        <v>1079</v>
      </c>
      <c r="C1057" s="11" t="s">
        <v>1080</v>
      </c>
      <c r="D1057" s="12" t="s">
        <v>1093</v>
      </c>
      <c r="E1057" s="13" t="s">
        <v>1716</v>
      </c>
      <c r="F1057" s="6" t="str">
        <f>_xlfn.XLOOKUP(D1057,[9]Sheet2!$C:$C,[9]Sheet2!$E:$E,"-")</f>
        <v>M. Zen Asrofi</v>
      </c>
      <c r="G1057" s="222"/>
    </row>
    <row r="1058" spans="2:7">
      <c r="B1058" s="10" t="s">
        <v>1079</v>
      </c>
      <c r="C1058" s="11" t="s">
        <v>1080</v>
      </c>
      <c r="D1058" s="12" t="s">
        <v>1094</v>
      </c>
      <c r="E1058" s="13" t="s">
        <v>1716</v>
      </c>
      <c r="F1058" s="6" t="str">
        <f>_xlfn.XLOOKUP(D1058,[9]Sheet2!$C:$C,[9]Sheet2!$E:$E,"-")</f>
        <v>Totok Suwiknyo</v>
      </c>
      <c r="G1058" s="222"/>
    </row>
    <row r="1059" spans="2:7">
      <c r="B1059" s="10" t="s">
        <v>1079</v>
      </c>
      <c r="C1059" s="11" t="s">
        <v>1080</v>
      </c>
      <c r="D1059" s="12" t="s">
        <v>1095</v>
      </c>
      <c r="E1059" s="13" t="s">
        <v>1716</v>
      </c>
      <c r="F1059" s="6" t="str">
        <f>_xlfn.XLOOKUP(D1059,[9]Sheet2!$C:$C,[9]Sheet2!$E:$E,"-")</f>
        <v>Andy Kistiwantono</v>
      </c>
      <c r="G1059" s="222"/>
    </row>
    <row r="1060" spans="2:7">
      <c r="B1060" s="10" t="s">
        <v>1079</v>
      </c>
      <c r="C1060" s="11" t="s">
        <v>1080</v>
      </c>
      <c r="D1060" s="12" t="s">
        <v>1096</v>
      </c>
      <c r="E1060" s="13" t="s">
        <v>1716</v>
      </c>
      <c r="F1060" s="6" t="str">
        <f>_xlfn.XLOOKUP(D1060,[9]Sheet2!$C:$C,[9]Sheet2!$E:$E,"-")</f>
        <v>M. Zen Asrofi</v>
      </c>
      <c r="G1060" s="222"/>
    </row>
    <row r="1061" spans="2:7">
      <c r="B1061" s="10" t="s">
        <v>1079</v>
      </c>
      <c r="C1061" s="11" t="s">
        <v>1080</v>
      </c>
      <c r="D1061" s="12" t="s">
        <v>1097</v>
      </c>
      <c r="E1061" s="13" t="s">
        <v>1716</v>
      </c>
      <c r="F1061" s="6" t="str">
        <f>_xlfn.XLOOKUP(D1061,[9]Sheet2!$C:$C,[9]Sheet2!$E:$E,"-")</f>
        <v>Mokhammad Ali Mustofa</v>
      </c>
      <c r="G1061" s="222"/>
    </row>
    <row r="1062" spans="2:7">
      <c r="B1062" s="10" t="s">
        <v>1079</v>
      </c>
      <c r="C1062" s="11" t="s">
        <v>1080</v>
      </c>
      <c r="D1062" s="12" t="s">
        <v>1098</v>
      </c>
      <c r="E1062" s="13" t="s">
        <v>1716</v>
      </c>
      <c r="F1062" s="6" t="str">
        <f>_xlfn.XLOOKUP(D1062,[9]Sheet2!$C:$C,[9]Sheet2!$E:$E,"-")</f>
        <v>Mokhammad Ali Mustofa</v>
      </c>
      <c r="G1062" s="222"/>
    </row>
    <row r="1063" spans="2:7">
      <c r="B1063" s="10" t="s">
        <v>1079</v>
      </c>
      <c r="C1063" s="11" t="s">
        <v>1080</v>
      </c>
      <c r="D1063" s="12" t="s">
        <v>1099</v>
      </c>
      <c r="E1063" s="13" t="s">
        <v>1716</v>
      </c>
      <c r="F1063" s="6" t="str">
        <f>_xlfn.XLOOKUP(D1063,[9]Sheet2!$C:$C,[9]Sheet2!$E:$E,"-")</f>
        <v>Totok Suwiknyo</v>
      </c>
      <c r="G1063" s="222"/>
    </row>
    <row r="1064" spans="2:7">
      <c r="B1064" s="10" t="s">
        <v>1079</v>
      </c>
      <c r="C1064" s="11" t="s">
        <v>1080</v>
      </c>
      <c r="D1064" s="12" t="s">
        <v>1100</v>
      </c>
      <c r="E1064" s="13" t="s">
        <v>1716</v>
      </c>
      <c r="F1064" s="6" t="str">
        <f>_xlfn.XLOOKUP(D1064,[9]Sheet2!$C:$C,[9]Sheet2!$E:$E,"-")</f>
        <v>Budianto</v>
      </c>
      <c r="G1064" s="222"/>
    </row>
    <row r="1065" spans="2:7">
      <c r="B1065" s="10" t="s">
        <v>1079</v>
      </c>
      <c r="C1065" s="11" t="s">
        <v>1080</v>
      </c>
      <c r="D1065" s="12" t="s">
        <v>1101</v>
      </c>
      <c r="E1065" s="13" t="s">
        <v>1716</v>
      </c>
      <c r="F1065" s="6" t="str">
        <f>_xlfn.XLOOKUP(D1065,[9]Sheet2!$C:$C,[9]Sheet2!$E:$E,"-")</f>
        <v>Niza Ramadani</v>
      </c>
      <c r="G1065" s="222"/>
    </row>
    <row r="1066" spans="2:7">
      <c r="B1066" s="10" t="s">
        <v>1079</v>
      </c>
      <c r="C1066" s="11" t="s">
        <v>1080</v>
      </c>
      <c r="D1066" s="12" t="s">
        <v>1102</v>
      </c>
      <c r="E1066" s="13" t="s">
        <v>1739</v>
      </c>
      <c r="F1066" s="6" t="str">
        <f>_xlfn.XLOOKUP(D1066,[9]Sheet2!$C:$C,[9]Sheet2!$E:$E,"-")</f>
        <v>Dian Putra Aris Firmansyah</v>
      </c>
      <c r="G1066" s="222"/>
    </row>
    <row r="1067" spans="2:7">
      <c r="B1067" s="10" t="s">
        <v>1079</v>
      </c>
      <c r="C1067" s="11" t="s">
        <v>1080</v>
      </c>
      <c r="D1067" s="12" t="s">
        <v>1103</v>
      </c>
      <c r="E1067" s="13" t="s">
        <v>1739</v>
      </c>
      <c r="F1067" s="6" t="str">
        <f>_xlfn.XLOOKUP(D1067,[9]Sheet2!$C:$C,[9]Sheet2!$E:$E,"-")</f>
        <v>Mohammad Fa'Iq Al Abror</v>
      </c>
      <c r="G1067" s="222"/>
    </row>
    <row r="1068" spans="2:7">
      <c r="B1068" s="10" t="s">
        <v>1079</v>
      </c>
      <c r="C1068" s="11" t="s">
        <v>1080</v>
      </c>
      <c r="D1068" s="12" t="s">
        <v>1104</v>
      </c>
      <c r="E1068" s="13" t="s">
        <v>1716</v>
      </c>
      <c r="F1068" s="6" t="str">
        <f>_xlfn.XLOOKUP(D1068,[9]Sheet2!$C:$C,[9]Sheet2!$E:$E,"-")</f>
        <v>Fariszulhazmi</v>
      </c>
      <c r="G1068" s="222"/>
    </row>
    <row r="1069" spans="2:7">
      <c r="B1069" s="10" t="s">
        <v>1079</v>
      </c>
      <c r="C1069" s="11" t="s">
        <v>1080</v>
      </c>
      <c r="D1069" s="12" t="s">
        <v>1105</v>
      </c>
      <c r="E1069" s="13" t="s">
        <v>1716</v>
      </c>
      <c r="F1069" s="6" t="str">
        <f>_xlfn.XLOOKUP(D1069,[9]Sheet2!$C:$C,[9]Sheet2!$E:$E,"-")</f>
        <v>Fitra Romansyah</v>
      </c>
      <c r="G1069" s="222"/>
    </row>
    <row r="1070" spans="2:7">
      <c r="B1070" s="10" t="s">
        <v>1079</v>
      </c>
      <c r="C1070" s="11" t="s">
        <v>1080</v>
      </c>
      <c r="D1070" s="12" t="s">
        <v>1106</v>
      </c>
      <c r="E1070" s="13" t="s">
        <v>1716</v>
      </c>
      <c r="F1070" s="6" t="str">
        <f>_xlfn.XLOOKUP(D1070,[9]Sheet2!$C:$C,[9]Sheet2!$E:$E,"-")</f>
        <v>Fariszulhazmi</v>
      </c>
      <c r="G1070" s="222"/>
    </row>
    <row r="1071" spans="2:7">
      <c r="B1071" s="10" t="s">
        <v>1079</v>
      </c>
      <c r="C1071" s="11" t="s">
        <v>1080</v>
      </c>
      <c r="D1071" s="12" t="s">
        <v>1107</v>
      </c>
      <c r="E1071" s="13" t="s">
        <v>1716</v>
      </c>
      <c r="F1071" s="6" t="str">
        <f>_xlfn.XLOOKUP(D1071,[9]Sheet2!$C:$C,[9]Sheet2!$E:$E,"-")</f>
        <v>Dede Rahadiansyah Ucky Pradana</v>
      </c>
      <c r="G1071" s="222"/>
    </row>
    <row r="1072" spans="2:7">
      <c r="B1072" s="10" t="s">
        <v>1079</v>
      </c>
      <c r="C1072" s="11" t="s">
        <v>1080</v>
      </c>
      <c r="D1072" s="12" t="s">
        <v>1108</v>
      </c>
      <c r="E1072" s="13" t="s">
        <v>1716</v>
      </c>
      <c r="F1072" s="6" t="str">
        <f>_xlfn.XLOOKUP(D1072,[9]Sheet2!$C:$C,[9]Sheet2!$E:$E,"-")</f>
        <v>Ardyanita Wanti, S.Pd</v>
      </c>
      <c r="G1072" s="222"/>
    </row>
    <row r="1073" spans="2:7">
      <c r="B1073" s="10" t="s">
        <v>1079</v>
      </c>
      <c r="C1073" s="11" t="s">
        <v>1080</v>
      </c>
      <c r="D1073" s="12" t="s">
        <v>1109</v>
      </c>
      <c r="E1073" s="13" t="s">
        <v>1739</v>
      </c>
      <c r="F1073" s="6" t="str">
        <f>_xlfn.XLOOKUP(D1073,[9]Sheet2!$C:$C,[9]Sheet2!$E:$E,"-")</f>
        <v>Mohammad Fa'Iq Al Abror</v>
      </c>
      <c r="G1073" s="222"/>
    </row>
    <row r="1074" spans="2:7">
      <c r="B1074" s="10" t="s">
        <v>1079</v>
      </c>
      <c r="C1074" s="11" t="s">
        <v>1080</v>
      </c>
      <c r="D1074" s="12" t="s">
        <v>1110</v>
      </c>
      <c r="E1074" s="13" t="s">
        <v>1739</v>
      </c>
      <c r="F1074" s="6" t="str">
        <f>_xlfn.XLOOKUP(D1074,[9]Sheet2!$C:$C,[9]Sheet2!$E:$E,"-")</f>
        <v>Dian Putra Aris Firmansyah</v>
      </c>
      <c r="G1074" s="222"/>
    </row>
    <row r="1075" spans="2:7">
      <c r="B1075" s="10" t="s">
        <v>1079</v>
      </c>
      <c r="C1075" s="11" t="s">
        <v>1080</v>
      </c>
      <c r="D1075" s="12" t="s">
        <v>1111</v>
      </c>
      <c r="E1075" s="13" t="s">
        <v>1716</v>
      </c>
      <c r="F1075" s="6" t="str">
        <f>_xlfn.XLOOKUP(D1075,[9]Sheet2!$C:$C,[9]Sheet2!$E:$E,"-")</f>
        <v>Ardyanita Wanti, S.Pd</v>
      </c>
      <c r="G1075" s="222"/>
    </row>
    <row r="1076" spans="2:7">
      <c r="B1076" s="10" t="s">
        <v>1079</v>
      </c>
      <c r="C1076" s="11" t="s">
        <v>1080</v>
      </c>
      <c r="D1076" s="12" t="s">
        <v>1112</v>
      </c>
      <c r="E1076" s="13" t="s">
        <v>1716</v>
      </c>
      <c r="F1076" s="6" t="str">
        <f>_xlfn.XLOOKUP(D1076,[9]Sheet2!$C:$C,[9]Sheet2!$E:$E,"-")</f>
        <v>Fariszulhazmi</v>
      </c>
      <c r="G1076" s="222"/>
    </row>
    <row r="1077" spans="2:7">
      <c r="B1077" s="10" t="s">
        <v>1079</v>
      </c>
      <c r="C1077" s="11" t="s">
        <v>1080</v>
      </c>
      <c r="D1077" s="12" t="s">
        <v>1113</v>
      </c>
      <c r="E1077" s="13" t="s">
        <v>1716</v>
      </c>
      <c r="F1077" s="6" t="str">
        <f>_xlfn.XLOOKUP(D1077,[9]Sheet2!$C:$C,[9]Sheet2!$E:$E,"-")</f>
        <v>Fitra Romansyah</v>
      </c>
      <c r="G1077" s="222"/>
    </row>
    <row r="1078" spans="2:7">
      <c r="B1078" s="10" t="s">
        <v>1079</v>
      </c>
      <c r="C1078" s="11" t="s">
        <v>1080</v>
      </c>
      <c r="D1078" s="12" t="s">
        <v>1114</v>
      </c>
      <c r="E1078" s="13" t="s">
        <v>1716</v>
      </c>
      <c r="F1078" s="6" t="str">
        <f>_xlfn.XLOOKUP(D1078,[9]Sheet2!$C:$C,[9]Sheet2!$E:$E,"-")</f>
        <v>Fitra Romansyah</v>
      </c>
      <c r="G1078" s="222"/>
    </row>
    <row r="1079" spans="2:7">
      <c r="B1079" s="10" t="s">
        <v>1079</v>
      </c>
      <c r="C1079" s="11" t="s">
        <v>1080</v>
      </c>
      <c r="D1079" s="12" t="s">
        <v>1115</v>
      </c>
      <c r="E1079" s="13" t="s">
        <v>1739</v>
      </c>
      <c r="F1079" s="6" t="str">
        <f>_xlfn.XLOOKUP(D1079,[9]Sheet2!$C:$C,[9]Sheet2!$E:$E,"-")</f>
        <v>M. Faris Rahman</v>
      </c>
      <c r="G1079" s="222"/>
    </row>
    <row r="1080" spans="2:7">
      <c r="B1080" s="10" t="s">
        <v>1079</v>
      </c>
      <c r="C1080" s="11" t="s">
        <v>1080</v>
      </c>
      <c r="D1080" s="12" t="s">
        <v>1116</v>
      </c>
      <c r="E1080" s="13" t="s">
        <v>1739</v>
      </c>
      <c r="F1080" s="6" t="str">
        <f>_xlfn.XLOOKUP(D1080,[9]Sheet2!$C:$C,[9]Sheet2!$E:$E,"-")</f>
        <v>Ali Said</v>
      </c>
      <c r="G1080" s="222"/>
    </row>
    <row r="1081" spans="2:7">
      <c r="B1081" s="10" t="s">
        <v>1079</v>
      </c>
      <c r="C1081" s="11" t="s">
        <v>1080</v>
      </c>
      <c r="D1081" s="12" t="s">
        <v>1117</v>
      </c>
      <c r="E1081" s="13" t="s">
        <v>1716</v>
      </c>
      <c r="F1081" s="6" t="str">
        <f>_xlfn.XLOOKUP(D1081,[9]Sheet2!$C:$C,[9]Sheet2!$E:$E,"-")</f>
        <v>Siswa Maulana Malik</v>
      </c>
      <c r="G1081" s="222"/>
    </row>
    <row r="1082" spans="2:7">
      <c r="B1082" s="10" t="s">
        <v>1079</v>
      </c>
      <c r="C1082" s="11" t="s">
        <v>1080</v>
      </c>
      <c r="D1082" s="12" t="s">
        <v>1118</v>
      </c>
      <c r="E1082" s="13" t="s">
        <v>1716</v>
      </c>
      <c r="F1082" s="6" t="str">
        <f>_xlfn.XLOOKUP(D1082,[9]Sheet2!$C:$C,[9]Sheet2!$E:$E,"-")</f>
        <v>Ahmad Andy Fajar Wijaya</v>
      </c>
      <c r="G1082" s="222"/>
    </row>
    <row r="1083" spans="2:7">
      <c r="B1083" s="10" t="s">
        <v>1079</v>
      </c>
      <c r="C1083" s="11" t="s">
        <v>1080</v>
      </c>
      <c r="D1083" s="12" t="s">
        <v>1119</v>
      </c>
      <c r="E1083" s="13" t="s">
        <v>1716</v>
      </c>
      <c r="F1083" s="6" t="str">
        <f>_xlfn.XLOOKUP(D1083,[9]Sheet2!$C:$C,[9]Sheet2!$E:$E,"-")</f>
        <v>Moch Ali Muksin</v>
      </c>
      <c r="G1083" s="222"/>
    </row>
    <row r="1084" spans="2:7">
      <c r="B1084" s="10" t="s">
        <v>1079</v>
      </c>
      <c r="C1084" s="11" t="s">
        <v>1080</v>
      </c>
      <c r="D1084" s="12" t="s">
        <v>1120</v>
      </c>
      <c r="E1084" s="13" t="s">
        <v>1716</v>
      </c>
      <c r="F1084" s="6" t="str">
        <f>_xlfn.XLOOKUP(D1084,[9]Sheet2!$C:$C,[9]Sheet2!$E:$E,"-")</f>
        <v>Ahmad Andy Fajar Wijaya</v>
      </c>
      <c r="G1084" s="222"/>
    </row>
    <row r="1085" spans="2:7">
      <c r="B1085" s="10" t="s">
        <v>1079</v>
      </c>
      <c r="C1085" s="11" t="s">
        <v>1080</v>
      </c>
      <c r="D1085" s="12" t="s">
        <v>1121</v>
      </c>
      <c r="E1085" s="13" t="s">
        <v>1716</v>
      </c>
      <c r="F1085" s="6" t="str">
        <f>_xlfn.XLOOKUP(D1085,[9]Sheet2!$C:$C,[9]Sheet2!$E:$E,"-")</f>
        <v>Siswa Maulana Malik</v>
      </c>
      <c r="G1085" s="222"/>
    </row>
    <row r="1086" spans="2:7">
      <c r="B1086" s="10" t="s">
        <v>1079</v>
      </c>
      <c r="C1086" s="11" t="s">
        <v>1080</v>
      </c>
      <c r="D1086" s="12" t="s">
        <v>1122</v>
      </c>
      <c r="E1086" s="13" t="s">
        <v>1739</v>
      </c>
      <c r="F1086" s="6" t="str">
        <f>_xlfn.XLOOKUP(D1086,[9]Sheet2!$C:$C,[9]Sheet2!$E:$E,"-")</f>
        <v>M. Faris Rahman</v>
      </c>
      <c r="G1086" s="222"/>
    </row>
    <row r="1087" spans="2:7">
      <c r="B1087" s="10" t="s">
        <v>1079</v>
      </c>
      <c r="C1087" s="11" t="s">
        <v>1080</v>
      </c>
      <c r="D1087" s="12" t="s">
        <v>1123</v>
      </c>
      <c r="E1087" s="13" t="s">
        <v>1739</v>
      </c>
      <c r="F1087" s="6" t="str">
        <f>_xlfn.XLOOKUP(D1087,[9]Sheet2!$C:$C,[9]Sheet2!$E:$E,"-")</f>
        <v>Ali Said</v>
      </c>
      <c r="G1087" s="222"/>
    </row>
    <row r="1088" spans="2:7">
      <c r="B1088" s="10" t="s">
        <v>1079</v>
      </c>
      <c r="C1088" s="11" t="s">
        <v>1080</v>
      </c>
      <c r="D1088" s="12" t="s">
        <v>1124</v>
      </c>
      <c r="E1088" s="13" t="s">
        <v>1739</v>
      </c>
      <c r="F1088" s="6" t="str">
        <f>_xlfn.XLOOKUP(D1088,[9]Sheet2!$C:$C,[9]Sheet2!$E:$E,"-")</f>
        <v>M. Faris Rahman</v>
      </c>
      <c r="G1088" s="222"/>
    </row>
    <row r="1089" spans="2:7">
      <c r="B1089" s="10" t="s">
        <v>1079</v>
      </c>
      <c r="C1089" s="11" t="s">
        <v>1080</v>
      </c>
      <c r="D1089" s="12" t="s">
        <v>1125</v>
      </c>
      <c r="E1089" s="13" t="s">
        <v>1716</v>
      </c>
      <c r="F1089" s="6" t="str">
        <f>_xlfn.XLOOKUP(D1089,[9]Sheet2!$C:$C,[9]Sheet2!$E:$E,"-")</f>
        <v>Moch Ali Muksin</v>
      </c>
      <c r="G1089" s="222"/>
    </row>
    <row r="1090" spans="2:7">
      <c r="B1090" s="10" t="s">
        <v>1079</v>
      </c>
      <c r="C1090" s="11" t="s">
        <v>1080</v>
      </c>
      <c r="D1090" s="12" t="s">
        <v>1126</v>
      </c>
      <c r="E1090" s="13" t="s">
        <v>1716</v>
      </c>
      <c r="F1090" s="6" t="str">
        <f>_xlfn.XLOOKUP(D1090,[9]Sheet2!$C:$C,[9]Sheet2!$E:$E,"-")</f>
        <v>Ahmad Andy Fajar Wijaya</v>
      </c>
      <c r="G1090" s="222"/>
    </row>
    <row r="1091" spans="2:7">
      <c r="B1091" s="10" t="s">
        <v>1079</v>
      </c>
      <c r="C1091" s="11" t="s">
        <v>1080</v>
      </c>
      <c r="D1091" s="12" t="s">
        <v>1127</v>
      </c>
      <c r="E1091" s="13" t="s">
        <v>1716</v>
      </c>
      <c r="F1091" s="6" t="str">
        <f>_xlfn.XLOOKUP(D1091,[9]Sheet2!$C:$C,[9]Sheet2!$E:$E,"-")</f>
        <v>Faris Meilugianta Pratama</v>
      </c>
      <c r="G1091" s="222"/>
    </row>
    <row r="1092" spans="2:7">
      <c r="B1092" s="10" t="s">
        <v>1079</v>
      </c>
      <c r="C1092" s="11" t="s">
        <v>1080</v>
      </c>
      <c r="D1092" s="12" t="s">
        <v>1128</v>
      </c>
      <c r="E1092" s="13" t="s">
        <v>1716</v>
      </c>
      <c r="F1092" s="6" t="str">
        <f>_xlfn.XLOOKUP(D1092,[9]Sheet2!$C:$C,[9]Sheet2!$E:$E,"-")</f>
        <v>Zainal Abidin</v>
      </c>
      <c r="G1092" s="222"/>
    </row>
    <row r="1093" spans="2:7">
      <c r="B1093" s="10" t="s">
        <v>1079</v>
      </c>
      <c r="C1093" s="11" t="s">
        <v>1080</v>
      </c>
      <c r="D1093" s="12" t="s">
        <v>1129</v>
      </c>
      <c r="E1093" s="13" t="s">
        <v>1716</v>
      </c>
      <c r="F1093" s="6" t="str">
        <f>_xlfn.XLOOKUP(D1093,[9]Sheet2!$C:$C,[9]Sheet2!$E:$E,"-")</f>
        <v>Ega Chandra Dinata</v>
      </c>
      <c r="G1093" s="222"/>
    </row>
    <row r="1094" spans="2:7">
      <c r="B1094" s="10" t="s">
        <v>1079</v>
      </c>
      <c r="C1094" s="11" t="s">
        <v>1080</v>
      </c>
      <c r="D1094" s="12" t="s">
        <v>1130</v>
      </c>
      <c r="E1094" s="13" t="s">
        <v>1716</v>
      </c>
      <c r="F1094" s="6" t="str">
        <f>_xlfn.XLOOKUP(D1094,[9]Sheet2!$C:$C,[9]Sheet2!$E:$E,"-")</f>
        <v>Fauzen Alfan</v>
      </c>
      <c r="G1094" s="222"/>
    </row>
    <row r="1095" spans="2:7">
      <c r="B1095" s="10" t="s">
        <v>1079</v>
      </c>
      <c r="C1095" s="11" t="s">
        <v>1080</v>
      </c>
      <c r="D1095" s="12" t="s">
        <v>1131</v>
      </c>
      <c r="E1095" s="13" t="s">
        <v>1716</v>
      </c>
      <c r="F1095" s="6" t="str">
        <f>_xlfn.XLOOKUP(D1095,[9]Sheet2!$C:$C,[9]Sheet2!$E:$E,"-")</f>
        <v>Faris Meilugianta Pratama</v>
      </c>
      <c r="G1095" s="222"/>
    </row>
    <row r="1096" spans="2:7">
      <c r="B1096" s="10" t="s">
        <v>1079</v>
      </c>
      <c r="C1096" s="11" t="s">
        <v>1080</v>
      </c>
      <c r="D1096" s="12" t="s">
        <v>1132</v>
      </c>
      <c r="E1096" s="13" t="s">
        <v>1716</v>
      </c>
      <c r="F1096" s="6" t="str">
        <f>_xlfn.XLOOKUP(D1096,[9]Sheet2!$C:$C,[9]Sheet2!$E:$E,"-")</f>
        <v>Hilman Anshori</v>
      </c>
      <c r="G1096" s="222"/>
    </row>
    <row r="1097" spans="2:7">
      <c r="B1097" s="10" t="s">
        <v>1079</v>
      </c>
      <c r="C1097" s="11" t="s">
        <v>1080</v>
      </c>
      <c r="D1097" s="12" t="s">
        <v>1133</v>
      </c>
      <c r="E1097" s="13" t="s">
        <v>1739</v>
      </c>
      <c r="F1097" s="6" t="str">
        <f>_xlfn.XLOOKUP(D1097,[9]Sheet2!$C:$C,[9]Sheet2!$E:$E,"-")</f>
        <v>-</v>
      </c>
      <c r="G1097" s="222"/>
    </row>
    <row r="1098" spans="2:7">
      <c r="B1098" s="10" t="s">
        <v>1079</v>
      </c>
      <c r="C1098" s="11" t="s">
        <v>1080</v>
      </c>
      <c r="D1098" s="12" t="s">
        <v>1134</v>
      </c>
      <c r="E1098" s="13" t="s">
        <v>1739</v>
      </c>
      <c r="F1098" s="6" t="str">
        <f>_xlfn.XLOOKUP(D1098,[9]Sheet2!$C:$C,[9]Sheet2!$E:$E,"-")</f>
        <v>-</v>
      </c>
      <c r="G1098" s="222"/>
    </row>
    <row r="1099" spans="2:7">
      <c r="B1099" s="10" t="s">
        <v>1079</v>
      </c>
      <c r="C1099" s="11" t="s">
        <v>1080</v>
      </c>
      <c r="D1099" s="12" t="s">
        <v>1135</v>
      </c>
      <c r="E1099" s="13" t="s">
        <v>1739</v>
      </c>
      <c r="F1099" s="6" t="str">
        <f>_xlfn.XLOOKUP(D1099,[9]Sheet2!$C:$C,[9]Sheet2!$E:$E,"-")</f>
        <v>-</v>
      </c>
      <c r="G1099" s="222"/>
    </row>
    <row r="1100" spans="2:7">
      <c r="B1100" s="10" t="s">
        <v>1079</v>
      </c>
      <c r="C1100" s="11" t="s">
        <v>1080</v>
      </c>
      <c r="D1100" s="12" t="s">
        <v>1136</v>
      </c>
      <c r="E1100" s="13" t="s">
        <v>1739</v>
      </c>
      <c r="F1100" s="6" t="str">
        <f>_xlfn.XLOOKUP(D1100,[9]Sheet2!$C:$C,[9]Sheet2!$E:$E,"-")</f>
        <v>-</v>
      </c>
      <c r="G1100" s="222"/>
    </row>
    <row r="1101" spans="2:7">
      <c r="B1101" s="10" t="s">
        <v>1079</v>
      </c>
      <c r="C1101" s="11" t="s">
        <v>1080</v>
      </c>
      <c r="D1101" s="12" t="s">
        <v>1137</v>
      </c>
      <c r="E1101" s="13" t="s">
        <v>1739</v>
      </c>
      <c r="F1101" s="6" t="str">
        <f>_xlfn.XLOOKUP(D1101,[9]Sheet2!$C:$C,[9]Sheet2!$E:$E,"-")</f>
        <v>Andi Wiranata Negara</v>
      </c>
      <c r="G1101" s="222"/>
    </row>
    <row r="1102" spans="2:7">
      <c r="B1102" s="10" t="s">
        <v>1079</v>
      </c>
      <c r="C1102" s="11" t="s">
        <v>1080</v>
      </c>
      <c r="D1102" s="12" t="s">
        <v>1138</v>
      </c>
      <c r="E1102" s="13" t="s">
        <v>1739</v>
      </c>
      <c r="F1102" s="6" t="str">
        <f>_xlfn.XLOOKUP(D1102,[9]Sheet2!$C:$C,[9]Sheet2!$E:$E,"-")</f>
        <v>Moh. Hasan</v>
      </c>
      <c r="G1102" s="222"/>
    </row>
    <row r="1103" spans="2:7">
      <c r="B1103" s="10" t="s">
        <v>1079</v>
      </c>
      <c r="C1103" s="11" t="s">
        <v>1080</v>
      </c>
      <c r="D1103" s="12" t="s">
        <v>1139</v>
      </c>
      <c r="E1103" s="13" t="s">
        <v>1739</v>
      </c>
      <c r="F1103" s="6" t="str">
        <f>_xlfn.XLOOKUP(D1103,[9]Sheet2!$C:$C,[9]Sheet2!$E:$E,"-")</f>
        <v>Farida</v>
      </c>
      <c r="G1103" s="222"/>
    </row>
    <row r="1104" spans="2:7">
      <c r="B1104" s="10" t="s">
        <v>1079</v>
      </c>
      <c r="C1104" s="11" t="s">
        <v>1080</v>
      </c>
      <c r="D1104" s="12" t="s">
        <v>1140</v>
      </c>
      <c r="E1104" s="13" t="s">
        <v>1739</v>
      </c>
      <c r="F1104" s="6" t="str">
        <f>_xlfn.XLOOKUP(D1104,[9]Sheet2!$C:$C,[9]Sheet2!$E:$E,"-")</f>
        <v>Moh. Hasan</v>
      </c>
      <c r="G1104" s="222"/>
    </row>
    <row r="1105" spans="2:7">
      <c r="B1105" s="10" t="s">
        <v>1079</v>
      </c>
      <c r="C1105" s="11" t="s">
        <v>1080</v>
      </c>
      <c r="D1105" s="12" t="s">
        <v>1141</v>
      </c>
      <c r="E1105" s="13" t="s">
        <v>1739</v>
      </c>
      <c r="F1105" s="6" t="str">
        <f>_xlfn.XLOOKUP(D1105,[9]Sheet2!$C:$C,[9]Sheet2!$E:$E,"-")</f>
        <v>Farida</v>
      </c>
      <c r="G1105" s="222"/>
    </row>
    <row r="1106" spans="2:7">
      <c r="B1106" s="10" t="s">
        <v>1079</v>
      </c>
      <c r="C1106" s="11" t="s">
        <v>1080</v>
      </c>
      <c r="D1106" s="12" t="s">
        <v>1142</v>
      </c>
      <c r="E1106" s="13" t="s">
        <v>1739</v>
      </c>
      <c r="F1106" s="6" t="str">
        <f>_xlfn.XLOOKUP(D1106,[9]Sheet2!$C:$C,[9]Sheet2!$E:$E,"-")</f>
        <v>Abdur Rahman</v>
      </c>
      <c r="G1106" s="222"/>
    </row>
    <row r="1107" spans="2:7">
      <c r="B1107" s="10" t="s">
        <v>1079</v>
      </c>
      <c r="C1107" s="11" t="s">
        <v>1080</v>
      </c>
      <c r="D1107" s="12" t="s">
        <v>1143</v>
      </c>
      <c r="E1107" s="13" t="s">
        <v>1739</v>
      </c>
      <c r="F1107" s="6" t="str">
        <f>_xlfn.XLOOKUP(D1107,[9]Sheet2!$C:$C,[9]Sheet2!$E:$E,"-")</f>
        <v>Abdur Rahman</v>
      </c>
      <c r="G1107" s="222"/>
    </row>
    <row r="1108" spans="2:7">
      <c r="B1108" s="10" t="s">
        <v>1079</v>
      </c>
      <c r="C1108" s="11" t="s">
        <v>1080</v>
      </c>
      <c r="D1108" s="12" t="s">
        <v>1144</v>
      </c>
      <c r="E1108" s="13" t="s">
        <v>1716</v>
      </c>
      <c r="F1108" s="6" t="str">
        <f>_xlfn.XLOOKUP(D1108,[9]Sheet2!$C:$C,[9]Sheet2!$E:$E,"-")</f>
        <v>Ahmad Khairul Zawawi</v>
      </c>
      <c r="G1108" s="222"/>
    </row>
    <row r="1109" spans="2:7">
      <c r="B1109" s="10" t="s">
        <v>1079</v>
      </c>
      <c r="C1109" s="11" t="s">
        <v>1080</v>
      </c>
      <c r="D1109" s="12" t="s">
        <v>1145</v>
      </c>
      <c r="E1109" s="13" t="s">
        <v>1716</v>
      </c>
      <c r="F1109" s="6" t="str">
        <f>_xlfn.XLOOKUP(D1109,[9]Sheet2!$C:$C,[9]Sheet2!$E:$E,"-")</f>
        <v>Ahmad Khairul Zawawi</v>
      </c>
      <c r="G1109" s="222"/>
    </row>
    <row r="1110" spans="2:7">
      <c r="B1110" s="10" t="s">
        <v>1079</v>
      </c>
      <c r="C1110" s="11" t="s">
        <v>1080</v>
      </c>
      <c r="D1110" s="12" t="s">
        <v>1146</v>
      </c>
      <c r="E1110" s="13" t="s">
        <v>1716</v>
      </c>
      <c r="F1110" s="6" t="str">
        <f>_xlfn.XLOOKUP(D1110,[9]Sheet2!$C:$C,[9]Sheet2!$E:$E,"-")</f>
        <v>Muhlis Riyadi</v>
      </c>
      <c r="G1110" s="222"/>
    </row>
    <row r="1111" spans="2:7">
      <c r="B1111" s="10" t="s">
        <v>1079</v>
      </c>
      <c r="C1111" s="11" t="s">
        <v>1080</v>
      </c>
      <c r="D1111" s="12" t="s">
        <v>1147</v>
      </c>
      <c r="E1111" s="13" t="s">
        <v>1716</v>
      </c>
      <c r="F1111" s="6" t="str">
        <f>_xlfn.XLOOKUP(D1111,[9]Sheet2!$C:$C,[9]Sheet2!$E:$E,"-")</f>
        <v>Mohammad Irsyad</v>
      </c>
      <c r="G1111" s="222"/>
    </row>
    <row r="1112" spans="2:7">
      <c r="B1112" s="10" t="s">
        <v>1079</v>
      </c>
      <c r="C1112" s="11" t="s">
        <v>1080</v>
      </c>
      <c r="D1112" s="12" t="s">
        <v>1148</v>
      </c>
      <c r="E1112" s="13" t="s">
        <v>1716</v>
      </c>
      <c r="F1112" s="6" t="str">
        <f>_xlfn.XLOOKUP(D1112,[9]Sheet2!$C:$C,[9]Sheet2!$E:$E,"-")</f>
        <v>Mohammad Irsyad</v>
      </c>
      <c r="G1112" s="222"/>
    </row>
    <row r="1113" spans="2:7">
      <c r="B1113" s="10" t="s">
        <v>1079</v>
      </c>
      <c r="C1113" s="11" t="s">
        <v>1080</v>
      </c>
      <c r="D1113" s="12" t="s">
        <v>1149</v>
      </c>
      <c r="E1113" s="13" t="s">
        <v>1716</v>
      </c>
      <c r="F1113" s="6" t="str">
        <f>_xlfn.XLOOKUP(D1113,[9]Sheet2!$C:$C,[9]Sheet2!$E:$E,"-")</f>
        <v>Eka Satrio</v>
      </c>
      <c r="G1113" s="222"/>
    </row>
    <row r="1114" spans="2:7">
      <c r="B1114" s="10" t="s">
        <v>1079</v>
      </c>
      <c r="C1114" s="11" t="s">
        <v>1080</v>
      </c>
      <c r="D1114" s="12" t="s">
        <v>1150</v>
      </c>
      <c r="E1114" s="13" t="s">
        <v>1716</v>
      </c>
      <c r="F1114" s="6" t="str">
        <f>_xlfn.XLOOKUP(D1114,[9]Sheet2!$C:$C,[9]Sheet2!$E:$E,"-")</f>
        <v>Hodaifah</v>
      </c>
      <c r="G1114" s="222"/>
    </row>
    <row r="1115" spans="2:7">
      <c r="B1115" s="10" t="s">
        <v>1079</v>
      </c>
      <c r="C1115" s="11" t="s">
        <v>1080</v>
      </c>
      <c r="D1115" s="12" t="s">
        <v>1151</v>
      </c>
      <c r="E1115" s="13" t="s">
        <v>1716</v>
      </c>
      <c r="F1115" s="6" t="str">
        <f>_xlfn.XLOOKUP(D1115,[9]Sheet2!$C:$C,[9]Sheet2!$E:$E,"-")</f>
        <v>Hodaifah</v>
      </c>
      <c r="G1115" s="222"/>
    </row>
    <row r="1116" spans="2:7">
      <c r="B1116" s="10" t="s">
        <v>1079</v>
      </c>
      <c r="C1116" s="11" t="s">
        <v>1080</v>
      </c>
      <c r="D1116" s="12" t="s">
        <v>1152</v>
      </c>
      <c r="E1116" s="13" t="s">
        <v>1716</v>
      </c>
      <c r="F1116" s="6" t="str">
        <f>_xlfn.XLOOKUP(D1116,[9]Sheet2!$C:$C,[9]Sheet2!$E:$E,"-")</f>
        <v>Mohammad Irsyad</v>
      </c>
      <c r="G1116" s="222"/>
    </row>
    <row r="1117" spans="2:7">
      <c r="B1117" s="10" t="s">
        <v>1079</v>
      </c>
      <c r="C1117" s="11" t="s">
        <v>1080</v>
      </c>
      <c r="D1117" s="12" t="s">
        <v>1153</v>
      </c>
      <c r="E1117" s="13" t="s">
        <v>1716</v>
      </c>
      <c r="F1117" s="6" t="str">
        <f>_xlfn.XLOOKUP(D1117,[9]Sheet2!$C:$C,[9]Sheet2!$E:$E,"-")</f>
        <v>Syamsuddin</v>
      </c>
      <c r="G1117" s="222"/>
    </row>
    <row r="1118" spans="2:7">
      <c r="B1118" s="10" t="s">
        <v>1079</v>
      </c>
      <c r="C1118" s="11" t="s">
        <v>1080</v>
      </c>
      <c r="D1118" s="12" t="s">
        <v>1154</v>
      </c>
      <c r="E1118" s="13" t="s">
        <v>1716</v>
      </c>
      <c r="F1118" s="6" t="str">
        <f>_xlfn.XLOOKUP(D1118,[9]Sheet2!$C:$C,[9]Sheet2!$E:$E,"-")</f>
        <v>Yusufil Hamdhani Akbar</v>
      </c>
      <c r="G1118" s="222"/>
    </row>
    <row r="1119" spans="2:7">
      <c r="B1119" s="10" t="s">
        <v>1079</v>
      </c>
      <c r="C1119" s="11" t="s">
        <v>1080</v>
      </c>
      <c r="D1119" s="12" t="s">
        <v>1155</v>
      </c>
      <c r="E1119" s="13" t="s">
        <v>1739</v>
      </c>
      <c r="F1119" s="6" t="str">
        <f>_xlfn.XLOOKUP(D1119,[9]Sheet2!$C:$C,[9]Sheet2!$E:$E,"-")</f>
        <v>-</v>
      </c>
      <c r="G1119" s="222"/>
    </row>
    <row r="1120" spans="2:7">
      <c r="B1120" s="10" t="s">
        <v>1079</v>
      </c>
      <c r="C1120" s="11" t="s">
        <v>1080</v>
      </c>
      <c r="D1120" s="12" t="s">
        <v>1156</v>
      </c>
      <c r="E1120" s="13" t="s">
        <v>1716</v>
      </c>
      <c r="F1120" s="6" t="str">
        <f>_xlfn.XLOOKUP(D1120,[9]Sheet2!$C:$C,[9]Sheet2!$E:$E,"-")</f>
        <v>Moh. Adfar Istihar</v>
      </c>
      <c r="G1120" s="222"/>
    </row>
    <row r="1121" spans="2:7">
      <c r="B1121" s="10" t="s">
        <v>1079</v>
      </c>
      <c r="C1121" s="11" t="s">
        <v>1080</v>
      </c>
      <c r="D1121" s="12" t="s">
        <v>1157</v>
      </c>
      <c r="E1121" s="13" t="s">
        <v>1716</v>
      </c>
      <c r="F1121" s="6" t="str">
        <f>_xlfn.XLOOKUP(D1121,[9]Sheet2!$C:$C,[9]Sheet2!$E:$E,"-")</f>
        <v>Moh. Adfar Istihar</v>
      </c>
      <c r="G1121" s="222"/>
    </row>
    <row r="1122" spans="2:7">
      <c r="B1122" s="10" t="s">
        <v>1079</v>
      </c>
      <c r="C1122" s="11" t="s">
        <v>1080</v>
      </c>
      <c r="D1122" s="12" t="s">
        <v>1158</v>
      </c>
      <c r="E1122" s="13" t="s">
        <v>1716</v>
      </c>
      <c r="F1122" s="6" t="str">
        <f>_xlfn.XLOOKUP(D1122,[9]Sheet2!$C:$C,[9]Sheet2!$E:$E,"-")</f>
        <v>Abd. Ghoni</v>
      </c>
      <c r="G1122" s="222"/>
    </row>
    <row r="1123" spans="2:7">
      <c r="B1123" s="10" t="s">
        <v>1079</v>
      </c>
      <c r="C1123" s="11" t="s">
        <v>1080</v>
      </c>
      <c r="D1123" s="12" t="s">
        <v>1159</v>
      </c>
      <c r="E1123" s="13" t="s">
        <v>1716</v>
      </c>
      <c r="F1123" s="6" t="str">
        <f>_xlfn.XLOOKUP(D1123,[9]Sheet2!$C:$C,[9]Sheet2!$E:$E,"-")</f>
        <v>Abd. Syakur</v>
      </c>
      <c r="G1123" s="222"/>
    </row>
    <row r="1124" spans="2:7">
      <c r="B1124" s="10" t="s">
        <v>1079</v>
      </c>
      <c r="C1124" s="11" t="s">
        <v>1080</v>
      </c>
      <c r="D1124" s="12" t="s">
        <v>1160</v>
      </c>
      <c r="E1124" s="13" t="s">
        <v>1716</v>
      </c>
      <c r="F1124" s="6" t="str">
        <f>_xlfn.XLOOKUP(D1124,[9]Sheet2!$C:$C,[9]Sheet2!$E:$E,"-")</f>
        <v>Abd. Syakur</v>
      </c>
      <c r="G1124" s="222"/>
    </row>
    <row r="1125" spans="2:7">
      <c r="B1125" s="10" t="s">
        <v>1079</v>
      </c>
      <c r="C1125" s="11" t="s">
        <v>1080</v>
      </c>
      <c r="D1125" s="12" t="s">
        <v>1161</v>
      </c>
      <c r="E1125" s="13" t="s">
        <v>1739</v>
      </c>
      <c r="F1125" s="6" t="str">
        <f>_xlfn.XLOOKUP(D1125,[9]Sheet2!$C:$C,[9]Sheet2!$E:$E,"-")</f>
        <v>-</v>
      </c>
      <c r="G1125" s="222"/>
    </row>
    <row r="1126" spans="2:7">
      <c r="B1126" s="10" t="s">
        <v>1079</v>
      </c>
      <c r="C1126" s="11" t="s">
        <v>1080</v>
      </c>
      <c r="D1126" s="12" t="s">
        <v>1162</v>
      </c>
      <c r="E1126" s="13" t="s">
        <v>1739</v>
      </c>
      <c r="F1126" s="6" t="str">
        <f>_xlfn.XLOOKUP(D1126,[9]Sheet2!$C:$C,[9]Sheet2!$E:$E,"-")</f>
        <v>-</v>
      </c>
      <c r="G1126" s="222"/>
    </row>
    <row r="1127" spans="2:7">
      <c r="B1127" s="10" t="s">
        <v>1079</v>
      </c>
      <c r="C1127" s="11" t="s">
        <v>1080</v>
      </c>
      <c r="D1127" s="12" t="s">
        <v>1163</v>
      </c>
      <c r="E1127" s="13" t="s">
        <v>1739</v>
      </c>
      <c r="F1127" s="6" t="str">
        <f>_xlfn.XLOOKUP(D1127,[9]Sheet2!$C:$C,[9]Sheet2!$E:$E,"-")</f>
        <v>-</v>
      </c>
      <c r="G1127" s="222"/>
    </row>
    <row r="1128" spans="2:7">
      <c r="B1128" s="10" t="s">
        <v>1079</v>
      </c>
      <c r="C1128" s="11" t="s">
        <v>1080</v>
      </c>
      <c r="D1128" s="12" t="s">
        <v>1164</v>
      </c>
      <c r="E1128" s="13" t="s">
        <v>1716</v>
      </c>
      <c r="F1128" s="6" t="str">
        <f>_xlfn.XLOOKUP(D1128,[9]Sheet2!$C:$C,[9]Sheet2!$E:$E,"-")</f>
        <v>Eko Junaidi</v>
      </c>
      <c r="G1128" s="222"/>
    </row>
    <row r="1129" spans="2:7">
      <c r="B1129" s="10" t="s">
        <v>1079</v>
      </c>
      <c r="C1129" s="11" t="s">
        <v>1080</v>
      </c>
      <c r="D1129" s="12" t="s">
        <v>1165</v>
      </c>
      <c r="E1129" s="13" t="s">
        <v>1716</v>
      </c>
      <c r="F1129" s="6" t="str">
        <f>_xlfn.XLOOKUP(D1129,[9]Sheet2!$C:$C,[9]Sheet2!$E:$E,"-")</f>
        <v>Tika Vebrian Tiara Devi</v>
      </c>
      <c r="G1129" s="222"/>
    </row>
    <row r="1130" spans="2:7">
      <c r="B1130" s="10" t="s">
        <v>1079</v>
      </c>
      <c r="C1130" s="11" t="s">
        <v>1080</v>
      </c>
      <c r="D1130" s="12" t="s">
        <v>1166</v>
      </c>
      <c r="E1130" s="13" t="s">
        <v>1716</v>
      </c>
      <c r="F1130" s="6" t="str">
        <f>_xlfn.XLOOKUP(D1130,[9]Sheet2!$C:$C,[9]Sheet2!$E:$E,"-")</f>
        <v>Eko Prasetianto Nugroho</v>
      </c>
      <c r="G1130" s="222"/>
    </row>
    <row r="1131" spans="2:7">
      <c r="B1131" s="10" t="s">
        <v>1079</v>
      </c>
      <c r="C1131" s="11" t="s">
        <v>1080</v>
      </c>
      <c r="D1131" s="12" t="s">
        <v>1167</v>
      </c>
      <c r="E1131" s="13" t="s">
        <v>1716</v>
      </c>
      <c r="F1131" s="6" t="str">
        <f>_xlfn.XLOOKUP(D1131,[9]Sheet2!$C:$C,[9]Sheet2!$E:$E,"-")</f>
        <v>Eko Junaidi</v>
      </c>
      <c r="G1131" s="222"/>
    </row>
    <row r="1132" spans="2:7">
      <c r="B1132" s="10" t="s">
        <v>1079</v>
      </c>
      <c r="C1132" s="11" t="s">
        <v>1080</v>
      </c>
      <c r="D1132" s="12" t="s">
        <v>1168</v>
      </c>
      <c r="E1132" s="13" t="s">
        <v>1739</v>
      </c>
      <c r="F1132" s="6" t="str">
        <f>_xlfn.XLOOKUP(D1132,[9]Sheet2!$C:$C,[9]Sheet2!$E:$E,"-")</f>
        <v>Boma Eka Kurniawan</v>
      </c>
      <c r="G1132" s="222"/>
    </row>
    <row r="1133" spans="2:7">
      <c r="B1133" s="10" t="s">
        <v>1079</v>
      </c>
      <c r="C1133" s="11" t="s">
        <v>1080</v>
      </c>
      <c r="D1133" s="12" t="s">
        <v>1169</v>
      </c>
      <c r="E1133" s="13" t="s">
        <v>1716</v>
      </c>
      <c r="F1133" s="6" t="str">
        <f>_xlfn.XLOOKUP(D1133,[9]Sheet2!$C:$C,[9]Sheet2!$E:$E,"-")</f>
        <v>Tika Vebrian Tiara Devi</v>
      </c>
      <c r="G1133" s="222"/>
    </row>
    <row r="1134" spans="2:7">
      <c r="B1134" s="10" t="s">
        <v>1079</v>
      </c>
      <c r="C1134" s="11" t="s">
        <v>1080</v>
      </c>
      <c r="D1134" s="12" t="s">
        <v>1170</v>
      </c>
      <c r="E1134" s="13" t="s">
        <v>1739</v>
      </c>
      <c r="F1134" s="6" t="str">
        <f>_xlfn.XLOOKUP(D1134,[9]Sheet2!$C:$C,[9]Sheet2!$E:$E,"-")</f>
        <v>Galih Dewangga</v>
      </c>
      <c r="G1134" s="222"/>
    </row>
    <row r="1135" spans="2:7">
      <c r="B1135" s="10" t="s">
        <v>1079</v>
      </c>
      <c r="C1135" s="11" t="s">
        <v>1080</v>
      </c>
      <c r="D1135" s="12" t="s">
        <v>1171</v>
      </c>
      <c r="E1135" s="13" t="s">
        <v>1716</v>
      </c>
      <c r="F1135" s="6" t="str">
        <f>_xlfn.XLOOKUP(D1135,[9]Sheet2!$C:$C,[9]Sheet2!$E:$E,"-")</f>
        <v>Riza Aji Nurcholis</v>
      </c>
      <c r="G1135" s="222"/>
    </row>
    <row r="1136" spans="2:7">
      <c r="B1136" s="10" t="s">
        <v>1079</v>
      </c>
      <c r="C1136" s="11" t="s">
        <v>1080</v>
      </c>
      <c r="D1136" s="12" t="s">
        <v>1172</v>
      </c>
      <c r="E1136" s="13" t="s">
        <v>1716</v>
      </c>
      <c r="F1136" s="6" t="str">
        <f>_xlfn.XLOOKUP(D1136,[9]Sheet2!$C:$C,[9]Sheet2!$E:$E,"-")</f>
        <v>Hendrik Robi Saputra</v>
      </c>
      <c r="G1136" s="222"/>
    </row>
    <row r="1137" spans="2:7">
      <c r="B1137" s="10" t="s">
        <v>1079</v>
      </c>
      <c r="C1137" s="11" t="s">
        <v>1080</v>
      </c>
      <c r="D1137" s="12" t="s">
        <v>1173</v>
      </c>
      <c r="E1137" s="13" t="s">
        <v>1716</v>
      </c>
      <c r="F1137" s="6" t="str">
        <f>_xlfn.XLOOKUP(D1137,[9]Sheet2!$C:$C,[9]Sheet2!$E:$E,"-")</f>
        <v>Rika Arif Aprianto</v>
      </c>
      <c r="G1137" s="222"/>
    </row>
    <row r="1138" spans="2:7">
      <c r="B1138" s="10" t="s">
        <v>1079</v>
      </c>
      <c r="C1138" s="11" t="s">
        <v>1080</v>
      </c>
      <c r="D1138" s="12" t="s">
        <v>1174</v>
      </c>
      <c r="E1138" s="13" t="s">
        <v>1716</v>
      </c>
      <c r="F1138" s="6" t="str">
        <f>_xlfn.XLOOKUP(D1138,[9]Sheet2!$C:$C,[9]Sheet2!$E:$E,"-")</f>
        <v>Yacob Juan Firmansyah</v>
      </c>
      <c r="G1138" s="222"/>
    </row>
    <row r="1139" spans="2:7">
      <c r="B1139" s="10" t="s">
        <v>1079</v>
      </c>
      <c r="C1139" s="11" t="s">
        <v>1080</v>
      </c>
      <c r="D1139" s="12" t="s">
        <v>1175</v>
      </c>
      <c r="E1139" s="13" t="s">
        <v>1739</v>
      </c>
      <c r="F1139" s="6" t="str">
        <f>_xlfn.XLOOKUP(D1139,[9]Sheet2!$C:$C,[9]Sheet2!$E:$E,"-")</f>
        <v>Rony Koco Abrianto</v>
      </c>
      <c r="G1139" s="222"/>
    </row>
    <row r="1140" spans="2:7">
      <c r="B1140" s="10" t="s">
        <v>1079</v>
      </c>
      <c r="C1140" s="11" t="s">
        <v>1080</v>
      </c>
      <c r="D1140" s="12" t="s">
        <v>1176</v>
      </c>
      <c r="E1140" s="13" t="s">
        <v>1716</v>
      </c>
      <c r="F1140" s="6" t="str">
        <f>_xlfn.XLOOKUP(D1140,[9]Sheet2!$C:$C,[9]Sheet2!$E:$E,"-")</f>
        <v>Fathoni Yusuf</v>
      </c>
      <c r="G1140" s="222"/>
    </row>
    <row r="1141" spans="2:7">
      <c r="B1141" s="10" t="s">
        <v>1079</v>
      </c>
      <c r="C1141" s="11" t="s">
        <v>1080</v>
      </c>
      <c r="D1141" s="12" t="s">
        <v>1177</v>
      </c>
      <c r="E1141" s="13" t="s">
        <v>1739</v>
      </c>
      <c r="F1141" s="6" t="str">
        <f>_xlfn.XLOOKUP(D1141,[9]Sheet2!$C:$C,[9]Sheet2!$E:$E,"-")</f>
        <v>Faizal Dwi Pramono</v>
      </c>
      <c r="G1141" s="222"/>
    </row>
    <row r="1142" spans="2:7">
      <c r="B1142" s="10" t="s">
        <v>1079</v>
      </c>
      <c r="C1142" s="11" t="s">
        <v>1080</v>
      </c>
      <c r="D1142" s="12" t="s">
        <v>1178</v>
      </c>
      <c r="E1142" s="13" t="s">
        <v>1716</v>
      </c>
      <c r="F1142" s="6" t="str">
        <f>_xlfn.XLOOKUP(D1142,[9]Sheet2!$C:$C,[9]Sheet2!$E:$E,"-")</f>
        <v>Yudi Yiswoyo</v>
      </c>
      <c r="G1142" s="222"/>
    </row>
    <row r="1143" spans="2:7">
      <c r="B1143" s="10" t="s">
        <v>1079</v>
      </c>
      <c r="C1143" s="11" t="s">
        <v>1080</v>
      </c>
      <c r="D1143" s="12" t="s">
        <v>1179</v>
      </c>
      <c r="E1143" s="13" t="s">
        <v>1716</v>
      </c>
      <c r="F1143" s="6" t="str">
        <f>_xlfn.XLOOKUP(D1143,[9]Sheet2!$C:$C,[9]Sheet2!$E:$E,"-")</f>
        <v>Irul Marwianto</v>
      </c>
      <c r="G1143" s="222"/>
    </row>
    <row r="1144" spans="2:7">
      <c r="B1144" s="10" t="s">
        <v>1079</v>
      </c>
      <c r="C1144" s="11" t="s">
        <v>1080</v>
      </c>
      <c r="D1144" s="12" t="s">
        <v>1180</v>
      </c>
      <c r="E1144" s="13" t="s">
        <v>1716</v>
      </c>
      <c r="F1144" s="6" t="str">
        <f>_xlfn.XLOOKUP(D1144,[9]Sheet2!$C:$C,[9]Sheet2!$E:$E,"-")</f>
        <v>Fikto Nur Mansah</v>
      </c>
      <c r="G1144" s="222"/>
    </row>
    <row r="1145" spans="2:7">
      <c r="B1145" s="10" t="s">
        <v>1079</v>
      </c>
      <c r="C1145" s="11" t="s">
        <v>1080</v>
      </c>
      <c r="D1145" s="12" t="s">
        <v>1181</v>
      </c>
      <c r="E1145" s="13" t="s">
        <v>1716</v>
      </c>
      <c r="F1145" s="6" t="str">
        <f>_xlfn.XLOOKUP(D1145,[9]Sheet2!$C:$C,[9]Sheet2!$E:$E,"-")</f>
        <v>Fikto Nur Mansah</v>
      </c>
      <c r="G1145" s="222"/>
    </row>
    <row r="1146" spans="2:7">
      <c r="B1146" s="10" t="s">
        <v>1079</v>
      </c>
      <c r="C1146" s="11" t="s">
        <v>1080</v>
      </c>
      <c r="D1146" s="12" t="s">
        <v>1182</v>
      </c>
      <c r="E1146" s="13" t="s">
        <v>1716</v>
      </c>
      <c r="F1146" s="6" t="str">
        <f>_xlfn.XLOOKUP(D1146,[9]Sheet2!$C:$C,[9]Sheet2!$E:$E,"-")</f>
        <v>Irul Marwianto</v>
      </c>
      <c r="G1146" s="222"/>
    </row>
    <row r="1147" spans="2:7">
      <c r="B1147" s="10" t="s">
        <v>1079</v>
      </c>
      <c r="C1147" s="11" t="s">
        <v>1080</v>
      </c>
      <c r="D1147" s="12" t="s">
        <v>1183</v>
      </c>
      <c r="E1147" s="13" t="s">
        <v>1739</v>
      </c>
      <c r="F1147" s="6" t="str">
        <f>_xlfn.XLOOKUP(D1147,[9]Sheet2!$C:$C,[9]Sheet2!$E:$E,"-")</f>
        <v>Fanky Puguh Prasetyo</v>
      </c>
      <c r="G1147" s="222"/>
    </row>
    <row r="1148" spans="2:7">
      <c r="B1148" s="10" t="s">
        <v>1079</v>
      </c>
      <c r="C1148" s="11" t="s">
        <v>1080</v>
      </c>
      <c r="D1148" s="12" t="s">
        <v>1184</v>
      </c>
      <c r="E1148" s="13" t="s">
        <v>1716</v>
      </c>
      <c r="F1148" s="6" t="str">
        <f>_xlfn.XLOOKUP(D1148,[9]Sheet2!$C:$C,[9]Sheet2!$E:$E,"-")</f>
        <v>Mohamad Ariz Zakariya</v>
      </c>
      <c r="G1148" s="222"/>
    </row>
    <row r="1149" spans="2:7">
      <c r="B1149" s="10" t="s">
        <v>1079</v>
      </c>
      <c r="C1149" s="11" t="s">
        <v>1080</v>
      </c>
      <c r="D1149" s="12" t="s">
        <v>1185</v>
      </c>
      <c r="E1149" s="13" t="s">
        <v>1716</v>
      </c>
      <c r="F1149" s="6" t="str">
        <f>_xlfn.XLOOKUP(D1149,[9]Sheet2!$C:$C,[9]Sheet2!$E:$E,"-")</f>
        <v>Mohammad Putra Surya Mahendra</v>
      </c>
      <c r="G1149" s="222"/>
    </row>
    <row r="1150" spans="2:7">
      <c r="B1150" s="10" t="s">
        <v>1079</v>
      </c>
      <c r="C1150" s="11" t="s">
        <v>1080</v>
      </c>
      <c r="D1150" s="12" t="s">
        <v>1186</v>
      </c>
      <c r="E1150" s="13" t="s">
        <v>1716</v>
      </c>
      <c r="F1150" s="6" t="str">
        <f>_xlfn.XLOOKUP(D1150,[9]Sheet2!$C:$C,[9]Sheet2!$E:$E,"-")</f>
        <v>Angga Widayanto</v>
      </c>
      <c r="G1150" s="222"/>
    </row>
    <row r="1151" spans="2:7">
      <c r="B1151" s="10" t="s">
        <v>1079</v>
      </c>
      <c r="C1151" s="11" t="s">
        <v>1080</v>
      </c>
      <c r="D1151" s="12" t="s">
        <v>1187</v>
      </c>
      <c r="E1151" s="13" t="s">
        <v>1739</v>
      </c>
      <c r="F1151" s="6" t="str">
        <f>_xlfn.XLOOKUP(D1151,[9]Sheet2!$C:$C,[9]Sheet2!$E:$E,"-")</f>
        <v>Ruly Syaiful Ansor</v>
      </c>
      <c r="G1151" s="222"/>
    </row>
    <row r="1152" spans="2:7">
      <c r="B1152" s="10" t="s">
        <v>1079</v>
      </c>
      <c r="C1152" s="11" t="s">
        <v>1080</v>
      </c>
      <c r="D1152" s="12" t="s">
        <v>1188</v>
      </c>
      <c r="E1152" s="13" t="s">
        <v>1739</v>
      </c>
      <c r="F1152" s="6" t="str">
        <f>_xlfn.XLOOKUP(D1152,[9]Sheet2!$C:$C,[9]Sheet2!$E:$E,"-")</f>
        <v>Prasetyo Istianto</v>
      </c>
      <c r="G1152" s="222"/>
    </row>
    <row r="1153" spans="2:7">
      <c r="B1153" s="10" t="s">
        <v>1079</v>
      </c>
      <c r="C1153" s="11" t="s">
        <v>1080</v>
      </c>
      <c r="D1153" s="12" t="s">
        <v>1189</v>
      </c>
      <c r="E1153" s="13" t="s">
        <v>1739</v>
      </c>
      <c r="F1153" s="6" t="str">
        <f>_xlfn.XLOOKUP(D1153,[9]Sheet2!$C:$C,[9]Sheet2!$E:$E,"-")</f>
        <v>Widi Rumekso</v>
      </c>
      <c r="G1153" s="222"/>
    </row>
    <row r="1154" spans="2:7">
      <c r="B1154" s="10" t="s">
        <v>1079</v>
      </c>
      <c r="C1154" s="11" t="s">
        <v>1080</v>
      </c>
      <c r="D1154" s="12" t="s">
        <v>1190</v>
      </c>
      <c r="E1154" s="13" t="s">
        <v>1739</v>
      </c>
      <c r="F1154" s="6" t="str">
        <f>_xlfn.XLOOKUP(D1154,[9]Sheet2!$C:$C,[9]Sheet2!$E:$E,"-")</f>
        <v>Mohammad Afreza Al Ayyubi</v>
      </c>
      <c r="G1154" s="222"/>
    </row>
    <row r="1155" spans="2:7">
      <c r="B1155" s="10" t="s">
        <v>1079</v>
      </c>
      <c r="C1155" s="11" t="s">
        <v>1080</v>
      </c>
      <c r="D1155" s="12" t="s">
        <v>1191</v>
      </c>
      <c r="E1155" s="13" t="s">
        <v>1739</v>
      </c>
      <c r="F1155" s="6" t="str">
        <f>_xlfn.XLOOKUP(D1155,[9]Sheet2!$C:$C,[9]Sheet2!$E:$E,"-")</f>
        <v>Laga Pratama Nurjiwo</v>
      </c>
      <c r="G1155" s="222"/>
    </row>
    <row r="1156" spans="2:7">
      <c r="B1156" s="10" t="s">
        <v>1079</v>
      </c>
      <c r="C1156" s="11" t="s">
        <v>1080</v>
      </c>
      <c r="D1156" s="12" t="s">
        <v>1192</v>
      </c>
      <c r="E1156" s="13" t="s">
        <v>1739</v>
      </c>
      <c r="F1156" s="6" t="str">
        <f>_xlfn.XLOOKUP(D1156,[9]Sheet2!$C:$C,[9]Sheet2!$E:$E,"-")</f>
        <v>Ali Zainal Abidin</v>
      </c>
      <c r="G1156" s="222"/>
    </row>
    <row r="1157" spans="2:7">
      <c r="B1157" s="10" t="s">
        <v>1079</v>
      </c>
      <c r="C1157" s="11" t="s">
        <v>1080</v>
      </c>
      <c r="D1157" s="12" t="s">
        <v>1193</v>
      </c>
      <c r="E1157" s="13" t="s">
        <v>1739</v>
      </c>
      <c r="F1157" s="6" t="str">
        <f>_xlfn.XLOOKUP(D1157,[9]Sheet2!$C:$C,[9]Sheet2!$E:$E,"-")</f>
        <v>Dyah Ayu Larasati Tri Palupi</v>
      </c>
      <c r="G1157" s="222"/>
    </row>
    <row r="1158" spans="2:7">
      <c r="B1158" s="10" t="s">
        <v>1079</v>
      </c>
      <c r="C1158" s="11" t="s">
        <v>1080</v>
      </c>
      <c r="D1158" s="12" t="s">
        <v>1194</v>
      </c>
      <c r="E1158" s="13" t="s">
        <v>1739</v>
      </c>
      <c r="F1158" s="6" t="str">
        <f>_xlfn.XLOOKUP(D1158,[9]Sheet2!$C:$C,[9]Sheet2!$E:$E,"-")</f>
        <v>Feri Setiawan</v>
      </c>
      <c r="G1158" s="222"/>
    </row>
    <row r="1159" spans="2:7">
      <c r="B1159" s="10" t="s">
        <v>1079</v>
      </c>
      <c r="C1159" s="11" t="s">
        <v>1080</v>
      </c>
      <c r="D1159" s="12" t="s">
        <v>1195</v>
      </c>
      <c r="E1159" s="13" t="s">
        <v>1739</v>
      </c>
      <c r="F1159" s="6" t="str">
        <f>_xlfn.XLOOKUP(D1159,[9]Sheet2!$C:$C,[9]Sheet2!$E:$E,"-")</f>
        <v>M. Yanuar Rifa'I</v>
      </c>
      <c r="G1159" s="222"/>
    </row>
    <row r="1160" spans="2:7">
      <c r="B1160" s="10" t="s">
        <v>1079</v>
      </c>
      <c r="C1160" s="11" t="s">
        <v>1080</v>
      </c>
      <c r="D1160" s="12" t="s">
        <v>1196</v>
      </c>
      <c r="E1160" s="13" t="s">
        <v>1739</v>
      </c>
      <c r="F1160" s="6" t="str">
        <f>_xlfn.XLOOKUP(D1160,[9]Sheet2!$C:$C,[9]Sheet2!$E:$E,"-")</f>
        <v>Muhammad Syaifullah</v>
      </c>
      <c r="G1160" s="222"/>
    </row>
    <row r="1161" spans="2:7">
      <c r="B1161" s="10" t="s">
        <v>1079</v>
      </c>
      <c r="C1161" s="11" t="s">
        <v>1080</v>
      </c>
      <c r="D1161" s="12" t="s">
        <v>1197</v>
      </c>
      <c r="E1161" s="13" t="s">
        <v>1739</v>
      </c>
      <c r="F1161" s="6" t="str">
        <f>_xlfn.XLOOKUP(D1161,[9]Sheet2!$C:$C,[9]Sheet2!$E:$E,"-")</f>
        <v>Diky Satriawan</v>
      </c>
      <c r="G1161" s="222"/>
    </row>
    <row r="1162" spans="2:7">
      <c r="B1162" s="10" t="s">
        <v>1079</v>
      </c>
      <c r="C1162" s="11" t="s">
        <v>1080</v>
      </c>
      <c r="D1162" s="12" t="s">
        <v>1198</v>
      </c>
      <c r="E1162" s="13" t="s">
        <v>1739</v>
      </c>
      <c r="F1162" s="6" t="str">
        <f>_xlfn.XLOOKUP(D1162,[9]Sheet2!$C:$C,[9]Sheet2!$E:$E,"-")</f>
        <v>Achmad Afandi</v>
      </c>
      <c r="G1162" s="222"/>
    </row>
    <row r="1163" spans="2:7">
      <c r="B1163" s="10" t="s">
        <v>1079</v>
      </c>
      <c r="C1163" s="11" t="s">
        <v>1080</v>
      </c>
      <c r="D1163" s="12" t="s">
        <v>1199</v>
      </c>
      <c r="E1163" s="13" t="s">
        <v>1739</v>
      </c>
      <c r="F1163" s="6" t="str">
        <f>_xlfn.XLOOKUP(D1163,[9]Sheet2!$C:$C,[9]Sheet2!$E:$E,"-")</f>
        <v>Nanang Arifianto</v>
      </c>
      <c r="G1163" s="222"/>
    </row>
    <row r="1164" spans="2:7">
      <c r="B1164" s="10" t="s">
        <v>1079</v>
      </c>
      <c r="C1164" s="11" t="s">
        <v>1080</v>
      </c>
      <c r="D1164" s="12" t="s">
        <v>1200</v>
      </c>
      <c r="E1164" s="13" t="s">
        <v>1739</v>
      </c>
      <c r="F1164" s="6" t="str">
        <f>_xlfn.XLOOKUP(D1164,[9]Sheet2!$C:$C,[9]Sheet2!$E:$E,"-")</f>
        <v>Rif'An Munawwir</v>
      </c>
      <c r="G1164" s="222"/>
    </row>
    <row r="1165" spans="2:7">
      <c r="B1165" s="10" t="s">
        <v>1079</v>
      </c>
      <c r="C1165" s="11" t="s">
        <v>1080</v>
      </c>
      <c r="D1165" s="12" t="s">
        <v>1201</v>
      </c>
      <c r="E1165" s="13" t="s">
        <v>1739</v>
      </c>
      <c r="F1165" s="6" t="str">
        <f>_xlfn.XLOOKUP(D1165,[9]Sheet2!$C:$C,[9]Sheet2!$E:$E,"-")</f>
        <v>Shokibul Kafi</v>
      </c>
      <c r="G1165" s="222"/>
    </row>
    <row r="1166" spans="2:7">
      <c r="B1166" s="10" t="s">
        <v>1079</v>
      </c>
      <c r="C1166" s="11" t="s">
        <v>1080</v>
      </c>
      <c r="D1166" s="12" t="s">
        <v>1202</v>
      </c>
      <c r="E1166" s="13" t="s">
        <v>1739</v>
      </c>
      <c r="F1166" s="6" t="str">
        <f>_xlfn.XLOOKUP(D1166,[9]Sheet2!$C:$C,[9]Sheet2!$E:$E,"-")</f>
        <v>Ahmad Fakhru Rozan</v>
      </c>
      <c r="G1166" s="222"/>
    </row>
    <row r="1167" spans="2:7">
      <c r="B1167" s="10" t="s">
        <v>1079</v>
      </c>
      <c r="C1167" s="11" t="s">
        <v>1080</v>
      </c>
      <c r="D1167" s="12" t="s">
        <v>1203</v>
      </c>
      <c r="E1167" s="13" t="s">
        <v>1739</v>
      </c>
      <c r="F1167" s="6" t="str">
        <f>_xlfn.XLOOKUP(D1167,[9]Sheet2!$C:$C,[9]Sheet2!$E:$E,"-")</f>
        <v>Afan Fardianto</v>
      </c>
      <c r="G1167" s="222"/>
    </row>
    <row r="1168" spans="2:7">
      <c r="B1168" s="10" t="s">
        <v>1079</v>
      </c>
      <c r="C1168" s="11" t="s">
        <v>1080</v>
      </c>
      <c r="D1168" s="12" t="s">
        <v>1204</v>
      </c>
      <c r="E1168" s="13" t="s">
        <v>1739</v>
      </c>
      <c r="F1168" s="6" t="str">
        <f>_xlfn.XLOOKUP(D1168,[9]Sheet2!$C:$C,[9]Sheet2!$E:$E,"-")</f>
        <v>Dwi Wahyu Wichaksono</v>
      </c>
      <c r="G1168" s="222"/>
    </row>
    <row r="1169" spans="2:7">
      <c r="B1169" s="10" t="s">
        <v>1079</v>
      </c>
      <c r="C1169" s="11" t="s">
        <v>1080</v>
      </c>
      <c r="D1169" s="12" t="s">
        <v>1205</v>
      </c>
      <c r="E1169" s="13" t="s">
        <v>1739</v>
      </c>
      <c r="F1169" s="6" t="str">
        <f>_xlfn.XLOOKUP(D1169,[9]Sheet2!$C:$C,[9]Sheet2!$E:$E,"-")</f>
        <v>Hafiz Adam Adidarmawan</v>
      </c>
      <c r="G1169" s="222"/>
    </row>
    <row r="1170" spans="2:7">
      <c r="B1170" s="10" t="s">
        <v>1079</v>
      </c>
      <c r="C1170" s="11" t="s">
        <v>1080</v>
      </c>
      <c r="D1170" s="12" t="s">
        <v>1206</v>
      </c>
      <c r="E1170" s="13" t="s">
        <v>1739</v>
      </c>
      <c r="F1170" s="6" t="str">
        <f>_xlfn.XLOOKUP(D1170,[9]Sheet2!$C:$C,[9]Sheet2!$E:$E,"-")</f>
        <v>Argo Lumaksana</v>
      </c>
      <c r="G1170" s="222"/>
    </row>
    <row r="1171" spans="2:7">
      <c r="B1171" s="10" t="s">
        <v>1079</v>
      </c>
      <c r="C1171" s="11" t="s">
        <v>1080</v>
      </c>
      <c r="D1171" s="12" t="s">
        <v>1207</v>
      </c>
      <c r="E1171" s="13" t="s">
        <v>1739</v>
      </c>
      <c r="F1171" s="6" t="str">
        <f>_xlfn.XLOOKUP(D1171,[9]Sheet2!$C:$C,[9]Sheet2!$E:$E,"-")</f>
        <v>Ahmad Fakhru Rozan</v>
      </c>
      <c r="G1171" s="222"/>
    </row>
    <row r="1172" spans="2:7">
      <c r="B1172" s="10" t="s">
        <v>1079</v>
      </c>
      <c r="C1172" s="11" t="s">
        <v>1080</v>
      </c>
      <c r="D1172" s="12" t="s">
        <v>1208</v>
      </c>
      <c r="E1172" s="13" t="s">
        <v>1739</v>
      </c>
      <c r="F1172" s="6" t="str">
        <f>_xlfn.XLOOKUP(D1172,[9]Sheet2!$C:$C,[9]Sheet2!$E:$E,"-")</f>
        <v>Hafiz Adam Adidarmawan</v>
      </c>
      <c r="G1172" s="222"/>
    </row>
    <row r="1173" spans="2:7">
      <c r="B1173" s="10" t="s">
        <v>1079</v>
      </c>
      <c r="C1173" s="11" t="s">
        <v>1080</v>
      </c>
      <c r="D1173" s="12" t="s">
        <v>1209</v>
      </c>
      <c r="E1173" s="13" t="s">
        <v>1739</v>
      </c>
      <c r="F1173" s="6" t="str">
        <f>_xlfn.XLOOKUP(D1173,[9]Sheet2!$C:$C,[9]Sheet2!$E:$E,"-")</f>
        <v>Rochma Ridho Permadi</v>
      </c>
      <c r="G1173" s="222"/>
    </row>
    <row r="1174" spans="2:7">
      <c r="B1174" s="10" t="s">
        <v>1079</v>
      </c>
      <c r="C1174" s="11" t="s">
        <v>1080</v>
      </c>
      <c r="D1174" s="12" t="s">
        <v>1210</v>
      </c>
      <c r="E1174" s="13" t="s">
        <v>1716</v>
      </c>
      <c r="F1174" s="6" t="str">
        <f>_xlfn.XLOOKUP(D1174,[9]Sheet2!$C:$C,[9]Sheet2!$E:$E,"-")</f>
        <v>Mohammad Chandra Hermawan</v>
      </c>
      <c r="G1174" s="222"/>
    </row>
    <row r="1175" spans="2:7">
      <c r="B1175" s="10" t="s">
        <v>1079</v>
      </c>
      <c r="C1175" s="11" t="s">
        <v>1080</v>
      </c>
      <c r="D1175" s="12" t="s">
        <v>1211</v>
      </c>
      <c r="E1175" s="13" t="s">
        <v>1739</v>
      </c>
      <c r="F1175" s="6" t="str">
        <f>_xlfn.XLOOKUP(D1175,[9]Sheet2!$C:$C,[9]Sheet2!$E:$E,"-")</f>
        <v>Setiyo Budi Iswanto</v>
      </c>
      <c r="G1175" s="222"/>
    </row>
    <row r="1176" spans="2:7">
      <c r="B1176" s="10" t="s">
        <v>1079</v>
      </c>
      <c r="C1176" s="11" t="s">
        <v>1080</v>
      </c>
      <c r="D1176" s="12" t="s">
        <v>1212</v>
      </c>
      <c r="E1176" s="13" t="s">
        <v>1716</v>
      </c>
      <c r="F1176" s="6" t="str">
        <f>_xlfn.XLOOKUP(D1176,[9]Sheet2!$C:$C,[9]Sheet2!$E:$E,"-")</f>
        <v>Muhammad Alfan Fauzi</v>
      </c>
      <c r="G1176" s="222"/>
    </row>
    <row r="1177" spans="2:7">
      <c r="B1177" s="10" t="s">
        <v>1079</v>
      </c>
      <c r="C1177" s="11" t="s">
        <v>1080</v>
      </c>
      <c r="D1177" s="12" t="s">
        <v>1213</v>
      </c>
      <c r="E1177" s="13" t="s">
        <v>1716</v>
      </c>
      <c r="F1177" s="6" t="str">
        <f>_xlfn.XLOOKUP(D1177,[9]Sheet2!$C:$C,[9]Sheet2!$E:$E,"-")</f>
        <v>Muhammad Ali Yusuf</v>
      </c>
      <c r="G1177" s="222"/>
    </row>
    <row r="1178" spans="2:7">
      <c r="B1178" s="10" t="s">
        <v>1079</v>
      </c>
      <c r="C1178" s="11" t="s">
        <v>1080</v>
      </c>
      <c r="D1178" s="12" t="s">
        <v>1214</v>
      </c>
      <c r="E1178" s="13" t="s">
        <v>1739</v>
      </c>
      <c r="F1178" s="6" t="str">
        <f>_xlfn.XLOOKUP(D1178,[9]Sheet2!$C:$C,[9]Sheet2!$E:$E,"-")</f>
        <v>Ali Ghofar</v>
      </c>
      <c r="G1178" s="222"/>
    </row>
    <row r="1179" spans="2:7">
      <c r="B1179" s="10" t="s">
        <v>1079</v>
      </c>
      <c r="C1179" s="11" t="s">
        <v>1080</v>
      </c>
      <c r="D1179" s="12" t="s">
        <v>1215</v>
      </c>
      <c r="E1179" s="13" t="s">
        <v>1716</v>
      </c>
      <c r="F1179" s="6" t="str">
        <f>_xlfn.XLOOKUP(D1179,[9]Sheet2!$C:$C,[9]Sheet2!$E:$E,"-")</f>
        <v>Muhammad Ali Yusuf</v>
      </c>
      <c r="G1179" s="222"/>
    </row>
    <row r="1180" spans="2:7">
      <c r="B1180" s="10" t="s">
        <v>1079</v>
      </c>
      <c r="C1180" s="11" t="s">
        <v>1080</v>
      </c>
      <c r="D1180" s="12" t="s">
        <v>1216</v>
      </c>
      <c r="E1180" s="13" t="s">
        <v>1716</v>
      </c>
      <c r="F1180" s="6" t="str">
        <f>_xlfn.XLOOKUP(D1180,[9]Sheet2!$C:$C,[9]Sheet2!$E:$E,"-")</f>
        <v>Muhammad Ghoniyyulloh</v>
      </c>
      <c r="G1180" s="222"/>
    </row>
    <row r="1181" spans="2:7">
      <c r="B1181" s="10" t="s">
        <v>1079</v>
      </c>
      <c r="C1181" s="11" t="s">
        <v>1080</v>
      </c>
      <c r="D1181" s="12" t="s">
        <v>1217</v>
      </c>
      <c r="E1181" s="13" t="s">
        <v>1716</v>
      </c>
      <c r="F1181" s="6" t="str">
        <f>_xlfn.XLOOKUP(D1181,[9]Sheet2!$C:$C,[9]Sheet2!$E:$E,"-")</f>
        <v>Agung Hendi Alparista</v>
      </c>
      <c r="G1181" s="222"/>
    </row>
    <row r="1182" spans="2:7">
      <c r="B1182" s="10" t="s">
        <v>1079</v>
      </c>
      <c r="C1182" s="11" t="s">
        <v>1080</v>
      </c>
      <c r="D1182" s="12" t="s">
        <v>1218</v>
      </c>
      <c r="E1182" s="13" t="s">
        <v>1716</v>
      </c>
      <c r="F1182" s="6" t="str">
        <f>_xlfn.XLOOKUP(D1182,[9]Sheet2!$C:$C,[9]Sheet2!$E:$E,"-")</f>
        <v>Agung Hendi Alparista</v>
      </c>
      <c r="G1182" s="222"/>
    </row>
    <row r="1183" spans="2:7">
      <c r="B1183" s="10" t="s">
        <v>1079</v>
      </c>
      <c r="C1183" s="11" t="s">
        <v>1080</v>
      </c>
      <c r="D1183" s="12" t="s">
        <v>1219</v>
      </c>
      <c r="E1183" s="13" t="s">
        <v>1739</v>
      </c>
      <c r="F1183" s="6" t="str">
        <f>_xlfn.XLOOKUP(D1183,[9]Sheet2!$C:$C,[9]Sheet2!$E:$E,"-")</f>
        <v>Muhammad Azam Khoirur Roziqin</v>
      </c>
      <c r="G1183" s="222"/>
    </row>
    <row r="1184" spans="2:7">
      <c r="B1184" s="10" t="s">
        <v>1079</v>
      </c>
      <c r="C1184" s="11" t="s">
        <v>1080</v>
      </c>
      <c r="D1184" s="12" t="s">
        <v>1220</v>
      </c>
      <c r="E1184" s="13" t="s">
        <v>1739</v>
      </c>
      <c r="F1184" s="6" t="str">
        <f>_xlfn.XLOOKUP(D1184,[9]Sheet2!$C:$C,[9]Sheet2!$E:$E,"-")</f>
        <v>Didit Adi Saputro</v>
      </c>
      <c r="G1184" s="222"/>
    </row>
    <row r="1185" spans="2:7">
      <c r="B1185" s="10" t="s">
        <v>1079</v>
      </c>
      <c r="C1185" s="11" t="s">
        <v>1080</v>
      </c>
      <c r="D1185" s="12" t="s">
        <v>1221</v>
      </c>
      <c r="E1185" s="13" t="s">
        <v>1739</v>
      </c>
      <c r="F1185" s="6" t="str">
        <f>_xlfn.XLOOKUP(D1185,[9]Sheet2!$C:$C,[9]Sheet2!$E:$E,"-")</f>
        <v>Ali Machtub</v>
      </c>
      <c r="G1185" s="222"/>
    </row>
    <row r="1186" spans="2:7">
      <c r="B1186" s="10" t="s">
        <v>1079</v>
      </c>
      <c r="C1186" s="11" t="s">
        <v>1080</v>
      </c>
      <c r="D1186" s="12" t="s">
        <v>1222</v>
      </c>
      <c r="E1186" s="13" t="s">
        <v>1739</v>
      </c>
      <c r="F1186" s="6" t="str">
        <f>_xlfn.XLOOKUP(D1186,[9]Sheet2!$C:$C,[9]Sheet2!$E:$E,"-")</f>
        <v>Didit Adi Saputro</v>
      </c>
      <c r="G1186" s="222"/>
    </row>
    <row r="1187" spans="2:7">
      <c r="B1187" s="10" t="s">
        <v>1079</v>
      </c>
      <c r="C1187" s="11" t="s">
        <v>1080</v>
      </c>
      <c r="D1187" s="12" t="s">
        <v>1223</v>
      </c>
      <c r="E1187" s="13" t="s">
        <v>1739</v>
      </c>
      <c r="F1187" s="6" t="str">
        <f>_xlfn.XLOOKUP(D1187,[9]Sheet2!$C:$C,[9]Sheet2!$E:$E,"-")</f>
        <v>Wanto Sugianto</v>
      </c>
      <c r="G1187" s="222"/>
    </row>
    <row r="1188" spans="2:7">
      <c r="B1188" s="10" t="s">
        <v>1079</v>
      </c>
      <c r="C1188" s="11" t="s">
        <v>1080</v>
      </c>
      <c r="D1188" s="12" t="s">
        <v>1224</v>
      </c>
      <c r="E1188" s="13" t="s">
        <v>1739</v>
      </c>
      <c r="F1188" s="6" t="str">
        <f>_xlfn.XLOOKUP(D1188,[9]Sheet2!$C:$C,[9]Sheet2!$E:$E,"-")</f>
        <v>Ali Machtub</v>
      </c>
      <c r="G1188" s="222"/>
    </row>
    <row r="1189" spans="2:7">
      <c r="B1189" s="10" t="s">
        <v>1079</v>
      </c>
      <c r="C1189" s="11" t="s">
        <v>1080</v>
      </c>
      <c r="D1189" s="12" t="s">
        <v>1225</v>
      </c>
      <c r="E1189" s="13" t="s">
        <v>1739</v>
      </c>
      <c r="F1189" s="6" t="str">
        <f>_xlfn.XLOOKUP(D1189,[9]Sheet2!$C:$C,[9]Sheet2!$E:$E,"-")</f>
        <v>Dedi Wibowo</v>
      </c>
      <c r="G1189" s="222"/>
    </row>
    <row r="1190" spans="2:7">
      <c r="B1190" s="10" t="s">
        <v>1079</v>
      </c>
      <c r="C1190" s="11" t="s">
        <v>1080</v>
      </c>
      <c r="D1190" s="12" t="s">
        <v>1226</v>
      </c>
      <c r="E1190" s="13" t="s">
        <v>1716</v>
      </c>
      <c r="F1190" s="6" t="str">
        <f>_xlfn.XLOOKUP(D1190,[9]Sheet2!$C:$C,[9]Sheet2!$E:$E,"-")</f>
        <v>Indra Kokasih</v>
      </c>
      <c r="G1190" s="222"/>
    </row>
    <row r="1191" spans="2:7">
      <c r="B1191" s="10" t="s">
        <v>1079</v>
      </c>
      <c r="C1191" s="11" t="s">
        <v>1080</v>
      </c>
      <c r="D1191" s="12" t="s">
        <v>1227</v>
      </c>
      <c r="E1191" s="13" t="s">
        <v>1716</v>
      </c>
      <c r="F1191" s="6" t="str">
        <f>_xlfn.XLOOKUP(D1191,[9]Sheet2!$C:$C,[9]Sheet2!$E:$E,"-")</f>
        <v>Dwi Harioseno</v>
      </c>
      <c r="G1191" s="222"/>
    </row>
    <row r="1192" spans="2:7">
      <c r="B1192" s="10" t="s">
        <v>1079</v>
      </c>
      <c r="C1192" s="11" t="s">
        <v>1080</v>
      </c>
      <c r="D1192" s="12" t="s">
        <v>1228</v>
      </c>
      <c r="E1192" s="13" t="s">
        <v>1716</v>
      </c>
      <c r="F1192" s="6" t="str">
        <f>_xlfn.XLOOKUP(D1192,[9]Sheet2!$C:$C,[9]Sheet2!$E:$E,"-")</f>
        <v>Harianto</v>
      </c>
      <c r="G1192" s="222"/>
    </row>
    <row r="1193" spans="2:7">
      <c r="B1193" s="10" t="s">
        <v>1079</v>
      </c>
      <c r="C1193" s="11" t="s">
        <v>1080</v>
      </c>
      <c r="D1193" s="12" t="s">
        <v>1229</v>
      </c>
      <c r="E1193" s="13" t="s">
        <v>1716</v>
      </c>
      <c r="F1193" s="6" t="str">
        <f>_xlfn.XLOOKUP(D1193,[9]Sheet2!$C:$C,[9]Sheet2!$E:$E,"-")</f>
        <v>Mokhammad Arif Pratama Wijaya</v>
      </c>
      <c r="G1193" s="222"/>
    </row>
    <row r="1194" spans="2:7">
      <c r="B1194" s="10" t="s">
        <v>1079</v>
      </c>
      <c r="C1194" s="11" t="s">
        <v>1080</v>
      </c>
      <c r="D1194" s="12" t="s">
        <v>1230</v>
      </c>
      <c r="E1194" s="13" t="s">
        <v>1716</v>
      </c>
      <c r="F1194" s="6" t="str">
        <f>_xlfn.XLOOKUP(D1194,[9]Sheet2!$C:$C,[9]Sheet2!$E:$E,"-")</f>
        <v>Harianto</v>
      </c>
      <c r="G1194" s="222"/>
    </row>
    <row r="1195" spans="2:7">
      <c r="B1195" s="10" t="s">
        <v>1079</v>
      </c>
      <c r="C1195" s="11" t="s">
        <v>1080</v>
      </c>
      <c r="D1195" s="12" t="s">
        <v>1231</v>
      </c>
      <c r="E1195" s="13" t="s">
        <v>1716</v>
      </c>
      <c r="F1195" s="6" t="str">
        <f>_xlfn.XLOOKUP(D1195,[9]Sheet2!$C:$C,[9]Sheet2!$E:$E,"-")</f>
        <v>Abdul Rauf Nafik</v>
      </c>
      <c r="G1195" s="222"/>
    </row>
    <row r="1196" spans="2:7">
      <c r="B1196" s="10" t="s">
        <v>1079</v>
      </c>
      <c r="C1196" s="11" t="s">
        <v>1080</v>
      </c>
      <c r="D1196" s="12" t="s">
        <v>1232</v>
      </c>
      <c r="E1196" s="13" t="s">
        <v>1716</v>
      </c>
      <c r="F1196" s="6" t="str">
        <f>_xlfn.XLOOKUP(D1196,[9]Sheet2!$C:$C,[9]Sheet2!$E:$E,"-")</f>
        <v>Abdul Rauf Nafik</v>
      </c>
      <c r="G1196" s="222"/>
    </row>
    <row r="1197" spans="2:7">
      <c r="B1197" s="10" t="s">
        <v>1079</v>
      </c>
      <c r="C1197" s="11" t="s">
        <v>1080</v>
      </c>
      <c r="D1197" s="12" t="s">
        <v>1233</v>
      </c>
      <c r="E1197" s="13" t="s">
        <v>1716</v>
      </c>
      <c r="F1197" s="6" t="str">
        <f>_xlfn.XLOOKUP(D1197,[9]Sheet2!$C:$C,[9]Sheet2!$E:$E,"-")</f>
        <v>Indra Kokasih</v>
      </c>
      <c r="G1197" s="222"/>
    </row>
    <row r="1198" spans="2:7">
      <c r="B1198" s="10" t="s">
        <v>1079</v>
      </c>
      <c r="C1198" s="11" t="s">
        <v>1080</v>
      </c>
      <c r="D1198" s="12" t="s">
        <v>1234</v>
      </c>
      <c r="E1198" s="13" t="s">
        <v>1716</v>
      </c>
      <c r="F1198" s="6" t="str">
        <f>_xlfn.XLOOKUP(D1198,[9]Sheet2!$C:$C,[9]Sheet2!$E:$E,"-")</f>
        <v>Ahmad Fariz Rohmatulloh</v>
      </c>
      <c r="G1198" s="222"/>
    </row>
    <row r="1199" spans="2:7">
      <c r="B1199" s="10" t="s">
        <v>1079</v>
      </c>
      <c r="C1199" s="11" t="s">
        <v>1080</v>
      </c>
      <c r="D1199" s="12" t="s">
        <v>1235</v>
      </c>
      <c r="E1199" s="13" t="s">
        <v>1716</v>
      </c>
      <c r="F1199" s="6" t="str">
        <f>_xlfn.XLOOKUP(D1199,[9]Sheet2!$C:$C,[9]Sheet2!$E:$E,"-")</f>
        <v>Mokhammad Arif Pratama Wijaya</v>
      </c>
      <c r="G1199" s="222"/>
    </row>
    <row r="1200" spans="2:7">
      <c r="B1200" s="10" t="s">
        <v>1079</v>
      </c>
      <c r="C1200" s="11" t="s">
        <v>1080</v>
      </c>
      <c r="D1200" s="12" t="s">
        <v>1236</v>
      </c>
      <c r="E1200" s="13" t="s">
        <v>1739</v>
      </c>
      <c r="F1200" s="6" t="str">
        <f>_xlfn.XLOOKUP(D1200,[9]Sheet2!$C:$C,[9]Sheet2!$E:$E,"-")</f>
        <v>Taufiq Hidayat</v>
      </c>
      <c r="G1200" s="222"/>
    </row>
    <row r="1201" spans="2:7">
      <c r="B1201" s="10" t="s">
        <v>1079</v>
      </c>
      <c r="C1201" s="11" t="s">
        <v>1080</v>
      </c>
      <c r="D1201" s="12" t="s">
        <v>1237</v>
      </c>
      <c r="E1201" s="13" t="s">
        <v>1739</v>
      </c>
      <c r="F1201" s="6" t="str">
        <f>_xlfn.XLOOKUP(D1201,[9]Sheet2!$C:$C,[9]Sheet2!$E:$E,"-")</f>
        <v>Wahyu Hari Prayitno</v>
      </c>
      <c r="G1201" s="222"/>
    </row>
    <row r="1202" spans="2:7">
      <c r="B1202" s="10" t="s">
        <v>1079</v>
      </c>
      <c r="C1202" s="11" t="s">
        <v>1080</v>
      </c>
      <c r="D1202" s="12" t="s">
        <v>1238</v>
      </c>
      <c r="E1202" s="13" t="s">
        <v>1739</v>
      </c>
      <c r="F1202" s="6" t="str">
        <f>_xlfn.XLOOKUP(D1202,[9]Sheet2!$C:$C,[9]Sheet2!$E:$E,"-")</f>
        <v>Achmad Findi Kurniawan</v>
      </c>
      <c r="G1202" s="222"/>
    </row>
    <row r="1203" spans="2:7">
      <c r="B1203" s="10" t="s">
        <v>1079</v>
      </c>
      <c r="C1203" s="11" t="s">
        <v>1080</v>
      </c>
      <c r="D1203" s="12" t="s">
        <v>1239</v>
      </c>
      <c r="E1203" s="13" t="s">
        <v>1739</v>
      </c>
      <c r="F1203" s="6" t="str">
        <f>_xlfn.XLOOKUP(D1203,[9]Sheet2!$C:$C,[9]Sheet2!$E:$E,"-")</f>
        <v>Hartoyo Utomo</v>
      </c>
      <c r="G1203" s="222"/>
    </row>
    <row r="1204" spans="2:7">
      <c r="B1204" s="10" t="s">
        <v>1079</v>
      </c>
      <c r="C1204" s="11" t="s">
        <v>1080</v>
      </c>
      <c r="D1204" s="12" t="s">
        <v>1240</v>
      </c>
      <c r="E1204" s="13" t="s">
        <v>1739</v>
      </c>
      <c r="F1204" s="6" t="str">
        <f>_xlfn.XLOOKUP(D1204,[9]Sheet2!$C:$C,[9]Sheet2!$E:$E,"-")</f>
        <v>Fani Putra Adi Pratama</v>
      </c>
      <c r="G1204" s="222"/>
    </row>
    <row r="1205" spans="2:7">
      <c r="B1205" s="10" t="s">
        <v>1079</v>
      </c>
      <c r="C1205" s="11" t="s">
        <v>1080</v>
      </c>
      <c r="D1205" s="12" t="s">
        <v>1241</v>
      </c>
      <c r="E1205" s="13" t="s">
        <v>1739</v>
      </c>
      <c r="F1205" s="6" t="str">
        <f>_xlfn.XLOOKUP(D1205,[9]Sheet2!$C:$C,[9]Sheet2!$E:$E,"-")</f>
        <v>Tarmuji</v>
      </c>
      <c r="G1205" s="222"/>
    </row>
    <row r="1206" spans="2:7">
      <c r="B1206" s="10" t="s">
        <v>1079</v>
      </c>
      <c r="C1206" s="11" t="s">
        <v>1080</v>
      </c>
      <c r="D1206" s="12" t="s">
        <v>1242</v>
      </c>
      <c r="E1206" s="13" t="s">
        <v>1739</v>
      </c>
      <c r="F1206" s="6" t="str">
        <f>_xlfn.XLOOKUP(D1206,[9]Sheet2!$C:$C,[9]Sheet2!$E:$E,"-")</f>
        <v>Hartoyo Utomo</v>
      </c>
      <c r="G1206" s="222"/>
    </row>
    <row r="1207" spans="2:7">
      <c r="B1207" s="10" t="s">
        <v>1079</v>
      </c>
      <c r="C1207" s="11" t="s">
        <v>1080</v>
      </c>
      <c r="D1207" s="12" t="s">
        <v>1243</v>
      </c>
      <c r="E1207" s="13" t="s">
        <v>1739</v>
      </c>
      <c r="F1207" s="6" t="str">
        <f>_xlfn.XLOOKUP(D1207,[9]Sheet2!$C:$C,[9]Sheet2!$E:$E,"-")</f>
        <v>Ainun Yahya, S.Kom</v>
      </c>
      <c r="G1207" s="222"/>
    </row>
    <row r="1208" spans="2:7">
      <c r="B1208" s="10" t="s">
        <v>1079</v>
      </c>
      <c r="C1208" s="11" t="s">
        <v>1080</v>
      </c>
      <c r="D1208" s="12" t="s">
        <v>1244</v>
      </c>
      <c r="E1208" s="13" t="s">
        <v>1716</v>
      </c>
      <c r="F1208" s="6" t="str">
        <f>_xlfn.XLOOKUP(D1208,[9]Sheet2!$C:$C,[9]Sheet2!$E:$E,"-")</f>
        <v>Roqi Andrianus Duka Djuma</v>
      </c>
      <c r="G1208" s="222"/>
    </row>
    <row r="1209" spans="2:7">
      <c r="B1209" s="10" t="s">
        <v>1079</v>
      </c>
      <c r="C1209" s="11" t="s">
        <v>1080</v>
      </c>
      <c r="D1209" s="12" t="s">
        <v>1245</v>
      </c>
      <c r="E1209" s="13" t="s">
        <v>1739</v>
      </c>
      <c r="F1209" s="6" t="str">
        <f>_xlfn.XLOOKUP(D1209,[9]Sheet2!$C:$C,[9]Sheet2!$E:$E,"-")</f>
        <v>-</v>
      </c>
      <c r="G1209" s="222"/>
    </row>
    <row r="1210" spans="2:7">
      <c r="B1210" s="10" t="s">
        <v>1079</v>
      </c>
      <c r="C1210" s="11" t="s">
        <v>1080</v>
      </c>
      <c r="D1210" s="12" t="s">
        <v>1246</v>
      </c>
      <c r="E1210" s="13" t="s">
        <v>1739</v>
      </c>
      <c r="F1210" s="6" t="str">
        <f>_xlfn.XLOOKUP(D1210,[9]Sheet2!$C:$C,[9]Sheet2!$E:$E,"-")</f>
        <v>Ahmad Syihab Taqiyulloh</v>
      </c>
      <c r="G1210" s="222"/>
    </row>
    <row r="1211" spans="2:7">
      <c r="B1211" s="10" t="s">
        <v>1079</v>
      </c>
      <c r="C1211" s="11" t="s">
        <v>1080</v>
      </c>
      <c r="D1211" s="12" t="s">
        <v>1247</v>
      </c>
      <c r="E1211" s="13" t="s">
        <v>1716</v>
      </c>
      <c r="F1211" s="6" t="str">
        <f>_xlfn.XLOOKUP(D1211,[9]Sheet2!$C:$C,[9]Sheet2!$E:$E,"-")</f>
        <v>Mochammad Nor Cholis</v>
      </c>
      <c r="G1211" s="222"/>
    </row>
    <row r="1212" spans="2:7">
      <c r="B1212" s="10" t="s">
        <v>1079</v>
      </c>
      <c r="C1212" s="11" t="s">
        <v>1080</v>
      </c>
      <c r="D1212" s="12" t="s">
        <v>1248</v>
      </c>
      <c r="E1212" s="13" t="s">
        <v>1739</v>
      </c>
      <c r="F1212" s="6" t="str">
        <f>_xlfn.XLOOKUP(D1212,[9]Sheet2!$C:$C,[9]Sheet2!$E:$E,"-")</f>
        <v>-</v>
      </c>
      <c r="G1212" s="222"/>
    </row>
    <row r="1213" spans="2:7">
      <c r="B1213" s="10" t="s">
        <v>1079</v>
      </c>
      <c r="C1213" s="11" t="s">
        <v>1080</v>
      </c>
      <c r="D1213" s="12" t="s">
        <v>1249</v>
      </c>
      <c r="E1213" s="13" t="s">
        <v>1739</v>
      </c>
      <c r="F1213" s="6" t="str">
        <f>_xlfn.XLOOKUP(D1213,[9]Sheet2!$C:$C,[9]Sheet2!$E:$E,"-")</f>
        <v>Pradiska Julianda Vebyola</v>
      </c>
      <c r="G1213" s="222"/>
    </row>
    <row r="1214" spans="2:7">
      <c r="B1214" s="10" t="s">
        <v>1079</v>
      </c>
      <c r="C1214" s="11" t="s">
        <v>1080</v>
      </c>
      <c r="D1214" s="12" t="s">
        <v>1250</v>
      </c>
      <c r="E1214" s="13" t="s">
        <v>1739</v>
      </c>
      <c r="F1214" s="6" t="str">
        <f>_xlfn.XLOOKUP(D1214,[9]Sheet2!$C:$C,[9]Sheet2!$E:$E,"-")</f>
        <v>Indra Bayu</v>
      </c>
      <c r="G1214" s="222"/>
    </row>
    <row r="1215" spans="2:7">
      <c r="B1215" s="10" t="s">
        <v>1079</v>
      </c>
      <c r="C1215" s="11" t="s">
        <v>1080</v>
      </c>
      <c r="D1215" s="12" t="s">
        <v>1251</v>
      </c>
      <c r="E1215" s="13" t="s">
        <v>1739</v>
      </c>
      <c r="F1215" s="6" t="str">
        <f>_xlfn.XLOOKUP(D1215,[9]Sheet2!$C:$C,[9]Sheet2!$E:$E,"-")</f>
        <v>Bagus Hermawan</v>
      </c>
      <c r="G1215" s="222"/>
    </row>
    <row r="1216" spans="2:7">
      <c r="B1216" s="10" t="s">
        <v>1079</v>
      </c>
      <c r="C1216" s="11" t="s">
        <v>1080</v>
      </c>
      <c r="D1216" s="12" t="s">
        <v>1252</v>
      </c>
      <c r="E1216" s="13" t="s">
        <v>1716</v>
      </c>
      <c r="F1216" s="6" t="str">
        <f>_xlfn.XLOOKUP(D1216,[9]Sheet2!$C:$C,[9]Sheet2!$E:$E,"-")</f>
        <v>-</v>
      </c>
      <c r="G1216" s="222"/>
    </row>
    <row r="1217" spans="2:7">
      <c r="B1217" s="10" t="s">
        <v>1079</v>
      </c>
      <c r="C1217" s="11" t="s">
        <v>1080</v>
      </c>
      <c r="D1217" s="12" t="s">
        <v>1253</v>
      </c>
      <c r="E1217" s="13" t="s">
        <v>1739</v>
      </c>
      <c r="F1217" s="6" t="str">
        <f>_xlfn.XLOOKUP(D1217,[9]Sheet2!$C:$C,[9]Sheet2!$E:$E,"-")</f>
        <v>Satrio Wahyu Nugroho</v>
      </c>
      <c r="G1217" s="222"/>
    </row>
    <row r="1218" spans="2:7">
      <c r="B1218" s="10" t="s">
        <v>1079</v>
      </c>
      <c r="C1218" s="11" t="s">
        <v>1080</v>
      </c>
      <c r="D1218" s="12" t="s">
        <v>1254</v>
      </c>
      <c r="E1218" s="13" t="s">
        <v>1716</v>
      </c>
      <c r="F1218" s="6" t="str">
        <f>_xlfn.XLOOKUP(D1218,[9]Sheet2!$C:$C,[9]Sheet2!$E:$E,"-")</f>
        <v>Bintang Zaesar Ramadan</v>
      </c>
      <c r="G1218" s="222"/>
    </row>
    <row r="1219" spans="2:7">
      <c r="B1219" s="10" t="s">
        <v>1079</v>
      </c>
      <c r="C1219" s="11" t="s">
        <v>1080</v>
      </c>
      <c r="D1219" s="12" t="s">
        <v>1255</v>
      </c>
      <c r="E1219" s="13" t="s">
        <v>1739</v>
      </c>
      <c r="F1219" s="6" t="str">
        <f>_xlfn.XLOOKUP(D1219,[9]Sheet2!$C:$C,[9]Sheet2!$E:$E,"-")</f>
        <v>-</v>
      </c>
      <c r="G1219" s="222"/>
    </row>
    <row r="1220" spans="2:7">
      <c r="B1220" s="10" t="s">
        <v>1079</v>
      </c>
      <c r="C1220" s="11" t="s">
        <v>1080</v>
      </c>
      <c r="D1220" s="12" t="s">
        <v>1256</v>
      </c>
      <c r="E1220" s="13" t="s">
        <v>1716</v>
      </c>
      <c r="F1220" s="6" t="str">
        <f>_xlfn.XLOOKUP(D1220,[9]Sheet2!$C:$C,[9]Sheet2!$E:$E,"-")</f>
        <v>Havid Rambu Sinaga</v>
      </c>
      <c r="G1220" s="222"/>
    </row>
    <row r="1221" spans="2:7">
      <c r="B1221" s="10" t="s">
        <v>1079</v>
      </c>
      <c r="C1221" s="11" t="s">
        <v>1080</v>
      </c>
      <c r="D1221" s="12" t="s">
        <v>1257</v>
      </c>
      <c r="E1221" s="13" t="s">
        <v>1739</v>
      </c>
      <c r="F1221" s="6" t="str">
        <f>_xlfn.XLOOKUP(D1221,[9]Sheet2!$C:$C,[9]Sheet2!$E:$E,"-")</f>
        <v>-</v>
      </c>
      <c r="G1221" s="222"/>
    </row>
    <row r="1222" spans="2:7">
      <c r="B1222" s="10" t="s">
        <v>1079</v>
      </c>
      <c r="C1222" s="11" t="s">
        <v>1080</v>
      </c>
      <c r="D1222" s="12" t="s">
        <v>1258</v>
      </c>
      <c r="E1222" s="13" t="s">
        <v>1739</v>
      </c>
      <c r="F1222" s="6" t="str">
        <f>_xlfn.XLOOKUP(D1222,[9]Sheet2!$C:$C,[9]Sheet2!$E:$E,"-")</f>
        <v>Angga Yulistyawan</v>
      </c>
      <c r="G1222" s="222"/>
    </row>
    <row r="1223" spans="2:7">
      <c r="B1223" s="10" t="s">
        <v>1079</v>
      </c>
      <c r="C1223" s="11" t="s">
        <v>1080</v>
      </c>
      <c r="D1223" s="12" t="s">
        <v>1259</v>
      </c>
      <c r="E1223" s="13" t="s">
        <v>1739</v>
      </c>
      <c r="F1223" s="6" t="str">
        <f>_xlfn.XLOOKUP(D1223,[9]Sheet2!$C:$C,[9]Sheet2!$E:$E,"-")</f>
        <v>Moch. Irsyad</v>
      </c>
      <c r="G1223" s="222"/>
    </row>
    <row r="1224" spans="2:7">
      <c r="B1224" s="10" t="s">
        <v>1079</v>
      </c>
      <c r="C1224" s="11" t="s">
        <v>1080</v>
      </c>
      <c r="D1224" s="12" t="s">
        <v>1260</v>
      </c>
      <c r="E1224" s="13" t="s">
        <v>1739</v>
      </c>
      <c r="F1224" s="6" t="str">
        <f>_xlfn.XLOOKUP(D1224,[9]Sheet2!$C:$C,[9]Sheet2!$E:$E,"-")</f>
        <v>Alfiyatuz Zahra</v>
      </c>
      <c r="G1224" s="222"/>
    </row>
    <row r="1225" spans="2:7">
      <c r="B1225" s="10" t="s">
        <v>1079</v>
      </c>
      <c r="C1225" s="11" t="s">
        <v>1080</v>
      </c>
      <c r="D1225" s="12" t="s">
        <v>1261</v>
      </c>
      <c r="E1225" s="13" t="s">
        <v>1716</v>
      </c>
      <c r="F1225" s="6" t="str">
        <f>_xlfn.XLOOKUP(D1225,[9]Sheet2!$C:$C,[9]Sheet2!$E:$E,"-")</f>
        <v>Impron Suryadi</v>
      </c>
      <c r="G1225" s="222"/>
    </row>
    <row r="1226" spans="2:7">
      <c r="B1226" s="10" t="s">
        <v>1079</v>
      </c>
      <c r="C1226" s="11" t="s">
        <v>1080</v>
      </c>
      <c r="D1226" s="12" t="s">
        <v>1262</v>
      </c>
      <c r="E1226" s="13" t="s">
        <v>1739</v>
      </c>
      <c r="F1226" s="6" t="str">
        <f>_xlfn.XLOOKUP(D1226,[9]Sheet2!$C:$C,[9]Sheet2!$E:$E,"-")</f>
        <v>Wahyu Sujatmiko</v>
      </c>
      <c r="G1226" s="222"/>
    </row>
    <row r="1227" spans="2:7">
      <c r="B1227" s="10" t="s">
        <v>1079</v>
      </c>
      <c r="C1227" s="11" t="s">
        <v>1080</v>
      </c>
      <c r="D1227" s="12" t="s">
        <v>1263</v>
      </c>
      <c r="E1227" s="13" t="s">
        <v>1739</v>
      </c>
      <c r="F1227" s="6" t="str">
        <f>_xlfn.XLOOKUP(D1227,[9]Sheet2!$C:$C,[9]Sheet2!$E:$E,"-")</f>
        <v>Wahyu Sujatmiko</v>
      </c>
      <c r="G1227" s="222"/>
    </row>
    <row r="1228" spans="2:7">
      <c r="B1228" s="10" t="s">
        <v>1079</v>
      </c>
      <c r="C1228" s="11" t="s">
        <v>1080</v>
      </c>
      <c r="D1228" s="12" t="s">
        <v>1264</v>
      </c>
      <c r="E1228" s="13" t="s">
        <v>1739</v>
      </c>
      <c r="F1228" s="6" t="str">
        <f>_xlfn.XLOOKUP(D1228,[9]Sheet2!$C:$C,[9]Sheet2!$E:$E,"-")</f>
        <v>-</v>
      </c>
      <c r="G1228" s="222"/>
    </row>
    <row r="1229" spans="2:7">
      <c r="B1229" s="10" t="s">
        <v>1079</v>
      </c>
      <c r="C1229" s="11" t="s">
        <v>1080</v>
      </c>
      <c r="D1229" s="12" t="s">
        <v>1265</v>
      </c>
      <c r="E1229" s="13" t="s">
        <v>1739</v>
      </c>
      <c r="F1229" s="6" t="str">
        <f>_xlfn.XLOOKUP(D1229,[9]Sheet2!$C:$C,[9]Sheet2!$E:$E,"-")</f>
        <v>Bayu Dian Krisdianto</v>
      </c>
      <c r="G1229" s="222"/>
    </row>
    <row r="1230" spans="2:7">
      <c r="B1230" s="10" t="s">
        <v>1079</v>
      </c>
      <c r="C1230" s="11" t="s">
        <v>1080</v>
      </c>
      <c r="D1230" s="12" t="s">
        <v>1266</v>
      </c>
      <c r="E1230" s="13" t="s">
        <v>1739</v>
      </c>
      <c r="F1230" s="6" t="str">
        <f>_xlfn.XLOOKUP(D1230,[9]Sheet2!$C:$C,[9]Sheet2!$E:$E,"-")</f>
        <v>Enggar Ida Ariawan</v>
      </c>
      <c r="G1230" s="222"/>
    </row>
    <row r="1231" spans="2:7">
      <c r="B1231" s="10" t="s">
        <v>1079</v>
      </c>
      <c r="C1231" s="11" t="s">
        <v>1080</v>
      </c>
      <c r="D1231" s="12" t="s">
        <v>1267</v>
      </c>
      <c r="E1231" s="13" t="s">
        <v>1739</v>
      </c>
      <c r="F1231" s="6" t="str">
        <f>_xlfn.XLOOKUP(D1231,[9]Sheet2!$C:$C,[9]Sheet2!$E:$E,"-")</f>
        <v>Ghifar Zakatus Suaidah</v>
      </c>
      <c r="G1231" s="222"/>
    </row>
    <row r="1232" spans="2:7">
      <c r="B1232" s="10" t="s">
        <v>1079</v>
      </c>
      <c r="C1232" s="11" t="s">
        <v>1080</v>
      </c>
      <c r="D1232" s="12" t="s">
        <v>1268</v>
      </c>
      <c r="E1232" s="13" t="s">
        <v>1739</v>
      </c>
      <c r="F1232" s="6" t="str">
        <f>_xlfn.XLOOKUP(D1232,[9]Sheet2!$C:$C,[9]Sheet2!$E:$E,"-")</f>
        <v>Agus Prianto</v>
      </c>
      <c r="G1232" s="222"/>
    </row>
    <row r="1233" spans="2:7">
      <c r="B1233" s="10" t="s">
        <v>1079</v>
      </c>
      <c r="C1233" s="11" t="s">
        <v>1080</v>
      </c>
      <c r="D1233" s="12" t="s">
        <v>1269</v>
      </c>
      <c r="E1233" s="13" t="s">
        <v>1739</v>
      </c>
      <c r="F1233" s="6" t="str">
        <f>_xlfn.XLOOKUP(D1233,[9]Sheet2!$C:$C,[9]Sheet2!$E:$E,"-")</f>
        <v>Moch. Ragil Januar</v>
      </c>
      <c r="G1233" s="222"/>
    </row>
    <row r="1234" spans="2:7">
      <c r="B1234" s="10" t="s">
        <v>1079</v>
      </c>
      <c r="C1234" s="11" t="s">
        <v>1080</v>
      </c>
      <c r="D1234" s="12" t="s">
        <v>1270</v>
      </c>
      <c r="E1234" s="13" t="s">
        <v>1739</v>
      </c>
      <c r="F1234" s="6" t="str">
        <f>_xlfn.XLOOKUP(D1234,[9]Sheet2!$C:$C,[9]Sheet2!$E:$E,"-")</f>
        <v>Hasan Mahmudi</v>
      </c>
      <c r="G1234" s="222"/>
    </row>
    <row r="1235" spans="2:7">
      <c r="B1235" s="10" t="s">
        <v>1079</v>
      </c>
      <c r="C1235" s="11" t="s">
        <v>1080</v>
      </c>
      <c r="D1235" s="12" t="s">
        <v>1271</v>
      </c>
      <c r="E1235" s="13" t="s">
        <v>1739</v>
      </c>
      <c r="F1235" s="6" t="str">
        <f>_xlfn.XLOOKUP(D1235,[9]Sheet2!$C:$C,[9]Sheet2!$E:$E,"-")</f>
        <v>Moch. Ragil Januar</v>
      </c>
      <c r="G1235" s="222"/>
    </row>
    <row r="1236" spans="2:7">
      <c r="B1236" s="10" t="s">
        <v>1079</v>
      </c>
      <c r="C1236" s="11" t="s">
        <v>1080</v>
      </c>
      <c r="D1236" s="12" t="s">
        <v>1272</v>
      </c>
      <c r="E1236" s="13" t="s">
        <v>1739</v>
      </c>
      <c r="F1236" s="6" t="str">
        <f>_xlfn.XLOOKUP(D1236,[9]Sheet2!$C:$C,[9]Sheet2!$E:$E,"-")</f>
        <v>Dwi Novitasari</v>
      </c>
      <c r="G1236" s="222"/>
    </row>
    <row r="1237" spans="2:7">
      <c r="B1237" s="10" t="s">
        <v>1079</v>
      </c>
      <c r="C1237" s="11" t="s">
        <v>1080</v>
      </c>
      <c r="D1237" s="12" t="s">
        <v>1273</v>
      </c>
      <c r="E1237" s="13" t="s">
        <v>1739</v>
      </c>
      <c r="F1237" s="6" t="str">
        <f>_xlfn.XLOOKUP(D1237,[9]Sheet2!$C:$C,[9]Sheet2!$E:$E,"-")</f>
        <v>Agus Prianto</v>
      </c>
      <c r="G1237" s="222"/>
    </row>
    <row r="1238" spans="2:7">
      <c r="B1238" s="10" t="s">
        <v>1079</v>
      </c>
      <c r="C1238" s="11" t="s">
        <v>1080</v>
      </c>
      <c r="D1238" s="12" t="s">
        <v>1274</v>
      </c>
      <c r="E1238" s="13" t="s">
        <v>1739</v>
      </c>
      <c r="F1238" s="6" t="str">
        <f>_xlfn.XLOOKUP(D1238,[9]Sheet2!$C:$C,[9]Sheet2!$E:$E,"-")</f>
        <v>Fanny Zubiatmoko</v>
      </c>
      <c r="G1238" s="222"/>
    </row>
    <row r="1239" spans="2:7">
      <c r="B1239" s="10" t="s">
        <v>1079</v>
      </c>
      <c r="C1239" s="11" t="s">
        <v>1080</v>
      </c>
      <c r="D1239" s="12" t="s">
        <v>1275</v>
      </c>
      <c r="E1239" s="13" t="s">
        <v>1739</v>
      </c>
      <c r="F1239" s="6" t="str">
        <f>_xlfn.XLOOKUP(D1239,[9]Sheet2!$C:$C,[9]Sheet2!$E:$E,"-")</f>
        <v>Bonifacius Edo Prasetio</v>
      </c>
      <c r="G1239" s="222"/>
    </row>
    <row r="1240" spans="2:7">
      <c r="B1240" s="10" t="s">
        <v>1079</v>
      </c>
      <c r="C1240" s="11" t="s">
        <v>1080</v>
      </c>
      <c r="D1240" s="12" t="s">
        <v>1276</v>
      </c>
      <c r="E1240" s="13" t="s">
        <v>1716</v>
      </c>
      <c r="F1240" s="6" t="str">
        <f>_xlfn.XLOOKUP(D1240,[9]Sheet2!$C:$C,[9]Sheet2!$E:$E,"-")</f>
        <v>Adha Mubarok</v>
      </c>
      <c r="G1240" s="222"/>
    </row>
    <row r="1241" spans="2:7">
      <c r="B1241" s="10" t="s">
        <v>1079</v>
      </c>
      <c r="C1241" s="11" t="s">
        <v>1080</v>
      </c>
      <c r="D1241" s="12" t="s">
        <v>1277</v>
      </c>
      <c r="E1241" s="13" t="s">
        <v>1716</v>
      </c>
      <c r="F1241" s="6" t="str">
        <f>_xlfn.XLOOKUP(D1241,[9]Sheet2!$C:$C,[9]Sheet2!$E:$E,"-")</f>
        <v>Adha Mubarok</v>
      </c>
      <c r="G1241" s="222"/>
    </row>
    <row r="1242" spans="2:7">
      <c r="B1242" s="10" t="s">
        <v>1079</v>
      </c>
      <c r="C1242" s="11" t="s">
        <v>1080</v>
      </c>
      <c r="D1242" s="12" t="s">
        <v>1278</v>
      </c>
      <c r="E1242" s="13" t="s">
        <v>1716</v>
      </c>
      <c r="F1242" s="6" t="str">
        <f>_xlfn.XLOOKUP(D1242,[9]Sheet2!$C:$C,[9]Sheet2!$E:$E,"-")</f>
        <v>Gilang Sabastian Vernando</v>
      </c>
      <c r="G1242" s="222"/>
    </row>
    <row r="1243" spans="2:7">
      <c r="B1243" s="10" t="s">
        <v>1079</v>
      </c>
      <c r="C1243" s="11" t="s">
        <v>1080</v>
      </c>
      <c r="D1243" s="12" t="s">
        <v>1279</v>
      </c>
      <c r="E1243" s="13" t="s">
        <v>1716</v>
      </c>
      <c r="F1243" s="6" t="str">
        <f>_xlfn.XLOOKUP(D1243,[9]Sheet2!$C:$C,[9]Sheet2!$E:$E,"-")</f>
        <v>Legowo Herlambang</v>
      </c>
      <c r="G1243" s="222"/>
    </row>
    <row r="1244" spans="2:7">
      <c r="B1244" s="10" t="s">
        <v>1079</v>
      </c>
      <c r="C1244" s="11" t="s">
        <v>1080</v>
      </c>
      <c r="D1244" s="12" t="s">
        <v>1280</v>
      </c>
      <c r="E1244" s="13" t="s">
        <v>1716</v>
      </c>
      <c r="F1244" s="6" t="str">
        <f>_xlfn.XLOOKUP(D1244,[9]Sheet2!$C:$C,[9]Sheet2!$E:$E,"-")</f>
        <v>Afid Mahardianto</v>
      </c>
      <c r="G1244" s="222"/>
    </row>
    <row r="1245" spans="2:7">
      <c r="B1245" s="10" t="s">
        <v>1079</v>
      </c>
      <c r="C1245" s="11" t="s">
        <v>1080</v>
      </c>
      <c r="D1245" s="12" t="s">
        <v>1281</v>
      </c>
      <c r="E1245" s="13" t="s">
        <v>1716</v>
      </c>
      <c r="F1245" s="6" t="str">
        <f>_xlfn.XLOOKUP(D1245,[9]Sheet2!$C:$C,[9]Sheet2!$E:$E,"-")</f>
        <v>Yusky Ali</v>
      </c>
      <c r="G1245" s="222"/>
    </row>
    <row r="1246" spans="2:7">
      <c r="B1246" s="10" t="s">
        <v>1079</v>
      </c>
      <c r="C1246" s="11" t="s">
        <v>1080</v>
      </c>
      <c r="D1246" s="12" t="s">
        <v>1282</v>
      </c>
      <c r="E1246" s="13" t="s">
        <v>1739</v>
      </c>
      <c r="F1246" s="6" t="str">
        <f>_xlfn.XLOOKUP(D1246,[9]Sheet2!$C:$C,[9]Sheet2!$E:$E,"-")</f>
        <v>Rofi Firmansyah</v>
      </c>
      <c r="G1246" s="222"/>
    </row>
    <row r="1247" spans="2:7">
      <c r="B1247" s="10" t="s">
        <v>1079</v>
      </c>
      <c r="C1247" s="11" t="s">
        <v>1080</v>
      </c>
      <c r="D1247" s="12" t="s">
        <v>1283</v>
      </c>
      <c r="E1247" s="13" t="s">
        <v>1739</v>
      </c>
      <c r="F1247" s="6" t="str">
        <f>_xlfn.XLOOKUP(D1247,[9]Sheet2!$C:$C,[9]Sheet2!$E:$E,"-")</f>
        <v>Annur Rahman Hakim</v>
      </c>
      <c r="G1247" s="222"/>
    </row>
    <row r="1248" spans="2:7">
      <c r="B1248" s="10" t="s">
        <v>1079</v>
      </c>
      <c r="C1248" s="11" t="s">
        <v>1080</v>
      </c>
      <c r="D1248" s="12" t="s">
        <v>1284</v>
      </c>
      <c r="E1248" s="13" t="s">
        <v>1716</v>
      </c>
      <c r="F1248" s="6" t="str">
        <f>_xlfn.XLOOKUP(D1248,[9]Sheet2!$C:$C,[9]Sheet2!$E:$E,"-")</f>
        <v>Rifki Maghrobi Putra Pamungkas</v>
      </c>
      <c r="G1248" s="222"/>
    </row>
    <row r="1249" spans="2:7">
      <c r="B1249" s="10" t="s">
        <v>1079</v>
      </c>
      <c r="C1249" s="11" t="s">
        <v>1080</v>
      </c>
      <c r="D1249" s="12" t="s">
        <v>1285</v>
      </c>
      <c r="E1249" s="13" t="s">
        <v>1716</v>
      </c>
      <c r="F1249" s="6" t="str">
        <f>_xlfn.XLOOKUP(D1249,[9]Sheet2!$C:$C,[9]Sheet2!$E:$E,"-")</f>
        <v>Rifki Maghrobi Putra Pamungkas</v>
      </c>
      <c r="G1249" s="222"/>
    </row>
    <row r="1250" spans="2:7">
      <c r="B1250" s="10" t="s">
        <v>1079</v>
      </c>
      <c r="C1250" s="11" t="s">
        <v>1080</v>
      </c>
      <c r="D1250" s="12" t="s">
        <v>1286</v>
      </c>
      <c r="E1250" s="13" t="s">
        <v>1716</v>
      </c>
      <c r="F1250" s="6" t="str">
        <f>_xlfn.XLOOKUP(D1250,[9]Sheet2!$C:$C,[9]Sheet2!$E:$E,"-")</f>
        <v>Fajar Fir Rizky</v>
      </c>
      <c r="G1250" s="222"/>
    </row>
    <row r="1251" spans="2:7">
      <c r="B1251" s="10" t="s">
        <v>1079</v>
      </c>
      <c r="C1251" s="11" t="s">
        <v>1080</v>
      </c>
      <c r="D1251" s="12" t="s">
        <v>1287</v>
      </c>
      <c r="E1251" s="13" t="s">
        <v>1716</v>
      </c>
      <c r="F1251" s="6" t="str">
        <f>_xlfn.XLOOKUP(D1251,[9]Sheet2!$C:$C,[9]Sheet2!$E:$E,"-")</f>
        <v>Yusky Ali</v>
      </c>
      <c r="G1251" s="222"/>
    </row>
    <row r="1252" spans="2:7">
      <c r="B1252" s="10" t="s">
        <v>1079</v>
      </c>
      <c r="C1252" s="11" t="s">
        <v>1080</v>
      </c>
      <c r="D1252" s="12" t="s">
        <v>1288</v>
      </c>
      <c r="E1252" s="13" t="s">
        <v>1739</v>
      </c>
      <c r="F1252" s="6" t="str">
        <f>_xlfn.XLOOKUP(D1252,[9]Sheet2!$C:$C,[9]Sheet2!$E:$E,"-")</f>
        <v>Annur Rahman Hakim</v>
      </c>
      <c r="G1252" s="222"/>
    </row>
    <row r="1253" spans="2:7">
      <c r="B1253" s="10" t="s">
        <v>1079</v>
      </c>
      <c r="C1253" s="11" t="s">
        <v>1080</v>
      </c>
      <c r="D1253" s="12" t="s">
        <v>1289</v>
      </c>
      <c r="E1253" s="13" t="s">
        <v>1739</v>
      </c>
      <c r="F1253" s="6" t="str">
        <f>_xlfn.XLOOKUP(D1253,[9]Sheet2!$C:$C,[9]Sheet2!$E:$E,"-")</f>
        <v>Annur Rahman Hakim</v>
      </c>
      <c r="G1253" s="222"/>
    </row>
    <row r="1254" spans="2:7">
      <c r="B1254" s="10" t="s">
        <v>1079</v>
      </c>
      <c r="C1254" s="11" t="s">
        <v>1080</v>
      </c>
      <c r="D1254" s="12" t="s">
        <v>1290</v>
      </c>
      <c r="E1254" s="13" t="s">
        <v>1716</v>
      </c>
      <c r="F1254" s="6" t="str">
        <f>_xlfn.XLOOKUP(D1254,[9]Sheet2!$C:$C,[9]Sheet2!$E:$E,"-")</f>
        <v>Fajar Fir Rizky</v>
      </c>
      <c r="G1254" s="222"/>
    </row>
    <row r="1255" spans="2:7">
      <c r="B1255" s="10" t="s">
        <v>1079</v>
      </c>
      <c r="C1255" s="11" t="s">
        <v>1080</v>
      </c>
      <c r="D1255" s="12" t="s">
        <v>1291</v>
      </c>
      <c r="E1255" s="13" t="s">
        <v>1739</v>
      </c>
      <c r="F1255" s="6" t="str">
        <f>_xlfn.XLOOKUP(D1255,[9]Sheet2!$C:$C,[9]Sheet2!$E:$E,"-")</f>
        <v>Rofi Firmansyah</v>
      </c>
      <c r="G1255" s="222"/>
    </row>
    <row r="1256" spans="2:7">
      <c r="B1256" s="10" t="s">
        <v>1079</v>
      </c>
      <c r="C1256" s="11" t="s">
        <v>1080</v>
      </c>
      <c r="D1256" s="12" t="s">
        <v>1292</v>
      </c>
      <c r="E1256" s="13" t="s">
        <v>1716</v>
      </c>
      <c r="F1256" s="6" t="str">
        <f>_xlfn.XLOOKUP(D1256,[9]Sheet2!$C:$C,[9]Sheet2!$E:$E,"-")</f>
        <v>Aries Firman Widiansyah</v>
      </c>
      <c r="G1256" s="222"/>
    </row>
    <row r="1257" spans="2:7">
      <c r="B1257" s="10" t="s">
        <v>1079</v>
      </c>
      <c r="C1257" s="11" t="s">
        <v>1080</v>
      </c>
      <c r="D1257" s="12" t="s">
        <v>1293</v>
      </c>
      <c r="E1257" s="13" t="s">
        <v>1739</v>
      </c>
      <c r="F1257" s="6" t="str">
        <f>_xlfn.XLOOKUP(D1257,[9]Sheet2!$C:$C,[9]Sheet2!$E:$E,"-")</f>
        <v>Moch Erfan</v>
      </c>
      <c r="G1257" s="222"/>
    </row>
    <row r="1258" spans="2:7">
      <c r="B1258" s="10" t="s">
        <v>1079</v>
      </c>
      <c r="C1258" s="11" t="s">
        <v>1080</v>
      </c>
      <c r="D1258" s="12" t="s">
        <v>1294</v>
      </c>
      <c r="E1258" s="13" t="s">
        <v>1739</v>
      </c>
      <c r="F1258" s="6" t="str">
        <f>_xlfn.XLOOKUP(D1258,[9]Sheet2!$C:$C,[9]Sheet2!$E:$E,"-")</f>
        <v>Olivia Sukma Rini Widyananda</v>
      </c>
      <c r="G1258" s="222"/>
    </row>
    <row r="1259" spans="2:7">
      <c r="B1259" s="10" t="s">
        <v>1079</v>
      </c>
      <c r="C1259" s="11" t="s">
        <v>1080</v>
      </c>
      <c r="D1259" s="12" t="s">
        <v>1295</v>
      </c>
      <c r="E1259" s="13" t="s">
        <v>1716</v>
      </c>
      <c r="F1259" s="6" t="str">
        <f>_xlfn.XLOOKUP(D1259,[9]Sheet2!$C:$C,[9]Sheet2!$E:$E,"-")</f>
        <v>Aries Firman Widiansyah</v>
      </c>
      <c r="G1259" s="222"/>
    </row>
    <row r="1260" spans="2:7">
      <c r="B1260" s="10" t="s">
        <v>1079</v>
      </c>
      <c r="C1260" s="11" t="s">
        <v>1080</v>
      </c>
      <c r="D1260" s="12" t="s">
        <v>1296</v>
      </c>
      <c r="E1260" s="13" t="s">
        <v>1716</v>
      </c>
      <c r="F1260" s="6" t="str">
        <f>_xlfn.XLOOKUP(D1260,[9]Sheet2!$C:$C,[9]Sheet2!$E:$E,"-")</f>
        <v>Yusril Abdillah</v>
      </c>
      <c r="G1260" s="222"/>
    </row>
    <row r="1261" spans="2:7">
      <c r="B1261" s="10" t="s">
        <v>1079</v>
      </c>
      <c r="C1261" s="11" t="s">
        <v>1080</v>
      </c>
      <c r="D1261" s="12" t="s">
        <v>1297</v>
      </c>
      <c r="E1261" s="13" t="s">
        <v>1716</v>
      </c>
      <c r="F1261" s="6" t="str">
        <f>_xlfn.XLOOKUP(D1261,[9]Sheet2!$C:$C,[9]Sheet2!$E:$E,"-")</f>
        <v>Vidya Putri Ramadhanti</v>
      </c>
      <c r="G1261" s="222"/>
    </row>
    <row r="1262" spans="2:7">
      <c r="B1262" s="10" t="s">
        <v>1079</v>
      </c>
      <c r="C1262" s="11" t="s">
        <v>1080</v>
      </c>
      <c r="D1262" s="12" t="s">
        <v>1298</v>
      </c>
      <c r="E1262" s="13" t="s">
        <v>1716</v>
      </c>
      <c r="F1262" s="6" t="str">
        <f>_xlfn.XLOOKUP(D1262,[9]Sheet2!$C:$C,[9]Sheet2!$E:$E,"-")</f>
        <v>Yusril Abdillah</v>
      </c>
      <c r="G1262" s="222"/>
    </row>
    <row r="1263" spans="2:7">
      <c r="B1263" s="10" t="s">
        <v>1079</v>
      </c>
      <c r="C1263" s="11" t="s">
        <v>1080</v>
      </c>
      <c r="D1263" s="12" t="s">
        <v>1299</v>
      </c>
      <c r="E1263" s="13" t="s">
        <v>1739</v>
      </c>
      <c r="F1263" s="6" t="str">
        <f>_xlfn.XLOOKUP(D1263,[9]Sheet2!$C:$C,[9]Sheet2!$E:$E,"-")</f>
        <v>Olivia Sukma Rini Widyananda</v>
      </c>
      <c r="G1263" s="222"/>
    </row>
    <row r="1264" spans="2:7">
      <c r="B1264" s="10" t="s">
        <v>1079</v>
      </c>
      <c r="C1264" s="11" t="s">
        <v>1080</v>
      </c>
      <c r="D1264" s="12" t="s">
        <v>1300</v>
      </c>
      <c r="E1264" s="13" t="s">
        <v>1739</v>
      </c>
      <c r="F1264" s="6" t="str">
        <f>_xlfn.XLOOKUP(D1264,[9]Sheet2!$C:$C,[9]Sheet2!$E:$E,"-")</f>
        <v>Moch Erfan</v>
      </c>
      <c r="G1264" s="222"/>
    </row>
    <row r="1265" spans="2:7">
      <c r="B1265" s="10" t="s">
        <v>1079</v>
      </c>
      <c r="C1265" s="11" t="s">
        <v>1080</v>
      </c>
      <c r="D1265" s="12" t="s">
        <v>1301</v>
      </c>
      <c r="E1265" s="13" t="s">
        <v>1739</v>
      </c>
      <c r="F1265" s="6" t="str">
        <f>_xlfn.XLOOKUP(D1265,[9]Sheet2!$C:$C,[9]Sheet2!$E:$E,"-")</f>
        <v>Moch Erfan</v>
      </c>
      <c r="G1265" s="222"/>
    </row>
    <row r="1266" spans="2:7">
      <c r="B1266" s="10" t="s">
        <v>1079</v>
      </c>
      <c r="C1266" s="11" t="s">
        <v>1080</v>
      </c>
      <c r="D1266" s="12" t="s">
        <v>1302</v>
      </c>
      <c r="E1266" s="13" t="s">
        <v>1716</v>
      </c>
      <c r="F1266" s="6" t="str">
        <f>_xlfn.XLOOKUP(D1266,[9]Sheet2!$C:$C,[9]Sheet2!$E:$E,"-")</f>
        <v>Erwin Purwanto</v>
      </c>
      <c r="G1266" s="222"/>
    </row>
    <row r="1267" spans="2:7">
      <c r="B1267" s="10" t="s">
        <v>1079</v>
      </c>
      <c r="C1267" s="11" t="s">
        <v>1080</v>
      </c>
      <c r="D1267" s="12" t="s">
        <v>1303</v>
      </c>
      <c r="E1267" s="13" t="s">
        <v>1716</v>
      </c>
      <c r="F1267" s="6" t="str">
        <f>_xlfn.XLOOKUP(D1267,[9]Sheet2!$C:$C,[9]Sheet2!$E:$E,"-")</f>
        <v>Erwin Purwanto</v>
      </c>
      <c r="G1267" s="222"/>
    </row>
    <row r="1268" spans="2:7">
      <c r="B1268" s="10" t="s">
        <v>1079</v>
      </c>
      <c r="C1268" s="11" t="s">
        <v>1080</v>
      </c>
      <c r="D1268" s="12" t="s">
        <v>1304</v>
      </c>
      <c r="E1268" s="13" t="s">
        <v>1716</v>
      </c>
      <c r="F1268" s="6" t="str">
        <f>_xlfn.XLOOKUP(D1268,[9]Sheet2!$C:$C,[9]Sheet2!$E:$E,"-")</f>
        <v>Rendhy Bhaskara Putra</v>
      </c>
      <c r="G1268" s="222"/>
    </row>
    <row r="1269" spans="2:7">
      <c r="B1269" s="10" t="s">
        <v>1079</v>
      </c>
      <c r="C1269" s="11" t="s">
        <v>1080</v>
      </c>
      <c r="D1269" s="12" t="s">
        <v>1305</v>
      </c>
      <c r="E1269" s="13" t="s">
        <v>1716</v>
      </c>
      <c r="F1269" s="6" t="str">
        <f>_xlfn.XLOOKUP(D1269,[9]Sheet2!$C:$C,[9]Sheet2!$E:$E,"-")</f>
        <v>Deby Alief Intan Permata</v>
      </c>
      <c r="G1269" s="222"/>
    </row>
    <row r="1270" spans="2:7">
      <c r="B1270" s="10" t="s">
        <v>1079</v>
      </c>
      <c r="C1270" s="11" t="s">
        <v>1080</v>
      </c>
      <c r="D1270" s="12" t="s">
        <v>1306</v>
      </c>
      <c r="E1270" s="13" t="s">
        <v>1716</v>
      </c>
      <c r="F1270" s="6" t="str">
        <f>_xlfn.XLOOKUP(D1270,[9]Sheet2!$C:$C,[9]Sheet2!$E:$E,"-")</f>
        <v>Rizki Fajar Kurniawan</v>
      </c>
      <c r="G1270" s="222"/>
    </row>
    <row r="1271" spans="2:7">
      <c r="B1271" s="10" t="s">
        <v>1079</v>
      </c>
      <c r="C1271" s="11" t="s">
        <v>1080</v>
      </c>
      <c r="D1271" s="12" t="s">
        <v>1307</v>
      </c>
      <c r="E1271" s="13" t="s">
        <v>1716</v>
      </c>
      <c r="F1271" s="6" t="str">
        <f>_xlfn.XLOOKUP(D1271,[9]Sheet2!$C:$C,[9]Sheet2!$E:$E,"-")</f>
        <v>Imam Safiudin Mustaqim</v>
      </c>
      <c r="G1271" s="222"/>
    </row>
    <row r="1272" spans="2:7">
      <c r="B1272" s="10" t="s">
        <v>1079</v>
      </c>
      <c r="C1272" s="11" t="s">
        <v>1080</v>
      </c>
      <c r="D1272" s="12" t="s">
        <v>1308</v>
      </c>
      <c r="E1272" s="13" t="s">
        <v>1716</v>
      </c>
      <c r="F1272" s="6" t="str">
        <f>_xlfn.XLOOKUP(D1272,[9]Sheet2!$C:$C,[9]Sheet2!$E:$E,"-")</f>
        <v>Imam Safiudin Mustaqim</v>
      </c>
      <c r="G1272" s="222"/>
    </row>
    <row r="1273" spans="2:7">
      <c r="B1273" s="10" t="s">
        <v>1079</v>
      </c>
      <c r="C1273" s="11" t="s">
        <v>1080</v>
      </c>
      <c r="D1273" s="12" t="s">
        <v>1309</v>
      </c>
      <c r="E1273" s="13" t="s">
        <v>1716</v>
      </c>
      <c r="F1273" s="6" t="str">
        <f>_xlfn.XLOOKUP(D1273,[9]Sheet2!$C:$C,[9]Sheet2!$E:$E,"-")</f>
        <v>Muhammad Yasin</v>
      </c>
      <c r="G1273" s="222"/>
    </row>
    <row r="1274" spans="2:7">
      <c r="B1274" s="10" t="s">
        <v>1079</v>
      </c>
      <c r="C1274" s="11" t="s">
        <v>1080</v>
      </c>
      <c r="D1274" s="12" t="s">
        <v>1310</v>
      </c>
      <c r="E1274" s="13" t="s">
        <v>1716</v>
      </c>
      <c r="F1274" s="6" t="str">
        <f>_xlfn.XLOOKUP(D1274,[9]Sheet2!$C:$C,[9]Sheet2!$E:$E,"-")</f>
        <v>Mohammad Sholehhuddin</v>
      </c>
      <c r="G1274" s="222"/>
    </row>
    <row r="1275" spans="2:7">
      <c r="B1275" s="10" t="s">
        <v>1079</v>
      </c>
      <c r="C1275" s="11" t="s">
        <v>1080</v>
      </c>
      <c r="D1275" s="12" t="s">
        <v>1311</v>
      </c>
      <c r="E1275" s="13" t="s">
        <v>1716</v>
      </c>
      <c r="F1275" s="6" t="str">
        <f>_xlfn.XLOOKUP(D1275,[9]Sheet2!$C:$C,[9]Sheet2!$E:$E,"-")</f>
        <v>Riki Yuhan Diantoro</v>
      </c>
      <c r="G1275" s="222"/>
    </row>
    <row r="1276" spans="2:7">
      <c r="B1276" s="10" t="s">
        <v>1079</v>
      </c>
      <c r="C1276" s="11" t="s">
        <v>1080</v>
      </c>
      <c r="D1276" s="12" t="s">
        <v>1312</v>
      </c>
      <c r="E1276" s="13" t="s">
        <v>1716</v>
      </c>
      <c r="F1276" s="6" t="str">
        <f>_xlfn.XLOOKUP(D1276,[9]Sheet2!$C:$C,[9]Sheet2!$E:$E,"-")</f>
        <v>Mohammad Sholehhuddin</v>
      </c>
      <c r="G1276" s="222"/>
    </row>
    <row r="1277" spans="2:7">
      <c r="B1277" s="10" t="s">
        <v>1079</v>
      </c>
      <c r="C1277" s="11" t="s">
        <v>1080</v>
      </c>
      <c r="D1277" s="12" t="s">
        <v>1313</v>
      </c>
      <c r="E1277" s="13" t="s">
        <v>1716</v>
      </c>
      <c r="F1277" s="6" t="str">
        <f>_xlfn.XLOOKUP(D1277,[9]Sheet2!$C:$C,[9]Sheet2!$E:$E,"-")</f>
        <v>Deby Alief Intan Permata</v>
      </c>
      <c r="G1277" s="222"/>
    </row>
    <row r="1278" spans="2:7">
      <c r="B1278" s="10" t="s">
        <v>1079</v>
      </c>
      <c r="C1278" s="11" t="s">
        <v>1080</v>
      </c>
      <c r="D1278" s="12" t="s">
        <v>1314</v>
      </c>
      <c r="E1278" s="13" t="s">
        <v>1716</v>
      </c>
      <c r="F1278" s="6" t="str">
        <f>_xlfn.XLOOKUP(D1278,[9]Sheet2!$C:$C,[9]Sheet2!$E:$E,"-")</f>
        <v>Riki Yuhan Diantoro</v>
      </c>
      <c r="G1278" s="222"/>
    </row>
    <row r="1279" spans="2:7">
      <c r="B1279" s="10" t="s">
        <v>1079</v>
      </c>
      <c r="C1279" s="11" t="s">
        <v>1080</v>
      </c>
      <c r="D1279" s="12" t="s">
        <v>1315</v>
      </c>
      <c r="E1279" s="13" t="s">
        <v>1716</v>
      </c>
      <c r="F1279" s="6" t="str">
        <f>_xlfn.XLOOKUP(D1279,[9]Sheet2!$C:$C,[9]Sheet2!$E:$E,"-")</f>
        <v>Muhammad Yasin</v>
      </c>
      <c r="G1279" s="222"/>
    </row>
    <row r="1280" spans="2:7">
      <c r="B1280" s="10" t="s">
        <v>1079</v>
      </c>
      <c r="C1280" s="11" t="s">
        <v>1080</v>
      </c>
      <c r="D1280" s="12" t="s">
        <v>1316</v>
      </c>
      <c r="E1280" s="13" t="s">
        <v>1739</v>
      </c>
      <c r="F1280" s="6" t="str">
        <f>_xlfn.XLOOKUP(D1280,[9]Sheet2!$C:$C,[9]Sheet2!$E:$E,"-")</f>
        <v>Miftahul Rahman</v>
      </c>
      <c r="G1280" s="222"/>
    </row>
    <row r="1281" spans="2:7">
      <c r="B1281" s="10" t="s">
        <v>1079</v>
      </c>
      <c r="C1281" s="11" t="s">
        <v>1080</v>
      </c>
      <c r="D1281" s="12" t="s">
        <v>1317</v>
      </c>
      <c r="E1281" s="13" t="s">
        <v>1716</v>
      </c>
      <c r="F1281" s="6" t="str">
        <f>_xlfn.XLOOKUP(D1281,[9]Sheet2!$C:$C,[9]Sheet2!$E:$E,"-")</f>
        <v>Dwi Rahman Saleh</v>
      </c>
      <c r="G1281" s="222"/>
    </row>
    <row r="1282" spans="2:7">
      <c r="B1282" s="10" t="s">
        <v>1079</v>
      </c>
      <c r="C1282" s="11" t="s">
        <v>1080</v>
      </c>
      <c r="D1282" s="12" t="s">
        <v>1318</v>
      </c>
      <c r="E1282" s="13" t="s">
        <v>1716</v>
      </c>
      <c r="F1282" s="6" t="str">
        <f>_xlfn.XLOOKUP(D1282,[9]Sheet2!$C:$C,[9]Sheet2!$E:$E,"-")</f>
        <v>Ilham Tri Cahyono</v>
      </c>
      <c r="G1282" s="222"/>
    </row>
    <row r="1283" spans="2:7">
      <c r="B1283" s="10" t="s">
        <v>1079</v>
      </c>
      <c r="C1283" s="11" t="s">
        <v>1080</v>
      </c>
      <c r="D1283" s="12" t="s">
        <v>1319</v>
      </c>
      <c r="E1283" s="13" t="s">
        <v>1716</v>
      </c>
      <c r="F1283" s="6" t="str">
        <f>_xlfn.XLOOKUP(D1283,[9]Sheet2!$C:$C,[9]Sheet2!$E:$E,"-")</f>
        <v>Rizki Eki Prayoga</v>
      </c>
      <c r="G1283" s="222"/>
    </row>
    <row r="1284" spans="2:7">
      <c r="B1284" s="10" t="s">
        <v>1079</v>
      </c>
      <c r="C1284" s="11" t="s">
        <v>1080</v>
      </c>
      <c r="D1284" s="12" t="s">
        <v>1320</v>
      </c>
      <c r="E1284" s="13" t="s">
        <v>1739</v>
      </c>
      <c r="F1284" s="6" t="str">
        <f>_xlfn.XLOOKUP(D1284,[9]Sheet2!$C:$C,[9]Sheet2!$E:$E,"-")</f>
        <v>Farid Amrullah</v>
      </c>
      <c r="G1284" s="222"/>
    </row>
    <row r="1285" spans="2:7">
      <c r="B1285" s="10" t="s">
        <v>1079</v>
      </c>
      <c r="C1285" s="11" t="s">
        <v>1080</v>
      </c>
      <c r="D1285" s="12" t="s">
        <v>1321</v>
      </c>
      <c r="E1285" s="13" t="s">
        <v>1739</v>
      </c>
      <c r="F1285" s="6" t="str">
        <f>_xlfn.XLOOKUP(D1285,[9]Sheet2!$C:$C,[9]Sheet2!$E:$E,"-")</f>
        <v>Miftahul Rahman</v>
      </c>
      <c r="G1285" s="222"/>
    </row>
    <row r="1286" spans="2:7">
      <c r="B1286" s="10" t="s">
        <v>1079</v>
      </c>
      <c r="C1286" s="11" t="s">
        <v>1080</v>
      </c>
      <c r="D1286" s="12" t="s">
        <v>1322</v>
      </c>
      <c r="E1286" s="13" t="s">
        <v>1739</v>
      </c>
      <c r="F1286" s="6" t="str">
        <f>_xlfn.XLOOKUP(D1286,[9]Sheet2!$C:$C,[9]Sheet2!$E:$E,"-")</f>
        <v>Moh. Kusnadi</v>
      </c>
      <c r="G1286" s="222"/>
    </row>
    <row r="1287" spans="2:7">
      <c r="B1287" s="10" t="s">
        <v>1079</v>
      </c>
      <c r="C1287" s="11" t="s">
        <v>1080</v>
      </c>
      <c r="D1287" s="12" t="s">
        <v>1323</v>
      </c>
      <c r="E1287" s="13" t="s">
        <v>1739</v>
      </c>
      <c r="F1287" s="6" t="str">
        <f>_xlfn.XLOOKUP(D1287,[9]Sheet2!$C:$C,[9]Sheet2!$E:$E,"-")</f>
        <v>Moh. Kusnadi</v>
      </c>
      <c r="G1287" s="222"/>
    </row>
    <row r="1288" spans="2:7">
      <c r="B1288" s="10" t="s">
        <v>1079</v>
      </c>
      <c r="C1288" s="11" t="s">
        <v>1080</v>
      </c>
      <c r="D1288" s="12" t="s">
        <v>1324</v>
      </c>
      <c r="E1288" s="13" t="s">
        <v>1716</v>
      </c>
      <c r="F1288" s="6" t="str">
        <f>_xlfn.XLOOKUP(D1288,[9]Sheet2!$C:$C,[9]Sheet2!$E:$E,"-")</f>
        <v>Imro'Atul Azizah</v>
      </c>
      <c r="G1288" s="222"/>
    </row>
    <row r="1289" spans="2:7">
      <c r="B1289" s="10" t="s">
        <v>1079</v>
      </c>
      <c r="C1289" s="11" t="s">
        <v>1080</v>
      </c>
      <c r="D1289" s="12" t="s">
        <v>1325</v>
      </c>
      <c r="E1289" s="13" t="s">
        <v>1716</v>
      </c>
      <c r="F1289" s="6" t="str">
        <f>_xlfn.XLOOKUP(D1289,[9]Sheet2!$C:$C,[9]Sheet2!$E:$E,"-")</f>
        <v>Dwi Rahman Saleh</v>
      </c>
      <c r="G1289" s="222"/>
    </row>
    <row r="1290" spans="2:7">
      <c r="B1290" s="10" t="s">
        <v>1079</v>
      </c>
      <c r="C1290" s="11" t="s">
        <v>1080</v>
      </c>
      <c r="D1290" s="12" t="s">
        <v>1326</v>
      </c>
      <c r="E1290" s="13" t="s">
        <v>1739</v>
      </c>
      <c r="F1290" s="6" t="str">
        <f>_xlfn.XLOOKUP(D1290,[9]Sheet2!$C:$C,[9]Sheet2!$E:$E,"-")</f>
        <v>Muhammad Suhir</v>
      </c>
      <c r="G1290" s="222"/>
    </row>
    <row r="1291" spans="2:7">
      <c r="B1291" s="10" t="s">
        <v>1079</v>
      </c>
      <c r="C1291" s="11" t="s">
        <v>1080</v>
      </c>
      <c r="D1291" s="12" t="s">
        <v>1327</v>
      </c>
      <c r="E1291" s="13" t="s">
        <v>1739</v>
      </c>
      <c r="F1291" s="6" t="str">
        <f>_xlfn.XLOOKUP(D1291,[9]Sheet2!$C:$C,[9]Sheet2!$E:$E,"-")</f>
        <v>Farid Amrullah</v>
      </c>
      <c r="G1291" s="222"/>
    </row>
    <row r="1292" spans="2:7">
      <c r="B1292" s="10" t="s">
        <v>1079</v>
      </c>
      <c r="C1292" s="11" t="s">
        <v>1080</v>
      </c>
      <c r="D1292" s="12" t="s">
        <v>1328</v>
      </c>
      <c r="E1292" s="13" t="s">
        <v>1716</v>
      </c>
      <c r="F1292" s="6" t="str">
        <f>_xlfn.XLOOKUP(D1292,[9]Sheet2!$C:$C,[9]Sheet2!$E:$E,"-")</f>
        <v>Vigil Setya Sembada</v>
      </c>
      <c r="G1292" s="222"/>
    </row>
    <row r="1293" spans="2:7">
      <c r="B1293" s="10" t="s">
        <v>1079</v>
      </c>
      <c r="C1293" s="11" t="s">
        <v>1080</v>
      </c>
      <c r="D1293" s="12" t="s">
        <v>1329</v>
      </c>
      <c r="E1293" s="13" t="s">
        <v>1716</v>
      </c>
      <c r="F1293" s="6" t="str">
        <f>_xlfn.XLOOKUP(D1293,[9]Sheet2!$C:$C,[9]Sheet2!$E:$E,"-")</f>
        <v>Putra Pratama Iwan Wahyudi</v>
      </c>
      <c r="G1293" s="222"/>
    </row>
    <row r="1294" spans="2:7">
      <c r="B1294" s="10" t="s">
        <v>1079</v>
      </c>
      <c r="C1294" s="11" t="s">
        <v>1080</v>
      </c>
      <c r="D1294" s="12" t="s">
        <v>1330</v>
      </c>
      <c r="E1294" s="13" t="s">
        <v>1716</v>
      </c>
      <c r="F1294" s="6" t="str">
        <f>_xlfn.XLOOKUP(D1294,[9]Sheet2!$C:$C,[9]Sheet2!$E:$E,"-")</f>
        <v>Putra Pratama Iwan Wahyudi</v>
      </c>
      <c r="G1294" s="222"/>
    </row>
    <row r="1295" spans="2:7">
      <c r="B1295" s="10" t="s">
        <v>1079</v>
      </c>
      <c r="C1295" s="11" t="s">
        <v>1080</v>
      </c>
      <c r="D1295" s="12" t="s">
        <v>1331</v>
      </c>
      <c r="E1295" s="13" t="s">
        <v>1716</v>
      </c>
      <c r="F1295" s="6" t="str">
        <f>_xlfn.XLOOKUP(D1295,[9]Sheet2!$C:$C,[9]Sheet2!$E:$E,"-")</f>
        <v>Akhmad Taufikqul Hakim</v>
      </c>
      <c r="G1295" s="222"/>
    </row>
    <row r="1296" spans="2:7">
      <c r="B1296" s="10" t="s">
        <v>1079</v>
      </c>
      <c r="C1296" s="11" t="s">
        <v>1080</v>
      </c>
      <c r="D1296" s="12" t="s">
        <v>1332</v>
      </c>
      <c r="E1296" s="13" t="s">
        <v>1716</v>
      </c>
      <c r="F1296" s="6" t="str">
        <f>_xlfn.XLOOKUP(D1296,[9]Sheet2!$C:$C,[9]Sheet2!$E:$E,"-")</f>
        <v>Putra Pratama Iwan Wahyudi</v>
      </c>
      <c r="G1296" s="222"/>
    </row>
    <row r="1297" spans="2:7">
      <c r="B1297" s="10" t="s">
        <v>1079</v>
      </c>
      <c r="C1297" s="11" t="s">
        <v>1080</v>
      </c>
      <c r="D1297" s="12" t="s">
        <v>1333</v>
      </c>
      <c r="E1297" s="13" t="s">
        <v>1716</v>
      </c>
      <c r="F1297" s="6" t="str">
        <f>_xlfn.XLOOKUP(D1297,[9]Sheet2!$C:$C,[9]Sheet2!$E:$E,"-")</f>
        <v>Akhmad Taufikqul Hakim</v>
      </c>
      <c r="G1297" s="222"/>
    </row>
    <row r="1298" spans="2:7">
      <c r="B1298" s="10" t="s">
        <v>1079</v>
      </c>
      <c r="C1298" s="11" t="s">
        <v>1080</v>
      </c>
      <c r="D1298" s="12" t="s">
        <v>1334</v>
      </c>
      <c r="E1298" s="13" t="s">
        <v>1716</v>
      </c>
      <c r="F1298" s="6" t="str">
        <f>_xlfn.XLOOKUP(D1298,[9]Sheet2!$C:$C,[9]Sheet2!$E:$E,"-")</f>
        <v>Akhmad Taufikqul Hakim</v>
      </c>
      <c r="G1298" s="222"/>
    </row>
    <row r="1299" spans="2:7">
      <c r="B1299" s="10" t="s">
        <v>1079</v>
      </c>
      <c r="C1299" s="11" t="s">
        <v>1080</v>
      </c>
      <c r="D1299" s="12" t="s">
        <v>1335</v>
      </c>
      <c r="E1299" s="13" t="s">
        <v>1716</v>
      </c>
      <c r="F1299" s="6" t="str">
        <f>_xlfn.XLOOKUP(D1299,[9]Sheet2!$C:$C,[9]Sheet2!$E:$E,"-")</f>
        <v>Akhmad Taufikqul Hakim</v>
      </c>
      <c r="G1299" s="222"/>
    </row>
    <row r="1300" spans="2:7">
      <c r="B1300" s="10" t="s">
        <v>1079</v>
      </c>
      <c r="C1300" s="11" t="s">
        <v>1080</v>
      </c>
      <c r="D1300" s="12" t="s">
        <v>1336</v>
      </c>
      <c r="E1300" s="13" t="s">
        <v>1716</v>
      </c>
      <c r="F1300" s="6" t="str">
        <f>_xlfn.XLOOKUP(D1300,[9]Sheet2!$C:$C,[9]Sheet2!$E:$E,"-")</f>
        <v>Putra Pratama Iwan Wahyudi</v>
      </c>
      <c r="G1300" s="222"/>
    </row>
    <row r="1301" spans="2:7">
      <c r="B1301" s="10" t="s">
        <v>1079</v>
      </c>
      <c r="C1301" s="11" t="s">
        <v>1080</v>
      </c>
      <c r="D1301" s="12" t="s">
        <v>1337</v>
      </c>
      <c r="E1301" s="13" t="s">
        <v>1716</v>
      </c>
      <c r="F1301" s="6" t="str">
        <f>_xlfn.XLOOKUP(D1301,[9]Sheet2!$C:$C,[9]Sheet2!$E:$E,"-")</f>
        <v>Hermanto</v>
      </c>
      <c r="G1301" s="222"/>
    </row>
    <row r="1302" spans="2:7">
      <c r="B1302" s="10" t="s">
        <v>1079</v>
      </c>
      <c r="C1302" s="11" t="s">
        <v>1080</v>
      </c>
      <c r="D1302" s="12" t="s">
        <v>1338</v>
      </c>
      <c r="E1302" s="13" t="s">
        <v>1716</v>
      </c>
      <c r="F1302" s="6" t="str">
        <f>_xlfn.XLOOKUP(D1302,[9]Sheet2!$C:$C,[9]Sheet2!$E:$E,"-")</f>
        <v>Satrio Aji Pamungkas</v>
      </c>
      <c r="G1302" s="222"/>
    </row>
    <row r="1303" spans="2:7">
      <c r="B1303" s="10" t="s">
        <v>1079</v>
      </c>
      <c r="C1303" s="11" t="s">
        <v>1080</v>
      </c>
      <c r="D1303" s="12" t="s">
        <v>1339</v>
      </c>
      <c r="E1303" s="13" t="s">
        <v>1716</v>
      </c>
      <c r="F1303" s="6" t="str">
        <f>_xlfn.XLOOKUP(D1303,[9]Sheet2!$C:$C,[9]Sheet2!$E:$E,"-")</f>
        <v>Hermanto</v>
      </c>
      <c r="G1303" s="222"/>
    </row>
    <row r="1304" spans="2:7">
      <c r="B1304" s="10" t="s">
        <v>1079</v>
      </c>
      <c r="C1304" s="11" t="s">
        <v>1080</v>
      </c>
      <c r="D1304" s="12" t="s">
        <v>1340</v>
      </c>
      <c r="E1304" s="13" t="s">
        <v>1716</v>
      </c>
      <c r="F1304" s="6" t="str">
        <f>_xlfn.XLOOKUP(D1304,[9]Sheet2!$C:$C,[9]Sheet2!$E:$E,"-")</f>
        <v>Moh. Ria Sholeh</v>
      </c>
      <c r="G1304" s="222"/>
    </row>
    <row r="1305" spans="2:7">
      <c r="B1305" s="10" t="s">
        <v>1079</v>
      </c>
      <c r="C1305" s="11" t="s">
        <v>1080</v>
      </c>
      <c r="D1305" s="12" t="s">
        <v>1341</v>
      </c>
      <c r="E1305" s="13" t="s">
        <v>1716</v>
      </c>
      <c r="F1305" s="6" t="str">
        <f>_xlfn.XLOOKUP(D1305,[9]Sheet2!$C:$C,[9]Sheet2!$E:$E,"-")</f>
        <v>Agung Permana</v>
      </c>
      <c r="G1305" s="222"/>
    </row>
    <row r="1306" spans="2:7">
      <c r="B1306" s="10" t="s">
        <v>1079</v>
      </c>
      <c r="C1306" s="11" t="s">
        <v>1080</v>
      </c>
      <c r="D1306" s="12" t="s">
        <v>1342</v>
      </c>
      <c r="E1306" s="13" t="s">
        <v>1716</v>
      </c>
      <c r="F1306" s="6" t="str">
        <f>_xlfn.XLOOKUP(D1306,[9]Sheet2!$C:$C,[9]Sheet2!$E:$E,"-")</f>
        <v>Agung Permana</v>
      </c>
      <c r="G1306" s="222"/>
    </row>
    <row r="1307" spans="2:7">
      <c r="B1307" s="10" t="s">
        <v>1079</v>
      </c>
      <c r="C1307" s="11" t="s">
        <v>1080</v>
      </c>
      <c r="D1307" s="12" t="s">
        <v>1343</v>
      </c>
      <c r="E1307" s="13" t="s">
        <v>1716</v>
      </c>
      <c r="F1307" s="6" t="str">
        <f>_xlfn.XLOOKUP(D1307,[9]Sheet2!$C:$C,[9]Sheet2!$E:$E,"-")</f>
        <v>Moh. Ria Sholeh</v>
      </c>
      <c r="G1307" s="222"/>
    </row>
    <row r="1308" spans="2:7">
      <c r="B1308" s="10" t="s">
        <v>1079</v>
      </c>
      <c r="C1308" s="11" t="s">
        <v>1080</v>
      </c>
      <c r="D1308" s="12" t="s">
        <v>1344</v>
      </c>
      <c r="E1308" s="13" t="s">
        <v>1716</v>
      </c>
      <c r="F1308" s="6" t="str">
        <f>_xlfn.XLOOKUP(D1308,[9]Sheet2!$C:$C,[9]Sheet2!$E:$E,"-")</f>
        <v>Satrio Aji Pamungkas</v>
      </c>
      <c r="G1308" s="222"/>
    </row>
    <row r="1309" spans="2:7">
      <c r="B1309" s="10" t="s">
        <v>1079</v>
      </c>
      <c r="C1309" s="11" t="s">
        <v>1080</v>
      </c>
      <c r="D1309" s="12" t="s">
        <v>1345</v>
      </c>
      <c r="E1309" s="13" t="s">
        <v>1716</v>
      </c>
      <c r="F1309" s="6" t="str">
        <f>_xlfn.XLOOKUP(D1309,[9]Sheet2!$C:$C,[9]Sheet2!$E:$E,"-")</f>
        <v>Mochammad Rifqi Riva</v>
      </c>
      <c r="G1309" s="222"/>
    </row>
    <row r="1310" spans="2:7">
      <c r="B1310" s="10" t="s">
        <v>1079</v>
      </c>
      <c r="C1310" s="11" t="s">
        <v>1080</v>
      </c>
      <c r="D1310" s="12" t="s">
        <v>1346</v>
      </c>
      <c r="E1310" s="13" t="s">
        <v>1739</v>
      </c>
      <c r="F1310" s="6" t="str">
        <f>_xlfn.XLOOKUP(D1310,[9]Sheet2!$C:$C,[9]Sheet2!$E:$E,"-")</f>
        <v>Bingar Restu Wiyana</v>
      </c>
      <c r="G1310" s="222"/>
    </row>
    <row r="1311" spans="2:7">
      <c r="B1311" s="10" t="s">
        <v>1079</v>
      </c>
      <c r="C1311" s="11" t="s">
        <v>1080</v>
      </c>
      <c r="D1311" s="12" t="s">
        <v>1347</v>
      </c>
      <c r="E1311" s="13" t="s">
        <v>1716</v>
      </c>
      <c r="F1311" s="6" t="str">
        <f>_xlfn.XLOOKUP(D1311,[9]Sheet2!$C:$C,[9]Sheet2!$E:$E,"-")</f>
        <v>Jefri Biantoro</v>
      </c>
      <c r="G1311" s="222"/>
    </row>
    <row r="1312" spans="2:7">
      <c r="B1312" s="10" t="s">
        <v>1079</v>
      </c>
      <c r="C1312" s="11" t="s">
        <v>1080</v>
      </c>
      <c r="D1312" s="12" t="s">
        <v>1348</v>
      </c>
      <c r="E1312" s="13" t="s">
        <v>1739</v>
      </c>
      <c r="F1312" s="6" t="str">
        <f>_xlfn.XLOOKUP(D1312,[9]Sheet2!$C:$C,[9]Sheet2!$E:$E,"-")</f>
        <v>Mohammad Rizky Adhe Nugraha</v>
      </c>
      <c r="G1312" s="222"/>
    </row>
    <row r="1313" spans="2:7">
      <c r="B1313" s="10" t="s">
        <v>1079</v>
      </c>
      <c r="C1313" s="11" t="s">
        <v>1080</v>
      </c>
      <c r="D1313" s="12" t="s">
        <v>1349</v>
      </c>
      <c r="E1313" s="13" t="s">
        <v>1716</v>
      </c>
      <c r="F1313" s="6" t="str">
        <f>_xlfn.XLOOKUP(D1313,[9]Sheet2!$C:$C,[9]Sheet2!$E:$E,"-")</f>
        <v>Nor Dwi Prakoso</v>
      </c>
      <c r="G1313" s="222"/>
    </row>
    <row r="1314" spans="2:7">
      <c r="B1314" s="10" t="s">
        <v>1079</v>
      </c>
      <c r="C1314" s="11" t="s">
        <v>1080</v>
      </c>
      <c r="D1314" s="12" t="s">
        <v>1350</v>
      </c>
      <c r="E1314" s="13" t="s">
        <v>1716</v>
      </c>
      <c r="F1314" s="6" t="str">
        <f>_xlfn.XLOOKUP(D1314,[9]Sheet2!$C:$C,[9]Sheet2!$E:$E,"-")</f>
        <v>Nor Dwi Prakoso</v>
      </c>
      <c r="G1314" s="222"/>
    </row>
    <row r="1315" spans="2:7">
      <c r="B1315" s="10" t="s">
        <v>1079</v>
      </c>
      <c r="C1315" s="11" t="s">
        <v>1080</v>
      </c>
      <c r="D1315" s="12" t="s">
        <v>1351</v>
      </c>
      <c r="E1315" s="13" t="s">
        <v>1716</v>
      </c>
      <c r="F1315" s="6" t="str">
        <f>_xlfn.XLOOKUP(D1315,[9]Sheet2!$C:$C,[9]Sheet2!$E:$E,"-")</f>
        <v>Muhammad Robit</v>
      </c>
      <c r="G1315" s="222"/>
    </row>
    <row r="1316" spans="2:7">
      <c r="B1316" s="10" t="s">
        <v>1079</v>
      </c>
      <c r="C1316" s="11" t="s">
        <v>1080</v>
      </c>
      <c r="D1316" s="12" t="s">
        <v>1352</v>
      </c>
      <c r="E1316" s="13" t="s">
        <v>1716</v>
      </c>
      <c r="F1316" s="6" t="str">
        <f>_xlfn.XLOOKUP(D1316,[9]Sheet2!$C:$C,[9]Sheet2!$E:$E,"-")</f>
        <v>Tri Ari Febriyanto</v>
      </c>
      <c r="G1316" s="222"/>
    </row>
    <row r="1317" spans="2:7">
      <c r="B1317" s="10" t="s">
        <v>1079</v>
      </c>
      <c r="C1317" s="11" t="s">
        <v>1080</v>
      </c>
      <c r="D1317" s="12" t="s">
        <v>1353</v>
      </c>
      <c r="E1317" s="13" t="s">
        <v>1716</v>
      </c>
      <c r="F1317" s="6" t="str">
        <f>_xlfn.XLOOKUP(D1317,[9]Sheet2!$C:$C,[9]Sheet2!$E:$E,"-")</f>
        <v>Mochammad Rifqi Riva</v>
      </c>
      <c r="G1317" s="222"/>
    </row>
    <row r="1318" spans="2:7">
      <c r="B1318" s="10" t="s">
        <v>1079</v>
      </c>
      <c r="C1318" s="11" t="s">
        <v>1080</v>
      </c>
      <c r="D1318" s="12" t="s">
        <v>1354</v>
      </c>
      <c r="E1318" s="13" t="s">
        <v>1716</v>
      </c>
      <c r="F1318" s="6" t="str">
        <f>_xlfn.XLOOKUP(D1318,[9]Sheet2!$C:$C,[9]Sheet2!$E:$E,"-")</f>
        <v>Mochammad Rifqi Riva</v>
      </c>
      <c r="G1318" s="222"/>
    </row>
    <row r="1319" spans="2:7">
      <c r="B1319" s="10" t="s">
        <v>1079</v>
      </c>
      <c r="C1319" s="11" t="s">
        <v>1080</v>
      </c>
      <c r="D1319" s="12" t="s">
        <v>1355</v>
      </c>
      <c r="E1319" s="13" t="s">
        <v>1739</v>
      </c>
      <c r="F1319" s="6" t="str">
        <f>_xlfn.XLOOKUP(D1319,[9]Sheet2!$C:$C,[9]Sheet2!$E:$E,"-")</f>
        <v>Lutfiyanto</v>
      </c>
      <c r="G1319" s="222"/>
    </row>
    <row r="1320" spans="2:7">
      <c r="B1320" s="10" t="s">
        <v>1079</v>
      </c>
      <c r="C1320" s="11" t="s">
        <v>1080</v>
      </c>
      <c r="D1320" s="12" t="s">
        <v>1356</v>
      </c>
      <c r="E1320" s="13" t="s">
        <v>1716</v>
      </c>
      <c r="F1320" s="6" t="str">
        <f>_xlfn.XLOOKUP(D1320,[9]Sheet2!$C:$C,[9]Sheet2!$E:$E,"-")</f>
        <v>Jefri Biantoro</v>
      </c>
      <c r="G1320" s="222"/>
    </row>
    <row r="1321" spans="2:7">
      <c r="B1321" s="10" t="s">
        <v>1079</v>
      </c>
      <c r="C1321" s="11" t="s">
        <v>1080</v>
      </c>
      <c r="D1321" s="12" t="s">
        <v>1357</v>
      </c>
      <c r="E1321" s="13" t="s">
        <v>1739</v>
      </c>
      <c r="F1321" s="6" t="str">
        <f>_xlfn.XLOOKUP(D1321,[9]Sheet2!$C:$C,[9]Sheet2!$E:$E,"-")</f>
        <v>Lutfiyanto</v>
      </c>
      <c r="G1321" s="222"/>
    </row>
    <row r="1322" spans="2:7">
      <c r="B1322" s="10" t="s">
        <v>1079</v>
      </c>
      <c r="C1322" s="11" t="s">
        <v>1080</v>
      </c>
      <c r="D1322" s="12" t="s">
        <v>1358</v>
      </c>
      <c r="E1322" s="13" t="s">
        <v>1716</v>
      </c>
      <c r="F1322" s="6" t="str">
        <f>_xlfn.XLOOKUP(D1322,[9]Sheet2!$C:$C,[9]Sheet2!$E:$E,"-")</f>
        <v>Muhammad Robit</v>
      </c>
      <c r="G1322" s="222"/>
    </row>
    <row r="1323" spans="2:7">
      <c r="B1323" s="10" t="s">
        <v>1079</v>
      </c>
      <c r="C1323" s="11" t="s">
        <v>1080</v>
      </c>
      <c r="D1323" s="12" t="s">
        <v>1359</v>
      </c>
      <c r="E1323" s="13" t="s">
        <v>1739</v>
      </c>
      <c r="F1323" s="6" t="str">
        <f>_xlfn.XLOOKUP(D1323,[9]Sheet2!$C:$C,[9]Sheet2!$E:$E,"-")</f>
        <v>Mohammad Rizky Adhe Nugraha</v>
      </c>
      <c r="G1323" s="222"/>
    </row>
    <row r="1324" spans="2:7">
      <c r="B1324" s="10" t="s">
        <v>1079</v>
      </c>
      <c r="C1324" s="11" t="s">
        <v>1080</v>
      </c>
      <c r="D1324" s="12" t="s">
        <v>1360</v>
      </c>
      <c r="E1324" s="13" t="s">
        <v>1739</v>
      </c>
      <c r="F1324" s="6" t="str">
        <f>_xlfn.XLOOKUP(D1324,[9]Sheet2!$C:$C,[9]Sheet2!$E:$E,"-")</f>
        <v>Bingar Restu Wiyana</v>
      </c>
      <c r="G1324" s="222"/>
    </row>
    <row r="1325" spans="2:7">
      <c r="B1325" s="10" t="s">
        <v>1079</v>
      </c>
      <c r="C1325" s="11" t="s">
        <v>1080</v>
      </c>
      <c r="D1325" s="12" t="s">
        <v>1361</v>
      </c>
      <c r="E1325" s="13" t="s">
        <v>1739</v>
      </c>
      <c r="F1325" s="6" t="str">
        <f>_xlfn.XLOOKUP(D1325,[9]Sheet2!$C:$C,[9]Sheet2!$E:$E,"-")</f>
        <v>Rizka Azizi</v>
      </c>
      <c r="G1325" s="222"/>
    </row>
    <row r="1326" spans="2:7">
      <c r="B1326" s="10" t="s">
        <v>1079</v>
      </c>
      <c r="C1326" s="11" t="s">
        <v>1080</v>
      </c>
      <c r="D1326" s="12" t="s">
        <v>1362</v>
      </c>
      <c r="E1326" s="13" t="s">
        <v>1716</v>
      </c>
      <c r="F1326" s="6" t="str">
        <f>_xlfn.XLOOKUP(D1326,[9]Sheet2!$C:$C,[9]Sheet2!$E:$E,"-")</f>
        <v>Nor Dwi Prakoso</v>
      </c>
      <c r="G1326" s="222"/>
    </row>
    <row r="1327" spans="2:7">
      <c r="B1327" s="10" t="s">
        <v>1079</v>
      </c>
      <c r="C1327" s="11" t="s">
        <v>1080</v>
      </c>
      <c r="D1327" s="12" t="s">
        <v>1363</v>
      </c>
      <c r="E1327" s="13" t="s">
        <v>1716</v>
      </c>
      <c r="F1327" s="6" t="str">
        <f>_xlfn.XLOOKUP(D1327,[9]Sheet2!$C:$C,[9]Sheet2!$E:$E,"-")</f>
        <v>Nor Dwi Prakoso</v>
      </c>
      <c r="G1327" s="222"/>
    </row>
    <row r="1328" spans="2:7">
      <c r="B1328" s="10" t="s">
        <v>1079</v>
      </c>
      <c r="C1328" s="11" t="s">
        <v>1080</v>
      </c>
      <c r="D1328" s="12" t="s">
        <v>1364</v>
      </c>
      <c r="E1328" s="13" t="s">
        <v>1739</v>
      </c>
      <c r="F1328" s="6" t="str">
        <f>_xlfn.XLOOKUP(D1328,[9]Sheet2!$C:$C,[9]Sheet2!$E:$E,"-")</f>
        <v>Galih Christian Kusworo</v>
      </c>
      <c r="G1328" s="222"/>
    </row>
    <row r="1329" spans="2:7">
      <c r="B1329" s="10" t="s">
        <v>1079</v>
      </c>
      <c r="C1329" s="11" t="s">
        <v>1080</v>
      </c>
      <c r="D1329" s="12" t="s">
        <v>1365</v>
      </c>
      <c r="E1329" s="13" t="s">
        <v>1716</v>
      </c>
      <c r="F1329" s="6" t="str">
        <f>_xlfn.XLOOKUP(D1329,[9]Sheet2!$C:$C,[9]Sheet2!$E:$E,"-")</f>
        <v>Yohanes Tri Agung Laksono</v>
      </c>
      <c r="G1329" s="222"/>
    </row>
    <row r="1330" spans="2:7">
      <c r="B1330" s="10" t="s">
        <v>1079</v>
      </c>
      <c r="C1330" s="11" t="s">
        <v>1080</v>
      </c>
      <c r="D1330" s="12" t="s">
        <v>1366</v>
      </c>
      <c r="E1330" s="13" t="s">
        <v>1739</v>
      </c>
      <c r="F1330" s="6" t="str">
        <f>_xlfn.XLOOKUP(D1330,[9]Sheet2!$C:$C,[9]Sheet2!$E:$E,"-")</f>
        <v>Hafid Arie Prastyo</v>
      </c>
      <c r="G1330" s="222"/>
    </row>
    <row r="1331" spans="2:7">
      <c r="B1331" s="10" t="s">
        <v>1079</v>
      </c>
      <c r="C1331" s="11" t="s">
        <v>1080</v>
      </c>
      <c r="D1331" s="12" t="s">
        <v>1367</v>
      </c>
      <c r="E1331" s="13" t="s">
        <v>1716</v>
      </c>
      <c r="F1331" s="6" t="str">
        <f>_xlfn.XLOOKUP(D1331,[9]Sheet2!$C:$C,[9]Sheet2!$E:$E,"-")</f>
        <v>Mochamad Rizky Maulana</v>
      </c>
      <c r="G1331" s="222"/>
    </row>
    <row r="1332" spans="2:7">
      <c r="B1332" s="10" t="s">
        <v>1079</v>
      </c>
      <c r="C1332" s="11" t="s">
        <v>1080</v>
      </c>
      <c r="D1332" s="12" t="s">
        <v>1368</v>
      </c>
      <c r="E1332" s="13" t="s">
        <v>1716</v>
      </c>
      <c r="F1332" s="6" t="str">
        <f>_xlfn.XLOOKUP(D1332,[9]Sheet2!$C:$C,[9]Sheet2!$E:$E,"-")</f>
        <v>Hervin Samsul Bakhri</v>
      </c>
      <c r="G1332" s="222"/>
    </row>
    <row r="1333" spans="2:7">
      <c r="B1333" s="10" t="s">
        <v>1079</v>
      </c>
      <c r="C1333" s="11" t="s">
        <v>1080</v>
      </c>
      <c r="D1333" s="12" t="s">
        <v>1369</v>
      </c>
      <c r="E1333" s="13" t="s">
        <v>1739</v>
      </c>
      <c r="F1333" s="6" t="str">
        <f>_xlfn.XLOOKUP(D1333,[9]Sheet2!$C:$C,[9]Sheet2!$E:$E,"-")</f>
        <v>Tedy Eko Saputra</v>
      </c>
      <c r="G1333" s="222"/>
    </row>
    <row r="1334" spans="2:7">
      <c r="B1334" s="10" t="s">
        <v>1079</v>
      </c>
      <c r="C1334" s="11" t="s">
        <v>1080</v>
      </c>
      <c r="D1334" s="12" t="s">
        <v>1370</v>
      </c>
      <c r="E1334" s="13" t="s">
        <v>1739</v>
      </c>
      <c r="F1334" s="6" t="str">
        <f>_xlfn.XLOOKUP(D1334,[9]Sheet2!$C:$C,[9]Sheet2!$E:$E,"-")</f>
        <v>Frendy Satria Nugraha</v>
      </c>
      <c r="G1334" s="222"/>
    </row>
    <row r="1335" spans="2:7">
      <c r="B1335" s="10" t="s">
        <v>1079</v>
      </c>
      <c r="C1335" s="11" t="s">
        <v>1080</v>
      </c>
      <c r="D1335" s="12" t="s">
        <v>1371</v>
      </c>
      <c r="E1335" s="13" t="s">
        <v>1716</v>
      </c>
      <c r="F1335" s="6" t="str">
        <f>_xlfn.XLOOKUP(D1335,[9]Sheet2!$C:$C,[9]Sheet2!$E:$E,"-")</f>
        <v>Rizki Dio Reza Andriawan</v>
      </c>
      <c r="G1335" s="222"/>
    </row>
    <row r="1336" spans="2:7">
      <c r="B1336" s="10" t="s">
        <v>1079</v>
      </c>
      <c r="C1336" s="11" t="s">
        <v>1080</v>
      </c>
      <c r="D1336" s="12" t="s">
        <v>1372</v>
      </c>
      <c r="E1336" s="13" t="s">
        <v>1739</v>
      </c>
      <c r="F1336" s="6" t="str">
        <f>_xlfn.XLOOKUP(D1336,[9]Sheet2!$C:$C,[9]Sheet2!$E:$E,"-")</f>
        <v>Wahyu Doniansyah</v>
      </c>
      <c r="G1336" s="222"/>
    </row>
    <row r="1337" spans="2:7">
      <c r="B1337" s="10" t="s">
        <v>1079</v>
      </c>
      <c r="C1337" s="11" t="s">
        <v>1080</v>
      </c>
      <c r="D1337" s="12" t="s">
        <v>1373</v>
      </c>
      <c r="E1337" s="13" t="s">
        <v>1739</v>
      </c>
      <c r="F1337" s="6" t="str">
        <f>_xlfn.XLOOKUP(D1337,[9]Sheet2!$C:$C,[9]Sheet2!$E:$E,"-")</f>
        <v>Galih Christian Kusworo</v>
      </c>
      <c r="G1337" s="222"/>
    </row>
    <row r="1338" spans="2:7">
      <c r="B1338" s="10" t="s">
        <v>1079</v>
      </c>
      <c r="C1338" s="11" t="s">
        <v>1080</v>
      </c>
      <c r="D1338" s="12" t="s">
        <v>1374</v>
      </c>
      <c r="E1338" s="13" t="s">
        <v>1739</v>
      </c>
      <c r="F1338" s="6" t="str">
        <f>_xlfn.XLOOKUP(D1338,[9]Sheet2!$C:$C,[9]Sheet2!$E:$E,"-")</f>
        <v>Wahyu Doniansyah</v>
      </c>
      <c r="G1338" s="222"/>
    </row>
    <row r="1339" spans="2:7">
      <c r="B1339" s="10" t="s">
        <v>1079</v>
      </c>
      <c r="C1339" s="11" t="s">
        <v>1080</v>
      </c>
      <c r="D1339" s="12" t="s">
        <v>1375</v>
      </c>
      <c r="E1339" s="13" t="s">
        <v>1716</v>
      </c>
      <c r="F1339" s="6" t="str">
        <f>_xlfn.XLOOKUP(D1339,[9]Sheet2!$C:$C,[9]Sheet2!$E:$E,"-")</f>
        <v>Irfan Wahyu Bahtiar</v>
      </c>
      <c r="G1339" s="222"/>
    </row>
    <row r="1340" spans="2:7">
      <c r="B1340" s="10" t="s">
        <v>1079</v>
      </c>
      <c r="C1340" s="11" t="s">
        <v>1080</v>
      </c>
      <c r="D1340" s="12" t="s">
        <v>1376</v>
      </c>
      <c r="E1340" s="13" t="s">
        <v>1716</v>
      </c>
      <c r="F1340" s="6" t="str">
        <f>_xlfn.XLOOKUP(D1340,[9]Sheet2!$C:$C,[9]Sheet2!$E:$E,"-")</f>
        <v>Irfan Wahyu Bahtiar</v>
      </c>
      <c r="G1340" s="222"/>
    </row>
    <row r="1341" spans="2:7">
      <c r="B1341" s="10" t="s">
        <v>1079</v>
      </c>
      <c r="C1341" s="11" t="s">
        <v>1080</v>
      </c>
      <c r="D1341" s="12" t="s">
        <v>1377</v>
      </c>
      <c r="E1341" s="13" t="s">
        <v>1716</v>
      </c>
      <c r="F1341" s="6" t="str">
        <f>_xlfn.XLOOKUP(D1341,[9]Sheet2!$C:$C,[9]Sheet2!$E:$E,"-")</f>
        <v>Umi Hanik</v>
      </c>
      <c r="G1341" s="222"/>
    </row>
    <row r="1342" spans="2:7">
      <c r="B1342" s="10" t="s">
        <v>1079</v>
      </c>
      <c r="C1342" s="11" t="s">
        <v>1080</v>
      </c>
      <c r="D1342" s="12" t="s">
        <v>1378</v>
      </c>
      <c r="E1342" s="13" t="s">
        <v>1716</v>
      </c>
      <c r="F1342" s="6" t="str">
        <f>_xlfn.XLOOKUP(D1342,[9]Sheet2!$C:$C,[9]Sheet2!$E:$E,"-")</f>
        <v>Much Zainuri</v>
      </c>
      <c r="G1342" s="222"/>
    </row>
    <row r="1343" spans="2:7">
      <c r="B1343" s="10" t="s">
        <v>1079</v>
      </c>
      <c r="C1343" s="11" t="s">
        <v>1080</v>
      </c>
      <c r="D1343" s="12" t="s">
        <v>1379</v>
      </c>
      <c r="E1343" s="13" t="s">
        <v>1716</v>
      </c>
      <c r="F1343" s="6" t="str">
        <f>_xlfn.XLOOKUP(D1343,[9]Sheet2!$C:$C,[9]Sheet2!$E:$E,"-")</f>
        <v>Wisnu Mahesa Murti</v>
      </c>
      <c r="G1343" s="222"/>
    </row>
    <row r="1344" spans="2:7">
      <c r="B1344" s="10" t="s">
        <v>1079</v>
      </c>
      <c r="C1344" s="11" t="s">
        <v>1080</v>
      </c>
      <c r="D1344" s="12" t="s">
        <v>1380</v>
      </c>
      <c r="E1344" s="13" t="s">
        <v>1716</v>
      </c>
      <c r="F1344" s="6" t="str">
        <f>_xlfn.XLOOKUP(D1344,[9]Sheet2!$C:$C,[9]Sheet2!$E:$E,"-")</f>
        <v>Muhammad Angga Saputra</v>
      </c>
      <c r="G1344" s="222"/>
    </row>
    <row r="1345" spans="2:7">
      <c r="B1345" s="10" t="s">
        <v>1079</v>
      </c>
      <c r="C1345" s="11" t="s">
        <v>1080</v>
      </c>
      <c r="D1345" s="12" t="s">
        <v>1381</v>
      </c>
      <c r="E1345" s="13" t="s">
        <v>1716</v>
      </c>
      <c r="F1345" s="6" t="str">
        <f>_xlfn.XLOOKUP(D1345,[9]Sheet2!$C:$C,[9]Sheet2!$E:$E,"-")</f>
        <v>Muhammad Angga Saputra</v>
      </c>
      <c r="G1345" s="222"/>
    </row>
    <row r="1346" spans="2:7">
      <c r="B1346" s="10" t="s">
        <v>1079</v>
      </c>
      <c r="C1346" s="11" t="s">
        <v>1080</v>
      </c>
      <c r="D1346" s="12" t="s">
        <v>1382</v>
      </c>
      <c r="E1346" s="13" t="s">
        <v>1716</v>
      </c>
      <c r="F1346" s="6" t="str">
        <f>_xlfn.XLOOKUP(D1346,[9]Sheet2!$C:$C,[9]Sheet2!$E:$E,"-")</f>
        <v>Dading Tustiyan Pratama</v>
      </c>
      <c r="G1346" s="222"/>
    </row>
    <row r="1347" spans="2:7">
      <c r="B1347" s="10" t="s">
        <v>1079</v>
      </c>
      <c r="C1347" s="11" t="s">
        <v>1080</v>
      </c>
      <c r="D1347" s="12" t="s">
        <v>1383</v>
      </c>
      <c r="E1347" s="13" t="s">
        <v>1716</v>
      </c>
      <c r="F1347" s="6" t="str">
        <f>_xlfn.XLOOKUP(D1347,[9]Sheet2!$C:$C,[9]Sheet2!$E:$E,"-")</f>
        <v>Wisnu Mahesa Murti</v>
      </c>
      <c r="G1347" s="222"/>
    </row>
    <row r="1348" spans="2:7">
      <c r="B1348" s="10" t="s">
        <v>1079</v>
      </c>
      <c r="C1348" s="11" t="s">
        <v>1080</v>
      </c>
      <c r="D1348" s="12" t="s">
        <v>1384</v>
      </c>
      <c r="E1348" s="13" t="s">
        <v>1716</v>
      </c>
      <c r="F1348" s="6" t="str">
        <f>_xlfn.XLOOKUP(D1348,[9]Sheet2!$C:$C,[9]Sheet2!$E:$E,"-")</f>
        <v>Doni Hadi Prasetyo</v>
      </c>
      <c r="G1348" s="222"/>
    </row>
    <row r="1349" spans="2:7">
      <c r="B1349" s="10" t="s">
        <v>1079</v>
      </c>
      <c r="C1349" s="11" t="s">
        <v>1080</v>
      </c>
      <c r="D1349" s="12" t="s">
        <v>1385</v>
      </c>
      <c r="E1349" s="13" t="s">
        <v>1716</v>
      </c>
      <c r="F1349" s="6" t="str">
        <f>_xlfn.XLOOKUP(D1349,[9]Sheet2!$C:$C,[9]Sheet2!$E:$E,"-")</f>
        <v>Dading Tustiyan Pratama</v>
      </c>
      <c r="G1349" s="222"/>
    </row>
    <row r="1350" spans="2:7">
      <c r="B1350" s="10" t="s">
        <v>1079</v>
      </c>
      <c r="C1350" s="11" t="s">
        <v>1080</v>
      </c>
      <c r="D1350" s="12" t="s">
        <v>1386</v>
      </c>
      <c r="E1350" s="13" t="s">
        <v>1739</v>
      </c>
      <c r="F1350" s="6" t="str">
        <f>_xlfn.XLOOKUP(D1350,[9]Sheet2!$C:$C,[9]Sheet2!$E:$E,"-")</f>
        <v>Presma Havila Manggara</v>
      </c>
      <c r="G1350" s="222"/>
    </row>
    <row r="1351" spans="2:7">
      <c r="B1351" s="10" t="s">
        <v>1079</v>
      </c>
      <c r="C1351" s="11" t="s">
        <v>1080</v>
      </c>
      <c r="D1351" s="12" t="s">
        <v>1387</v>
      </c>
      <c r="E1351" s="13" t="s">
        <v>1716</v>
      </c>
      <c r="F1351" s="6" t="str">
        <f>_xlfn.XLOOKUP(D1351,[9]Sheet2!$C:$C,[9]Sheet2!$E:$E,"-")</f>
        <v>Feri Ardiansyah</v>
      </c>
      <c r="G1351" s="222"/>
    </row>
    <row r="1352" spans="2:7">
      <c r="B1352" s="10" t="s">
        <v>1079</v>
      </c>
      <c r="C1352" s="11" t="s">
        <v>1080</v>
      </c>
      <c r="D1352" s="12" t="s">
        <v>1388</v>
      </c>
      <c r="E1352" s="13" t="s">
        <v>1739</v>
      </c>
      <c r="F1352" s="6" t="str">
        <f>_xlfn.XLOOKUP(D1352,[9]Sheet2!$C:$C,[9]Sheet2!$E:$E,"-")</f>
        <v>Andrean Pradhana Putra Maulana</v>
      </c>
      <c r="G1352" s="222"/>
    </row>
    <row r="1353" spans="2:7">
      <c r="B1353" s="10" t="s">
        <v>1079</v>
      </c>
      <c r="C1353" s="11" t="s">
        <v>1080</v>
      </c>
      <c r="D1353" s="12" t="s">
        <v>1389</v>
      </c>
      <c r="E1353" s="13" t="s">
        <v>1739</v>
      </c>
      <c r="F1353" s="6" t="str">
        <f>_xlfn.XLOOKUP(D1353,[9]Sheet2!$C:$C,[9]Sheet2!$E:$E,"-")</f>
        <v>Gayuh Triasa</v>
      </c>
      <c r="G1353" s="222"/>
    </row>
    <row r="1354" spans="2:7">
      <c r="B1354" s="10" t="s">
        <v>1079</v>
      </c>
      <c r="C1354" s="11" t="s">
        <v>1080</v>
      </c>
      <c r="D1354" s="12" t="s">
        <v>1390</v>
      </c>
      <c r="E1354" s="13" t="s">
        <v>1739</v>
      </c>
      <c r="F1354" s="6" t="str">
        <f>_xlfn.XLOOKUP(D1354,[9]Sheet2!$C:$C,[9]Sheet2!$E:$E,"-")</f>
        <v>Wahyu Kristanto</v>
      </c>
      <c r="G1354" s="222"/>
    </row>
    <row r="1355" spans="2:7">
      <c r="B1355" s="10" t="s">
        <v>1079</v>
      </c>
      <c r="C1355" s="11" t="s">
        <v>1080</v>
      </c>
      <c r="D1355" s="12" t="s">
        <v>1391</v>
      </c>
      <c r="E1355" s="13" t="s">
        <v>1739</v>
      </c>
      <c r="F1355" s="6" t="str">
        <f>_xlfn.XLOOKUP(D1355,[9]Sheet2!$C:$C,[9]Sheet2!$E:$E,"-")</f>
        <v>Andrean Pradhana Putra Maulana</v>
      </c>
      <c r="G1355" s="222"/>
    </row>
    <row r="1356" spans="2:7">
      <c r="B1356" s="10" t="s">
        <v>1079</v>
      </c>
      <c r="C1356" s="11" t="s">
        <v>1080</v>
      </c>
      <c r="D1356" s="12" t="s">
        <v>1392</v>
      </c>
      <c r="E1356" s="13" t="s">
        <v>1716</v>
      </c>
      <c r="F1356" s="6" t="str">
        <f>_xlfn.XLOOKUP(D1356,[9]Sheet2!$C:$C,[9]Sheet2!$E:$E,"-")</f>
        <v>Bayu Indiarto Wisnu Barata</v>
      </c>
      <c r="G1356" s="222"/>
    </row>
    <row r="1357" spans="2:7">
      <c r="B1357" s="10" t="s">
        <v>1079</v>
      </c>
      <c r="C1357" s="11" t="s">
        <v>1080</v>
      </c>
      <c r="D1357" s="12" t="s">
        <v>1393</v>
      </c>
      <c r="E1357" s="13" t="s">
        <v>1739</v>
      </c>
      <c r="F1357" s="6" t="str">
        <f>_xlfn.XLOOKUP(D1357,[9]Sheet2!$C:$C,[9]Sheet2!$E:$E,"-")</f>
        <v>Roffik Ari Wibowo</v>
      </c>
      <c r="G1357" s="222"/>
    </row>
    <row r="1358" spans="2:7">
      <c r="B1358" s="10" t="s">
        <v>1079</v>
      </c>
      <c r="C1358" s="11" t="s">
        <v>1080</v>
      </c>
      <c r="D1358" s="12" t="s">
        <v>1394</v>
      </c>
      <c r="E1358" s="13" t="s">
        <v>1716</v>
      </c>
      <c r="F1358" s="6" t="str">
        <f>_xlfn.XLOOKUP(D1358,[9]Sheet2!$C:$C,[9]Sheet2!$E:$E,"-")</f>
        <v>Catur Budi Cahyono</v>
      </c>
      <c r="G1358" s="222"/>
    </row>
    <row r="1359" spans="2:7">
      <c r="B1359" s="10" t="s">
        <v>1079</v>
      </c>
      <c r="C1359" s="11" t="s">
        <v>1080</v>
      </c>
      <c r="D1359" s="12" t="s">
        <v>1395</v>
      </c>
      <c r="E1359" s="13" t="s">
        <v>1739</v>
      </c>
      <c r="F1359" s="6" t="str">
        <f>_xlfn.XLOOKUP(D1359,[9]Sheet2!$C:$C,[9]Sheet2!$E:$E,"-")</f>
        <v>Andru Hindriyat Saputra</v>
      </c>
      <c r="G1359" s="222"/>
    </row>
    <row r="1360" spans="2:7">
      <c r="B1360" s="10" t="s">
        <v>1079</v>
      </c>
      <c r="C1360" s="11" t="s">
        <v>1080</v>
      </c>
      <c r="D1360" s="12" t="s">
        <v>1396</v>
      </c>
      <c r="E1360" s="13" t="s">
        <v>1716</v>
      </c>
      <c r="F1360" s="6" t="str">
        <f>_xlfn.XLOOKUP(D1360,[9]Sheet2!$C:$C,[9]Sheet2!$E:$E,"-")</f>
        <v>Catur Budi Cahyono</v>
      </c>
      <c r="G1360" s="222"/>
    </row>
    <row r="1361" spans="2:7">
      <c r="B1361" s="10" t="s">
        <v>1079</v>
      </c>
      <c r="C1361" s="11" t="s">
        <v>1080</v>
      </c>
      <c r="D1361" s="12" t="s">
        <v>1397</v>
      </c>
      <c r="E1361" s="13" t="s">
        <v>1739</v>
      </c>
      <c r="F1361" s="6" t="str">
        <f>_xlfn.XLOOKUP(D1361,[9]Sheet2!$C:$C,[9]Sheet2!$E:$E,"-")</f>
        <v>Essa Abdiandiri</v>
      </c>
      <c r="G1361" s="222"/>
    </row>
    <row r="1362" spans="2:7">
      <c r="B1362" s="10" t="s">
        <v>1079</v>
      </c>
      <c r="C1362" s="11" t="s">
        <v>1080</v>
      </c>
      <c r="D1362" s="12" t="s">
        <v>1398</v>
      </c>
      <c r="E1362" s="13" t="s">
        <v>1739</v>
      </c>
      <c r="F1362" s="6" t="str">
        <f>_xlfn.XLOOKUP(D1362,[9]Sheet2!$C:$C,[9]Sheet2!$E:$E,"-")</f>
        <v>Achmad Misbachul Munir</v>
      </c>
      <c r="G1362" s="222"/>
    </row>
    <row r="1363" spans="2:7">
      <c r="B1363" s="10" t="s">
        <v>1079</v>
      </c>
      <c r="C1363" s="11" t="s">
        <v>1080</v>
      </c>
      <c r="D1363" s="12" t="s">
        <v>1399</v>
      </c>
      <c r="E1363" s="13" t="s">
        <v>1739</v>
      </c>
      <c r="F1363" s="6" t="str">
        <f>_xlfn.XLOOKUP(D1363,[9]Sheet2!$C:$C,[9]Sheet2!$E:$E,"-")</f>
        <v>Achmad Misbachul Munir</v>
      </c>
      <c r="G1363" s="222"/>
    </row>
    <row r="1364" spans="2:7">
      <c r="B1364" s="10" t="s">
        <v>1079</v>
      </c>
      <c r="C1364" s="11" t="s">
        <v>1080</v>
      </c>
      <c r="D1364" s="12" t="s">
        <v>1400</v>
      </c>
      <c r="E1364" s="13" t="s">
        <v>1739</v>
      </c>
      <c r="F1364" s="6" t="str">
        <f>_xlfn.XLOOKUP(D1364,[9]Sheet2!$C:$C,[9]Sheet2!$E:$E,"-")</f>
        <v>Achmad Misbachul Munir</v>
      </c>
      <c r="G1364" s="222"/>
    </row>
    <row r="1365" spans="2:7">
      <c r="B1365" s="10" t="s">
        <v>1079</v>
      </c>
      <c r="C1365" s="11" t="s">
        <v>1080</v>
      </c>
      <c r="D1365" s="12" t="s">
        <v>1401</v>
      </c>
      <c r="E1365" s="13" t="s">
        <v>1739</v>
      </c>
      <c r="F1365" s="6" t="str">
        <f>_xlfn.XLOOKUP(D1365,[9]Sheet2!$C:$C,[9]Sheet2!$E:$E,"-")</f>
        <v>Roffik Ari Wibowo</v>
      </c>
      <c r="G1365" s="222"/>
    </row>
    <row r="1366" spans="2:7">
      <c r="B1366" s="10" t="s">
        <v>1079</v>
      </c>
      <c r="C1366" s="11" t="s">
        <v>1080</v>
      </c>
      <c r="D1366" s="12" t="s">
        <v>1402</v>
      </c>
      <c r="E1366" s="13" t="s">
        <v>1716</v>
      </c>
      <c r="F1366" s="6" t="str">
        <f>_xlfn.XLOOKUP(D1366,[9]Sheet2!$C:$C,[9]Sheet2!$E:$E,"-")</f>
        <v>Catur Budi Cahyono</v>
      </c>
      <c r="G1366" s="222"/>
    </row>
    <row r="1367" spans="2:7">
      <c r="B1367" s="10" t="s">
        <v>1079</v>
      </c>
      <c r="C1367" s="11" t="s">
        <v>1080</v>
      </c>
      <c r="D1367" s="12" t="s">
        <v>1403</v>
      </c>
      <c r="E1367" s="13" t="s">
        <v>1716</v>
      </c>
      <c r="F1367" s="6" t="str">
        <f>_xlfn.XLOOKUP(D1367,[9]Sheet2!$C:$C,[9]Sheet2!$E:$E,"-")</f>
        <v>Moh Abdul Rozaq</v>
      </c>
      <c r="G1367" s="222"/>
    </row>
    <row r="1368" spans="2:7">
      <c r="B1368" s="10" t="s">
        <v>1079</v>
      </c>
      <c r="C1368" s="11" t="s">
        <v>1080</v>
      </c>
      <c r="D1368" s="12" t="s">
        <v>1404</v>
      </c>
      <c r="E1368" s="13" t="s">
        <v>1739</v>
      </c>
      <c r="F1368" s="6" t="str">
        <f>_xlfn.XLOOKUP(D1368,[9]Sheet2!$C:$C,[9]Sheet2!$E:$E,"-")</f>
        <v>Andru Hindriyat Saputra</v>
      </c>
      <c r="G1368" s="222"/>
    </row>
    <row r="1369" spans="2:7">
      <c r="B1369" s="10" t="s">
        <v>1079</v>
      </c>
      <c r="C1369" s="11" t="s">
        <v>1080</v>
      </c>
      <c r="D1369" s="12" t="s">
        <v>1405</v>
      </c>
      <c r="E1369" s="13" t="s">
        <v>1716</v>
      </c>
      <c r="F1369" s="6" t="str">
        <f>_xlfn.XLOOKUP(D1369,[9]Sheet2!$C:$C,[9]Sheet2!$E:$E,"-")</f>
        <v>Moh Abdul Rozaq</v>
      </c>
      <c r="G1369" s="222"/>
    </row>
    <row r="1370" spans="2:7">
      <c r="B1370" s="10" t="s">
        <v>1079</v>
      </c>
      <c r="C1370" s="11" t="s">
        <v>1080</v>
      </c>
      <c r="D1370" s="12" t="s">
        <v>1406</v>
      </c>
      <c r="E1370" s="13" t="s">
        <v>1716</v>
      </c>
      <c r="F1370" s="6" t="str">
        <f>_xlfn.XLOOKUP(D1370,[9]Sheet2!$C:$C,[9]Sheet2!$E:$E,"-")</f>
        <v>Moh Abdul Rozaq</v>
      </c>
      <c r="G1370" s="222"/>
    </row>
    <row r="1371" spans="2:7">
      <c r="B1371" s="10" t="s">
        <v>1079</v>
      </c>
      <c r="C1371" s="11" t="s">
        <v>1080</v>
      </c>
      <c r="D1371" s="12" t="s">
        <v>1407</v>
      </c>
      <c r="E1371" s="13" t="s">
        <v>1739</v>
      </c>
      <c r="F1371" s="6" t="str">
        <f>_xlfn.XLOOKUP(D1371,[9]Sheet2!$C:$C,[9]Sheet2!$E:$E,"-")</f>
        <v>Rifqi Auliaq Humaidi</v>
      </c>
      <c r="G1371" s="222"/>
    </row>
    <row r="1372" spans="2:7">
      <c r="B1372" s="10" t="s">
        <v>1079</v>
      </c>
      <c r="C1372" s="11" t="s">
        <v>1080</v>
      </c>
      <c r="D1372" s="12" t="s">
        <v>1408</v>
      </c>
      <c r="E1372" s="13" t="s">
        <v>1716</v>
      </c>
      <c r="F1372" s="6" t="str">
        <f>_xlfn.XLOOKUP(D1372,[9]Sheet2!$C:$C,[9]Sheet2!$E:$E,"-")</f>
        <v>Novan Yogmaputra</v>
      </c>
      <c r="G1372" s="222"/>
    </row>
    <row r="1373" spans="2:7">
      <c r="B1373" s="10" t="s">
        <v>1079</v>
      </c>
      <c r="C1373" s="11" t="s">
        <v>1080</v>
      </c>
      <c r="D1373" s="12" t="s">
        <v>1409</v>
      </c>
      <c r="E1373" s="13" t="s">
        <v>1739</v>
      </c>
      <c r="F1373" s="6" t="str">
        <f>_xlfn.XLOOKUP(D1373,[9]Sheet2!$C:$C,[9]Sheet2!$E:$E,"-")</f>
        <v>Rizky Kurniawan</v>
      </c>
      <c r="G1373" s="222"/>
    </row>
    <row r="1374" spans="2:7">
      <c r="B1374" s="10" t="s">
        <v>1079</v>
      </c>
      <c r="C1374" s="11" t="s">
        <v>1080</v>
      </c>
      <c r="D1374" s="12" t="s">
        <v>1410</v>
      </c>
      <c r="E1374" s="13" t="s">
        <v>1716</v>
      </c>
      <c r="F1374" s="6" t="str">
        <f>_xlfn.XLOOKUP(D1374,[9]Sheet2!$C:$C,[9]Sheet2!$E:$E,"-")</f>
        <v>Nurul Hidayatullah</v>
      </c>
      <c r="G1374" s="222"/>
    </row>
    <row r="1375" spans="2:7">
      <c r="B1375" s="10" t="s">
        <v>1079</v>
      </c>
      <c r="C1375" s="11" t="s">
        <v>1080</v>
      </c>
      <c r="D1375" s="12" t="s">
        <v>1411</v>
      </c>
      <c r="E1375" s="13" t="s">
        <v>1716</v>
      </c>
      <c r="F1375" s="6" t="str">
        <f>_xlfn.XLOOKUP(D1375,[9]Sheet2!$C:$C,[9]Sheet2!$E:$E,"-")</f>
        <v>Yudhy Indra Prasetya</v>
      </c>
      <c r="G1375" s="222"/>
    </row>
    <row r="1376" spans="2:7">
      <c r="B1376" s="10" t="s">
        <v>1079</v>
      </c>
      <c r="C1376" s="11" t="s">
        <v>1080</v>
      </c>
      <c r="D1376" s="12" t="s">
        <v>1412</v>
      </c>
      <c r="E1376" s="13" t="s">
        <v>1716</v>
      </c>
      <c r="F1376" s="6" t="str">
        <f>_xlfn.XLOOKUP(D1376,[9]Sheet2!$C:$C,[9]Sheet2!$E:$E,"-")</f>
        <v>Ridwan Fatarudin</v>
      </c>
      <c r="G1376" s="222"/>
    </row>
    <row r="1377" spans="2:7">
      <c r="B1377" s="10" t="s">
        <v>1079</v>
      </c>
      <c r="C1377" s="11" t="s">
        <v>1080</v>
      </c>
      <c r="D1377" s="12" t="s">
        <v>1413</v>
      </c>
      <c r="E1377" s="13" t="s">
        <v>1716</v>
      </c>
      <c r="F1377" s="6" t="str">
        <f>_xlfn.XLOOKUP(D1377,[9]Sheet2!$C:$C,[9]Sheet2!$E:$E,"-")</f>
        <v>Anang Prasetyo</v>
      </c>
      <c r="G1377" s="222"/>
    </row>
    <row r="1378" spans="2:7">
      <c r="B1378" s="10" t="s">
        <v>1079</v>
      </c>
      <c r="C1378" s="11" t="s">
        <v>1080</v>
      </c>
      <c r="D1378" s="12" t="s">
        <v>1414</v>
      </c>
      <c r="E1378" s="13" t="s">
        <v>1716</v>
      </c>
      <c r="F1378" s="6" t="str">
        <f>_xlfn.XLOOKUP(D1378,[9]Sheet2!$C:$C,[9]Sheet2!$E:$E,"-")</f>
        <v>Ridwan Fatarudin</v>
      </c>
      <c r="G1378" s="222"/>
    </row>
    <row r="1379" spans="2:7">
      <c r="B1379" s="10" t="s">
        <v>1079</v>
      </c>
      <c r="C1379" s="11" t="s">
        <v>1080</v>
      </c>
      <c r="D1379" s="12" t="s">
        <v>1415</v>
      </c>
      <c r="E1379" s="13" t="s">
        <v>1716</v>
      </c>
      <c r="F1379" s="6" t="str">
        <f>_xlfn.XLOOKUP(D1379,[9]Sheet2!$C:$C,[9]Sheet2!$E:$E,"-")</f>
        <v>Nurul Hidayatullah</v>
      </c>
      <c r="G1379" s="222"/>
    </row>
    <row r="1380" spans="2:7">
      <c r="B1380" s="10" t="s">
        <v>1079</v>
      </c>
      <c r="C1380" s="11" t="s">
        <v>1080</v>
      </c>
      <c r="D1380" s="12" t="s">
        <v>1416</v>
      </c>
      <c r="E1380" s="13" t="s">
        <v>1716</v>
      </c>
      <c r="F1380" s="6" t="str">
        <f>_xlfn.XLOOKUP(D1380,[9]Sheet2!$C:$C,[9]Sheet2!$E:$E,"-")</f>
        <v>Imam Nawawi</v>
      </c>
      <c r="G1380" s="222"/>
    </row>
    <row r="1381" spans="2:7">
      <c r="B1381" s="10" t="s">
        <v>1079</v>
      </c>
      <c r="C1381" s="11" t="s">
        <v>1080</v>
      </c>
      <c r="D1381" s="12" t="s">
        <v>1417</v>
      </c>
      <c r="E1381" s="13" t="s">
        <v>1716</v>
      </c>
      <c r="F1381" s="6" t="str">
        <f>_xlfn.XLOOKUP(D1381,[9]Sheet2!$C:$C,[9]Sheet2!$E:$E,"-")</f>
        <v>Fauzi Permana Putra</v>
      </c>
      <c r="G1381" s="222"/>
    </row>
    <row r="1382" spans="2:7">
      <c r="B1382" s="10" t="s">
        <v>1079</v>
      </c>
      <c r="C1382" s="11" t="s">
        <v>1080</v>
      </c>
      <c r="D1382" s="12" t="s">
        <v>1418</v>
      </c>
      <c r="E1382" s="13" t="s">
        <v>1716</v>
      </c>
      <c r="F1382" s="6" t="str">
        <f>_xlfn.XLOOKUP(D1382,[9]Sheet2!$C:$C,[9]Sheet2!$E:$E,"-")</f>
        <v>Alif Septian Nur Alamsyah</v>
      </c>
      <c r="G1382" s="222"/>
    </row>
    <row r="1383" spans="2:7">
      <c r="B1383" s="10" t="s">
        <v>1079</v>
      </c>
      <c r="C1383" s="11" t="s">
        <v>1080</v>
      </c>
      <c r="D1383" s="12" t="s">
        <v>1419</v>
      </c>
      <c r="E1383" s="13" t="s">
        <v>1716</v>
      </c>
      <c r="F1383" s="6" t="str">
        <f>_xlfn.XLOOKUP(D1383,[9]Sheet2!$C:$C,[9]Sheet2!$E:$E,"-")</f>
        <v>Lasio Efendi</v>
      </c>
      <c r="G1383" s="222"/>
    </row>
    <row r="1384" spans="2:7">
      <c r="B1384" s="10" t="s">
        <v>1079</v>
      </c>
      <c r="C1384" s="11" t="s">
        <v>1080</v>
      </c>
      <c r="D1384" s="12" t="s">
        <v>1420</v>
      </c>
      <c r="E1384" s="13" t="s">
        <v>1716</v>
      </c>
      <c r="F1384" s="6" t="str">
        <f>_xlfn.XLOOKUP(D1384,[9]Sheet2!$C:$C,[9]Sheet2!$E:$E,"-")</f>
        <v>Ilham Ramadhan</v>
      </c>
      <c r="G1384" s="222"/>
    </row>
    <row r="1385" spans="2:7">
      <c r="B1385" s="10" t="s">
        <v>1079</v>
      </c>
      <c r="C1385" s="11" t="s">
        <v>1080</v>
      </c>
      <c r="D1385" s="12" t="s">
        <v>1421</v>
      </c>
      <c r="E1385" s="13" t="s">
        <v>1716</v>
      </c>
      <c r="F1385" s="6" t="str">
        <f>_xlfn.XLOOKUP(D1385,[9]Sheet2!$C:$C,[9]Sheet2!$E:$E,"-")</f>
        <v>Muhammad Irsan Junud</v>
      </c>
      <c r="G1385" s="222"/>
    </row>
    <row r="1386" spans="2:7">
      <c r="B1386" s="10" t="s">
        <v>1079</v>
      </c>
      <c r="C1386" s="11" t="s">
        <v>1080</v>
      </c>
      <c r="D1386" s="12" t="s">
        <v>1422</v>
      </c>
      <c r="E1386" s="13" t="s">
        <v>1716</v>
      </c>
      <c r="F1386" s="6" t="str">
        <f>_xlfn.XLOOKUP(D1386,[9]Sheet2!$C:$C,[9]Sheet2!$E:$E,"-")</f>
        <v>Imam Nawawi</v>
      </c>
      <c r="G1386" s="222"/>
    </row>
    <row r="1387" spans="2:7">
      <c r="B1387" s="10" t="s">
        <v>1079</v>
      </c>
      <c r="C1387" s="11" t="s">
        <v>1080</v>
      </c>
      <c r="D1387" s="12" t="s">
        <v>1423</v>
      </c>
      <c r="E1387" s="13" t="s">
        <v>1716</v>
      </c>
      <c r="F1387" s="6" t="str">
        <f>_xlfn.XLOOKUP(D1387,[9]Sheet2!$C:$C,[9]Sheet2!$E:$E,"-")</f>
        <v>Muhammad Irsan Junud</v>
      </c>
      <c r="G1387" s="222"/>
    </row>
    <row r="1388" spans="2:7">
      <c r="B1388" s="10" t="s">
        <v>1079</v>
      </c>
      <c r="C1388" s="11" t="s">
        <v>1080</v>
      </c>
      <c r="D1388" s="12" t="s">
        <v>1424</v>
      </c>
      <c r="E1388" s="13" t="s">
        <v>1716</v>
      </c>
      <c r="F1388" s="6" t="str">
        <f>_xlfn.XLOOKUP(D1388,[9]Sheet2!$C:$C,[9]Sheet2!$E:$E,"-")</f>
        <v>Muhammad Irsan Junud</v>
      </c>
      <c r="G1388" s="222"/>
    </row>
    <row r="1389" spans="2:7">
      <c r="B1389" s="10" t="s">
        <v>1079</v>
      </c>
      <c r="C1389" s="11" t="s">
        <v>1080</v>
      </c>
      <c r="D1389" s="12" t="s">
        <v>1425</v>
      </c>
      <c r="E1389" s="13" t="s">
        <v>1716</v>
      </c>
      <c r="F1389" s="6" t="str">
        <f>_xlfn.XLOOKUP(D1389,[9]Sheet2!$C:$C,[9]Sheet2!$E:$E,"-")</f>
        <v>Leo Fajar Saputra</v>
      </c>
      <c r="G1389" s="222"/>
    </row>
    <row r="1390" spans="2:7">
      <c r="B1390" s="10" t="s">
        <v>1079</v>
      </c>
      <c r="C1390" s="11" t="s">
        <v>1080</v>
      </c>
      <c r="D1390" s="12" t="s">
        <v>1426</v>
      </c>
      <c r="E1390" s="13" t="s">
        <v>1716</v>
      </c>
      <c r="F1390" s="6" t="str">
        <f>_xlfn.XLOOKUP(D1390,[9]Sheet2!$C:$C,[9]Sheet2!$E:$E,"-")</f>
        <v>Fauzi Permana Putra</v>
      </c>
      <c r="G1390" s="222"/>
    </row>
    <row r="1391" spans="2:7">
      <c r="B1391" s="10" t="s">
        <v>1079</v>
      </c>
      <c r="C1391" s="11" t="s">
        <v>1080</v>
      </c>
      <c r="D1391" s="12" t="s">
        <v>1427</v>
      </c>
      <c r="E1391" s="13" t="s">
        <v>1716</v>
      </c>
      <c r="F1391" s="6" t="str">
        <f>_xlfn.XLOOKUP(D1391,[9]Sheet2!$C:$C,[9]Sheet2!$E:$E,"-")</f>
        <v>Budi Achirianto</v>
      </c>
      <c r="G1391" s="222"/>
    </row>
    <row r="1392" spans="2:7">
      <c r="B1392" s="10" t="s">
        <v>1079</v>
      </c>
      <c r="C1392" s="11" t="s">
        <v>1080</v>
      </c>
      <c r="D1392" s="12" t="s">
        <v>1428</v>
      </c>
      <c r="E1392" s="13" t="s">
        <v>1716</v>
      </c>
      <c r="F1392" s="6" t="str">
        <f>_xlfn.XLOOKUP(D1392,[9]Sheet2!$C:$C,[9]Sheet2!$E:$E,"-")</f>
        <v>Candra Robianto</v>
      </c>
      <c r="G1392" s="222"/>
    </row>
    <row r="1393" spans="2:7">
      <c r="B1393" s="10" t="s">
        <v>1079</v>
      </c>
      <c r="C1393" s="11" t="s">
        <v>1080</v>
      </c>
      <c r="D1393" s="12" t="s">
        <v>1429</v>
      </c>
      <c r="E1393" s="13" t="s">
        <v>1716</v>
      </c>
      <c r="F1393" s="6" t="str">
        <f>_xlfn.XLOOKUP(D1393,[9]Sheet2!$C:$C,[9]Sheet2!$E:$E,"-")</f>
        <v>Moh. Sihabudin Zuhri, S.Pd</v>
      </c>
      <c r="G1393" s="222"/>
    </row>
    <row r="1394" spans="2:7">
      <c r="B1394" s="10" t="s">
        <v>1079</v>
      </c>
      <c r="C1394" s="11" t="s">
        <v>1080</v>
      </c>
      <c r="D1394" s="12" t="s">
        <v>1430</v>
      </c>
      <c r="E1394" s="13" t="s">
        <v>1716</v>
      </c>
      <c r="F1394" s="6" t="str">
        <f>_xlfn.XLOOKUP(D1394,[9]Sheet2!$C:$C,[9]Sheet2!$E:$E,"-")</f>
        <v>Ahmad Luky Cahyono</v>
      </c>
      <c r="G1394" s="222"/>
    </row>
    <row r="1395" spans="2:7">
      <c r="B1395" s="10" t="s">
        <v>1079</v>
      </c>
      <c r="C1395" s="11" t="s">
        <v>1080</v>
      </c>
      <c r="D1395" s="12" t="s">
        <v>1431</v>
      </c>
      <c r="E1395" s="13" t="s">
        <v>1716</v>
      </c>
      <c r="F1395" s="6" t="str">
        <f>_xlfn.XLOOKUP(D1395,[9]Sheet2!$C:$C,[9]Sheet2!$E:$E,"-")</f>
        <v>Achmad Subairi</v>
      </c>
      <c r="G1395" s="222"/>
    </row>
    <row r="1396" spans="2:7">
      <c r="B1396" s="10" t="s">
        <v>1079</v>
      </c>
      <c r="C1396" s="11" t="s">
        <v>1080</v>
      </c>
      <c r="D1396" s="12" t="s">
        <v>1432</v>
      </c>
      <c r="E1396" s="13" t="s">
        <v>1716</v>
      </c>
      <c r="F1396" s="6" t="str">
        <f>_xlfn.XLOOKUP(D1396,[9]Sheet2!$C:$C,[9]Sheet2!$E:$E,"-")</f>
        <v>Joko Purnomo</v>
      </c>
      <c r="G1396" s="222"/>
    </row>
    <row r="1397" spans="2:7">
      <c r="B1397" s="10" t="s">
        <v>1079</v>
      </c>
      <c r="C1397" s="11" t="s">
        <v>1080</v>
      </c>
      <c r="D1397" s="12" t="s">
        <v>1433</v>
      </c>
      <c r="E1397" s="13" t="s">
        <v>1716</v>
      </c>
      <c r="F1397" s="6" t="str">
        <f>_xlfn.XLOOKUP(D1397,[9]Sheet2!$C:$C,[9]Sheet2!$E:$E,"-")</f>
        <v>Mochamad Zaini</v>
      </c>
      <c r="G1397" s="222"/>
    </row>
    <row r="1398" spans="2:7">
      <c r="B1398" s="10" t="s">
        <v>1079</v>
      </c>
      <c r="C1398" s="11" t="s">
        <v>1080</v>
      </c>
      <c r="D1398" s="12" t="s">
        <v>1434</v>
      </c>
      <c r="E1398" s="13" t="s">
        <v>1716</v>
      </c>
      <c r="F1398" s="6" t="str">
        <f>_xlfn.XLOOKUP(D1398,[9]Sheet2!$C:$C,[9]Sheet2!$E:$E,"-")</f>
        <v>Fery Hardianto Setiawan</v>
      </c>
      <c r="G1398" s="222"/>
    </row>
    <row r="1399" spans="2:7">
      <c r="B1399" s="10" t="s">
        <v>1079</v>
      </c>
      <c r="C1399" s="11" t="s">
        <v>1080</v>
      </c>
      <c r="D1399" s="12" t="s">
        <v>1435</v>
      </c>
      <c r="E1399" s="13" t="s">
        <v>1716</v>
      </c>
      <c r="F1399" s="6" t="str">
        <f>_xlfn.XLOOKUP(D1399,[9]Sheet2!$C:$C,[9]Sheet2!$E:$E,"-")</f>
        <v>Alfi Abidin</v>
      </c>
      <c r="G1399" s="222"/>
    </row>
    <row r="1400" spans="2:7">
      <c r="B1400" s="10" t="s">
        <v>1079</v>
      </c>
      <c r="C1400" s="11" t="s">
        <v>1080</v>
      </c>
      <c r="D1400" s="12" t="s">
        <v>1436</v>
      </c>
      <c r="E1400" s="13" t="s">
        <v>1716</v>
      </c>
      <c r="F1400" s="6" t="str">
        <f>_xlfn.XLOOKUP(D1400,[9]Sheet2!$C:$C,[9]Sheet2!$E:$E,"-")</f>
        <v>Vavan Aldi Zulkarnain</v>
      </c>
      <c r="G1400" s="222"/>
    </row>
    <row r="1401" spans="2:7">
      <c r="B1401" s="10" t="s">
        <v>1079</v>
      </c>
      <c r="C1401" s="11" t="s">
        <v>1080</v>
      </c>
      <c r="D1401" s="12" t="s">
        <v>1437</v>
      </c>
      <c r="E1401" s="13" t="s">
        <v>1716</v>
      </c>
      <c r="F1401" s="6" t="str">
        <f>_xlfn.XLOOKUP(D1401,[9]Sheet2!$C:$C,[9]Sheet2!$E:$E,"-")</f>
        <v>Aldo Irwansyah</v>
      </c>
      <c r="G1401" s="222"/>
    </row>
    <row r="1402" spans="2:7">
      <c r="B1402" s="10" t="s">
        <v>1079</v>
      </c>
      <c r="C1402" s="11" t="s">
        <v>1080</v>
      </c>
      <c r="D1402" s="12" t="s">
        <v>1438</v>
      </c>
      <c r="E1402" s="13" t="s">
        <v>1716</v>
      </c>
      <c r="F1402" s="6" t="str">
        <f>_xlfn.XLOOKUP(D1402,[9]Sheet2!$C:$C,[9]Sheet2!$E:$E,"-")</f>
        <v>Roni Nofendra Trimanto</v>
      </c>
      <c r="G1402" s="222"/>
    </row>
    <row r="1403" spans="2:7">
      <c r="B1403" s="10" t="s">
        <v>1079</v>
      </c>
      <c r="C1403" s="11" t="s">
        <v>1080</v>
      </c>
      <c r="D1403" s="12" t="s">
        <v>1439</v>
      </c>
      <c r="E1403" s="13" t="s">
        <v>1716</v>
      </c>
      <c r="F1403" s="6" t="str">
        <f>_xlfn.XLOOKUP(D1403,[9]Sheet2!$C:$C,[9]Sheet2!$E:$E,"-")</f>
        <v>Tri Atmojo</v>
      </c>
      <c r="G1403" s="222"/>
    </row>
    <row r="1404" spans="2:7">
      <c r="B1404" s="10" t="s">
        <v>1079</v>
      </c>
      <c r="C1404" s="11" t="s">
        <v>1080</v>
      </c>
      <c r="D1404" s="12" t="s">
        <v>1440</v>
      </c>
      <c r="E1404" s="13" t="s">
        <v>1739</v>
      </c>
      <c r="F1404" s="6" t="str">
        <f>_xlfn.XLOOKUP(D1404,[9]Sheet2!$C:$C,[9]Sheet2!$E:$E,"-")</f>
        <v>Luhur Setya Budi</v>
      </c>
      <c r="G1404" s="222"/>
    </row>
    <row r="1405" spans="2:7">
      <c r="B1405" s="10" t="s">
        <v>1079</v>
      </c>
      <c r="C1405" s="11" t="s">
        <v>1080</v>
      </c>
      <c r="D1405" s="12" t="s">
        <v>1441</v>
      </c>
      <c r="E1405" s="13" t="s">
        <v>1739</v>
      </c>
      <c r="F1405" s="6" t="str">
        <f>_xlfn.XLOOKUP(D1405,[9]Sheet2!$C:$C,[9]Sheet2!$E:$E,"-")</f>
        <v>Rundi Atmoko</v>
      </c>
      <c r="G1405" s="222"/>
    </row>
    <row r="1406" spans="2:7">
      <c r="B1406" s="10" t="s">
        <v>1079</v>
      </c>
      <c r="C1406" s="11" t="s">
        <v>1080</v>
      </c>
      <c r="D1406" s="12" t="s">
        <v>1442</v>
      </c>
      <c r="E1406" s="13" t="s">
        <v>1739</v>
      </c>
      <c r="F1406" s="6" t="str">
        <f>_xlfn.XLOOKUP(D1406,[9]Sheet2!$C:$C,[9]Sheet2!$E:$E,"-")</f>
        <v>Rundi Atmoko</v>
      </c>
      <c r="G1406" s="222"/>
    </row>
    <row r="1407" spans="2:7">
      <c r="B1407" s="10" t="s">
        <v>1079</v>
      </c>
      <c r="C1407" s="11" t="s">
        <v>1080</v>
      </c>
      <c r="D1407" s="12" t="s">
        <v>1443</v>
      </c>
      <c r="E1407" s="13" t="s">
        <v>1739</v>
      </c>
      <c r="F1407" s="6" t="str">
        <f>_xlfn.XLOOKUP(D1407,[9]Sheet2!$C:$C,[9]Sheet2!$E:$E,"-")</f>
        <v>Luhur Setya Budi</v>
      </c>
      <c r="G1407" s="222"/>
    </row>
    <row r="1408" spans="2:7">
      <c r="B1408" s="10" t="s">
        <v>1079</v>
      </c>
      <c r="C1408" s="11" t="s">
        <v>1080</v>
      </c>
      <c r="D1408" s="12" t="s">
        <v>1444</v>
      </c>
      <c r="E1408" s="13" t="s">
        <v>1716</v>
      </c>
      <c r="F1408" s="6" t="str">
        <f>_xlfn.XLOOKUP(D1408,[9]Sheet2!$C:$C,[9]Sheet2!$E:$E,"-")</f>
        <v>Alvin Aviandika Aksanah Pu</v>
      </c>
      <c r="G1408" s="222"/>
    </row>
    <row r="1409" spans="2:7">
      <c r="B1409" s="10" t="s">
        <v>1079</v>
      </c>
      <c r="C1409" s="11" t="s">
        <v>1080</v>
      </c>
      <c r="D1409" s="12" t="s">
        <v>1445</v>
      </c>
      <c r="E1409" s="13" t="s">
        <v>1739</v>
      </c>
      <c r="F1409" s="6" t="str">
        <f>_xlfn.XLOOKUP(D1409,[9]Sheet2!$C:$C,[9]Sheet2!$E:$E,"-")</f>
        <v>Muhammad Ikhwanul Masruri</v>
      </c>
      <c r="G1409" s="222"/>
    </row>
    <row r="1410" spans="2:7">
      <c r="B1410" s="10" t="s">
        <v>1079</v>
      </c>
      <c r="C1410" s="11" t="s">
        <v>1080</v>
      </c>
      <c r="D1410" s="12" t="s">
        <v>1446</v>
      </c>
      <c r="E1410" s="13" t="s">
        <v>1716</v>
      </c>
      <c r="F1410" s="6" t="str">
        <f>_xlfn.XLOOKUP(D1410,[9]Sheet2!$C:$C,[9]Sheet2!$E:$E,"-")</f>
        <v>-</v>
      </c>
      <c r="G1410" s="222"/>
    </row>
    <row r="1411" spans="2:7">
      <c r="B1411" s="10" t="s">
        <v>1079</v>
      </c>
      <c r="C1411" s="11" t="s">
        <v>1080</v>
      </c>
      <c r="D1411" s="12" t="s">
        <v>1447</v>
      </c>
      <c r="E1411" s="13" t="s">
        <v>1716</v>
      </c>
      <c r="F1411" s="6" t="str">
        <f>_xlfn.XLOOKUP(D1411,[9]Sheet2!$C:$C,[9]Sheet2!$E:$E,"-")</f>
        <v>-</v>
      </c>
      <c r="G1411" s="222"/>
    </row>
    <row r="1412" spans="2:7">
      <c r="B1412" s="10" t="s">
        <v>1448</v>
      </c>
      <c r="C1412" s="11" t="s">
        <v>1449</v>
      </c>
      <c r="D1412" s="12" t="s">
        <v>1450</v>
      </c>
      <c r="E1412" s="13" t="s">
        <v>1739</v>
      </c>
      <c r="F1412" s="6" t="str">
        <f>_xlfn.XLOOKUP(D1412,[10]ALL!$C:$C,[10]ALL!$N:$N,"Tidak Ditemukan")</f>
        <v>KADEK DWIPA ANGGARASTRA</v>
      </c>
      <c r="G1412" s="222"/>
    </row>
    <row r="1413" spans="2:7">
      <c r="B1413" s="10" t="s">
        <v>1448</v>
      </c>
      <c r="C1413" s="11" t="s">
        <v>1449</v>
      </c>
      <c r="D1413" s="12" t="s">
        <v>1451</v>
      </c>
      <c r="E1413" s="13" t="s">
        <v>1739</v>
      </c>
      <c r="F1413" s="6" t="str">
        <f>_xlfn.XLOOKUP(D1413,[10]ALL!$C:$C,[10]ALL!$N:$N,"Tidak Ditemukan")</f>
        <v>NI WAYAN ELSA SEPTIANA INDRIANI</v>
      </c>
      <c r="G1413" s="222"/>
    </row>
    <row r="1414" spans="2:7">
      <c r="B1414" s="10" t="s">
        <v>1448</v>
      </c>
      <c r="C1414" s="11" t="s">
        <v>1449</v>
      </c>
      <c r="D1414" s="12" t="s">
        <v>1452</v>
      </c>
      <c r="E1414" s="13" t="s">
        <v>1739</v>
      </c>
      <c r="F1414" s="6" t="str">
        <f>_xlfn.XLOOKUP(D1414,[10]ALL!$C:$C,[10]ALL!$N:$N,"Tidak Ditemukan")</f>
        <v>DEAR RAMOS DAMANIK</v>
      </c>
      <c r="G1414" s="222"/>
    </row>
    <row r="1415" spans="2:7">
      <c r="B1415" s="10" t="s">
        <v>1448</v>
      </c>
      <c r="C1415" s="11" t="s">
        <v>1449</v>
      </c>
      <c r="D1415" s="12" t="s">
        <v>1453</v>
      </c>
      <c r="E1415" s="13" t="s">
        <v>1739</v>
      </c>
      <c r="F1415" s="6" t="str">
        <f>_xlfn.XLOOKUP(D1415,[10]ALL!$C:$C,[10]ALL!$N:$N,"Tidak Ditemukan")</f>
        <v>DWIKY REZA ARDANI WINAHARA</v>
      </c>
      <c r="G1415" s="222"/>
    </row>
    <row r="1416" spans="2:7">
      <c r="B1416" s="10" t="s">
        <v>1448</v>
      </c>
      <c r="C1416" s="11" t="s">
        <v>1449</v>
      </c>
      <c r="D1416" s="12" t="s">
        <v>1454</v>
      </c>
      <c r="E1416" s="13" t="s">
        <v>1739</v>
      </c>
      <c r="F1416" s="6" t="str">
        <f>_xlfn.XLOOKUP(D1416,[10]ALL!$C:$C,[10]ALL!$N:$N,"Tidak Ditemukan")</f>
        <v>NI WAYAN ELSA SEPTIANA INDRIANI</v>
      </c>
      <c r="G1416" s="222"/>
    </row>
    <row r="1417" spans="2:7">
      <c r="B1417" s="10" t="s">
        <v>1448</v>
      </c>
      <c r="C1417" s="11" t="s">
        <v>1449</v>
      </c>
      <c r="D1417" s="12" t="s">
        <v>1455</v>
      </c>
      <c r="E1417" s="13" t="s">
        <v>1739</v>
      </c>
      <c r="F1417" s="6" t="str">
        <f>_xlfn.XLOOKUP(D1417,[10]ALL!$C:$C,[10]ALL!$N:$N,"Tidak Ditemukan")</f>
        <v>NI PUTU DEWI LASTINI</v>
      </c>
      <c r="G1417" s="222"/>
    </row>
    <row r="1418" spans="2:7">
      <c r="B1418" s="10" t="s">
        <v>1448</v>
      </c>
      <c r="C1418" s="11" t="s">
        <v>1449</v>
      </c>
      <c r="D1418" s="12" t="s">
        <v>1456</v>
      </c>
      <c r="E1418" s="13" t="s">
        <v>1739</v>
      </c>
      <c r="F1418" s="6" t="str">
        <f>_xlfn.XLOOKUP(D1418,[10]ALL!$C:$C,[10]ALL!$N:$N,"Tidak Ditemukan")</f>
        <v>NI WAYAN ELSA SEPTIANA INDRIANI</v>
      </c>
      <c r="G1418" s="222"/>
    </row>
    <row r="1419" spans="2:7">
      <c r="B1419" s="10" t="s">
        <v>1448</v>
      </c>
      <c r="C1419" s="11" t="s">
        <v>1449</v>
      </c>
      <c r="D1419" s="12" t="s">
        <v>1457</v>
      </c>
      <c r="E1419" s="13" t="s">
        <v>1739</v>
      </c>
      <c r="F1419" s="6" t="str">
        <f>_xlfn.XLOOKUP(D1419,[10]ALL!$C:$C,[10]ALL!$N:$N,"Tidak Ditemukan")</f>
        <v>GUSTI NGURAH ARY RAKA DARMAYASA, SE.MM</v>
      </c>
      <c r="G1419" s="222"/>
    </row>
    <row r="1420" spans="2:7">
      <c r="B1420" s="10" t="s">
        <v>1448</v>
      </c>
      <c r="C1420" s="11" t="s">
        <v>1449</v>
      </c>
      <c r="D1420" s="12" t="s">
        <v>1458</v>
      </c>
      <c r="E1420" s="13" t="s">
        <v>1739</v>
      </c>
      <c r="F1420" s="6" t="str">
        <f>_xlfn.XLOOKUP(D1420,[10]ALL!$C:$C,[10]ALL!$N:$N,"Tidak Ditemukan")</f>
        <v>NI PUTU DEWI LASTINI</v>
      </c>
      <c r="G1420" s="222"/>
    </row>
    <row r="1421" spans="2:7">
      <c r="B1421" s="10" t="s">
        <v>1448</v>
      </c>
      <c r="C1421" s="11" t="s">
        <v>1449</v>
      </c>
      <c r="D1421" s="12" t="s">
        <v>1459</v>
      </c>
      <c r="E1421" s="13" t="s">
        <v>1739</v>
      </c>
      <c r="F1421" s="6" t="str">
        <f>_xlfn.XLOOKUP(D1421,[10]ALL!$C:$C,[10]ALL!$N:$N,"Tidak Ditemukan")</f>
        <v>AGUS PRADNYANA</v>
      </c>
      <c r="G1421" s="222"/>
    </row>
    <row r="1422" spans="2:7">
      <c r="B1422" s="10" t="s">
        <v>1448</v>
      </c>
      <c r="C1422" s="11" t="s">
        <v>1449</v>
      </c>
      <c r="D1422" s="12" t="s">
        <v>1460</v>
      </c>
      <c r="E1422" s="13" t="s">
        <v>1739</v>
      </c>
      <c r="F1422" s="6" t="str">
        <f>_xlfn.XLOOKUP(D1422,[10]ALL!$C:$C,[10]ALL!$N:$N,"Tidak Ditemukan")</f>
        <v>NI WAYAN ELSA SEPTIANA INDRIANI</v>
      </c>
      <c r="G1422" s="222"/>
    </row>
    <row r="1423" spans="2:7">
      <c r="B1423" s="10" t="s">
        <v>1448</v>
      </c>
      <c r="C1423" s="11" t="s">
        <v>1449</v>
      </c>
      <c r="D1423" s="12" t="s">
        <v>1461</v>
      </c>
      <c r="E1423" s="13" t="s">
        <v>1739</v>
      </c>
      <c r="F1423" s="6" t="str">
        <f>_xlfn.XLOOKUP(D1423,[10]ALL!$C:$C,[10]ALL!$N:$N,"Tidak Ditemukan")</f>
        <v>I Gd Andika Adi Prasetya Murya</v>
      </c>
      <c r="G1423" s="222"/>
    </row>
    <row r="1424" spans="2:7">
      <c r="B1424" s="10" t="s">
        <v>1448</v>
      </c>
      <c r="C1424" s="11" t="s">
        <v>1449</v>
      </c>
      <c r="D1424" s="12" t="s">
        <v>1462</v>
      </c>
      <c r="E1424" s="13" t="s">
        <v>1739</v>
      </c>
      <c r="F1424" s="6" t="str">
        <f>_xlfn.XLOOKUP(D1424,[10]ALL!$C:$C,[10]ALL!$N:$N,"Tidak Ditemukan")</f>
        <v>DWIKY REZA ARDANI WINAHARA</v>
      </c>
      <c r="G1424" s="222"/>
    </row>
    <row r="1425" spans="2:7">
      <c r="B1425" s="10" t="s">
        <v>1448</v>
      </c>
      <c r="C1425" s="11" t="s">
        <v>1449</v>
      </c>
      <c r="D1425" s="12" t="s">
        <v>1463</v>
      </c>
      <c r="E1425" s="13" t="s">
        <v>1739</v>
      </c>
      <c r="F1425" s="6" t="str">
        <f>_xlfn.XLOOKUP(D1425,[10]ALL!$C:$C,[10]ALL!$N:$N,"Tidak Ditemukan")</f>
        <v>NI WAYAN ELSA SEPTIANA INDRIANI</v>
      </c>
      <c r="G1425" s="222"/>
    </row>
    <row r="1426" spans="2:7">
      <c r="B1426" s="10" t="s">
        <v>1448</v>
      </c>
      <c r="C1426" s="11" t="s">
        <v>1449</v>
      </c>
      <c r="D1426" s="12" t="s">
        <v>1464</v>
      </c>
      <c r="E1426" s="13" t="s">
        <v>1739</v>
      </c>
      <c r="F1426" s="6" t="str">
        <f>_xlfn.XLOOKUP(D1426,[10]ALL!$C:$C,[10]ALL!$N:$N,"Tidak Ditemukan")</f>
        <v>GUSTI NGURAH ARY RAKA DARMAYASA, SE.MM</v>
      </c>
      <c r="G1426" s="222"/>
    </row>
    <row r="1427" spans="2:7">
      <c r="B1427" s="10" t="s">
        <v>1448</v>
      </c>
      <c r="C1427" s="11" t="s">
        <v>1449</v>
      </c>
      <c r="D1427" s="12" t="s">
        <v>1465</v>
      </c>
      <c r="E1427" s="13" t="s">
        <v>1739</v>
      </c>
      <c r="F1427" s="6" t="str">
        <f>_xlfn.XLOOKUP(D1427,[10]ALL!$C:$C,[10]ALL!$N:$N,"Tidak Ditemukan")</f>
        <v>YUNAN FURQONA RAMADHANI</v>
      </c>
      <c r="G1427" s="222"/>
    </row>
    <row r="1428" spans="2:7">
      <c r="B1428" s="10" t="s">
        <v>1448</v>
      </c>
      <c r="C1428" s="11" t="s">
        <v>1449</v>
      </c>
      <c r="D1428" s="12" t="s">
        <v>1466</v>
      </c>
      <c r="E1428" s="13" t="s">
        <v>1739</v>
      </c>
      <c r="F1428" s="6" t="str">
        <f>_xlfn.XLOOKUP(D1428,[10]ALL!$C:$C,[10]ALL!$N:$N,"Tidak Ditemukan")</f>
        <v>KADEK DWIPA ANGGARASTRA</v>
      </c>
      <c r="G1428" s="222"/>
    </row>
    <row r="1429" spans="2:7">
      <c r="B1429" s="10" t="s">
        <v>1448</v>
      </c>
      <c r="C1429" s="11" t="s">
        <v>1449</v>
      </c>
      <c r="D1429" s="12" t="s">
        <v>1467</v>
      </c>
      <c r="E1429" s="13" t="s">
        <v>1739</v>
      </c>
      <c r="F1429" s="6" t="str">
        <f>_xlfn.XLOOKUP(D1429,[10]ALL!$C:$C,[10]ALL!$N:$N,"Tidak Ditemukan")</f>
        <v>I GEDE BAGUS ADI SURYAWAN , ST</v>
      </c>
      <c r="G1429" s="222"/>
    </row>
    <row r="1430" spans="2:7">
      <c r="B1430" s="10" t="s">
        <v>1448</v>
      </c>
      <c r="C1430" s="11" t="s">
        <v>1449</v>
      </c>
      <c r="D1430" s="12" t="s">
        <v>1468</v>
      </c>
      <c r="E1430" s="13" t="s">
        <v>1739</v>
      </c>
      <c r="F1430" s="6" t="str">
        <f>_xlfn.XLOOKUP(D1430,[10]ALL!$C:$C,[10]ALL!$N:$N,"Tidak Ditemukan")</f>
        <v>NI PUTU DEWI LASTINI</v>
      </c>
      <c r="G1430" s="222"/>
    </row>
    <row r="1431" spans="2:7">
      <c r="B1431" s="10" t="s">
        <v>1448</v>
      </c>
      <c r="C1431" s="11" t="s">
        <v>1449</v>
      </c>
      <c r="D1431" s="12" t="s">
        <v>1469</v>
      </c>
      <c r="E1431" s="13" t="s">
        <v>1739</v>
      </c>
      <c r="F1431" s="6" t="str">
        <f>_xlfn.XLOOKUP(D1431,[10]ALL!$C:$C,[10]ALL!$N:$N,"Tidak Ditemukan")</f>
        <v>Suhardi</v>
      </c>
      <c r="G1431" s="222"/>
    </row>
    <row r="1432" spans="2:7">
      <c r="B1432" s="10" t="s">
        <v>1448</v>
      </c>
      <c r="C1432" s="11" t="s">
        <v>1449</v>
      </c>
      <c r="D1432" s="12" t="s">
        <v>1470</v>
      </c>
      <c r="E1432" s="13" t="s">
        <v>1739</v>
      </c>
      <c r="F1432" s="6" t="str">
        <f>_xlfn.XLOOKUP(D1432,[10]ALL!$C:$C,[10]ALL!$N:$N,"Tidak Ditemukan")</f>
        <v>DEAR RAMOS DAMANIK</v>
      </c>
      <c r="G1432" s="222"/>
    </row>
    <row r="1433" spans="2:7">
      <c r="B1433" s="10" t="s">
        <v>1448</v>
      </c>
      <c r="C1433" s="11" t="s">
        <v>1449</v>
      </c>
      <c r="D1433" s="12" t="s">
        <v>1471</v>
      </c>
      <c r="E1433" s="13" t="s">
        <v>1739</v>
      </c>
      <c r="F1433" s="6" t="str">
        <f>_xlfn.XLOOKUP(D1433,[10]ALL!$C:$C,[10]ALL!$N:$N,"Tidak Ditemukan")</f>
        <v>KADEK DWIPA ANGGARASTRA</v>
      </c>
      <c r="G1433" s="222"/>
    </row>
    <row r="1434" spans="2:7">
      <c r="B1434" s="10" t="s">
        <v>1448</v>
      </c>
      <c r="C1434" s="11" t="s">
        <v>1449</v>
      </c>
      <c r="D1434" s="12" t="s">
        <v>1472</v>
      </c>
      <c r="E1434" s="13" t="s">
        <v>1739</v>
      </c>
      <c r="F1434" s="6" t="str">
        <f>_xlfn.XLOOKUP(D1434,[10]ALL!$C:$C,[10]ALL!$N:$N,"Tidak Ditemukan")</f>
        <v>I GEDE BAGUS ADI SURYAWAN , ST</v>
      </c>
      <c r="G1434" s="222"/>
    </row>
    <row r="1435" spans="2:7">
      <c r="B1435" s="10" t="s">
        <v>1448</v>
      </c>
      <c r="C1435" s="11" t="s">
        <v>1449</v>
      </c>
      <c r="D1435" s="12" t="s">
        <v>1473</v>
      </c>
      <c r="E1435" s="13" t="s">
        <v>1739</v>
      </c>
      <c r="F1435" s="6" t="str">
        <f>_xlfn.XLOOKUP(D1435,[10]ALL!$C:$C,[10]ALL!$N:$N,"Tidak Ditemukan")</f>
        <v>I GEDE BAGUS ADI SURYAWAN , ST</v>
      </c>
      <c r="G1435" s="222"/>
    </row>
    <row r="1436" spans="2:7">
      <c r="B1436" s="10" t="s">
        <v>1448</v>
      </c>
      <c r="C1436" s="11" t="s">
        <v>1449</v>
      </c>
      <c r="D1436" s="12" t="s">
        <v>1474</v>
      </c>
      <c r="E1436" s="13" t="s">
        <v>1739</v>
      </c>
      <c r="F1436" s="6" t="str">
        <f>_xlfn.XLOOKUP(D1436,[10]ALL!$C:$C,[10]ALL!$N:$N,"Tidak Ditemukan")</f>
        <v>Abi Hilmawan</v>
      </c>
      <c r="G1436" s="222"/>
    </row>
    <row r="1437" spans="2:7">
      <c r="B1437" s="10" t="s">
        <v>1448</v>
      </c>
      <c r="C1437" s="11" t="s">
        <v>1449</v>
      </c>
      <c r="D1437" s="12" t="s">
        <v>1475</v>
      </c>
      <c r="E1437" s="13" t="s">
        <v>1739</v>
      </c>
      <c r="F1437" s="6" t="str">
        <f>_xlfn.XLOOKUP(D1437,[10]ALL!$C:$C,[10]ALL!$N:$N,"Tidak Ditemukan")</f>
        <v>I KOMANG FERI INDRAJAYA</v>
      </c>
      <c r="G1437" s="222"/>
    </row>
    <row r="1438" spans="2:7">
      <c r="B1438" s="10" t="s">
        <v>1448</v>
      </c>
      <c r="C1438" s="11" t="s">
        <v>1449</v>
      </c>
      <c r="D1438" s="12" t="s">
        <v>1476</v>
      </c>
      <c r="E1438" s="13" t="s">
        <v>1739</v>
      </c>
      <c r="F1438" s="6" t="str">
        <f>_xlfn.XLOOKUP(D1438,[10]ALL!$C:$C,[10]ALL!$N:$N,"Tidak Ditemukan")</f>
        <v>MUHAMMAD JUMADIL</v>
      </c>
      <c r="G1438" s="222"/>
    </row>
    <row r="1439" spans="2:7">
      <c r="B1439" s="10" t="s">
        <v>1448</v>
      </c>
      <c r="C1439" s="11" t="s">
        <v>1449</v>
      </c>
      <c r="D1439" s="12" t="s">
        <v>1477</v>
      </c>
      <c r="E1439" s="13" t="s">
        <v>1739</v>
      </c>
      <c r="F1439" s="6" t="str">
        <f>_xlfn.XLOOKUP(D1439,[10]ALL!$C:$C,[10]ALL!$N:$N,"Tidak Ditemukan")</f>
        <v>KADEK DWIPA ANGGARASTRA</v>
      </c>
      <c r="G1439" s="222"/>
    </row>
    <row r="1440" spans="2:7">
      <c r="B1440" s="10" t="s">
        <v>1448</v>
      </c>
      <c r="C1440" s="11" t="s">
        <v>1449</v>
      </c>
      <c r="D1440" s="12" t="s">
        <v>1478</v>
      </c>
      <c r="E1440" s="13" t="s">
        <v>1739</v>
      </c>
      <c r="F1440" s="6" t="str">
        <f>_xlfn.XLOOKUP(D1440,[10]ALL!$C:$C,[10]ALL!$N:$N,"Tidak Ditemukan")</f>
        <v>GUSTI NGURAH ARY RAKA DARMAYASA, SE.MM</v>
      </c>
      <c r="G1440" s="222"/>
    </row>
    <row r="1441" spans="2:7">
      <c r="B1441" s="10" t="s">
        <v>1448</v>
      </c>
      <c r="C1441" s="11" t="s">
        <v>1449</v>
      </c>
      <c r="D1441" s="12" t="s">
        <v>1479</v>
      </c>
      <c r="E1441" s="13" t="s">
        <v>1739</v>
      </c>
      <c r="F1441" s="6" t="str">
        <f>_xlfn.XLOOKUP(D1441,[10]ALL!$C:$C,[10]ALL!$N:$N,"Tidak Ditemukan")</f>
        <v>DWIKY REZA ARDANI WINAHARA</v>
      </c>
      <c r="G1441" s="222"/>
    </row>
    <row r="1442" spans="2:7">
      <c r="B1442" s="10" t="s">
        <v>1448</v>
      </c>
      <c r="C1442" s="11" t="s">
        <v>1449</v>
      </c>
      <c r="D1442" s="12" t="s">
        <v>1480</v>
      </c>
      <c r="E1442" s="13" t="s">
        <v>1739</v>
      </c>
      <c r="F1442" s="6" t="str">
        <f>_xlfn.XLOOKUP(D1442,[10]ALL!$C:$C,[10]ALL!$N:$N,"Tidak Ditemukan")</f>
        <v>NI WAYAN ELSA SEPTIANA INDRIANI</v>
      </c>
      <c r="G1442" s="222"/>
    </row>
    <row r="1443" spans="2:7">
      <c r="B1443" s="10" t="s">
        <v>1448</v>
      </c>
      <c r="C1443" s="11" t="s">
        <v>1449</v>
      </c>
      <c r="D1443" s="12" t="s">
        <v>1481</v>
      </c>
      <c r="E1443" s="13" t="s">
        <v>1739</v>
      </c>
      <c r="F1443" s="6" t="str">
        <f>_xlfn.XLOOKUP(D1443,[10]ALL!$C:$C,[10]ALL!$N:$N,"Tidak Ditemukan")</f>
        <v>GUSTI NGURAH ARY RAKA DARMAYASA, SE.MM</v>
      </c>
      <c r="G1443" s="222"/>
    </row>
    <row r="1444" spans="2:7">
      <c r="B1444" s="10" t="s">
        <v>1448</v>
      </c>
      <c r="C1444" s="11" t="s">
        <v>1449</v>
      </c>
      <c r="D1444" s="12" t="s">
        <v>1482</v>
      </c>
      <c r="E1444" s="13" t="s">
        <v>1739</v>
      </c>
      <c r="F1444" s="6" t="str">
        <f>_xlfn.XLOOKUP(D1444,[10]ALL!$C:$C,[10]ALL!$N:$N,"Tidak Ditemukan")</f>
        <v>GUSTI NGURAH ARY RAKA DARMAYASA, SE.MM</v>
      </c>
      <c r="G1444" s="222"/>
    </row>
    <row r="1445" spans="2:7">
      <c r="B1445" s="10" t="s">
        <v>1448</v>
      </c>
      <c r="C1445" s="11" t="s">
        <v>1449</v>
      </c>
      <c r="D1445" s="12" t="s">
        <v>1483</v>
      </c>
      <c r="E1445" s="13" t="s">
        <v>1739</v>
      </c>
      <c r="F1445" s="6" t="str">
        <f>_xlfn.XLOOKUP(D1445,[10]ALL!$C:$C,[10]ALL!$N:$N,"Tidak Ditemukan")</f>
        <v>NI WAYAN ELSA SEPTIANA INDRIANI</v>
      </c>
      <c r="G1445" s="222"/>
    </row>
    <row r="1446" spans="2:7">
      <c r="B1446" s="10" t="s">
        <v>1448</v>
      </c>
      <c r="C1446" s="11" t="s">
        <v>1449</v>
      </c>
      <c r="D1446" s="12" t="s">
        <v>1484</v>
      </c>
      <c r="E1446" s="13" t="s">
        <v>1739</v>
      </c>
      <c r="F1446" s="6" t="str">
        <f>_xlfn.XLOOKUP(D1446,[10]ALL!$C:$C,[10]ALL!$N:$N,"Tidak Ditemukan")</f>
        <v>KADEK DWIPA ANGGARASTRA</v>
      </c>
      <c r="G1446" s="222"/>
    </row>
    <row r="1447" spans="2:7">
      <c r="B1447" s="10" t="s">
        <v>1448</v>
      </c>
      <c r="C1447" s="11" t="s">
        <v>1449</v>
      </c>
      <c r="D1447" s="12" t="s">
        <v>1485</v>
      </c>
      <c r="E1447" s="13" t="s">
        <v>1716</v>
      </c>
      <c r="F1447" s="6" t="str">
        <f>_xlfn.XLOOKUP(D1447,[10]ALL!$C:$C,[10]ALL!$N:$N,"Tidak Ditemukan")</f>
        <v>MUHAMMAD TONY NUGRAHA</v>
      </c>
      <c r="G1447" s="222"/>
    </row>
    <row r="1448" spans="2:7">
      <c r="B1448" s="10" t="s">
        <v>1448</v>
      </c>
      <c r="C1448" s="11" t="s">
        <v>1449</v>
      </c>
      <c r="D1448" s="12" t="s">
        <v>1486</v>
      </c>
      <c r="E1448" s="13" t="s">
        <v>1716</v>
      </c>
      <c r="F1448" s="6" t="str">
        <f>_xlfn.XLOOKUP(D1448,[10]ALL!$C:$C,[10]ALL!$N:$N,"Tidak Ditemukan")</f>
        <v>Abi Hilmawan</v>
      </c>
      <c r="G1448" s="222"/>
    </row>
    <row r="1449" spans="2:7">
      <c r="B1449" s="10" t="s">
        <v>1448</v>
      </c>
      <c r="C1449" s="11" t="s">
        <v>1449</v>
      </c>
      <c r="D1449" s="12" t="s">
        <v>1487</v>
      </c>
      <c r="E1449" s="13" t="s">
        <v>1716</v>
      </c>
      <c r="F1449" s="6" t="str">
        <f>_xlfn.XLOOKUP(D1449,[10]ALL!$C:$C,[10]ALL!$N:$N,"Tidak Ditemukan")</f>
        <v>CICI TRISNAWATI NGGILLI</v>
      </c>
      <c r="G1449" s="222"/>
    </row>
    <row r="1450" spans="2:7">
      <c r="B1450" s="10" t="s">
        <v>1448</v>
      </c>
      <c r="C1450" s="11" t="s">
        <v>1449</v>
      </c>
      <c r="D1450" s="12" t="s">
        <v>1488</v>
      </c>
      <c r="E1450" s="13" t="s">
        <v>1716</v>
      </c>
      <c r="F1450" s="6" t="str">
        <f>_xlfn.XLOOKUP(D1450,[10]ALL!$C:$C,[10]ALL!$N:$N,"Tidak Ditemukan")</f>
        <v>PETRUS TRIMULIA WANGGA DALA</v>
      </c>
      <c r="G1450" s="222"/>
    </row>
    <row r="1451" spans="2:7">
      <c r="B1451" s="10" t="s">
        <v>1448</v>
      </c>
      <c r="C1451" s="11" t="s">
        <v>1449</v>
      </c>
      <c r="D1451" s="12" t="s">
        <v>1489</v>
      </c>
      <c r="E1451" s="13" t="s">
        <v>1716</v>
      </c>
      <c r="F1451" s="6" t="str">
        <f>_xlfn.XLOOKUP(D1451,[10]ALL!$C:$C,[10]ALL!$N:$N,"Tidak Ditemukan")</f>
        <v>SYARIFUDDIN</v>
      </c>
      <c r="G1451" s="222"/>
    </row>
    <row r="1452" spans="2:7">
      <c r="B1452" s="10" t="s">
        <v>1448</v>
      </c>
      <c r="C1452" s="11" t="s">
        <v>1449</v>
      </c>
      <c r="D1452" s="12" t="s">
        <v>1490</v>
      </c>
      <c r="E1452" s="13" t="s">
        <v>1716</v>
      </c>
      <c r="F1452" s="6" t="str">
        <f>_xlfn.XLOOKUP(D1452,[10]ALL!$C:$C,[10]ALL!$N:$N,"Tidak Ditemukan")</f>
        <v>Suhardi</v>
      </c>
      <c r="G1452" s="222"/>
    </row>
    <row r="1453" spans="2:7">
      <c r="B1453" s="10" t="s">
        <v>1448</v>
      </c>
      <c r="C1453" s="11" t="s">
        <v>1449</v>
      </c>
      <c r="D1453" s="12" t="s">
        <v>1491</v>
      </c>
      <c r="E1453" s="13" t="s">
        <v>1716</v>
      </c>
      <c r="F1453" s="6" t="str">
        <f>_xlfn.XLOOKUP(D1453,[10]ALL!$C:$C,[10]ALL!$N:$N,"Tidak Ditemukan")</f>
        <v>M. SALAHUDIN</v>
      </c>
      <c r="G1453" s="222"/>
    </row>
    <row r="1454" spans="2:7">
      <c r="B1454" s="10" t="s">
        <v>1448</v>
      </c>
      <c r="C1454" s="11" t="s">
        <v>1449</v>
      </c>
      <c r="D1454" s="12" t="s">
        <v>1492</v>
      </c>
      <c r="E1454" s="13" t="s">
        <v>1716</v>
      </c>
      <c r="F1454" s="6" t="str">
        <f>_xlfn.XLOOKUP(D1454,[10]ALL!$C:$C,[10]ALL!$N:$N,"Tidak Ditemukan")</f>
        <v>Abi Hilmawan</v>
      </c>
      <c r="G1454" s="222"/>
    </row>
    <row r="1455" spans="2:7">
      <c r="B1455" s="10" t="s">
        <v>1448</v>
      </c>
      <c r="C1455" s="11" t="s">
        <v>1449</v>
      </c>
      <c r="D1455" s="12" t="s">
        <v>1493</v>
      </c>
      <c r="E1455" s="13" t="s">
        <v>1716</v>
      </c>
      <c r="F1455" s="6" t="str">
        <f>_xlfn.XLOOKUP(D1455,[10]ALL!$C:$C,[10]ALL!$N:$N,"Tidak Ditemukan")</f>
        <v>RITA HERMAWATI</v>
      </c>
      <c r="G1455" s="222"/>
    </row>
    <row r="1456" spans="2:7">
      <c r="B1456" s="10" t="s">
        <v>1448</v>
      </c>
      <c r="C1456" s="11" t="s">
        <v>1449</v>
      </c>
      <c r="D1456" s="12" t="s">
        <v>1494</v>
      </c>
      <c r="E1456" s="13" t="s">
        <v>1716</v>
      </c>
      <c r="F1456" s="6" t="str">
        <f>_xlfn.XLOOKUP(D1456,[10]ALL!$C:$C,[10]ALL!$N:$N,"Tidak Ditemukan")</f>
        <v>DENI SUSATYO</v>
      </c>
      <c r="G1456" s="222"/>
    </row>
    <row r="1457" spans="2:7">
      <c r="B1457" s="10" t="s">
        <v>1448</v>
      </c>
      <c r="C1457" s="11" t="s">
        <v>1449</v>
      </c>
      <c r="D1457" s="12" t="s">
        <v>1495</v>
      </c>
      <c r="E1457" s="13" t="s">
        <v>1716</v>
      </c>
      <c r="F1457" s="6" t="str">
        <f>_xlfn.XLOOKUP(D1457,[10]ALL!$C:$C,[10]ALL!$N:$N,"Tidak Ditemukan")</f>
        <v>MUHAMMAD TONY NUGRAHA</v>
      </c>
      <c r="G1457" s="222"/>
    </row>
    <row r="1458" spans="2:7">
      <c r="B1458" s="10" t="s">
        <v>1448</v>
      </c>
      <c r="C1458" s="11" t="s">
        <v>1449</v>
      </c>
      <c r="D1458" s="12" t="s">
        <v>1496</v>
      </c>
      <c r="E1458" s="13" t="s">
        <v>1716</v>
      </c>
      <c r="F1458" s="6" t="str">
        <f>_xlfn.XLOOKUP(D1458,[10]ALL!$C:$C,[10]ALL!$N:$N,"Tidak Ditemukan")</f>
        <v>MUHAMMAD JUMADIL</v>
      </c>
      <c r="G1458" s="222"/>
    </row>
    <row r="1459" spans="2:7">
      <c r="B1459" s="10" t="s">
        <v>1448</v>
      </c>
      <c r="C1459" s="11" t="s">
        <v>1449</v>
      </c>
      <c r="D1459" s="12" t="s">
        <v>1497</v>
      </c>
      <c r="E1459" s="13" t="s">
        <v>1716</v>
      </c>
      <c r="F1459" s="6" t="str">
        <f>_xlfn.XLOOKUP(D1459,[10]ALL!$C:$C,[10]ALL!$N:$N,"Tidak Ditemukan")</f>
        <v>EKAYASA EBENHAEZER SANDY KALLA</v>
      </c>
      <c r="G1459" s="222"/>
    </row>
    <row r="1460" spans="2:7">
      <c r="B1460" s="10" t="s">
        <v>1448</v>
      </c>
      <c r="C1460" s="11" t="s">
        <v>1449</v>
      </c>
      <c r="D1460" s="12" t="s">
        <v>1498</v>
      </c>
      <c r="E1460" s="13" t="s">
        <v>1716</v>
      </c>
      <c r="F1460" s="6" t="str">
        <f>_xlfn.XLOOKUP(D1460,[10]ALL!$C:$C,[10]ALL!$N:$N,"Tidak Ditemukan")</f>
        <v>CICI TRISNAWATI NGGILLI</v>
      </c>
      <c r="G1460" s="222"/>
    </row>
    <row r="1461" spans="2:7">
      <c r="B1461" s="10" t="s">
        <v>1448</v>
      </c>
      <c r="C1461" s="11" t="s">
        <v>1449</v>
      </c>
      <c r="D1461" s="12" t="s">
        <v>1499</v>
      </c>
      <c r="E1461" s="13" t="s">
        <v>1716</v>
      </c>
      <c r="F1461" s="6" t="str">
        <f>_xlfn.XLOOKUP(D1461,[10]ALL!$C:$C,[10]ALL!$N:$N,"Tidak Ditemukan")</f>
        <v>ALOYSIUS RIWANTO</v>
      </c>
      <c r="G1461" s="222"/>
    </row>
    <row r="1462" spans="2:7">
      <c r="B1462" s="10" t="s">
        <v>1448</v>
      </c>
      <c r="C1462" s="11" t="s">
        <v>1449</v>
      </c>
      <c r="D1462" s="12" t="s">
        <v>1500</v>
      </c>
      <c r="E1462" s="13" t="s">
        <v>1716</v>
      </c>
      <c r="F1462" s="6" t="str">
        <f>_xlfn.XLOOKUP(D1462,[10]ALL!$C:$C,[10]ALL!$N:$N,"Tidak Ditemukan")</f>
        <v>SYARIFUDDIN</v>
      </c>
      <c r="G1462" s="222"/>
    </row>
    <row r="1463" spans="2:7">
      <c r="B1463" s="10" t="s">
        <v>1448</v>
      </c>
      <c r="C1463" s="11" t="s">
        <v>1449</v>
      </c>
      <c r="D1463" s="12" t="s">
        <v>1501</v>
      </c>
      <c r="E1463" s="13" t="s">
        <v>1716</v>
      </c>
      <c r="F1463" s="6" t="str">
        <f>_xlfn.XLOOKUP(D1463,[10]ALL!$C:$C,[10]ALL!$N:$N,"Tidak Ditemukan")</f>
        <v>CICI TRISNAWATI NGGILLI</v>
      </c>
      <c r="G1463" s="222"/>
    </row>
    <row r="1464" spans="2:7">
      <c r="B1464" s="10" t="s">
        <v>1448</v>
      </c>
      <c r="C1464" s="11" t="s">
        <v>1449</v>
      </c>
      <c r="D1464" s="12" t="s">
        <v>1502</v>
      </c>
      <c r="E1464" s="13" t="s">
        <v>1716</v>
      </c>
      <c r="F1464" s="6" t="str">
        <f>_xlfn.XLOOKUP(D1464,[10]ALL!$C:$C,[10]ALL!$N:$N,"Tidak Ditemukan")</f>
        <v>CICI TRISNAWATI NGGILLI</v>
      </c>
      <c r="G1464" s="222"/>
    </row>
    <row r="1465" spans="2:7">
      <c r="B1465" s="10" t="s">
        <v>1448</v>
      </c>
      <c r="C1465" s="11" t="s">
        <v>1449</v>
      </c>
      <c r="D1465" s="12" t="s">
        <v>1503</v>
      </c>
      <c r="E1465" s="13" t="s">
        <v>1716</v>
      </c>
      <c r="F1465" s="6" t="str">
        <f>_xlfn.XLOOKUP(D1465,[10]ALL!$C:$C,[10]ALL!$N:$N,"Tidak Ditemukan")</f>
        <v>PETRUS TRIMULIA WANGGA DALA</v>
      </c>
      <c r="G1465" s="222"/>
    </row>
    <row r="1466" spans="2:7">
      <c r="B1466" s="10" t="s">
        <v>1448</v>
      </c>
      <c r="C1466" s="11" t="s">
        <v>1449</v>
      </c>
      <c r="D1466" s="12" t="s">
        <v>1504</v>
      </c>
      <c r="E1466" s="13" t="s">
        <v>1716</v>
      </c>
      <c r="F1466" s="6" t="str">
        <f>_xlfn.XLOOKUP(D1466,[10]ALL!$C:$C,[10]ALL!$N:$N,"Tidak Ditemukan")</f>
        <v>Abi Hilmawan</v>
      </c>
      <c r="G1466" s="222"/>
    </row>
    <row r="1467" spans="2:7">
      <c r="B1467" s="10" t="s">
        <v>1448</v>
      </c>
      <c r="C1467" s="11" t="s">
        <v>1449</v>
      </c>
      <c r="D1467" s="12" t="s">
        <v>1505</v>
      </c>
      <c r="E1467" s="13" t="s">
        <v>1716</v>
      </c>
      <c r="F1467" s="6" t="str">
        <f>_xlfn.XLOOKUP(D1467,[10]ALL!$C:$C,[10]ALL!$N:$N,"Tidak Ditemukan")</f>
        <v>CHINDY BIRE</v>
      </c>
      <c r="G1467" s="222"/>
    </row>
    <row r="1468" spans="2:7">
      <c r="B1468" s="10" t="s">
        <v>1448</v>
      </c>
      <c r="C1468" s="11" t="s">
        <v>1449</v>
      </c>
      <c r="D1468" s="12" t="s">
        <v>1506</v>
      </c>
      <c r="E1468" s="13" t="s">
        <v>1716</v>
      </c>
      <c r="F1468" s="6" t="str">
        <f>_xlfn.XLOOKUP(D1468,[10]ALL!$C:$C,[10]ALL!$N:$N,"Tidak Ditemukan")</f>
        <v>MANAHAN SIMATUPANG SIBURIAN</v>
      </c>
      <c r="G1468" s="222"/>
    </row>
    <row r="1469" spans="2:7">
      <c r="B1469" s="10" t="s">
        <v>1448</v>
      </c>
      <c r="C1469" s="11" t="s">
        <v>1449</v>
      </c>
      <c r="D1469" s="12" t="s">
        <v>1507</v>
      </c>
      <c r="E1469" s="13" t="s">
        <v>1716</v>
      </c>
      <c r="F1469" s="6" t="str">
        <f>_xlfn.XLOOKUP(D1469,[10]ALL!$C:$C,[10]ALL!$N:$N,"Tidak Ditemukan")</f>
        <v>ADRIAN ALFANDION BENU</v>
      </c>
      <c r="G1469" s="222"/>
    </row>
    <row r="1470" spans="2:7">
      <c r="B1470" s="10" t="s">
        <v>1448</v>
      </c>
      <c r="C1470" s="11" t="s">
        <v>1449</v>
      </c>
      <c r="D1470" s="12" t="s">
        <v>1508</v>
      </c>
      <c r="E1470" s="13" t="s">
        <v>1716</v>
      </c>
      <c r="F1470" s="6" t="str">
        <f>_xlfn.XLOOKUP(D1470,[10]ALL!$C:$C,[10]ALL!$N:$N,"Tidak Ditemukan")</f>
        <v>MUHAMMAD JUMADIL</v>
      </c>
      <c r="G1470" s="222"/>
    </row>
    <row r="1471" spans="2:7">
      <c r="B1471" s="10" t="s">
        <v>1448</v>
      </c>
      <c r="C1471" s="11" t="s">
        <v>1449</v>
      </c>
      <c r="D1471" s="12" t="s">
        <v>1509</v>
      </c>
      <c r="E1471" s="13" t="s">
        <v>1716</v>
      </c>
      <c r="F1471" s="6" t="str">
        <f>_xlfn.XLOOKUP(D1471,[10]ALL!$C:$C,[10]ALL!$N:$N,"Tidak Ditemukan")</f>
        <v>MUHAMMAD JUMADIL</v>
      </c>
      <c r="G1471" s="222"/>
    </row>
    <row r="1472" spans="2:7">
      <c r="B1472" s="10" t="s">
        <v>1448</v>
      </c>
      <c r="C1472" s="11" t="s">
        <v>1449</v>
      </c>
      <c r="D1472" s="12" t="s">
        <v>1510</v>
      </c>
      <c r="E1472" s="13" t="s">
        <v>1716</v>
      </c>
      <c r="F1472" s="6" t="str">
        <f>_xlfn.XLOOKUP(D1472,[10]ALL!$C:$C,[10]ALL!$N:$N,"Tidak Ditemukan")</f>
        <v>MUHAMMAD JUMADIL</v>
      </c>
      <c r="G1472" s="222"/>
    </row>
    <row r="1473" spans="2:7">
      <c r="B1473" s="10" t="s">
        <v>1448</v>
      </c>
      <c r="C1473" s="11" t="s">
        <v>1449</v>
      </c>
      <c r="D1473" s="12" t="s">
        <v>1511</v>
      </c>
      <c r="E1473" s="13" t="s">
        <v>1716</v>
      </c>
      <c r="F1473" s="6" t="str">
        <f>_xlfn.XLOOKUP(D1473,[10]ALL!$C:$C,[10]ALL!$N:$N,"Tidak Ditemukan")</f>
        <v>CHINDY BIRE</v>
      </c>
      <c r="G1473" s="222"/>
    </row>
    <row r="1474" spans="2:7">
      <c r="B1474" s="10" t="s">
        <v>1448</v>
      </c>
      <c r="C1474" s="11" t="s">
        <v>1449</v>
      </c>
      <c r="D1474" s="12" t="s">
        <v>1512</v>
      </c>
      <c r="E1474" s="13" t="s">
        <v>1716</v>
      </c>
      <c r="F1474" s="6" t="str">
        <f>_xlfn.XLOOKUP(D1474,[10]ALL!$C:$C,[10]ALL!$N:$N,"Tidak Ditemukan")</f>
        <v>JUNEIDI ANDRI MANDALA</v>
      </c>
      <c r="G1474" s="222"/>
    </row>
    <row r="1475" spans="2:7">
      <c r="B1475" s="10" t="s">
        <v>1448</v>
      </c>
      <c r="C1475" s="11" t="s">
        <v>1449</v>
      </c>
      <c r="D1475" s="12" t="s">
        <v>1513</v>
      </c>
      <c r="E1475" s="13" t="s">
        <v>1716</v>
      </c>
      <c r="F1475" s="6" t="str">
        <f>_xlfn.XLOOKUP(D1475,[10]ALL!$C:$C,[10]ALL!$N:$N,"Tidak Ditemukan")</f>
        <v>FELIX DEMASIUS FOENAY</v>
      </c>
      <c r="G1475" s="222"/>
    </row>
    <row r="1476" spans="2:7">
      <c r="B1476" s="10" t="s">
        <v>1448</v>
      </c>
      <c r="C1476" s="11" t="s">
        <v>1449</v>
      </c>
      <c r="D1476" s="12" t="s">
        <v>1514</v>
      </c>
      <c r="E1476" s="13" t="s">
        <v>1716</v>
      </c>
      <c r="F1476" s="6" t="str">
        <f>_xlfn.XLOOKUP(D1476,[10]ALL!$C:$C,[10]ALL!$N:$N,"Tidak Ditemukan")</f>
        <v>MUHAMMAD JUMADIL</v>
      </c>
      <c r="G1476" s="222"/>
    </row>
    <row r="1477" spans="2:7">
      <c r="B1477" s="10" t="s">
        <v>1448</v>
      </c>
      <c r="C1477" s="11" t="s">
        <v>1449</v>
      </c>
      <c r="D1477" s="12" t="s">
        <v>1515</v>
      </c>
      <c r="E1477" s="13" t="s">
        <v>1716</v>
      </c>
      <c r="F1477" s="6" t="str">
        <f>_xlfn.XLOOKUP(D1477,[10]ALL!$C:$C,[10]ALL!$N:$N,"Tidak Ditemukan")</f>
        <v>ARMIYATI BULU</v>
      </c>
      <c r="G1477" s="222"/>
    </row>
    <row r="1478" spans="2:7">
      <c r="B1478" s="10" t="s">
        <v>1448</v>
      </c>
      <c r="C1478" s="11" t="s">
        <v>1449</v>
      </c>
      <c r="D1478" s="12" t="s">
        <v>1516</v>
      </c>
      <c r="E1478" s="13" t="s">
        <v>1716</v>
      </c>
      <c r="F1478" s="6" t="str">
        <f>_xlfn.XLOOKUP(D1478,[10]ALL!$C:$C,[10]ALL!$N:$N,"Tidak Ditemukan")</f>
        <v>PETRUS TRIMULIA WANGGA DALA</v>
      </c>
      <c r="G1478" s="222"/>
    </row>
    <row r="1479" spans="2:7">
      <c r="B1479" s="10" t="s">
        <v>1448</v>
      </c>
      <c r="C1479" s="11" t="s">
        <v>1449</v>
      </c>
      <c r="D1479" s="12" t="s">
        <v>1517</v>
      </c>
      <c r="E1479" s="13" t="s">
        <v>1716</v>
      </c>
      <c r="F1479" s="6" t="str">
        <f>_xlfn.XLOOKUP(D1479,[10]ALL!$C:$C,[10]ALL!$N:$N,"Tidak Ditemukan")</f>
        <v>CICI TRISNAWATI NGGILLI</v>
      </c>
      <c r="G1479" s="222"/>
    </row>
    <row r="1480" spans="2:7">
      <c r="B1480" s="10" t="s">
        <v>1448</v>
      </c>
      <c r="C1480" s="11" t="s">
        <v>1449</v>
      </c>
      <c r="D1480" s="12" t="s">
        <v>1518</v>
      </c>
      <c r="E1480" s="13" t="s">
        <v>1716</v>
      </c>
      <c r="F1480" s="6" t="str">
        <f>_xlfn.XLOOKUP(D1480,[10]ALL!$C:$C,[10]ALL!$N:$N,"Tidak Ditemukan")</f>
        <v>MUHAMMAD JUMADIL</v>
      </c>
      <c r="G1480" s="222"/>
    </row>
    <row r="1481" spans="2:7">
      <c r="B1481" s="10" t="s">
        <v>1448</v>
      </c>
      <c r="C1481" s="11" t="s">
        <v>1449</v>
      </c>
      <c r="D1481" s="12" t="s">
        <v>1519</v>
      </c>
      <c r="E1481" s="13" t="s">
        <v>1716</v>
      </c>
      <c r="F1481" s="6" t="str">
        <f>_xlfn.XLOOKUP(D1481,[10]ALL!$C:$C,[10]ALL!$N:$N,"Tidak Ditemukan")</f>
        <v>PUTRY PRATIWY ELISABETH KAMEO</v>
      </c>
      <c r="G1481" s="222"/>
    </row>
    <row r="1482" spans="2:7">
      <c r="B1482" s="10" t="s">
        <v>1448</v>
      </c>
      <c r="C1482" s="11" t="s">
        <v>1449</v>
      </c>
      <c r="D1482" s="12" t="s">
        <v>1520</v>
      </c>
      <c r="E1482" s="13" t="s">
        <v>1716</v>
      </c>
      <c r="F1482" s="6" t="str">
        <f>_xlfn.XLOOKUP(D1482,[10]ALL!$C:$C,[10]ALL!$N:$N,"Tidak Ditemukan")</f>
        <v>M. SALAHUDIN</v>
      </c>
      <c r="G1482" s="222"/>
    </row>
    <row r="1483" spans="2:7">
      <c r="B1483" s="10" t="s">
        <v>1448</v>
      </c>
      <c r="C1483" s="11" t="s">
        <v>1449</v>
      </c>
      <c r="D1483" s="12" t="s">
        <v>1521</v>
      </c>
      <c r="E1483" s="13" t="s">
        <v>1716</v>
      </c>
      <c r="F1483" s="6" t="str">
        <f>_xlfn.XLOOKUP(D1483,[10]ALL!$C:$C,[10]ALL!$N:$N,"Tidak Ditemukan")</f>
        <v>ARMIYATI BULU</v>
      </c>
      <c r="G1483" s="222"/>
    </row>
    <row r="1484" spans="2:7">
      <c r="B1484" s="10" t="s">
        <v>1448</v>
      </c>
      <c r="C1484" s="11" t="s">
        <v>1449</v>
      </c>
      <c r="D1484" s="12" t="s">
        <v>1522</v>
      </c>
      <c r="E1484" s="13" t="s">
        <v>1716</v>
      </c>
      <c r="F1484" s="6" t="str">
        <f>_xlfn.XLOOKUP(D1484,[10]ALL!$C:$C,[10]ALL!$N:$N,"Tidak Ditemukan")</f>
        <v>ISMAIL ABDURAHMAN MARO</v>
      </c>
      <c r="G1484" s="222"/>
    </row>
    <row r="1485" spans="2:7">
      <c r="B1485" s="10" t="s">
        <v>1448</v>
      </c>
      <c r="C1485" s="11" t="s">
        <v>1449</v>
      </c>
      <c r="D1485" s="12" t="s">
        <v>1523</v>
      </c>
      <c r="E1485" s="13" t="s">
        <v>1716</v>
      </c>
      <c r="F1485" s="6" t="str">
        <f>_xlfn.XLOOKUP(D1485,[10]ALL!$C:$C,[10]ALL!$N:$N,"Tidak Ditemukan")</f>
        <v>ALOYSIUS RIWANTO</v>
      </c>
      <c r="G1485" s="222"/>
    </row>
    <row r="1486" spans="2:7">
      <c r="B1486" s="10" t="s">
        <v>1448</v>
      </c>
      <c r="C1486" s="11" t="s">
        <v>1449</v>
      </c>
      <c r="D1486" s="12" t="s">
        <v>1524</v>
      </c>
      <c r="E1486" s="13" t="s">
        <v>1716</v>
      </c>
      <c r="F1486" s="6" t="str">
        <f>_xlfn.XLOOKUP(D1486,[10]ALL!$C:$C,[10]ALL!$N:$N,"Tidak Ditemukan")</f>
        <v>ALOYSIUS RIWANTO</v>
      </c>
      <c r="G1486" s="222"/>
    </row>
    <row r="1487" spans="2:7">
      <c r="B1487" s="10" t="s">
        <v>1448</v>
      </c>
      <c r="C1487" s="11" t="s">
        <v>1449</v>
      </c>
      <c r="D1487" s="12" t="s">
        <v>1525</v>
      </c>
      <c r="E1487" s="13" t="s">
        <v>1716</v>
      </c>
      <c r="F1487" s="6" t="str">
        <f>_xlfn.XLOOKUP(D1487,[10]ALL!$C:$C,[10]ALL!$N:$N,"Tidak Ditemukan")</f>
        <v>PETRUS TRIMULIA WANGGA DALA</v>
      </c>
      <c r="G1487" s="222"/>
    </row>
    <row r="1488" spans="2:7">
      <c r="B1488" s="10" t="s">
        <v>1448</v>
      </c>
      <c r="C1488" s="11" t="s">
        <v>1449</v>
      </c>
      <c r="D1488" s="12" t="s">
        <v>1526</v>
      </c>
      <c r="E1488" s="13" t="s">
        <v>1716</v>
      </c>
      <c r="F1488" s="6" t="str">
        <f>_xlfn.XLOOKUP(D1488,[10]ALL!$C:$C,[10]ALL!$N:$N,"Tidak Ditemukan")</f>
        <v>ARMIYATI BULU</v>
      </c>
      <c r="G1488" s="222"/>
    </row>
    <row r="1489" spans="2:7">
      <c r="B1489" s="10" t="s">
        <v>1448</v>
      </c>
      <c r="C1489" s="11" t="s">
        <v>1449</v>
      </c>
      <c r="D1489" s="12" t="s">
        <v>1527</v>
      </c>
      <c r="E1489" s="13" t="s">
        <v>1716</v>
      </c>
      <c r="F1489" s="6" t="str">
        <f>_xlfn.XLOOKUP(D1489,[10]ALL!$C:$C,[10]ALL!$N:$N,"Tidak Ditemukan")</f>
        <v>ALOYSIUS RIWANTO</v>
      </c>
      <c r="G1489" s="222"/>
    </row>
    <row r="1490" spans="2:7">
      <c r="B1490" s="10" t="s">
        <v>1448</v>
      </c>
      <c r="C1490" s="11" t="s">
        <v>1449</v>
      </c>
      <c r="D1490" s="12" t="s">
        <v>1528</v>
      </c>
      <c r="E1490" s="13" t="s">
        <v>1716</v>
      </c>
      <c r="F1490" s="6" t="str">
        <f>_xlfn.XLOOKUP(D1490,[10]ALL!$C:$C,[10]ALL!$N:$N,"Tidak Ditemukan")</f>
        <v>PETRUS TRIMULIA WANGGA DALA</v>
      </c>
      <c r="G1490" s="222"/>
    </row>
    <row r="1491" spans="2:7">
      <c r="B1491" s="10" t="s">
        <v>1448</v>
      </c>
      <c r="C1491" s="11" t="s">
        <v>1449</v>
      </c>
      <c r="D1491" s="12" t="s">
        <v>1529</v>
      </c>
      <c r="E1491" s="13" t="s">
        <v>1716</v>
      </c>
      <c r="F1491" s="6" t="str">
        <f>_xlfn.XLOOKUP(D1491,[10]ALL!$C:$C,[10]ALL!$N:$N,"Tidak Ditemukan")</f>
        <v>CHINDY BIRE</v>
      </c>
      <c r="G1491" s="222"/>
    </row>
    <row r="1492" spans="2:7">
      <c r="B1492" s="10" t="s">
        <v>1448</v>
      </c>
      <c r="C1492" s="11" t="s">
        <v>1449</v>
      </c>
      <c r="D1492" s="12" t="s">
        <v>1530</v>
      </c>
      <c r="E1492" s="13" t="s">
        <v>1716</v>
      </c>
      <c r="F1492" s="6" t="str">
        <f>_xlfn.XLOOKUP(D1492,[10]ALL!$C:$C,[10]ALL!$N:$N,"Tidak Ditemukan")</f>
        <v>FAHRURRAZI</v>
      </c>
      <c r="G1492" s="222"/>
    </row>
    <row r="1493" spans="2:7">
      <c r="B1493" s="10" t="s">
        <v>1448</v>
      </c>
      <c r="C1493" s="11" t="s">
        <v>1449</v>
      </c>
      <c r="D1493" s="12" t="s">
        <v>1531</v>
      </c>
      <c r="E1493" s="13" t="s">
        <v>1716</v>
      </c>
      <c r="F1493" s="6" t="str">
        <f>_xlfn.XLOOKUP(D1493,[10]ALL!$C:$C,[10]ALL!$N:$N,"Tidak Ditemukan")</f>
        <v>PETRUS TRIMULIA WANGGA DALA</v>
      </c>
      <c r="G1493" s="222"/>
    </row>
    <row r="1494" spans="2:7">
      <c r="B1494" s="10" t="s">
        <v>1448</v>
      </c>
      <c r="C1494" s="11" t="s">
        <v>1449</v>
      </c>
      <c r="D1494" s="12" t="s">
        <v>1532</v>
      </c>
      <c r="E1494" s="13" t="s">
        <v>1716</v>
      </c>
      <c r="F1494" s="6" t="str">
        <f>_xlfn.XLOOKUP(D1494,[10]ALL!$C:$C,[10]ALL!$N:$N,"Tidak Ditemukan")</f>
        <v>ALOYSIUS RIWANTO</v>
      </c>
      <c r="G1494" s="222"/>
    </row>
    <row r="1495" spans="2:7">
      <c r="B1495" s="10" t="s">
        <v>1448</v>
      </c>
      <c r="C1495" s="11" t="s">
        <v>1449</v>
      </c>
      <c r="D1495" s="12" t="s">
        <v>1533</v>
      </c>
      <c r="E1495" s="13" t="s">
        <v>1716</v>
      </c>
      <c r="F1495" s="6" t="str">
        <f>_xlfn.XLOOKUP(D1495,[10]ALL!$C:$C,[10]ALL!$N:$N,"Tidak Ditemukan")</f>
        <v>MUHAMMAD JUMADIL</v>
      </c>
      <c r="G1495" s="222"/>
    </row>
    <row r="1496" spans="2:7">
      <c r="B1496" s="10" t="s">
        <v>1448</v>
      </c>
      <c r="C1496" s="11" t="s">
        <v>1449</v>
      </c>
      <c r="D1496" s="12" t="s">
        <v>1534</v>
      </c>
      <c r="E1496" s="13" t="s">
        <v>1716</v>
      </c>
      <c r="F1496" s="6" t="str">
        <f>_xlfn.XLOOKUP(D1496,[10]ALL!$C:$C,[10]ALL!$N:$N,"Tidak Ditemukan")</f>
        <v>I Gd Andika Adi Prasetya Murya</v>
      </c>
      <c r="G1496" s="222"/>
    </row>
    <row r="1497" spans="2:7">
      <c r="B1497" s="10" t="s">
        <v>1448</v>
      </c>
      <c r="C1497" s="11" t="s">
        <v>1449</v>
      </c>
      <c r="D1497" s="12" t="s">
        <v>1535</v>
      </c>
      <c r="E1497" s="13" t="s">
        <v>1716</v>
      </c>
      <c r="F1497" s="6" t="str">
        <f>_xlfn.XLOOKUP(D1497,[10]ALL!$C:$C,[10]ALL!$N:$N,"Tidak Ditemukan")</f>
        <v>MUHAMMAD JUMADIL</v>
      </c>
      <c r="G1497" s="222"/>
    </row>
    <row r="1498" spans="2:7">
      <c r="B1498" s="10" t="s">
        <v>1448</v>
      </c>
      <c r="C1498" s="11" t="s">
        <v>1449</v>
      </c>
      <c r="D1498" s="12" t="s">
        <v>1536</v>
      </c>
      <c r="E1498" s="13" t="s">
        <v>1716</v>
      </c>
      <c r="F1498" s="6" t="str">
        <f>_xlfn.XLOOKUP(D1498,[10]ALL!$C:$C,[10]ALL!$N:$N,"Tidak Ditemukan")</f>
        <v>GUSTI NGURAH ARY RAKA DARMAYASA, SE.MM</v>
      </c>
      <c r="G1498" s="222"/>
    </row>
    <row r="1499" spans="2:7">
      <c r="B1499" s="10" t="s">
        <v>1448</v>
      </c>
      <c r="C1499" s="11" t="s">
        <v>1449</v>
      </c>
      <c r="D1499" s="12" t="s">
        <v>1537</v>
      </c>
      <c r="E1499" s="13" t="s">
        <v>1716</v>
      </c>
      <c r="F1499" s="6" t="str">
        <f>_xlfn.XLOOKUP(D1499,[10]ALL!$C:$C,[10]ALL!$N:$N,"Tidak Ditemukan")</f>
        <v>MUHAMMAD TONY NUGRAHA</v>
      </c>
      <c r="G1499" s="222"/>
    </row>
    <row r="1500" spans="2:7">
      <c r="B1500" s="10" t="s">
        <v>1448</v>
      </c>
      <c r="C1500" s="11" t="s">
        <v>1449</v>
      </c>
      <c r="D1500" s="12" t="s">
        <v>1538</v>
      </c>
      <c r="E1500" s="13" t="s">
        <v>1716</v>
      </c>
      <c r="F1500" s="6" t="str">
        <f>_xlfn.XLOOKUP(D1500,[10]ALL!$C:$C,[10]ALL!$N:$N,"Tidak Ditemukan")</f>
        <v>MUHAMMAD TONY NUGRAHA</v>
      </c>
      <c r="G1500" s="222"/>
    </row>
    <row r="1501" spans="2:7">
      <c r="B1501" s="10" t="s">
        <v>1448</v>
      </c>
      <c r="C1501" s="11" t="s">
        <v>1449</v>
      </c>
      <c r="D1501" s="12" t="s">
        <v>1539</v>
      </c>
      <c r="E1501" s="13" t="s">
        <v>1716</v>
      </c>
      <c r="F1501" s="6" t="str">
        <f>_xlfn.XLOOKUP(D1501,[10]ALL!$C:$C,[10]ALL!$N:$N,"Tidak Ditemukan")</f>
        <v>GUSTI NGURAH ARY RAKA DARMAYASA, SE.MM</v>
      </c>
      <c r="G1501" s="222"/>
    </row>
    <row r="1502" spans="2:7">
      <c r="B1502" s="10" t="s">
        <v>1448</v>
      </c>
      <c r="C1502" s="11" t="s">
        <v>1449</v>
      </c>
      <c r="D1502" s="12" t="s">
        <v>1540</v>
      </c>
      <c r="E1502" s="13" t="s">
        <v>1716</v>
      </c>
      <c r="F1502" s="6" t="str">
        <f>_xlfn.XLOOKUP(D1502,[10]ALL!$C:$C,[10]ALL!$N:$N,"Tidak Ditemukan")</f>
        <v>GEMAYA WANGSA</v>
      </c>
      <c r="G1502" s="222"/>
    </row>
    <row r="1503" spans="2:7">
      <c r="B1503" s="10" t="s">
        <v>1448</v>
      </c>
      <c r="C1503" s="11" t="s">
        <v>1449</v>
      </c>
      <c r="D1503" s="12" t="s">
        <v>1541</v>
      </c>
      <c r="E1503" s="13" t="s">
        <v>1716</v>
      </c>
      <c r="F1503" s="6" t="str">
        <f>_xlfn.XLOOKUP(D1503,[10]ALL!$C:$C,[10]ALL!$N:$N,"Tidak Ditemukan")</f>
        <v>AGUS KADE DIVA RAMANA</v>
      </c>
      <c r="G1503" s="222"/>
    </row>
    <row r="1504" spans="2:7">
      <c r="B1504" s="10" t="s">
        <v>1448</v>
      </c>
      <c r="C1504" s="11" t="s">
        <v>1449</v>
      </c>
      <c r="D1504" s="12" t="s">
        <v>1542</v>
      </c>
      <c r="E1504" s="13" t="s">
        <v>1716</v>
      </c>
      <c r="F1504" s="6" t="str">
        <f>_xlfn.XLOOKUP(D1504,[10]ALL!$C:$C,[10]ALL!$N:$N,"Tidak Ditemukan")</f>
        <v>GEMAYA WANGSA</v>
      </c>
      <c r="G1504" s="222"/>
    </row>
    <row r="1505" spans="2:7">
      <c r="B1505" s="10" t="s">
        <v>1448</v>
      </c>
      <c r="C1505" s="11" t="s">
        <v>1449</v>
      </c>
      <c r="D1505" s="12" t="s">
        <v>1543</v>
      </c>
      <c r="E1505" s="13" t="s">
        <v>1716</v>
      </c>
      <c r="F1505" s="6" t="str">
        <f>_xlfn.XLOOKUP(D1505,[10]ALL!$C:$C,[10]ALL!$N:$N,"Tidak Ditemukan")</f>
        <v>YUNAN FURQONA RAMADHANI</v>
      </c>
      <c r="G1505" s="222"/>
    </row>
    <row r="1506" spans="2:7">
      <c r="B1506" s="10" t="s">
        <v>1448</v>
      </c>
      <c r="C1506" s="11" t="s">
        <v>1449</v>
      </c>
      <c r="D1506" s="12" t="s">
        <v>1544</v>
      </c>
      <c r="E1506" s="13" t="s">
        <v>1716</v>
      </c>
      <c r="F1506" s="6" t="str">
        <f>_xlfn.XLOOKUP(D1506,[10]ALL!$C:$C,[10]ALL!$N:$N,"Tidak Ditemukan")</f>
        <v>I Gd Andika Adi Prasetya Murya</v>
      </c>
      <c r="G1506" s="222"/>
    </row>
    <row r="1507" spans="2:7">
      <c r="B1507" s="10" t="s">
        <v>1448</v>
      </c>
      <c r="C1507" s="11" t="s">
        <v>1449</v>
      </c>
      <c r="D1507" s="12" t="s">
        <v>1545</v>
      </c>
      <c r="E1507" s="13" t="s">
        <v>1716</v>
      </c>
      <c r="F1507" s="6" t="str">
        <f>_xlfn.XLOOKUP(D1507,[10]ALL!$C:$C,[10]ALL!$N:$N,"Tidak Ditemukan")</f>
        <v>I Gd Andika Adi Prasetya Murya</v>
      </c>
      <c r="G1507" s="222"/>
    </row>
    <row r="1508" spans="2:7">
      <c r="B1508" s="10" t="s">
        <v>1448</v>
      </c>
      <c r="C1508" s="11" t="s">
        <v>1449</v>
      </c>
      <c r="D1508" s="12" t="s">
        <v>1546</v>
      </c>
      <c r="E1508" s="13" t="s">
        <v>1716</v>
      </c>
      <c r="F1508" s="6" t="str">
        <f>_xlfn.XLOOKUP(D1508,[10]ALL!$C:$C,[10]ALL!$N:$N,"Tidak Ditemukan")</f>
        <v>AGUSTINUS DICKY PURWONO</v>
      </c>
      <c r="G1508" s="222"/>
    </row>
    <row r="1509" spans="2:7">
      <c r="B1509" s="10" t="s">
        <v>1448</v>
      </c>
      <c r="C1509" s="11" t="s">
        <v>1449</v>
      </c>
      <c r="D1509" s="12" t="s">
        <v>1547</v>
      </c>
      <c r="E1509" s="13" t="s">
        <v>1716</v>
      </c>
      <c r="F1509" s="6" t="str">
        <f>_xlfn.XLOOKUP(D1509,[10]ALL!$C:$C,[10]ALL!$N:$N,"Tidak Ditemukan")</f>
        <v>AGUSTINUS DICKY PURWONO</v>
      </c>
      <c r="G1509" s="222"/>
    </row>
    <row r="1510" spans="2:7">
      <c r="B1510" s="10" t="s">
        <v>1448</v>
      </c>
      <c r="C1510" s="11" t="s">
        <v>1449</v>
      </c>
      <c r="D1510" s="12" t="s">
        <v>1548</v>
      </c>
      <c r="E1510" s="13" t="s">
        <v>1716</v>
      </c>
      <c r="F1510" s="6" t="str">
        <f>_xlfn.XLOOKUP(D1510,[10]ALL!$C:$C,[10]ALL!$N:$N,"Tidak Ditemukan")</f>
        <v>AGUSTINUS DICKY PURWONO</v>
      </c>
      <c r="G1510" s="222"/>
    </row>
    <row r="1511" spans="2:7">
      <c r="B1511" s="10" t="s">
        <v>1448</v>
      </c>
      <c r="C1511" s="11" t="s">
        <v>1449</v>
      </c>
      <c r="D1511" s="12" t="s">
        <v>1549</v>
      </c>
      <c r="E1511" s="13" t="s">
        <v>1716</v>
      </c>
      <c r="F1511" s="6" t="str">
        <f>_xlfn.XLOOKUP(D1511,[10]ALL!$C:$C,[10]ALL!$N:$N,"Tidak Ditemukan")</f>
        <v>AGUSTINUS DICKY PURWONO</v>
      </c>
      <c r="G1511" s="222"/>
    </row>
    <row r="1512" spans="2:7">
      <c r="B1512" s="10" t="s">
        <v>1448</v>
      </c>
      <c r="C1512" s="11" t="s">
        <v>1449</v>
      </c>
      <c r="D1512" s="12" t="s">
        <v>1550</v>
      </c>
      <c r="E1512" s="13" t="s">
        <v>1716</v>
      </c>
      <c r="F1512" s="6" t="str">
        <f>_xlfn.XLOOKUP(D1512,[10]ALL!$C:$C,[10]ALL!$N:$N,"Tidak Ditemukan")</f>
        <v>I Gd Andika Adi Prasetya Murya</v>
      </c>
      <c r="G1512" s="222"/>
    </row>
    <row r="1513" spans="2:7">
      <c r="B1513" s="10" t="s">
        <v>1448</v>
      </c>
      <c r="C1513" s="11" t="s">
        <v>1449</v>
      </c>
      <c r="D1513" s="12" t="s">
        <v>1551</v>
      </c>
      <c r="E1513" s="13" t="s">
        <v>1716</v>
      </c>
      <c r="F1513" s="6" t="str">
        <f>_xlfn.XLOOKUP(D1513,[10]ALL!$C:$C,[10]ALL!$N:$N,"Tidak Ditemukan")</f>
        <v>YUNAN FURQONA RAMADHANI</v>
      </c>
      <c r="G1513" s="222"/>
    </row>
    <row r="1514" spans="2:7">
      <c r="B1514" s="10" t="s">
        <v>1448</v>
      </c>
      <c r="C1514" s="11" t="s">
        <v>1449</v>
      </c>
      <c r="D1514" s="12" t="s">
        <v>1552</v>
      </c>
      <c r="E1514" s="13" t="s">
        <v>1716</v>
      </c>
      <c r="F1514" s="6" t="str">
        <f>_xlfn.XLOOKUP(D1514,[10]ALL!$C:$C,[10]ALL!$N:$N,"Tidak Ditemukan")</f>
        <v>GUSTI NGURAH ARY RAKA DARMAYASA, SE.MM</v>
      </c>
      <c r="G1514" s="222"/>
    </row>
    <row r="1515" spans="2:7">
      <c r="B1515" s="10" t="s">
        <v>1448</v>
      </c>
      <c r="C1515" s="11" t="s">
        <v>1449</v>
      </c>
      <c r="D1515" s="12" t="s">
        <v>1553</v>
      </c>
      <c r="E1515" s="13" t="s">
        <v>1716</v>
      </c>
      <c r="F1515" s="6" t="str">
        <f>_xlfn.XLOOKUP(D1515,[10]ALL!$C:$C,[10]ALL!$N:$N,"Tidak Ditemukan")</f>
        <v>AGUSTINUS DICKY PURWONO</v>
      </c>
      <c r="G1515" s="222"/>
    </row>
    <row r="1516" spans="2:7">
      <c r="B1516" s="10" t="s">
        <v>1448</v>
      </c>
      <c r="C1516" s="11" t="s">
        <v>1449</v>
      </c>
      <c r="D1516" s="12" t="s">
        <v>1554</v>
      </c>
      <c r="E1516" s="13" t="s">
        <v>1716</v>
      </c>
      <c r="F1516" s="6" t="str">
        <f>_xlfn.XLOOKUP(D1516,[10]ALL!$C:$C,[10]ALL!$N:$N,"Tidak Ditemukan")</f>
        <v>GUSTI NGURAH ARY RAKA DARMAYASA, SE.MM</v>
      </c>
      <c r="G1516" s="222"/>
    </row>
    <row r="1517" spans="2:7">
      <c r="B1517" s="10" t="s">
        <v>1448</v>
      </c>
      <c r="C1517" s="11" t="s">
        <v>1449</v>
      </c>
      <c r="D1517" s="12" t="s">
        <v>1555</v>
      </c>
      <c r="E1517" s="13" t="s">
        <v>1716</v>
      </c>
      <c r="F1517" s="6" t="str">
        <f>_xlfn.XLOOKUP(D1517,[10]ALL!$C:$C,[10]ALL!$N:$N,"Tidak Ditemukan")</f>
        <v>YUNAN FURQONA RAMADHANI</v>
      </c>
      <c r="G1517" s="222"/>
    </row>
    <row r="1518" spans="2:7">
      <c r="B1518" s="10" t="s">
        <v>1448</v>
      </c>
      <c r="C1518" s="11" t="s">
        <v>1449</v>
      </c>
      <c r="D1518" s="12" t="s">
        <v>1556</v>
      </c>
      <c r="E1518" s="13" t="s">
        <v>1716</v>
      </c>
      <c r="F1518" s="6" t="str">
        <f>_xlfn.XLOOKUP(D1518,[10]ALL!$C:$C,[10]ALL!$N:$N,"Tidak Ditemukan")</f>
        <v>YUNAN FURQONA RAMADHANI</v>
      </c>
      <c r="G1518" s="222"/>
    </row>
    <row r="1519" spans="2:7">
      <c r="B1519" s="10" t="s">
        <v>1448</v>
      </c>
      <c r="C1519" s="11" t="s">
        <v>1449</v>
      </c>
      <c r="D1519" s="12" t="s">
        <v>1557</v>
      </c>
      <c r="E1519" s="13" t="s">
        <v>1716</v>
      </c>
      <c r="F1519" s="6" t="str">
        <f>_xlfn.XLOOKUP(D1519,[10]ALL!$C:$C,[10]ALL!$N:$N,"Tidak Ditemukan")</f>
        <v>DEAR RAMOS DAMANIK</v>
      </c>
      <c r="G1519" s="222"/>
    </row>
    <row r="1520" spans="2:7">
      <c r="B1520" s="10" t="s">
        <v>1448</v>
      </c>
      <c r="C1520" s="11" t="s">
        <v>1449</v>
      </c>
      <c r="D1520" s="12" t="s">
        <v>1558</v>
      </c>
      <c r="E1520" s="13" t="s">
        <v>1716</v>
      </c>
      <c r="F1520" s="6" t="str">
        <f>_xlfn.XLOOKUP(D1520,[10]ALL!$C:$C,[10]ALL!$N:$N,"Tidak Ditemukan")</f>
        <v>DEAR RAMOS DAMANIK</v>
      </c>
      <c r="G1520" s="222"/>
    </row>
    <row r="1521" spans="2:7">
      <c r="B1521" s="10" t="s">
        <v>1448</v>
      </c>
      <c r="C1521" s="11" t="s">
        <v>1449</v>
      </c>
      <c r="D1521" s="12" t="s">
        <v>1559</v>
      </c>
      <c r="E1521" s="13" t="s">
        <v>1716</v>
      </c>
      <c r="F1521" s="6" t="str">
        <f>_xlfn.XLOOKUP(D1521,[10]ALL!$C:$C,[10]ALL!$N:$N,"Tidak Ditemukan")</f>
        <v>AGUS KADE DIVA RAMANA</v>
      </c>
      <c r="G1521" s="222"/>
    </row>
    <row r="1522" spans="2:7">
      <c r="B1522" s="10" t="s">
        <v>1448</v>
      </c>
      <c r="C1522" s="11" t="s">
        <v>1449</v>
      </c>
      <c r="D1522" s="12" t="s">
        <v>1560</v>
      </c>
      <c r="E1522" s="13" t="s">
        <v>1716</v>
      </c>
      <c r="F1522" s="6" t="str">
        <f>_xlfn.XLOOKUP(D1522,[10]ALL!$C:$C,[10]ALL!$N:$N,"Tidak Ditemukan")</f>
        <v>DEAR RAMOS DAMANIK</v>
      </c>
      <c r="G1522" s="222"/>
    </row>
    <row r="1523" spans="2:7">
      <c r="B1523" s="10" t="s">
        <v>1448</v>
      </c>
      <c r="C1523" s="11" t="s">
        <v>1449</v>
      </c>
      <c r="D1523" s="12" t="s">
        <v>1561</v>
      </c>
      <c r="E1523" s="13" t="s">
        <v>1716</v>
      </c>
      <c r="F1523" s="6" t="str">
        <f>_xlfn.XLOOKUP(D1523,[10]ALL!$C:$C,[10]ALL!$N:$N,"Tidak Ditemukan")</f>
        <v>AGUS KADE DIVA RAMANA</v>
      </c>
      <c r="G1523" s="222"/>
    </row>
    <row r="1524" spans="2:7">
      <c r="B1524" s="10" t="s">
        <v>1448</v>
      </c>
      <c r="C1524" s="11" t="s">
        <v>1449</v>
      </c>
      <c r="D1524" s="12" t="s">
        <v>1562</v>
      </c>
      <c r="E1524" s="13" t="s">
        <v>1716</v>
      </c>
      <c r="F1524" s="6" t="str">
        <f>_xlfn.XLOOKUP(D1524,[10]ALL!$C:$C,[10]ALL!$N:$N,"Tidak Ditemukan")</f>
        <v>DEAR RAMOS DAMANIK</v>
      </c>
      <c r="G1524" s="222"/>
    </row>
    <row r="1525" spans="2:7">
      <c r="B1525" s="10" t="s">
        <v>1448</v>
      </c>
      <c r="C1525" s="11" t="s">
        <v>1449</v>
      </c>
      <c r="D1525" s="12" t="s">
        <v>1563</v>
      </c>
      <c r="E1525" s="13" t="s">
        <v>1716</v>
      </c>
      <c r="F1525" s="6" t="str">
        <f>_xlfn.XLOOKUP(D1525,[10]ALL!$C:$C,[10]ALL!$N:$N,"Tidak Ditemukan")</f>
        <v>DEAR RAMOS DAMANIK</v>
      </c>
      <c r="G1525" s="222"/>
    </row>
    <row r="1526" spans="2:7">
      <c r="B1526" s="10" t="s">
        <v>1448</v>
      </c>
      <c r="C1526" s="11" t="s">
        <v>1449</v>
      </c>
      <c r="D1526" s="12" t="s">
        <v>1564</v>
      </c>
      <c r="E1526" s="13" t="s">
        <v>1716</v>
      </c>
      <c r="F1526" s="6" t="str">
        <f>_xlfn.XLOOKUP(D1526,[10]ALL!$C:$C,[10]ALL!$N:$N,"Tidak Ditemukan")</f>
        <v>DEAR RAMOS DAMANIK</v>
      </c>
      <c r="G1526" s="222"/>
    </row>
    <row r="1527" spans="2:7">
      <c r="B1527" s="10" t="s">
        <v>1448</v>
      </c>
      <c r="C1527" s="11" t="s">
        <v>1449</v>
      </c>
      <c r="D1527" s="12" t="s">
        <v>1565</v>
      </c>
      <c r="E1527" s="13" t="s">
        <v>1716</v>
      </c>
      <c r="F1527" s="6" t="str">
        <f>_xlfn.XLOOKUP(D1527,[10]ALL!$C:$C,[10]ALL!$N:$N,"Tidak Ditemukan")</f>
        <v>Rino Prasetya Wibowo</v>
      </c>
      <c r="G1527" s="222"/>
    </row>
    <row r="1528" spans="2:7">
      <c r="B1528" s="10" t="s">
        <v>1448</v>
      </c>
      <c r="C1528" s="11" t="s">
        <v>1449</v>
      </c>
      <c r="D1528" s="12" t="s">
        <v>1566</v>
      </c>
      <c r="E1528" s="13" t="s">
        <v>1716</v>
      </c>
      <c r="F1528" s="6" t="str">
        <f>_xlfn.XLOOKUP(D1528,[10]ALL!$C:$C,[10]ALL!$N:$N,"Tidak Ditemukan")</f>
        <v>I GEDE BAGUS ADI SURYAWAN , ST</v>
      </c>
      <c r="G1528" s="222"/>
    </row>
    <row r="1529" spans="2:7">
      <c r="B1529" s="10" t="s">
        <v>1448</v>
      </c>
      <c r="C1529" s="11" t="s">
        <v>1449</v>
      </c>
      <c r="D1529" s="12" t="s">
        <v>1567</v>
      </c>
      <c r="E1529" s="13" t="s">
        <v>1716</v>
      </c>
      <c r="F1529" s="6" t="str">
        <f>_xlfn.XLOOKUP(D1529,[10]ALL!$C:$C,[10]ALL!$N:$N,"Tidak Ditemukan")</f>
        <v>Rino Prasetya Wibowo</v>
      </c>
      <c r="G1529" s="222"/>
    </row>
    <row r="1530" spans="2:7">
      <c r="B1530" s="10" t="s">
        <v>1448</v>
      </c>
      <c r="C1530" s="11" t="s">
        <v>1449</v>
      </c>
      <c r="D1530" s="12" t="s">
        <v>1568</v>
      </c>
      <c r="E1530" s="13" t="s">
        <v>1716</v>
      </c>
      <c r="F1530" s="6" t="str">
        <f>_xlfn.XLOOKUP(D1530,[10]ALL!$C:$C,[10]ALL!$N:$N,"Tidak Ditemukan")</f>
        <v>AGUS PRADNYANA</v>
      </c>
      <c r="G1530" s="222"/>
    </row>
    <row r="1531" spans="2:7">
      <c r="B1531" s="10" t="s">
        <v>1448</v>
      </c>
      <c r="C1531" s="11" t="s">
        <v>1449</v>
      </c>
      <c r="D1531" s="12" t="s">
        <v>1569</v>
      </c>
      <c r="E1531" s="13" t="s">
        <v>1716</v>
      </c>
      <c r="F1531" s="6" t="str">
        <f>_xlfn.XLOOKUP(D1531,[10]ALL!$C:$C,[10]ALL!$N:$N,"Tidak Ditemukan")</f>
        <v>I KOMANG FERI INDRAJAYA</v>
      </c>
      <c r="G1531" s="222"/>
    </row>
    <row r="1532" spans="2:7">
      <c r="B1532" s="10" t="s">
        <v>1448</v>
      </c>
      <c r="C1532" s="11" t="s">
        <v>1449</v>
      </c>
      <c r="D1532" s="12" t="s">
        <v>1570</v>
      </c>
      <c r="E1532" s="13" t="s">
        <v>1716</v>
      </c>
      <c r="F1532" s="6" t="str">
        <f>_xlfn.XLOOKUP(D1532,[10]ALL!$C:$C,[10]ALL!$N:$N,"Tidak Ditemukan")</f>
        <v>AGUS PRADNYANA</v>
      </c>
      <c r="G1532" s="222"/>
    </row>
    <row r="1533" spans="2:7">
      <c r="B1533" s="10" t="s">
        <v>1448</v>
      </c>
      <c r="C1533" s="11" t="s">
        <v>1449</v>
      </c>
      <c r="D1533" s="12" t="s">
        <v>1571</v>
      </c>
      <c r="E1533" s="13" t="s">
        <v>1716</v>
      </c>
      <c r="F1533" s="6" t="str">
        <f>_xlfn.XLOOKUP(D1533,[10]ALL!$C:$C,[10]ALL!$N:$N,"Tidak Ditemukan")</f>
        <v>YUNAN FURQONA RAMADHANI</v>
      </c>
      <c r="G1533" s="222"/>
    </row>
    <row r="1534" spans="2:7">
      <c r="B1534" s="10" t="s">
        <v>1448</v>
      </c>
      <c r="C1534" s="11" t="s">
        <v>1449</v>
      </c>
      <c r="D1534" s="12" t="s">
        <v>1572</v>
      </c>
      <c r="E1534" s="13" t="s">
        <v>1716</v>
      </c>
      <c r="F1534" s="6" t="str">
        <f>_xlfn.XLOOKUP(D1534,[10]ALL!$C:$C,[10]ALL!$N:$N,"Tidak Ditemukan")</f>
        <v>Suhardi</v>
      </c>
      <c r="G1534" s="222"/>
    </row>
    <row r="1535" spans="2:7">
      <c r="B1535" s="10" t="s">
        <v>1448</v>
      </c>
      <c r="C1535" s="11" t="s">
        <v>1449</v>
      </c>
      <c r="D1535" s="12" t="s">
        <v>1573</v>
      </c>
      <c r="E1535" s="13" t="s">
        <v>1716</v>
      </c>
      <c r="F1535" s="6" t="str">
        <f>_xlfn.XLOOKUP(D1535,[10]ALL!$C:$C,[10]ALL!$N:$N,"Tidak Ditemukan")</f>
        <v>I Gd Andika Adi Prasetya Murya</v>
      </c>
      <c r="G1535" s="222"/>
    </row>
    <row r="1536" spans="2:7">
      <c r="B1536" s="10" t="s">
        <v>1448</v>
      </c>
      <c r="C1536" s="11" t="s">
        <v>1449</v>
      </c>
      <c r="D1536" s="12" t="s">
        <v>1574</v>
      </c>
      <c r="E1536" s="13" t="s">
        <v>1716</v>
      </c>
      <c r="F1536" s="6" t="str">
        <f>_xlfn.XLOOKUP(D1536,[10]ALL!$C:$C,[10]ALL!$N:$N,"Tidak Ditemukan")</f>
        <v>DEAR RAMOS DAMANIK</v>
      </c>
      <c r="G1536" s="222"/>
    </row>
    <row r="1537" spans="2:7">
      <c r="B1537" s="10" t="s">
        <v>1448</v>
      </c>
      <c r="C1537" s="11" t="s">
        <v>1449</v>
      </c>
      <c r="D1537" s="12" t="s">
        <v>1575</v>
      </c>
      <c r="E1537" s="13" t="s">
        <v>1716</v>
      </c>
      <c r="F1537" s="6" t="str">
        <f>_xlfn.XLOOKUP(D1537,[10]ALL!$C:$C,[10]ALL!$N:$N,"Tidak Ditemukan")</f>
        <v>DEAR RAMOS DAMANIK</v>
      </c>
      <c r="G1537" s="222"/>
    </row>
    <row r="1538" spans="2:7">
      <c r="B1538" s="10" t="s">
        <v>1448</v>
      </c>
      <c r="C1538" s="11" t="s">
        <v>1449</v>
      </c>
      <c r="D1538" s="12" t="s">
        <v>1576</v>
      </c>
      <c r="E1538" s="13" t="s">
        <v>1716</v>
      </c>
      <c r="F1538" s="6" t="str">
        <f>_xlfn.XLOOKUP(D1538,[10]ALL!$C:$C,[10]ALL!$N:$N,"Tidak Ditemukan")</f>
        <v>GEMAYA WANGSA</v>
      </c>
      <c r="G1538" s="222"/>
    </row>
    <row r="1539" spans="2:7">
      <c r="B1539" s="10" t="s">
        <v>1448</v>
      </c>
      <c r="C1539" s="11" t="s">
        <v>1449</v>
      </c>
      <c r="D1539" s="12" t="s">
        <v>1577</v>
      </c>
      <c r="E1539" s="13" t="s">
        <v>1716</v>
      </c>
      <c r="F1539" s="6" t="str">
        <f>_xlfn.XLOOKUP(D1539,[10]ALL!$C:$C,[10]ALL!$N:$N,"Tidak Ditemukan")</f>
        <v>DEAR RAMOS DAMANIK</v>
      </c>
      <c r="G1539" s="222"/>
    </row>
    <row r="1540" spans="2:7">
      <c r="B1540" s="10" t="s">
        <v>1448</v>
      </c>
      <c r="C1540" s="11" t="s">
        <v>1449</v>
      </c>
      <c r="D1540" s="12" t="s">
        <v>1578</v>
      </c>
      <c r="E1540" s="13" t="e">
        <v>#N/A</v>
      </c>
      <c r="F1540" s="6" t="str">
        <f>_xlfn.XLOOKUP(D1540,[10]ALL!$C:$C,[10]ALL!$N:$N,"Tidak Ditemukan")</f>
        <v>DEAR RAMOS DAMANIK</v>
      </c>
      <c r="G1540" s="222"/>
    </row>
    <row r="1541" spans="2:7">
      <c r="B1541" s="10" t="s">
        <v>1448</v>
      </c>
      <c r="C1541" s="11" t="s">
        <v>1449</v>
      </c>
      <c r="D1541" s="12" t="s">
        <v>1579</v>
      </c>
      <c r="E1541" s="13" t="s">
        <v>1716</v>
      </c>
      <c r="F1541" s="6" t="str">
        <f>_xlfn.XLOOKUP(D1541,[10]ALL!$C:$C,[10]ALL!$N:$N,"Tidak Ditemukan")</f>
        <v>Suhardi</v>
      </c>
      <c r="G1541" s="222"/>
    </row>
    <row r="1542" spans="2:7">
      <c r="B1542" s="10" t="s">
        <v>1448</v>
      </c>
      <c r="C1542" s="11" t="s">
        <v>1449</v>
      </c>
      <c r="D1542" s="12" t="s">
        <v>1580</v>
      </c>
      <c r="E1542" s="13" t="s">
        <v>1716</v>
      </c>
      <c r="F1542" s="6" t="str">
        <f>_xlfn.XLOOKUP(D1542,[10]ALL!$C:$C,[10]ALL!$N:$N,"Tidak Ditemukan")</f>
        <v>M. SALAHUDIN</v>
      </c>
      <c r="G1542" s="222"/>
    </row>
    <row r="1543" spans="2:7">
      <c r="B1543" s="10" t="s">
        <v>1448</v>
      </c>
      <c r="C1543" s="11" t="s">
        <v>1449</v>
      </c>
      <c r="D1543" s="12" t="s">
        <v>1581</v>
      </c>
      <c r="E1543" s="13" t="s">
        <v>1716</v>
      </c>
      <c r="F1543" s="6" t="str">
        <f>_xlfn.XLOOKUP(D1543,[10]ALL!$C:$C,[10]ALL!$N:$N,"Tidak Ditemukan")</f>
        <v>Abi Hilmawan</v>
      </c>
      <c r="G1543" s="222"/>
    </row>
    <row r="1544" spans="2:7">
      <c r="B1544" s="10" t="s">
        <v>1448</v>
      </c>
      <c r="C1544" s="11" t="s">
        <v>1449</v>
      </c>
      <c r="D1544" s="12" t="s">
        <v>1582</v>
      </c>
      <c r="E1544" s="13" t="s">
        <v>1716</v>
      </c>
      <c r="F1544" s="6" t="str">
        <f>_xlfn.XLOOKUP(D1544,[10]ALL!$C:$C,[10]ALL!$N:$N,"Tidak Ditemukan")</f>
        <v>Abi Hilmawan</v>
      </c>
      <c r="G1544" s="222"/>
    </row>
    <row r="1545" spans="2:7">
      <c r="B1545" s="10" t="s">
        <v>1448</v>
      </c>
      <c r="C1545" s="11" t="s">
        <v>1449</v>
      </c>
      <c r="D1545" s="12" t="s">
        <v>1583</v>
      </c>
      <c r="E1545" s="13" t="s">
        <v>1716</v>
      </c>
      <c r="F1545" s="6" t="str">
        <f>_xlfn.XLOOKUP(D1545,[10]ALL!$C:$C,[10]ALL!$N:$N,"Tidak Ditemukan")</f>
        <v>I Kadek Sandiyasa</v>
      </c>
      <c r="G1545" s="222"/>
    </row>
    <row r="1546" spans="2:7">
      <c r="B1546" s="10" t="s">
        <v>1448</v>
      </c>
      <c r="C1546" s="11" t="s">
        <v>1449</v>
      </c>
      <c r="D1546" s="12" t="s">
        <v>1584</v>
      </c>
      <c r="E1546" s="13" t="s">
        <v>1716</v>
      </c>
      <c r="F1546" s="6" t="str">
        <f>_xlfn.XLOOKUP(D1546,[10]ALL!$C:$C,[10]ALL!$N:$N,"Tidak Ditemukan")</f>
        <v>Ari Ardiansyah</v>
      </c>
      <c r="G1546" s="222"/>
    </row>
    <row r="1547" spans="2:7">
      <c r="B1547" s="10" t="s">
        <v>1448</v>
      </c>
      <c r="C1547" s="11" t="s">
        <v>1449</v>
      </c>
      <c r="D1547" s="12" t="s">
        <v>1585</v>
      </c>
      <c r="E1547" s="13" t="s">
        <v>1716</v>
      </c>
      <c r="F1547" s="6" t="str">
        <f>_xlfn.XLOOKUP(D1547,[10]ALL!$C:$C,[10]ALL!$N:$N,"Tidak Ditemukan")</f>
        <v>SYARIFUDDIN</v>
      </c>
      <c r="G1547" s="222"/>
    </row>
    <row r="1548" spans="2:7">
      <c r="B1548" s="10" t="s">
        <v>1448</v>
      </c>
      <c r="C1548" s="11" t="s">
        <v>1449</v>
      </c>
      <c r="D1548" s="12" t="s">
        <v>1586</v>
      </c>
      <c r="E1548" s="13" t="s">
        <v>1716</v>
      </c>
      <c r="F1548" s="6" t="str">
        <f>_xlfn.XLOOKUP(D1548,[10]ALL!$C:$C,[10]ALL!$N:$N,"Tidak Ditemukan")</f>
        <v>DENI SUSATYO</v>
      </c>
      <c r="G1548" s="222"/>
    </row>
    <row r="1549" spans="2:7">
      <c r="B1549" s="10" t="s">
        <v>1448</v>
      </c>
      <c r="C1549" s="11" t="s">
        <v>1449</v>
      </c>
      <c r="D1549" s="12" t="s">
        <v>1587</v>
      </c>
      <c r="E1549" s="13" t="s">
        <v>1716</v>
      </c>
      <c r="F1549" s="6" t="str">
        <f>_xlfn.XLOOKUP(D1549,[10]ALL!$C:$C,[10]ALL!$N:$N,"Tidak Ditemukan")</f>
        <v>Syamsul Bahri</v>
      </c>
      <c r="G1549" s="222"/>
    </row>
    <row r="1550" spans="2:7">
      <c r="B1550" s="10" t="s">
        <v>1448</v>
      </c>
      <c r="C1550" s="11" t="s">
        <v>1449</v>
      </c>
      <c r="D1550" s="12" t="s">
        <v>1588</v>
      </c>
      <c r="E1550" s="13" t="s">
        <v>1716</v>
      </c>
      <c r="F1550" s="6" t="str">
        <f>_xlfn.XLOOKUP(D1550,[10]ALL!$C:$C,[10]ALL!$N:$N,"Tidak Ditemukan")</f>
        <v>FAHRURRAZI</v>
      </c>
      <c r="G1550" s="222"/>
    </row>
    <row r="1551" spans="2:7">
      <c r="B1551" s="10" t="s">
        <v>1448</v>
      </c>
      <c r="C1551" s="11" t="s">
        <v>1449</v>
      </c>
      <c r="D1551" s="12" t="s">
        <v>1589</v>
      </c>
      <c r="E1551" s="13" t="s">
        <v>1716</v>
      </c>
      <c r="F1551" s="6" t="str">
        <f>_xlfn.XLOOKUP(D1551,[10]ALL!$C:$C,[10]ALL!$N:$N,"Tidak Ditemukan")</f>
        <v>Abi Hilmawan</v>
      </c>
      <c r="G1551" s="222"/>
    </row>
    <row r="1552" spans="2:7">
      <c r="B1552" s="10" t="s">
        <v>1448</v>
      </c>
      <c r="C1552" s="11" t="s">
        <v>1449</v>
      </c>
      <c r="D1552" s="12" t="s">
        <v>1590</v>
      </c>
      <c r="E1552" s="13" t="s">
        <v>1716</v>
      </c>
      <c r="F1552" s="6" t="str">
        <f>_xlfn.XLOOKUP(D1552,[10]ALL!$C:$C,[10]ALL!$N:$N,"Tidak Ditemukan")</f>
        <v>GEMAYA WANGSA</v>
      </c>
      <c r="G1552" s="222"/>
    </row>
    <row r="1553" spans="2:7">
      <c r="B1553" s="10" t="s">
        <v>1448</v>
      </c>
      <c r="C1553" s="11" t="s">
        <v>1449</v>
      </c>
      <c r="D1553" s="12" t="s">
        <v>1591</v>
      </c>
      <c r="E1553" s="13" t="s">
        <v>1716</v>
      </c>
      <c r="F1553" s="149" t="str">
        <f>_xlfn.XLOOKUP(D1553,[10]ALL!$C:$C,[10]ALL!$N:$N,"Tidak Ditemukan")</f>
        <v>Muhammad Aqil Fadhilah</v>
      </c>
      <c r="G1553" s="223"/>
    </row>
    <row r="1554" spans="2:7">
      <c r="B1554" s="10" t="s">
        <v>1448</v>
      </c>
      <c r="C1554" s="11" t="s">
        <v>1449</v>
      </c>
      <c r="D1554" s="12" t="s">
        <v>1592</v>
      </c>
      <c r="E1554" s="13" t="s">
        <v>1716</v>
      </c>
      <c r="F1554" s="6" t="str">
        <f>_xlfn.XLOOKUP(D1554,[10]ALL!$C:$C,[10]ALL!$N:$N,"Tidak Ditemukan")</f>
        <v>SYARIFUDDIN</v>
      </c>
      <c r="G1554" s="222"/>
    </row>
    <row r="1555" spans="2:7">
      <c r="B1555" s="10" t="s">
        <v>1448</v>
      </c>
      <c r="C1555" s="11" t="s">
        <v>1449</v>
      </c>
      <c r="D1555" s="12" t="s">
        <v>1593</v>
      </c>
      <c r="E1555" s="13" t="s">
        <v>1716</v>
      </c>
      <c r="F1555" s="6" t="str">
        <f>_xlfn.XLOOKUP(D1555,[10]ALL!$C:$C,[10]ALL!$N:$N,"Tidak Ditemukan")</f>
        <v>GEMAYA WANGSA</v>
      </c>
      <c r="G1555" s="222"/>
    </row>
    <row r="1556" spans="2:7">
      <c r="B1556" s="10" t="s">
        <v>1448</v>
      </c>
      <c r="C1556" s="11" t="s">
        <v>1449</v>
      </c>
      <c r="D1556" s="12" t="s">
        <v>1594</v>
      </c>
      <c r="E1556" s="13" t="s">
        <v>1716</v>
      </c>
      <c r="F1556" s="6" t="str">
        <f>_xlfn.XLOOKUP(D1556,[10]ALL!$C:$C,[10]ALL!$N:$N,"Tidak Ditemukan")</f>
        <v>Abi Hilmawan</v>
      </c>
      <c r="G1556" s="222"/>
    </row>
    <row r="1557" spans="2:7">
      <c r="B1557" s="10" t="s">
        <v>1448</v>
      </c>
      <c r="C1557" s="11" t="s">
        <v>1449</v>
      </c>
      <c r="D1557" s="12" t="s">
        <v>1595</v>
      </c>
      <c r="E1557" s="13" t="s">
        <v>1716</v>
      </c>
      <c r="F1557" s="6" t="str">
        <f>_xlfn.XLOOKUP(D1557,[10]ALL!$C:$C,[10]ALL!$N:$N,"Tidak Ditemukan")</f>
        <v>I Kadek Sandiyasa</v>
      </c>
      <c r="G1557" s="222"/>
    </row>
    <row r="1558" spans="2:7">
      <c r="B1558" s="10" t="s">
        <v>1448</v>
      </c>
      <c r="C1558" s="11" t="s">
        <v>1449</v>
      </c>
      <c r="D1558" s="12" t="s">
        <v>1596</v>
      </c>
      <c r="E1558" s="13" t="s">
        <v>1716</v>
      </c>
      <c r="F1558" s="6" t="str">
        <f>_xlfn.XLOOKUP(D1558,[10]ALL!$C:$C,[10]ALL!$N:$N,"Tidak Ditemukan")</f>
        <v>FAHRURRAZI</v>
      </c>
      <c r="G1558" s="222"/>
    </row>
    <row r="1559" spans="2:7">
      <c r="B1559" s="10" t="s">
        <v>1448</v>
      </c>
      <c r="C1559" s="11" t="s">
        <v>1449</v>
      </c>
      <c r="D1559" s="12" t="s">
        <v>1597</v>
      </c>
      <c r="E1559" s="13" t="s">
        <v>1716</v>
      </c>
      <c r="F1559" s="6" t="str">
        <f>_xlfn.XLOOKUP(D1559,[10]ALL!$C:$C,[10]ALL!$N:$N,"Tidak Ditemukan")</f>
        <v>Ari Ardiansyah</v>
      </c>
      <c r="G1559" s="222"/>
    </row>
    <row r="1560" spans="2:7">
      <c r="B1560" s="10" t="s">
        <v>1448</v>
      </c>
      <c r="C1560" s="11" t="s">
        <v>1449</v>
      </c>
      <c r="D1560" s="12" t="s">
        <v>1598</v>
      </c>
      <c r="E1560" s="13" t="s">
        <v>1716</v>
      </c>
      <c r="F1560" s="6" t="str">
        <f>_xlfn.XLOOKUP(D1560,[10]ALL!$C:$C,[10]ALL!$N:$N,"Tidak Ditemukan")</f>
        <v>Suhardi</v>
      </c>
      <c r="G1560" s="222"/>
    </row>
    <row r="1561" spans="2:7">
      <c r="B1561" s="10" t="s">
        <v>1448</v>
      </c>
      <c r="C1561" s="11" t="s">
        <v>1449</v>
      </c>
      <c r="D1561" s="12" t="s">
        <v>1599</v>
      </c>
      <c r="E1561" s="13" t="s">
        <v>1716</v>
      </c>
      <c r="F1561" s="6" t="str">
        <f>_xlfn.XLOOKUP(D1561,[10]ALL!$C:$C,[10]ALL!$N:$N,"Tidak Ditemukan")</f>
        <v>FAHRURRAZI</v>
      </c>
      <c r="G1561" s="222"/>
    </row>
    <row r="1562" spans="2:7">
      <c r="B1562" s="10" t="s">
        <v>1448</v>
      </c>
      <c r="C1562" s="11" t="s">
        <v>1449</v>
      </c>
      <c r="D1562" s="12" t="s">
        <v>1600</v>
      </c>
      <c r="E1562" s="13" t="s">
        <v>1716</v>
      </c>
      <c r="F1562" s="6" t="str">
        <f>_xlfn.XLOOKUP(D1562,[10]ALL!$C:$C,[10]ALL!$N:$N,"Tidak Ditemukan")</f>
        <v>Ari Ardiansyah</v>
      </c>
      <c r="G1562" s="222"/>
    </row>
    <row r="1563" spans="2:7">
      <c r="B1563" s="10" t="s">
        <v>1448</v>
      </c>
      <c r="C1563" s="11" t="s">
        <v>1449</v>
      </c>
      <c r="D1563" s="12" t="s">
        <v>1601</v>
      </c>
      <c r="E1563" s="13" t="s">
        <v>1716</v>
      </c>
      <c r="F1563" s="6" t="str">
        <f>_xlfn.XLOOKUP(D1563,[10]ALL!$C:$C,[10]ALL!$N:$N,"Tidak Ditemukan")</f>
        <v>ANTON IQRA ANUGRA</v>
      </c>
      <c r="G1563" s="222"/>
    </row>
    <row r="1564" spans="2:7">
      <c r="B1564" s="10" t="s">
        <v>1448</v>
      </c>
      <c r="C1564" s="11" t="s">
        <v>1449</v>
      </c>
      <c r="D1564" s="12" t="s">
        <v>1602</v>
      </c>
      <c r="E1564" s="13" t="s">
        <v>1716</v>
      </c>
      <c r="F1564" s="6" t="str">
        <f>_xlfn.XLOOKUP(D1564,[10]ALL!$C:$C,[10]ALL!$N:$N,"Tidak Ditemukan")</f>
        <v>Ari Ardiansyah</v>
      </c>
      <c r="G1564" s="222"/>
    </row>
    <row r="1565" spans="2:7">
      <c r="B1565" s="10" t="s">
        <v>1448</v>
      </c>
      <c r="C1565" s="11" t="s">
        <v>1449</v>
      </c>
      <c r="D1565" s="12" t="s">
        <v>1603</v>
      </c>
      <c r="E1565" s="13" t="s">
        <v>1716</v>
      </c>
      <c r="F1565" s="6" t="str">
        <f>_xlfn.XLOOKUP(D1565,[10]ALL!$C:$C,[10]ALL!$N:$N,"Tidak Ditemukan")</f>
        <v>DENI SUSATYO</v>
      </c>
      <c r="G1565" s="222"/>
    </row>
    <row r="1566" spans="2:7">
      <c r="B1566" s="10" t="s">
        <v>1448</v>
      </c>
      <c r="C1566" s="11" t="s">
        <v>1449</v>
      </c>
      <c r="D1566" s="12" t="s">
        <v>1604</v>
      </c>
      <c r="E1566" s="13" t="s">
        <v>1716</v>
      </c>
      <c r="F1566" s="6" t="str">
        <f>_xlfn.XLOOKUP(D1566,[10]ALL!$C:$C,[10]ALL!$N:$N,"Tidak Ditemukan")</f>
        <v>Suhardi</v>
      </c>
      <c r="G1566" s="222"/>
    </row>
    <row r="1567" spans="2:7">
      <c r="B1567" s="10" t="s">
        <v>1448</v>
      </c>
      <c r="C1567" s="11" t="s">
        <v>1449</v>
      </c>
      <c r="D1567" s="12" t="s">
        <v>1605</v>
      </c>
      <c r="E1567" s="13" t="s">
        <v>1716</v>
      </c>
      <c r="F1567" s="6" t="str">
        <f>_xlfn.XLOOKUP(D1567,[10]ALL!$C:$C,[10]ALL!$N:$N,"Tidak Ditemukan")</f>
        <v>MUHAMMAD TONY NUGRAHA</v>
      </c>
      <c r="G1567" s="222"/>
    </row>
    <row r="1568" spans="2:7">
      <c r="B1568" s="10" t="s">
        <v>1448</v>
      </c>
      <c r="C1568" s="11" t="s">
        <v>1449</v>
      </c>
      <c r="D1568" s="12" t="s">
        <v>1606</v>
      </c>
      <c r="E1568" s="13" t="s">
        <v>1716</v>
      </c>
      <c r="F1568" s="6" t="str">
        <f>_xlfn.XLOOKUP(D1568,[10]ALL!$C:$C,[10]ALL!$N:$N,"Tidak Ditemukan")</f>
        <v>MUHAMMAD TONY NUGRAHA</v>
      </c>
      <c r="G1568" s="222"/>
    </row>
    <row r="1569" spans="2:7">
      <c r="B1569" s="10" t="s">
        <v>1448</v>
      </c>
      <c r="C1569" s="11" t="s">
        <v>1449</v>
      </c>
      <c r="D1569" s="12" t="s">
        <v>1607</v>
      </c>
      <c r="E1569" s="13" t="s">
        <v>1716</v>
      </c>
      <c r="F1569" s="6" t="str">
        <f>_xlfn.XLOOKUP(D1569,[10]ALL!$C:$C,[10]ALL!$N:$N,"Tidak Ditemukan")</f>
        <v>Abi Hilmawan</v>
      </c>
      <c r="G1569" s="222"/>
    </row>
    <row r="1570" spans="2:7">
      <c r="B1570" s="10" t="s">
        <v>1448</v>
      </c>
      <c r="C1570" s="11" t="s">
        <v>1449</v>
      </c>
      <c r="D1570" s="12" t="s">
        <v>1608</v>
      </c>
      <c r="E1570" s="13" t="s">
        <v>1716</v>
      </c>
      <c r="F1570" s="6" t="str">
        <f>_xlfn.XLOOKUP(D1570,[10]ALL!$C:$C,[10]ALL!$N:$N,"Tidak Ditemukan")</f>
        <v>Suhardi</v>
      </c>
      <c r="G1570" s="222"/>
    </row>
    <row r="1571" spans="2:7">
      <c r="B1571" s="10" t="s">
        <v>1448</v>
      </c>
      <c r="C1571" s="11" t="s">
        <v>1449</v>
      </c>
      <c r="D1571" s="12" t="s">
        <v>1609</v>
      </c>
      <c r="E1571" s="13" t="s">
        <v>1716</v>
      </c>
      <c r="F1571" s="6" t="str">
        <f>_xlfn.XLOOKUP(D1571,[10]ALL!$C:$C,[10]ALL!$N:$N,"Tidak Ditemukan")</f>
        <v>MUHAMMAD JUMADIL</v>
      </c>
      <c r="G1571" s="222"/>
    </row>
    <row r="1572" spans="2:7">
      <c r="B1572" s="10" t="s">
        <v>1448</v>
      </c>
      <c r="C1572" s="11" t="s">
        <v>1449</v>
      </c>
      <c r="D1572" s="12" t="s">
        <v>1610</v>
      </c>
      <c r="E1572" s="13" t="s">
        <v>1716</v>
      </c>
      <c r="F1572" s="6" t="str">
        <f>_xlfn.XLOOKUP(D1572,[10]ALL!$C:$C,[10]ALL!$N:$N,"Tidak Ditemukan")</f>
        <v>DENI SUSATYO</v>
      </c>
      <c r="G1572" s="222"/>
    </row>
    <row r="1573" spans="2:7">
      <c r="B1573" s="10" t="s">
        <v>1448</v>
      </c>
      <c r="C1573" s="11" t="s">
        <v>1449</v>
      </c>
      <c r="D1573" s="12" t="s">
        <v>1611</v>
      </c>
      <c r="E1573" s="13" t="s">
        <v>1716</v>
      </c>
      <c r="F1573" s="6" t="str">
        <f>_xlfn.XLOOKUP(D1573,[10]ALL!$C:$C,[10]ALL!$N:$N,"Tidak Ditemukan")</f>
        <v>I Kadek Sandiyasa</v>
      </c>
      <c r="G1573" s="222"/>
    </row>
    <row r="1574" spans="2:7">
      <c r="B1574" s="10" t="s">
        <v>1448</v>
      </c>
      <c r="C1574" s="11" t="s">
        <v>1449</v>
      </c>
      <c r="D1574" s="12" t="s">
        <v>1612</v>
      </c>
      <c r="E1574" s="13" t="s">
        <v>1716</v>
      </c>
      <c r="F1574" s="6" t="str">
        <f>_xlfn.XLOOKUP(D1574,[10]ALL!$C:$C,[10]ALL!$N:$N,"Tidak Ditemukan")</f>
        <v>MUHAMMAD TONY NUGRAHA</v>
      </c>
      <c r="G1574" s="222"/>
    </row>
    <row r="1575" spans="2:7">
      <c r="B1575" s="10" t="s">
        <v>1448</v>
      </c>
      <c r="C1575" s="11" t="s">
        <v>1449</v>
      </c>
      <c r="D1575" s="12" t="s">
        <v>1613</v>
      </c>
      <c r="E1575" s="13" t="s">
        <v>1716</v>
      </c>
      <c r="F1575" s="6" t="str">
        <f>_xlfn.XLOOKUP(D1575,[10]ALL!$C:$C,[10]ALL!$N:$N,"Tidak Ditemukan")</f>
        <v>Resi Marsila</v>
      </c>
      <c r="G1575" s="222"/>
    </row>
    <row r="1576" spans="2:7">
      <c r="B1576" s="10" t="s">
        <v>1448</v>
      </c>
      <c r="C1576" s="11" t="s">
        <v>1449</v>
      </c>
      <c r="D1576" s="12" t="s">
        <v>1614</v>
      </c>
      <c r="E1576" s="13" t="s">
        <v>1716</v>
      </c>
      <c r="F1576" s="6" t="str">
        <f>_xlfn.XLOOKUP(D1576,[10]ALL!$C:$C,[10]ALL!$N:$N,"Tidak Ditemukan")</f>
        <v>DENI SUSATYO</v>
      </c>
      <c r="G1576" s="222"/>
    </row>
    <row r="1577" spans="2:7">
      <c r="B1577" s="10" t="s">
        <v>1448</v>
      </c>
      <c r="C1577" s="11" t="s">
        <v>1449</v>
      </c>
      <c r="D1577" s="12" t="s">
        <v>1615</v>
      </c>
      <c r="E1577" s="13" t="s">
        <v>1716</v>
      </c>
      <c r="F1577" s="6" t="str">
        <f>_xlfn.XLOOKUP(D1577,[10]ALL!$C:$C,[10]ALL!$N:$N,"Tidak Ditemukan")</f>
        <v>GEMAYA WANGSA</v>
      </c>
      <c r="G1577" s="222"/>
    </row>
    <row r="1578" spans="2:7">
      <c r="B1578" s="10" t="s">
        <v>1448</v>
      </c>
      <c r="C1578" s="11" t="s">
        <v>1449</v>
      </c>
      <c r="D1578" s="12" t="s">
        <v>1616</v>
      </c>
      <c r="E1578" s="13" t="s">
        <v>1716</v>
      </c>
      <c r="F1578" s="6" t="str">
        <f>_xlfn.XLOOKUP(D1578,[10]ALL!$C:$C,[10]ALL!$N:$N,"Tidak Ditemukan")</f>
        <v>I Kadek Sandiyasa</v>
      </c>
      <c r="G1578" s="222"/>
    </row>
    <row r="1579" spans="2:7">
      <c r="B1579" s="10" t="s">
        <v>1448</v>
      </c>
      <c r="C1579" s="11" t="s">
        <v>1449</v>
      </c>
      <c r="D1579" s="12" t="s">
        <v>1617</v>
      </c>
      <c r="E1579" s="13" t="s">
        <v>1716</v>
      </c>
      <c r="F1579" s="6" t="str">
        <f>_xlfn.XLOOKUP(D1579,[10]ALL!$C:$C,[10]ALL!$N:$N,"Tidak Ditemukan")</f>
        <v>MUHAMMAD JUMADIL</v>
      </c>
      <c r="G1579" s="222"/>
    </row>
    <row r="1580" spans="2:7">
      <c r="B1580" s="10" t="s">
        <v>1448</v>
      </c>
      <c r="C1580" s="11" t="s">
        <v>1449</v>
      </c>
      <c r="D1580" s="12" t="s">
        <v>1618</v>
      </c>
      <c r="E1580" s="13" t="s">
        <v>1716</v>
      </c>
      <c r="F1580" s="6" t="str">
        <f>_xlfn.XLOOKUP(D1580,[10]ALL!$C:$C,[10]ALL!$N:$N,"Tidak Ditemukan")</f>
        <v>MUHAMMAD JUMADIL</v>
      </c>
      <c r="G1580" s="222"/>
    </row>
    <row r="1581" spans="2:7">
      <c r="B1581" s="10" t="s">
        <v>1448</v>
      </c>
      <c r="C1581" s="11" t="s">
        <v>1449</v>
      </c>
      <c r="D1581" s="12" t="s">
        <v>1619</v>
      </c>
      <c r="E1581" s="13" t="s">
        <v>1716</v>
      </c>
      <c r="F1581" s="6" t="str">
        <f>_xlfn.XLOOKUP(D1581,[10]ALL!$C:$C,[10]ALL!$N:$N,"Tidak Ditemukan")</f>
        <v>Abi Hilmawan</v>
      </c>
      <c r="G1581" s="222"/>
    </row>
    <row r="1582" spans="2:7">
      <c r="B1582" s="10" t="s">
        <v>1448</v>
      </c>
      <c r="C1582" s="11" t="s">
        <v>1449</v>
      </c>
      <c r="D1582" s="12" t="s">
        <v>1620</v>
      </c>
      <c r="E1582" s="13" t="s">
        <v>1716</v>
      </c>
      <c r="F1582" s="6" t="str">
        <f>_xlfn.XLOOKUP(D1582,[10]ALL!$C:$C,[10]ALL!$N:$N,"Tidak Ditemukan")</f>
        <v>AGUS KADE DIVA RAMANA</v>
      </c>
      <c r="G1582" s="222"/>
    </row>
    <row r="1583" spans="2:7">
      <c r="B1583" s="10" t="s">
        <v>1448</v>
      </c>
      <c r="C1583" s="11" t="s">
        <v>1449</v>
      </c>
      <c r="D1583" s="12" t="s">
        <v>1621</v>
      </c>
      <c r="E1583" s="13" t="s">
        <v>1716</v>
      </c>
      <c r="F1583" s="6" t="str">
        <f>_xlfn.XLOOKUP(D1583,[10]ALL!$C:$C,[10]ALL!$N:$N,"Tidak Ditemukan")</f>
        <v>Rino Prasetya Wibowo</v>
      </c>
      <c r="G1583" s="222"/>
    </row>
    <row r="1584" spans="2:7">
      <c r="B1584" s="10" t="s">
        <v>1448</v>
      </c>
      <c r="C1584" s="11" t="s">
        <v>1449</v>
      </c>
      <c r="D1584" s="12" t="s">
        <v>1622</v>
      </c>
      <c r="E1584" s="13" t="s">
        <v>1716</v>
      </c>
      <c r="F1584" s="6" t="str">
        <f>_xlfn.XLOOKUP(D1584,[10]ALL!$C:$C,[10]ALL!$N:$N,"Tidak Ditemukan")</f>
        <v>I GEDE BAGUS ADI SURYAWAN , ST</v>
      </c>
      <c r="G1584" s="222"/>
    </row>
    <row r="1585" spans="2:7">
      <c r="B1585" s="10" t="s">
        <v>1448</v>
      </c>
      <c r="C1585" s="11" t="s">
        <v>1449</v>
      </c>
      <c r="D1585" s="12" t="s">
        <v>1623</v>
      </c>
      <c r="E1585" s="13" t="s">
        <v>1716</v>
      </c>
      <c r="F1585" s="6" t="str">
        <f>_xlfn.XLOOKUP(D1585,[10]ALL!$C:$C,[10]ALL!$N:$N,"Tidak Ditemukan")</f>
        <v>Rino Prasetya Wibowo</v>
      </c>
      <c r="G1585" s="222"/>
    </row>
    <row r="1586" spans="2:7">
      <c r="B1586" s="10" t="s">
        <v>1448</v>
      </c>
      <c r="C1586" s="11" t="s">
        <v>1449</v>
      </c>
      <c r="D1586" s="12" t="s">
        <v>1624</v>
      </c>
      <c r="E1586" s="13" t="s">
        <v>1716</v>
      </c>
      <c r="F1586" s="6" t="str">
        <f>_xlfn.XLOOKUP(D1586,[10]ALL!$C:$C,[10]ALL!$N:$N,"Tidak Ditemukan")</f>
        <v>I KOMANG FERI INDRAJAYA</v>
      </c>
      <c r="G1586" s="222"/>
    </row>
    <row r="1587" spans="2:7">
      <c r="B1587" s="10" t="s">
        <v>1448</v>
      </c>
      <c r="C1587" s="11" t="s">
        <v>1449</v>
      </c>
      <c r="D1587" s="12" t="s">
        <v>1625</v>
      </c>
      <c r="E1587" s="13" t="s">
        <v>1716</v>
      </c>
      <c r="F1587" s="6" t="str">
        <f>_xlfn.XLOOKUP(D1587,[10]ALL!$C:$C,[10]ALL!$N:$N,"Tidak Ditemukan")</f>
        <v>AGUS PRADNYANA</v>
      </c>
      <c r="G1587" s="222"/>
    </row>
    <row r="1588" spans="2:7">
      <c r="B1588" s="10" t="s">
        <v>1448</v>
      </c>
      <c r="C1588" s="11" t="s">
        <v>1449</v>
      </c>
      <c r="D1588" s="12" t="s">
        <v>1626</v>
      </c>
      <c r="E1588" s="13" t="s">
        <v>1716</v>
      </c>
      <c r="F1588" s="6" t="str">
        <f>_xlfn.XLOOKUP(D1588,[10]ALL!$C:$C,[10]ALL!$N:$N,"Tidak Ditemukan")</f>
        <v>I GEDE BAGUS ADI SURYAWAN , ST</v>
      </c>
      <c r="G1588" s="222"/>
    </row>
    <row r="1589" spans="2:7">
      <c r="B1589" s="10" t="s">
        <v>1448</v>
      </c>
      <c r="C1589" s="11" t="s">
        <v>1449</v>
      </c>
      <c r="D1589" s="12" t="s">
        <v>1627</v>
      </c>
      <c r="E1589" s="13" t="s">
        <v>1716</v>
      </c>
      <c r="F1589" s="6" t="str">
        <f>_xlfn.XLOOKUP(D1589,[10]ALL!$C:$C,[10]ALL!$N:$N,"Tidak Ditemukan")</f>
        <v>I GEDE BAGUS ADI SURYAWAN , ST</v>
      </c>
      <c r="G1589" s="222"/>
    </row>
    <row r="1590" spans="2:7">
      <c r="B1590" s="10" t="s">
        <v>1448</v>
      </c>
      <c r="C1590" s="11" t="s">
        <v>1449</v>
      </c>
      <c r="D1590" s="12" t="s">
        <v>1628</v>
      </c>
      <c r="E1590" s="13" t="s">
        <v>1716</v>
      </c>
      <c r="F1590" s="6" t="str">
        <f>_xlfn.XLOOKUP(D1590,[10]ALL!$C:$C,[10]ALL!$N:$N,"Tidak Ditemukan")</f>
        <v>I GEDE BAGUS ADI SURYAWAN , ST</v>
      </c>
      <c r="G1590" s="222"/>
    </row>
    <row r="1591" spans="2:7">
      <c r="B1591" s="10" t="s">
        <v>1448</v>
      </c>
      <c r="C1591" s="11" t="s">
        <v>1449</v>
      </c>
      <c r="D1591" s="12" t="s">
        <v>1629</v>
      </c>
      <c r="E1591" s="13" t="s">
        <v>1716</v>
      </c>
      <c r="F1591" s="6" t="str">
        <f>_xlfn.XLOOKUP(D1591,[10]ALL!$C:$C,[10]ALL!$N:$N,"Tidak Ditemukan")</f>
        <v>I GEDE BAGUS ADI SURYAWAN , ST</v>
      </c>
      <c r="G1591" s="222"/>
    </row>
    <row r="1592" spans="2:7">
      <c r="B1592" s="10" t="s">
        <v>1448</v>
      </c>
      <c r="C1592" s="11" t="s">
        <v>1449</v>
      </c>
      <c r="D1592" s="12" t="s">
        <v>1630</v>
      </c>
      <c r="E1592" s="13" t="s">
        <v>1716</v>
      </c>
      <c r="F1592" s="6" t="str">
        <f>_xlfn.XLOOKUP(D1592,[10]ALL!$C:$C,[10]ALL!$N:$N,"Tidak Ditemukan")</f>
        <v>I GEDE BAGUS ADI SURYAWAN , ST</v>
      </c>
      <c r="G1592" s="222"/>
    </row>
    <row r="1593" spans="2:7">
      <c r="B1593" s="10" t="s">
        <v>1448</v>
      </c>
      <c r="C1593" s="11" t="s">
        <v>1449</v>
      </c>
      <c r="D1593" s="12" t="s">
        <v>1631</v>
      </c>
      <c r="E1593" s="13" t="s">
        <v>1716</v>
      </c>
      <c r="F1593" s="6" t="str">
        <f>_xlfn.XLOOKUP(D1593,[10]ALL!$C:$C,[10]ALL!$N:$N,"Tidak Ditemukan")</f>
        <v>KADEK DWIPA ANGGARASTRA</v>
      </c>
      <c r="G1593" s="222"/>
    </row>
    <row r="1594" spans="2:7">
      <c r="B1594" s="10" t="s">
        <v>1448</v>
      </c>
      <c r="C1594" s="11" t="s">
        <v>1449</v>
      </c>
      <c r="D1594" s="12" t="s">
        <v>1632</v>
      </c>
      <c r="E1594" s="13" t="s">
        <v>1716</v>
      </c>
      <c r="F1594" s="6" t="str">
        <f>_xlfn.XLOOKUP(D1594,[10]ALL!$C:$C,[10]ALL!$N:$N,"Tidak Ditemukan")</f>
        <v>DWIKY REZA ARDANI WINAHARA</v>
      </c>
      <c r="G1594" s="222"/>
    </row>
    <row r="1595" spans="2:7">
      <c r="B1595" s="10" t="s">
        <v>1448</v>
      </c>
      <c r="C1595" s="11" t="s">
        <v>1449</v>
      </c>
      <c r="D1595" s="12" t="s">
        <v>1633</v>
      </c>
      <c r="E1595" s="13" t="s">
        <v>1716</v>
      </c>
      <c r="F1595" s="6" t="str">
        <f>_xlfn.XLOOKUP(D1595,[10]ALL!$C:$C,[10]ALL!$N:$N,"Tidak Ditemukan")</f>
        <v>NI PUTU DEWI LASTINI</v>
      </c>
      <c r="G1595" s="222"/>
    </row>
    <row r="1596" spans="2:7">
      <c r="B1596" s="10" t="s">
        <v>1448</v>
      </c>
      <c r="C1596" s="11" t="s">
        <v>1449</v>
      </c>
      <c r="D1596" s="12" t="s">
        <v>1634</v>
      </c>
      <c r="E1596" s="13" t="s">
        <v>1716</v>
      </c>
      <c r="F1596" s="6" t="str">
        <f>_xlfn.XLOOKUP(D1596,[10]ALL!$C:$C,[10]ALL!$N:$N,"Tidak Ditemukan")</f>
        <v>NI PUTU DEWI LASTINI</v>
      </c>
      <c r="G1596" s="222"/>
    </row>
    <row r="1597" spans="2:7">
      <c r="B1597" s="10" t="s">
        <v>1448</v>
      </c>
      <c r="C1597" s="11" t="s">
        <v>1449</v>
      </c>
      <c r="D1597" s="12" t="s">
        <v>1635</v>
      </c>
      <c r="E1597" s="13" t="s">
        <v>1716</v>
      </c>
      <c r="F1597" s="6" t="str">
        <f>_xlfn.XLOOKUP(D1597,[10]ALL!$C:$C,[10]ALL!$N:$N,"Tidak Ditemukan")</f>
        <v>NI PUTU DEWI LASTINI</v>
      </c>
      <c r="G1597" s="222"/>
    </row>
    <row r="1598" spans="2:7">
      <c r="B1598" s="10" t="s">
        <v>1448</v>
      </c>
      <c r="C1598" s="11" t="s">
        <v>1449</v>
      </c>
      <c r="D1598" s="12" t="s">
        <v>1636</v>
      </c>
      <c r="E1598" s="13" t="s">
        <v>1716</v>
      </c>
      <c r="F1598" s="6" t="str">
        <f>_xlfn.XLOOKUP(D1598,[10]ALL!$C:$C,[10]ALL!$N:$N,"Tidak Ditemukan")</f>
        <v>NI PUTU DEWI LASTINI</v>
      </c>
      <c r="G1598" s="222"/>
    </row>
    <row r="1599" spans="2:7">
      <c r="B1599" s="10" t="s">
        <v>1448</v>
      </c>
      <c r="C1599" s="11" t="s">
        <v>1449</v>
      </c>
      <c r="D1599" s="12" t="s">
        <v>1637</v>
      </c>
      <c r="E1599" s="13" t="s">
        <v>1716</v>
      </c>
      <c r="F1599" s="6" t="str">
        <f>_xlfn.XLOOKUP(D1599,[10]ALL!$C:$C,[10]ALL!$N:$N,"Tidak Ditemukan")</f>
        <v>DWIKY REZA ARDANI WINAHARA</v>
      </c>
      <c r="G1599" s="222"/>
    </row>
    <row r="1600" spans="2:7">
      <c r="B1600" s="10" t="s">
        <v>1448</v>
      </c>
      <c r="C1600" s="11" t="s">
        <v>1449</v>
      </c>
      <c r="D1600" s="12" t="s">
        <v>1638</v>
      </c>
      <c r="E1600" s="13" t="s">
        <v>1716</v>
      </c>
      <c r="F1600" s="6" t="str">
        <f>_xlfn.XLOOKUP(D1600,[10]ALL!$C:$C,[10]ALL!$N:$N,"Tidak Ditemukan")</f>
        <v>NI PUTU DEWI LASTINI</v>
      </c>
      <c r="G1600" s="222"/>
    </row>
    <row r="1601" spans="2:7">
      <c r="B1601" s="10" t="s">
        <v>1448</v>
      </c>
      <c r="C1601" s="11" t="s">
        <v>1449</v>
      </c>
      <c r="D1601" s="12" t="s">
        <v>1639</v>
      </c>
      <c r="E1601" s="13" t="s">
        <v>1716</v>
      </c>
      <c r="F1601" s="6" t="str">
        <f>_xlfn.XLOOKUP(D1601,[10]ALL!$C:$C,[10]ALL!$N:$N,"Tidak Ditemukan")</f>
        <v>KADEK DWIPA ANGGARASTRA</v>
      </c>
      <c r="G1601" s="222"/>
    </row>
    <row r="1602" spans="2:7">
      <c r="B1602" s="10" t="s">
        <v>1448</v>
      </c>
      <c r="C1602" s="11" t="s">
        <v>1449</v>
      </c>
      <c r="D1602" s="12" t="s">
        <v>1640</v>
      </c>
      <c r="E1602" s="13" t="s">
        <v>1716</v>
      </c>
      <c r="F1602" s="6" t="str">
        <f>_xlfn.XLOOKUP(D1602,[10]ALL!$C:$C,[10]ALL!$N:$N,"Tidak Ditemukan")</f>
        <v>KADEK DWIPA ANGGARASTRA</v>
      </c>
      <c r="G1602" s="222"/>
    </row>
    <row r="1603" spans="2:7">
      <c r="B1603" s="10" t="s">
        <v>1448</v>
      </c>
      <c r="C1603" s="11" t="s">
        <v>1449</v>
      </c>
      <c r="D1603" s="12" t="s">
        <v>1641</v>
      </c>
      <c r="E1603" s="13" t="s">
        <v>1716</v>
      </c>
      <c r="F1603" s="6" t="str">
        <f>_xlfn.XLOOKUP(D1603,[10]ALL!$C:$C,[10]ALL!$N:$N,"Tidak Ditemukan")</f>
        <v>DWIKY REZA ARDANI WINAHARA</v>
      </c>
      <c r="G1603" s="222"/>
    </row>
    <row r="1604" spans="2:7">
      <c r="B1604" s="10" t="s">
        <v>1448</v>
      </c>
      <c r="C1604" s="11" t="s">
        <v>1449</v>
      </c>
      <c r="D1604" s="12" t="s">
        <v>1642</v>
      </c>
      <c r="E1604" s="13" t="s">
        <v>1716</v>
      </c>
      <c r="F1604" s="6" t="str">
        <f>_xlfn.XLOOKUP(D1604,[10]ALL!$C:$C,[10]ALL!$N:$N,"Tidak Ditemukan")</f>
        <v>NI WAYAN ELSA SEPTIANA INDRIANI</v>
      </c>
      <c r="G1604" s="222"/>
    </row>
    <row r="1605" spans="2:7">
      <c r="B1605" s="10" t="s">
        <v>1448</v>
      </c>
      <c r="C1605" s="11" t="s">
        <v>1449</v>
      </c>
      <c r="D1605" s="12" t="s">
        <v>1643</v>
      </c>
      <c r="E1605" s="13" t="s">
        <v>1716</v>
      </c>
      <c r="F1605" s="6" t="str">
        <f>_xlfn.XLOOKUP(D1605,[10]ALL!$C:$C,[10]ALL!$N:$N,"Tidak Ditemukan")</f>
        <v>NI PUTU DEWI LASTINI</v>
      </c>
      <c r="G1605" s="222"/>
    </row>
    <row r="1606" spans="2:7">
      <c r="B1606" s="10" t="s">
        <v>1448</v>
      </c>
      <c r="C1606" s="11" t="s">
        <v>1449</v>
      </c>
      <c r="D1606" s="12" t="s">
        <v>1644</v>
      </c>
      <c r="E1606" s="13" t="s">
        <v>1716</v>
      </c>
      <c r="F1606" s="6" t="str">
        <f>_xlfn.XLOOKUP(D1606,[10]ALL!$C:$C,[10]ALL!$N:$N,"Tidak Ditemukan")</f>
        <v>KADEK DWIPA ANGGARASTRA</v>
      </c>
      <c r="G1606" s="222"/>
    </row>
    <row r="1607" spans="2:7">
      <c r="B1607" s="10" t="s">
        <v>1448</v>
      </c>
      <c r="C1607" s="11" t="s">
        <v>1449</v>
      </c>
      <c r="D1607" s="12" t="s">
        <v>1645</v>
      </c>
      <c r="E1607" s="13" t="s">
        <v>1716</v>
      </c>
      <c r="F1607" s="6" t="str">
        <f>_xlfn.XLOOKUP(D1607,[10]ALL!$C:$C,[10]ALL!$N:$N,"Tidak Ditemukan")</f>
        <v>KADEK DWIPA ANGGARASTRA</v>
      </c>
      <c r="G1607" s="222"/>
    </row>
    <row r="1608" spans="2:7">
      <c r="B1608" s="10" t="s">
        <v>1448</v>
      </c>
      <c r="C1608" s="11" t="s">
        <v>1449</v>
      </c>
      <c r="D1608" s="12" t="s">
        <v>1646</v>
      </c>
      <c r="E1608" s="13" t="s">
        <v>1716</v>
      </c>
      <c r="F1608" s="6" t="str">
        <f>_xlfn.XLOOKUP(D1608,[10]ALL!$C:$C,[10]ALL!$N:$N,"Tidak Ditemukan")</f>
        <v>KADEK DWIPA ANGGARASTRA</v>
      </c>
      <c r="G1608" s="222"/>
    </row>
    <row r="1609" spans="2:7">
      <c r="B1609" s="10" t="s">
        <v>1448</v>
      </c>
      <c r="C1609" s="11" t="s">
        <v>1449</v>
      </c>
      <c r="D1609" s="12" t="s">
        <v>1647</v>
      </c>
      <c r="E1609" s="13" t="s">
        <v>1716</v>
      </c>
      <c r="F1609" s="6" t="str">
        <f>_xlfn.XLOOKUP(D1609,[10]ALL!$C:$C,[10]ALL!$N:$N,"Tidak Ditemukan")</f>
        <v>KADEK DWIPA ANGGARASTRA</v>
      </c>
      <c r="G1609" s="222"/>
    </row>
    <row r="1610" spans="2:7">
      <c r="B1610" s="10" t="s">
        <v>1448</v>
      </c>
      <c r="C1610" s="11" t="s">
        <v>1449</v>
      </c>
      <c r="D1610" s="12" t="s">
        <v>1648</v>
      </c>
      <c r="E1610" s="13" t="s">
        <v>1716</v>
      </c>
      <c r="F1610" s="6" t="str">
        <f>_xlfn.XLOOKUP(D1610,[10]ALL!$C:$C,[10]ALL!$N:$N,"Tidak Ditemukan")</f>
        <v>NI WAYAN ELSA SEPTIANA INDRIANI</v>
      </c>
      <c r="G1610" s="222"/>
    </row>
    <row r="1611" spans="2:7">
      <c r="B1611" s="10" t="s">
        <v>1448</v>
      </c>
      <c r="C1611" s="11" t="s">
        <v>1449</v>
      </c>
      <c r="D1611" s="12" t="s">
        <v>1649</v>
      </c>
      <c r="E1611" s="13" t="s">
        <v>1716</v>
      </c>
      <c r="F1611" s="6" t="str">
        <f>_xlfn.XLOOKUP(D1611,[10]ALL!$C:$C,[10]ALL!$N:$N,"Tidak Ditemukan")</f>
        <v>KADEK DWIPA ANGGARASTRA</v>
      </c>
      <c r="G1611" s="222"/>
    </row>
    <row r="1612" spans="2:7">
      <c r="B1612" s="10" t="s">
        <v>1448</v>
      </c>
      <c r="C1612" s="11" t="s">
        <v>1449</v>
      </c>
      <c r="D1612" s="12" t="s">
        <v>1650</v>
      </c>
      <c r="E1612" s="13" t="s">
        <v>1716</v>
      </c>
      <c r="F1612" s="6" t="str">
        <f>_xlfn.XLOOKUP(D1612,[10]ALL!$C:$C,[10]ALL!$N:$N,"Tidak Ditemukan")</f>
        <v>KADEK DWIPA ANGGARASTRA</v>
      </c>
      <c r="G1612" s="222"/>
    </row>
    <row r="1613" spans="2:7">
      <c r="B1613" s="10" t="s">
        <v>1448</v>
      </c>
      <c r="C1613" s="11" t="s">
        <v>1449</v>
      </c>
      <c r="D1613" s="12" t="s">
        <v>1651</v>
      </c>
      <c r="E1613" s="13" t="s">
        <v>1716</v>
      </c>
      <c r="F1613" s="6" t="str">
        <f>_xlfn.XLOOKUP(D1613,[10]ALL!$C:$C,[10]ALL!$N:$N,"Tidak Ditemukan")</f>
        <v>NI PUTU DEWI LASTINI</v>
      </c>
      <c r="G1613" s="222"/>
    </row>
    <row r="1614" spans="2:7">
      <c r="B1614" s="10" t="s">
        <v>1448</v>
      </c>
      <c r="C1614" s="11" t="s">
        <v>1449</v>
      </c>
      <c r="D1614" s="12" t="s">
        <v>1652</v>
      </c>
      <c r="E1614" s="13" t="s">
        <v>1716</v>
      </c>
      <c r="F1614" s="6" t="str">
        <f>_xlfn.XLOOKUP(D1614,[10]ALL!$C:$C,[10]ALL!$N:$N,"Tidak Ditemukan")</f>
        <v>NI WAYAN ELSA SEPTIANA INDRIANI</v>
      </c>
      <c r="G1614" s="222"/>
    </row>
    <row r="1615" spans="2:7">
      <c r="B1615" s="10" t="s">
        <v>1448</v>
      </c>
      <c r="C1615" s="11" t="s">
        <v>1449</v>
      </c>
      <c r="D1615" s="12" t="s">
        <v>1653</v>
      </c>
      <c r="E1615" s="13" t="s">
        <v>1716</v>
      </c>
      <c r="F1615" s="6" t="str">
        <f>_xlfn.XLOOKUP(D1615,[10]ALL!$C:$C,[10]ALL!$N:$N,"Tidak Ditemukan")</f>
        <v>DWIKY REZA ARDANI WINAHARA</v>
      </c>
      <c r="G1615" s="222"/>
    </row>
    <row r="1616" spans="2:7">
      <c r="B1616" s="10" t="s">
        <v>1448</v>
      </c>
      <c r="C1616" s="11" t="s">
        <v>1449</v>
      </c>
      <c r="D1616" s="12" t="s">
        <v>1654</v>
      </c>
      <c r="E1616" s="13" t="s">
        <v>1716</v>
      </c>
      <c r="F1616" s="6" t="str">
        <f>_xlfn.XLOOKUP(D1616,[10]ALL!$C:$C,[10]ALL!$N:$N,"Tidak Ditemukan")</f>
        <v>DWIKY REZA ARDANI WINAHARA</v>
      </c>
      <c r="G1616" s="222"/>
    </row>
    <row r="1617" spans="2:7">
      <c r="B1617" s="10" t="s">
        <v>1448</v>
      </c>
      <c r="C1617" s="11" t="s">
        <v>1449</v>
      </c>
      <c r="D1617" s="12" t="s">
        <v>1655</v>
      </c>
      <c r="E1617" s="13" t="s">
        <v>1716</v>
      </c>
      <c r="F1617" s="6" t="str">
        <f>_xlfn.XLOOKUP(D1617,[10]ALL!$C:$C,[10]ALL!$N:$N,"Tidak Ditemukan")</f>
        <v>NI WAYAN ELSA SEPTIANA INDRIANI</v>
      </c>
      <c r="G1617" s="222"/>
    </row>
    <row r="1618" spans="2:7">
      <c r="B1618" s="10" t="s">
        <v>1448</v>
      </c>
      <c r="C1618" s="11" t="s">
        <v>1449</v>
      </c>
      <c r="D1618" s="12" t="s">
        <v>1656</v>
      </c>
      <c r="E1618" s="13" t="s">
        <v>1716</v>
      </c>
      <c r="F1618" s="6" t="str">
        <f>_xlfn.XLOOKUP(D1618,[10]ALL!$C:$C,[10]ALL!$N:$N,"Tidak Ditemukan")</f>
        <v>AGUS KADE DIVA RAMANA</v>
      </c>
      <c r="G1618" s="222"/>
    </row>
    <row r="1619" spans="2:7">
      <c r="B1619" s="10" t="s">
        <v>1448</v>
      </c>
      <c r="C1619" s="11" t="s">
        <v>1449</v>
      </c>
      <c r="D1619" s="12" t="s">
        <v>1657</v>
      </c>
      <c r="E1619" s="13" t="s">
        <v>1716</v>
      </c>
      <c r="F1619" s="6" t="str">
        <f>_xlfn.XLOOKUP(D1619,[10]ALL!$C:$C,[10]ALL!$N:$N,"Tidak Ditemukan")</f>
        <v>KADEK DWIPA ANGGARASTRA</v>
      </c>
      <c r="G1619" s="222"/>
    </row>
    <row r="1620" spans="2:7">
      <c r="B1620" s="10" t="s">
        <v>1448</v>
      </c>
      <c r="C1620" s="11" t="s">
        <v>1449</v>
      </c>
      <c r="D1620" s="12" t="s">
        <v>1658</v>
      </c>
      <c r="E1620" s="13" t="s">
        <v>1716</v>
      </c>
      <c r="F1620" s="6" t="str">
        <f>_xlfn.XLOOKUP(D1620,[10]ALL!$C:$C,[10]ALL!$N:$N,"Tidak Ditemukan")</f>
        <v>I GEDE BAGUS ADI SURYAWAN , ST</v>
      </c>
      <c r="G1620" s="222"/>
    </row>
    <row r="1621" spans="2:7">
      <c r="B1621" s="10" t="s">
        <v>1448</v>
      </c>
      <c r="C1621" s="11" t="s">
        <v>1449</v>
      </c>
      <c r="D1621" s="12" t="s">
        <v>1659</v>
      </c>
      <c r="E1621" s="13" t="s">
        <v>1716</v>
      </c>
      <c r="F1621" s="6" t="str">
        <f>_xlfn.XLOOKUP(D1621,[10]ALL!$C:$C,[10]ALL!$N:$N,"Tidak Ditemukan")</f>
        <v>I GEDE BAGUS ADI SURYAWAN , ST</v>
      </c>
      <c r="G1621" s="222"/>
    </row>
    <row r="1622" spans="2:7">
      <c r="B1622" s="10" t="s">
        <v>1448</v>
      </c>
      <c r="C1622" s="11" t="s">
        <v>1449</v>
      </c>
      <c r="D1622" s="12" t="s">
        <v>1660</v>
      </c>
      <c r="E1622" s="13" t="s">
        <v>1716</v>
      </c>
      <c r="F1622" s="6" t="str">
        <f>_xlfn.XLOOKUP(D1622,[10]ALL!$C:$C,[10]ALL!$N:$N,"Tidak Ditemukan")</f>
        <v>I KOMANG FERI INDRAJAYA</v>
      </c>
      <c r="G1622" s="222"/>
    </row>
    <row r="1623" spans="2:7">
      <c r="B1623" s="10" t="s">
        <v>1448</v>
      </c>
      <c r="C1623" s="11" t="s">
        <v>1449</v>
      </c>
      <c r="D1623" s="12" t="s">
        <v>1661</v>
      </c>
      <c r="E1623" s="13" t="s">
        <v>1716</v>
      </c>
      <c r="F1623" s="6" t="str">
        <f>_xlfn.XLOOKUP(D1623,[10]ALL!$C:$C,[10]ALL!$N:$N,"Tidak Ditemukan")</f>
        <v>NI WAYAN ELSA SEPTIANA INDRIANI</v>
      </c>
      <c r="G1623" s="222"/>
    </row>
    <row r="1624" spans="2:7">
      <c r="B1624" s="10" t="s">
        <v>1448</v>
      </c>
      <c r="C1624" s="11" t="s">
        <v>1449</v>
      </c>
      <c r="D1624" s="12" t="s">
        <v>1662</v>
      </c>
      <c r="E1624" s="13" t="s">
        <v>1716</v>
      </c>
      <c r="F1624" s="6" t="str">
        <f>_xlfn.XLOOKUP(D1624,[10]ALL!$C:$C,[10]ALL!$N:$N,"Tidak Ditemukan")</f>
        <v>NI WAYAN ELSA SEPTIANA INDRIANI</v>
      </c>
      <c r="G1624" s="222"/>
    </row>
    <row r="1625" spans="2:7">
      <c r="B1625" s="10" t="s">
        <v>1448</v>
      </c>
      <c r="C1625" s="11" t="s">
        <v>1449</v>
      </c>
      <c r="D1625" s="12" t="s">
        <v>1663</v>
      </c>
      <c r="E1625" s="13" t="s">
        <v>1716</v>
      </c>
      <c r="F1625" s="6" t="str">
        <f>_xlfn.XLOOKUP(D1625,[10]ALL!$C:$C,[10]ALL!$N:$N,"Tidak Ditemukan")</f>
        <v>AGUS KADE DIVA RAMANA</v>
      </c>
      <c r="G1625" s="222"/>
    </row>
    <row r="1626" spans="2:7">
      <c r="B1626" s="10" t="s">
        <v>1448</v>
      </c>
      <c r="C1626" s="11" t="s">
        <v>1449</v>
      </c>
      <c r="D1626" s="12" t="s">
        <v>1664</v>
      </c>
      <c r="E1626" s="13" t="s">
        <v>1716</v>
      </c>
      <c r="F1626" s="6" t="str">
        <f>_xlfn.XLOOKUP(D1626,[10]ALL!$C:$C,[10]ALL!$N:$N,"Tidak Ditemukan")</f>
        <v>Rino Prasetya Wibowo</v>
      </c>
      <c r="G1626" s="222"/>
    </row>
    <row r="1627" spans="2:7">
      <c r="B1627" s="10" t="s">
        <v>1448</v>
      </c>
      <c r="C1627" s="11" t="s">
        <v>1449</v>
      </c>
      <c r="D1627" s="12" t="s">
        <v>1665</v>
      </c>
      <c r="E1627" s="13" t="s">
        <v>1716</v>
      </c>
      <c r="F1627" s="6" t="str">
        <f>_xlfn.XLOOKUP(D1627,[10]ALL!$C:$C,[10]ALL!$N:$N,"Tidak Ditemukan")</f>
        <v>AGUS KADE DIVA RAMANA</v>
      </c>
      <c r="G1627" s="222"/>
    </row>
    <row r="1628" spans="2:7">
      <c r="B1628" s="10" t="s">
        <v>1448</v>
      </c>
      <c r="C1628" s="11" t="s">
        <v>1449</v>
      </c>
      <c r="D1628" s="12" t="s">
        <v>1666</v>
      </c>
      <c r="E1628" s="13" t="s">
        <v>1716</v>
      </c>
      <c r="F1628" s="6" t="str">
        <f>_xlfn.XLOOKUP(D1628,[10]ALL!$C:$C,[10]ALL!$N:$N,"Tidak Ditemukan")</f>
        <v>NI PUTU DEWI LASTINI</v>
      </c>
      <c r="G1628" s="222"/>
    </row>
    <row r="1629" spans="2:7">
      <c r="B1629" s="10" t="s">
        <v>1448</v>
      </c>
      <c r="C1629" s="11" t="s">
        <v>1449</v>
      </c>
      <c r="D1629" s="12" t="s">
        <v>1667</v>
      </c>
      <c r="E1629" s="13" t="s">
        <v>1716</v>
      </c>
      <c r="F1629" s="6" t="str">
        <f>_xlfn.XLOOKUP(D1629,[10]ALL!$C:$C,[10]ALL!$N:$N,"Tidak Ditemukan")</f>
        <v>DWIKY REZA ARDANI WINAHARA</v>
      </c>
      <c r="G1629" s="222"/>
    </row>
    <row r="1630" spans="2:7">
      <c r="B1630" s="10" t="s">
        <v>1448</v>
      </c>
      <c r="C1630" s="11" t="s">
        <v>1449</v>
      </c>
      <c r="D1630" s="12" t="s">
        <v>1668</v>
      </c>
      <c r="E1630" s="13" t="s">
        <v>1716</v>
      </c>
      <c r="F1630" s="6" t="str">
        <f>_xlfn.XLOOKUP(D1630,[10]ALL!$C:$C,[10]ALL!$N:$N,"Tidak Ditemukan")</f>
        <v>KADEK DWIPA ANGGARASTRA</v>
      </c>
      <c r="G1630" s="222"/>
    </row>
    <row r="1631" spans="2:7">
      <c r="B1631" s="10" t="s">
        <v>1448</v>
      </c>
      <c r="C1631" s="11" t="s">
        <v>1449</v>
      </c>
      <c r="D1631" s="12" t="s">
        <v>1669</v>
      </c>
      <c r="E1631" s="13" t="s">
        <v>1716</v>
      </c>
      <c r="F1631" s="6" t="str">
        <f>_xlfn.XLOOKUP(D1631,[10]ALL!$C:$C,[10]ALL!$N:$N,"Tidak Ditemukan")</f>
        <v>AGUS KADE DIVA RAMANA</v>
      </c>
      <c r="G1631" s="222"/>
    </row>
    <row r="1632" spans="2:7">
      <c r="B1632" s="10" t="s">
        <v>1448</v>
      </c>
      <c r="C1632" s="11" t="s">
        <v>1449</v>
      </c>
      <c r="D1632" s="12" t="s">
        <v>1670</v>
      </c>
      <c r="E1632" s="13" t="s">
        <v>1716</v>
      </c>
      <c r="F1632" s="6" t="str">
        <f>_xlfn.XLOOKUP(D1632,[10]ALL!$C:$C,[10]ALL!$N:$N,"Tidak Ditemukan")</f>
        <v>DWIKY REZA ARDANI WINAHARA</v>
      </c>
      <c r="G1632" s="222"/>
    </row>
    <row r="1633" spans="2:7">
      <c r="B1633" s="10" t="s">
        <v>1448</v>
      </c>
      <c r="C1633" s="11" t="s">
        <v>1449</v>
      </c>
      <c r="D1633" s="12" t="s">
        <v>1671</v>
      </c>
      <c r="E1633" s="13" t="s">
        <v>1716</v>
      </c>
      <c r="F1633" s="6" t="str">
        <f>_xlfn.XLOOKUP(D1633,[10]ALL!$C:$C,[10]ALL!$N:$N,"Tidak Ditemukan")</f>
        <v>NI PUTU DEWI LASTINI</v>
      </c>
      <c r="G1633" s="222"/>
    </row>
    <row r="1634" spans="2:7">
      <c r="B1634" s="10" t="s">
        <v>1448</v>
      </c>
      <c r="C1634" s="11" t="s">
        <v>1449</v>
      </c>
      <c r="D1634" s="12" t="s">
        <v>1672</v>
      </c>
      <c r="E1634" s="13" t="s">
        <v>1716</v>
      </c>
      <c r="F1634" s="6" t="str">
        <f>_xlfn.XLOOKUP(D1634,[10]ALL!$C:$C,[10]ALL!$N:$N,"Tidak Ditemukan")</f>
        <v>NI PUTU DEWI LASTINI</v>
      </c>
      <c r="G1634" s="222"/>
    </row>
    <row r="1635" spans="2:7">
      <c r="B1635" s="10" t="s">
        <v>1448</v>
      </c>
      <c r="C1635" s="11" t="s">
        <v>1449</v>
      </c>
      <c r="D1635" s="12" t="s">
        <v>1673</v>
      </c>
      <c r="E1635" s="13" t="s">
        <v>1716</v>
      </c>
      <c r="F1635" s="6" t="str">
        <f>_xlfn.XLOOKUP(D1635,[10]ALL!$C:$C,[10]ALL!$N:$N,"Tidak Ditemukan")</f>
        <v>KADEK DWIPA ANGGARASTRA</v>
      </c>
      <c r="G1635" s="222"/>
    </row>
    <row r="1636" spans="2:7">
      <c r="B1636" s="10" t="s">
        <v>1448</v>
      </c>
      <c r="C1636" s="11" t="s">
        <v>1449</v>
      </c>
      <c r="D1636" s="12" t="s">
        <v>1674</v>
      </c>
      <c r="E1636" s="13" t="s">
        <v>1716</v>
      </c>
      <c r="F1636" s="6" t="str">
        <f>_xlfn.XLOOKUP(D1636,[10]ALL!$C:$C,[10]ALL!$N:$N,"Tidak Ditemukan")</f>
        <v>KADEK DWIPA ANGGARASTRA</v>
      </c>
      <c r="G1636" s="222"/>
    </row>
    <row r="1637" spans="2:7">
      <c r="B1637" s="10" t="s">
        <v>1448</v>
      </c>
      <c r="C1637" s="11" t="s">
        <v>1449</v>
      </c>
      <c r="D1637" s="12" t="s">
        <v>1675</v>
      </c>
      <c r="E1637" s="13" t="s">
        <v>1716</v>
      </c>
      <c r="F1637" s="6" t="str">
        <f>_xlfn.XLOOKUP(D1637,[10]ALL!$C:$C,[10]ALL!$N:$N,"Tidak Ditemukan")</f>
        <v>I KOMANG FERI INDRAJAYA</v>
      </c>
      <c r="G1637" s="222"/>
    </row>
    <row r="1638" spans="2:7">
      <c r="B1638" s="10" t="s">
        <v>1448</v>
      </c>
      <c r="C1638" s="11" t="s">
        <v>1449</v>
      </c>
      <c r="D1638" s="12" t="s">
        <v>1676</v>
      </c>
      <c r="E1638" s="13" t="s">
        <v>1716</v>
      </c>
      <c r="F1638" s="6" t="str">
        <f>_xlfn.XLOOKUP(D1638,[10]ALL!$C:$C,[10]ALL!$N:$N,"Tidak Ditemukan")</f>
        <v>I GEDE BAGUS ADI SURYAWAN , ST</v>
      </c>
      <c r="G1638" s="222"/>
    </row>
    <row r="1639" spans="2:7">
      <c r="B1639" s="10" t="s">
        <v>1448</v>
      </c>
      <c r="C1639" s="11" t="s">
        <v>1449</v>
      </c>
      <c r="D1639" s="12" t="s">
        <v>1677</v>
      </c>
      <c r="E1639" s="13" t="s">
        <v>1716</v>
      </c>
      <c r="F1639" s="6" t="str">
        <f>_xlfn.XLOOKUP(D1639,[10]ALL!$C:$C,[10]ALL!$N:$N,"Tidak Ditemukan")</f>
        <v>DWIKY REZA ARDANI WINAHARA</v>
      </c>
      <c r="G1639" s="222"/>
    </row>
    <row r="1640" spans="2:7">
      <c r="B1640" s="10" t="s">
        <v>1448</v>
      </c>
      <c r="C1640" s="11" t="s">
        <v>1449</v>
      </c>
      <c r="D1640" s="12" t="s">
        <v>1678</v>
      </c>
      <c r="E1640" s="13" t="s">
        <v>1716</v>
      </c>
      <c r="F1640" s="6" t="str">
        <f>_xlfn.XLOOKUP(D1640,[10]ALL!$C:$C,[10]ALL!$N:$N,"Tidak Ditemukan")</f>
        <v>NI WAYAN ELSA SEPTIANA INDRIANI</v>
      </c>
      <c r="G1640" s="222"/>
    </row>
    <row r="1641" spans="2:7">
      <c r="B1641" s="10" t="s">
        <v>1448</v>
      </c>
      <c r="C1641" s="11" t="s">
        <v>1449</v>
      </c>
      <c r="D1641" s="12" t="s">
        <v>1679</v>
      </c>
      <c r="E1641" s="13" t="e">
        <v>#N/A</v>
      </c>
      <c r="F1641" s="6" t="str">
        <f>_xlfn.XLOOKUP(D1641,[10]ALL!$C:$C,[10]ALL!$N:$N,"Tidak Ditemukan")</f>
        <v>NI PUTU DEWI LASTINI</v>
      </c>
      <c r="G1641" s="222"/>
    </row>
    <row r="1642" spans="2:7">
      <c r="B1642" s="10" t="s">
        <v>1448</v>
      </c>
      <c r="C1642" s="11" t="s">
        <v>1449</v>
      </c>
      <c r="D1642" s="12" t="s">
        <v>1680</v>
      </c>
      <c r="E1642" s="13" t="e">
        <v>#N/A</v>
      </c>
      <c r="F1642" s="6" t="str">
        <f>_xlfn.XLOOKUP(D1642,[10]ALL!$C:$C,[10]ALL!$N:$N,"Tidak Ditemukan")</f>
        <v>NI WAYAN ELSA SEPTIANA INDRIANI</v>
      </c>
      <c r="G1642" s="222"/>
    </row>
    <row r="1643" spans="2:7">
      <c r="B1643" s="10" t="s">
        <v>1448</v>
      </c>
      <c r="C1643" s="11" t="s">
        <v>1449</v>
      </c>
      <c r="D1643" s="12" t="s">
        <v>1681</v>
      </c>
      <c r="E1643" s="13" t="s">
        <v>1739</v>
      </c>
      <c r="F1643" s="6" t="str">
        <f>_xlfn.XLOOKUP(D1643,[10]ALL!$C:$C,[10]ALL!$N:$N,"Tidak Ditemukan")</f>
        <v>I GEDE BAGUS ADI SURYAWAN , ST</v>
      </c>
      <c r="G1643" s="222"/>
    </row>
    <row r="1644" spans="2:7">
      <c r="B1644" s="10" t="s">
        <v>1448</v>
      </c>
      <c r="C1644" s="11" t="s">
        <v>1449</v>
      </c>
      <c r="D1644" s="12" t="s">
        <v>1682</v>
      </c>
      <c r="E1644" s="13" t="s">
        <v>1716</v>
      </c>
      <c r="F1644" s="6" t="str">
        <f>_xlfn.XLOOKUP(D1644,[10]ALL!$C:$C,[10]ALL!$N:$N,"Tidak Ditemukan")</f>
        <v>DWIKY REZA ARDANI WINAHARA</v>
      </c>
      <c r="G1644" s="222"/>
    </row>
    <row r="1645" spans="2:7">
      <c r="B1645" s="10" t="s">
        <v>1448</v>
      </c>
      <c r="C1645" s="11" t="s">
        <v>1449</v>
      </c>
      <c r="D1645" s="12" t="s">
        <v>1683</v>
      </c>
      <c r="E1645" s="13" t="s">
        <v>1716</v>
      </c>
      <c r="F1645" s="6" t="str">
        <f>_xlfn.XLOOKUP(D1645,[10]ALL!$C:$C,[10]ALL!$N:$N,"Tidak Ditemukan")</f>
        <v>NI WAYAN ELSA SEPTIANA INDRIANI</v>
      </c>
      <c r="G1645" s="222"/>
    </row>
    <row r="1646" spans="2:7">
      <c r="B1646" s="10" t="s">
        <v>1448</v>
      </c>
      <c r="C1646" s="11" t="s">
        <v>1449</v>
      </c>
      <c r="D1646" s="12" t="s">
        <v>1684</v>
      </c>
      <c r="E1646" s="13" t="s">
        <v>1716</v>
      </c>
      <c r="F1646" s="6" t="str">
        <f>_xlfn.XLOOKUP(D1646,[10]ALL!$C:$C,[10]ALL!$N:$N,"Tidak Ditemukan")</f>
        <v>AGUS PRADNYANA</v>
      </c>
      <c r="G1646" s="222"/>
    </row>
    <row r="1647" spans="2:7">
      <c r="B1647" s="10" t="s">
        <v>1448</v>
      </c>
      <c r="C1647" s="11" t="s">
        <v>1449</v>
      </c>
      <c r="D1647" s="12" t="s">
        <v>1685</v>
      </c>
      <c r="E1647" s="13" t="s">
        <v>1716</v>
      </c>
      <c r="F1647" s="6" t="str">
        <f>_xlfn.XLOOKUP(D1647,[10]ALL!$C:$C,[10]ALL!$N:$N,"Tidak Ditemukan")</f>
        <v>NI WAYAN ELSA SEPTIANA INDRIANI</v>
      </c>
      <c r="G1647" s="222"/>
    </row>
    <row r="1648" spans="2:7">
      <c r="B1648" s="10" t="s">
        <v>1448</v>
      </c>
      <c r="C1648" s="11" t="s">
        <v>1449</v>
      </c>
      <c r="D1648" s="12" t="s">
        <v>1686</v>
      </c>
      <c r="E1648" s="13" t="s">
        <v>1716</v>
      </c>
      <c r="F1648" s="6" t="str">
        <f>_xlfn.XLOOKUP(D1648,[10]ALL!$C:$C,[10]ALL!$N:$N,"Tidak Ditemukan")</f>
        <v>NI WAYAN ELSA SEPTIANA INDRIANI</v>
      </c>
      <c r="G1648" s="222"/>
    </row>
    <row r="1649" spans="2:7">
      <c r="B1649" s="10" t="s">
        <v>1448</v>
      </c>
      <c r="C1649" s="11" t="s">
        <v>1449</v>
      </c>
      <c r="D1649" s="12" t="s">
        <v>1687</v>
      </c>
      <c r="E1649" s="13" t="s">
        <v>1716</v>
      </c>
      <c r="F1649" s="6" t="str">
        <f>_xlfn.XLOOKUP(D1649,[10]ALL!$C:$C,[10]ALL!$N:$N,"Tidak Ditemukan")</f>
        <v>NI WAYAN ELSA SEPTIANA INDRIANI</v>
      </c>
      <c r="G1649" s="222"/>
    </row>
    <row r="1650" spans="2:7">
      <c r="B1650" s="10" t="s">
        <v>1448</v>
      </c>
      <c r="C1650" s="11" t="s">
        <v>1449</v>
      </c>
      <c r="D1650" s="12" t="s">
        <v>1688</v>
      </c>
      <c r="E1650" s="13" t="s">
        <v>1716</v>
      </c>
      <c r="F1650" s="6" t="str">
        <f>_xlfn.XLOOKUP(D1650,[10]ALL!$C:$C,[10]ALL!$N:$N,"Tidak Ditemukan")</f>
        <v>AGUS PRADNYANA</v>
      </c>
      <c r="G1650" s="222"/>
    </row>
    <row r="1651" spans="2:7">
      <c r="B1651" s="10" t="s">
        <v>1448</v>
      </c>
      <c r="C1651" s="11" t="s">
        <v>1449</v>
      </c>
      <c r="D1651" s="12" t="s">
        <v>1689</v>
      </c>
      <c r="E1651" s="13" t="s">
        <v>1716</v>
      </c>
      <c r="F1651" s="6" t="str">
        <f>_xlfn.XLOOKUP(D1651,[10]ALL!$C:$C,[10]ALL!$N:$N,"Tidak Ditemukan")</f>
        <v>DWIKY REZA ARDANI WINAHARA</v>
      </c>
      <c r="G1651" s="222"/>
    </row>
    <row r="1652" spans="2:7">
      <c r="B1652" s="10" t="s">
        <v>1448</v>
      </c>
      <c r="C1652" s="11" t="s">
        <v>1449</v>
      </c>
      <c r="D1652" s="12" t="s">
        <v>1690</v>
      </c>
      <c r="E1652" s="13" t="s">
        <v>1716</v>
      </c>
      <c r="F1652" s="6" t="str">
        <f>_xlfn.XLOOKUP(D1652,[10]ALL!$C:$C,[10]ALL!$N:$N,"Tidak Ditemukan")</f>
        <v>DWIKY REZA ARDANI WINAHARA</v>
      </c>
      <c r="G1652" s="222"/>
    </row>
    <row r="1653" spans="2:7">
      <c r="B1653" s="10" t="s">
        <v>1448</v>
      </c>
      <c r="C1653" s="11" t="s">
        <v>1449</v>
      </c>
      <c r="D1653" s="12" t="s">
        <v>1691</v>
      </c>
      <c r="E1653" s="13" t="s">
        <v>1716</v>
      </c>
      <c r="F1653" s="6" t="str">
        <f>_xlfn.XLOOKUP(D1653,[10]ALL!$C:$C,[10]ALL!$N:$N,"Tidak Ditemukan")</f>
        <v>NI WAYAN ELSA SEPTIANA INDRIANI</v>
      </c>
      <c r="G1653" s="222"/>
    </row>
    <row r="1654" spans="2:7">
      <c r="B1654" s="10" t="s">
        <v>1448</v>
      </c>
      <c r="C1654" s="11" t="s">
        <v>1449</v>
      </c>
      <c r="D1654" s="12" t="s">
        <v>1692</v>
      </c>
      <c r="E1654" s="13" t="s">
        <v>1716</v>
      </c>
      <c r="F1654" s="6" t="str">
        <f>_xlfn.XLOOKUP(D1654,[10]ALL!$C:$C,[10]ALL!$N:$N,"Tidak Ditemukan")</f>
        <v>Ari Ardiansyah</v>
      </c>
      <c r="G1654" s="222"/>
    </row>
    <row r="1655" spans="2:7">
      <c r="B1655" s="10" t="s">
        <v>1448</v>
      </c>
      <c r="C1655" s="11" t="s">
        <v>1449</v>
      </c>
      <c r="D1655" s="12" t="s">
        <v>1693</v>
      </c>
      <c r="E1655" s="13" t="s">
        <v>1716</v>
      </c>
      <c r="F1655" s="6" t="str">
        <f>_xlfn.XLOOKUP(D1655,[10]ALL!$C:$C,[10]ALL!$N:$N,"Tidak Ditemukan")</f>
        <v>Suhardi</v>
      </c>
      <c r="G1655" s="222"/>
    </row>
    <row r="1656" spans="2:7">
      <c r="B1656" s="10" t="s">
        <v>1448</v>
      </c>
      <c r="C1656" s="11" t="s">
        <v>1449</v>
      </c>
      <c r="D1656" s="12" t="s">
        <v>1694</v>
      </c>
      <c r="E1656" s="13" t="s">
        <v>1716</v>
      </c>
      <c r="F1656" s="6" t="str">
        <f>_xlfn.XLOOKUP(D1656,[10]ALL!$C:$C,[10]ALL!$N:$N,"Tidak Ditemukan")</f>
        <v>ADE HARYANTO</v>
      </c>
      <c r="G1656" s="222"/>
    </row>
    <row r="1657" spans="2:7">
      <c r="B1657" s="10" t="s">
        <v>1448</v>
      </c>
      <c r="C1657" s="11" t="s">
        <v>1449</v>
      </c>
      <c r="D1657" s="12" t="s">
        <v>1695</v>
      </c>
      <c r="E1657" s="13" t="s">
        <v>1716</v>
      </c>
      <c r="F1657" s="6" t="str">
        <f>_xlfn.XLOOKUP(D1657,[10]ALL!$C:$C,[10]ALL!$N:$N,"Tidak Ditemukan")</f>
        <v>NOFITA</v>
      </c>
      <c r="G1657" s="222"/>
    </row>
    <row r="1658" spans="2:7">
      <c r="B1658" s="10" t="s">
        <v>1448</v>
      </c>
      <c r="C1658" s="11" t="s">
        <v>1449</v>
      </c>
      <c r="D1658" s="12" t="s">
        <v>1696</v>
      </c>
      <c r="E1658" s="13" t="s">
        <v>1716</v>
      </c>
      <c r="F1658" s="6" t="str">
        <f>_xlfn.XLOOKUP(D1658,[10]ALL!$C:$C,[10]ALL!$N:$N,"Tidak Ditemukan")</f>
        <v>PANJI PRATAMA</v>
      </c>
      <c r="G1658" s="222"/>
    </row>
    <row r="1659" spans="2:7">
      <c r="B1659" s="10" t="s">
        <v>1448</v>
      </c>
      <c r="C1659" s="11" t="s">
        <v>1449</v>
      </c>
      <c r="D1659" s="12" t="s">
        <v>1697</v>
      </c>
      <c r="E1659" s="13" t="s">
        <v>1716</v>
      </c>
      <c r="F1659" s="6" t="str">
        <f>_xlfn.XLOOKUP(D1659,[10]ALL!$C:$C,[10]ALL!$N:$N,"Tidak Ditemukan")</f>
        <v>PANJI PRATAMA</v>
      </c>
      <c r="G1659" s="222"/>
    </row>
    <row r="1660" spans="2:7">
      <c r="B1660" s="10" t="s">
        <v>1448</v>
      </c>
      <c r="C1660" s="11" t="s">
        <v>1449</v>
      </c>
      <c r="D1660" s="12" t="s">
        <v>1698</v>
      </c>
      <c r="E1660" s="13" t="s">
        <v>1716</v>
      </c>
      <c r="F1660" s="6" t="str">
        <f>_xlfn.XLOOKUP(D1660,[10]ALL!$C:$C,[10]ALL!$N:$N,"Tidak Ditemukan")</f>
        <v>Panji Pratama</v>
      </c>
      <c r="G1660" s="222"/>
    </row>
    <row r="1661" spans="2:7">
      <c r="B1661" s="10" t="s">
        <v>1448</v>
      </c>
      <c r="C1661" s="11" t="s">
        <v>1449</v>
      </c>
      <c r="D1661" s="12" t="s">
        <v>1699</v>
      </c>
      <c r="E1661" s="13" t="s">
        <v>1716</v>
      </c>
      <c r="F1661" s="6" t="str">
        <f>_xlfn.XLOOKUP(D1661,[10]ALL!$C:$C,[10]ALL!$N:$N,"Tidak Ditemukan")</f>
        <v>Suhardi</v>
      </c>
      <c r="G1661" s="222"/>
    </row>
    <row r="1662" spans="2:7">
      <c r="B1662" s="10" t="s">
        <v>1448</v>
      </c>
      <c r="C1662" s="11" t="s">
        <v>1449</v>
      </c>
      <c r="D1662" s="12" t="s">
        <v>1700</v>
      </c>
      <c r="E1662" s="13" t="s">
        <v>1716</v>
      </c>
      <c r="F1662" s="6" t="str">
        <f>_xlfn.XLOOKUP(D1662,[10]ALL!$C:$C,[10]ALL!$N:$N,"Tidak Ditemukan")</f>
        <v>FAHRURRAZI</v>
      </c>
      <c r="G1662" s="222"/>
    </row>
    <row r="1663" spans="2:7">
      <c r="B1663" s="10" t="s">
        <v>1448</v>
      </c>
      <c r="C1663" s="11" t="s">
        <v>1449</v>
      </c>
      <c r="D1663" s="12" t="s">
        <v>1701</v>
      </c>
      <c r="E1663" s="13" t="s">
        <v>1716</v>
      </c>
      <c r="F1663" s="6" t="str">
        <f>_xlfn.XLOOKUP(D1663,[10]ALL!$C:$C,[10]ALL!$N:$N,"Tidak Ditemukan")</f>
        <v>AGUSTINUS DICKY PURWONO</v>
      </c>
      <c r="G1663" s="222"/>
    </row>
    <row r="1664" spans="2:7">
      <c r="B1664" s="10" t="s">
        <v>1448</v>
      </c>
      <c r="C1664" s="11" t="s">
        <v>1449</v>
      </c>
      <c r="D1664" s="12" t="s">
        <v>1702</v>
      </c>
      <c r="E1664" s="13" t="s">
        <v>1716</v>
      </c>
      <c r="F1664" s="6" t="str">
        <f>_xlfn.XLOOKUP(D1664,[10]ALL!$C:$C,[10]ALL!$N:$N,"Tidak Ditemukan")</f>
        <v>AGUS KADE DIVA RAMANA</v>
      </c>
      <c r="G1664" s="222"/>
    </row>
    <row r="1665" spans="2:7">
      <c r="B1665" s="10" t="s">
        <v>1448</v>
      </c>
      <c r="C1665" s="11" t="s">
        <v>1449</v>
      </c>
      <c r="D1665" s="12" t="s">
        <v>1703</v>
      </c>
      <c r="E1665" s="13" t="s">
        <v>1716</v>
      </c>
      <c r="F1665" s="6" t="str">
        <f>_xlfn.XLOOKUP(D1665,[10]ALL!$C:$C,[10]ALL!$N:$N,"Tidak Ditemukan")</f>
        <v>I Kadek Sandiyasa</v>
      </c>
      <c r="G1665" s="222"/>
    </row>
    <row r="1666" spans="2:7">
      <c r="B1666" s="10" t="s">
        <v>1448</v>
      </c>
      <c r="C1666" s="11" t="s">
        <v>1449</v>
      </c>
      <c r="D1666" s="12" t="s">
        <v>1704</v>
      </c>
      <c r="E1666" s="13" t="s">
        <v>1716</v>
      </c>
      <c r="F1666" s="6" t="str">
        <f>_xlfn.XLOOKUP(D1666,[10]ALL!$C:$C,[10]ALL!$N:$N,"Tidak Ditemukan")</f>
        <v>Resi Marsila</v>
      </c>
      <c r="G1666" s="222"/>
    </row>
    <row r="1667" spans="2:7">
      <c r="B1667" s="10" t="s">
        <v>1448</v>
      </c>
      <c r="C1667" s="11" t="s">
        <v>1449</v>
      </c>
      <c r="D1667" s="12" t="s">
        <v>1705</v>
      </c>
      <c r="E1667" s="13" t="s">
        <v>1716</v>
      </c>
      <c r="F1667" s="6" t="str">
        <f>_xlfn.XLOOKUP(D1667,[10]ALL!$C:$C,[10]ALL!$N:$N,"Tidak Ditemukan")</f>
        <v>FAHRURRAZI</v>
      </c>
      <c r="G1667" s="222"/>
    </row>
    <row r="1668" spans="2:7">
      <c r="B1668" s="10" t="s">
        <v>1448</v>
      </c>
      <c r="C1668" s="11" t="s">
        <v>1449</v>
      </c>
      <c r="D1668" s="12" t="s">
        <v>1706</v>
      </c>
      <c r="E1668" s="13" t="s">
        <v>1716</v>
      </c>
      <c r="F1668" s="6" t="str">
        <f>_xlfn.XLOOKUP(D1668,[10]ALL!$C:$C,[10]ALL!$N:$N,"Tidak Ditemukan")</f>
        <v>GUSTI NGURAH ARY RAKA DARMAYASA, SE.MM</v>
      </c>
      <c r="G1668" s="222"/>
    </row>
    <row r="1669" spans="2:7">
      <c r="B1669" s="10" t="s">
        <v>1448</v>
      </c>
      <c r="C1669" s="11" t="s">
        <v>1449</v>
      </c>
      <c r="D1669" s="12" t="s">
        <v>1707</v>
      </c>
      <c r="E1669" s="13" t="s">
        <v>1716</v>
      </c>
      <c r="F1669" s="6" t="str">
        <f>_xlfn.XLOOKUP(D1669,[10]ALL!$C:$C,[10]ALL!$N:$N,"Tidak Ditemukan")</f>
        <v>AGUSTINUS DICKY PURWONO</v>
      </c>
      <c r="G1669" s="222"/>
    </row>
    <row r="1670" spans="2:7" ht="15" thickBot="1">
      <c r="B1670" s="14" t="s">
        <v>1448</v>
      </c>
      <c r="C1670" s="15" t="s">
        <v>1449</v>
      </c>
      <c r="D1670" s="16" t="s">
        <v>1708</v>
      </c>
      <c r="E1670" s="17" t="s">
        <v>1716</v>
      </c>
      <c r="F1670" s="6" t="str">
        <f>_xlfn.XLOOKUP(D1670,[10]ALL!$C:$C,[10]ALL!$N:$N,"Tidak Ditemukan")</f>
        <v>Salvatris Siro</v>
      </c>
      <c r="G1670" s="222"/>
    </row>
  </sheetData>
  <autoFilter ref="B4:F1670" xr:uid="{00000000-0009-0000-0000-000004000000}"/>
  <mergeCells count="5"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DP DATA</vt:lpstr>
      <vt:lpstr>06.30, 07.30, &amp; 12.00</vt:lpstr>
      <vt:lpstr>R-2, TPTW, Persentase TTD</vt:lpstr>
      <vt:lpstr>Pickup &amp; Retur Non Ecom</vt:lpstr>
      <vt:lpstr>Fr&amp;Ag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2026-08-12T16:47:15Z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7F76E1E66E5547B59A417D01947C0C77_13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